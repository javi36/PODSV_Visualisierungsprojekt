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backupFile="1" defaultThemeVersion="202300"/>
  <mc:AlternateContent xmlns:mc="http://schemas.openxmlformats.org/markup-compatibility/2006">
    <mc:Choice Requires="x15">
      <x15ac:absPath xmlns:x15ac="http://schemas.microsoft.com/office/spreadsheetml/2010/11/ac" url="/Users/K.Smaili_ZHAW/Desktop/ZHAW/4. Semester/PoDSV_Project Orientated Digital Storytelling and Visualization/PODSV_Visualisierungsprojekt/data/whopays/raw_whopays/"/>
    </mc:Choice>
  </mc:AlternateContent>
  <xr:revisionPtr revIDLastSave="0" documentId="8_{C387CB53-5DC7-714E-9085-616FC3DF1820}" xr6:coauthVersionLast="47" xr6:coauthVersionMax="47" xr10:uidLastSave="{00000000-0000-0000-0000-000000000000}"/>
  <bookViews>
    <workbookView xWindow="0" yWindow="500" windowWidth="38400" windowHeight="20000" tabRatio="601" xr2:uid="{2CBDB46C-7623-C548-AB54-AFE0FD6299C2}"/>
  </bookViews>
  <sheets>
    <sheet name="Info" sheetId="150" r:id="rId1"/>
    <sheet name="B d" sheetId="454" r:id="rId2"/>
    <sheet name="B1 d" sheetId="475" r:id="rId3"/>
    <sheet name="T1d" sheetId="339" r:id="rId4"/>
    <sheet name="101d" sheetId="447" r:id="rId5"/>
    <sheet name="102d" sheetId="338" r:id="rId6"/>
    <sheet name="103d" sheetId="340" r:id="rId7"/>
    <sheet name="104d" sheetId="341" r:id="rId8"/>
    <sheet name="105d" sheetId="342" r:id="rId9"/>
    <sheet name="106d" sheetId="343" r:id="rId10"/>
    <sheet name="107d" sheetId="344" r:id="rId11"/>
    <sheet name="108d" sheetId="345" r:id="rId12"/>
    <sheet name="109d" sheetId="346" r:id="rId13"/>
    <sheet name="110d" sheetId="348" r:id="rId14"/>
    <sheet name="111d" sheetId="347" r:id="rId15"/>
    <sheet name="112d" sheetId="434" r:id="rId16"/>
    <sheet name="113d" sheetId="435" r:id="rId17"/>
    <sheet name="T2d" sheetId="349" r:id="rId18"/>
    <sheet name="201d" sheetId="358" r:id="rId19"/>
    <sheet name="202d" sheetId="441" r:id="rId20"/>
    <sheet name="203d" sheetId="433" r:id="rId21"/>
    <sheet name="204d" sheetId="398" r:id="rId22"/>
    <sheet name="205d" sheetId="399" r:id="rId23"/>
    <sheet name="206d" sheetId="403" r:id="rId24"/>
    <sheet name="207d" sheetId="395" r:id="rId25"/>
    <sheet name="208d" sheetId="401" r:id="rId26"/>
    <sheet name="209d" sheetId="402" r:id="rId27"/>
    <sheet name="210d" sheetId="404" r:id="rId28"/>
    <sheet name="211d" sheetId="405" r:id="rId29"/>
    <sheet name="212d" sheetId="406" r:id="rId30"/>
    <sheet name="213d" sheetId="407" r:id="rId31"/>
    <sheet name="214d" sheetId="354" r:id="rId32"/>
    <sheet name="215d" sheetId="443" r:id="rId33"/>
    <sheet name="216d" sheetId="439" r:id="rId34"/>
    <sheet name="217d" sheetId="351" r:id="rId35"/>
    <sheet name="218d" sheetId="440" r:id="rId36"/>
    <sheet name="219d" sheetId="350" r:id="rId37"/>
    <sheet name="220d" sheetId="356" r:id="rId38"/>
    <sheet name="221d" sheetId="442" r:id="rId39"/>
    <sheet name="222d" sheetId="352" r:id="rId40"/>
    <sheet name="223d" sheetId="353" r:id="rId41"/>
    <sheet name="T3d" sheetId="453" r:id="rId42"/>
    <sheet name="301d" sheetId="448" r:id="rId43"/>
    <sheet name="302d" sheetId="449" r:id="rId44"/>
    <sheet name="303d" sheetId="450" r:id="rId45"/>
    <sheet name="304d" sheetId="451" r:id="rId46"/>
    <sheet name="305d" sheetId="446" r:id="rId47"/>
    <sheet name="306d" sheetId="444" r:id="rId48"/>
    <sheet name="307d" sheetId="445" r:id="rId49"/>
    <sheet name="308d" sheetId="436" r:id="rId50"/>
    <sheet name="309d" sheetId="362" r:id="rId51"/>
    <sheet name="310d" sheetId="359" r:id="rId52"/>
    <sheet name="311d" sheetId="360" r:id="rId53"/>
    <sheet name="312d" sheetId="452" r:id="rId54"/>
    <sheet name="T4d" sheetId="408" r:id="rId55"/>
    <sheet name="401d" sheetId="424" r:id="rId56"/>
    <sheet name="402d" sheetId="425" r:id="rId57"/>
    <sheet name="403d" sheetId="410" r:id="rId58"/>
    <sheet name="404d" sheetId="411" r:id="rId59"/>
    <sheet name="405d" sheetId="412" r:id="rId60"/>
    <sheet name="406d" sheetId="413" r:id="rId61"/>
    <sheet name="407d" sheetId="423" r:id="rId62"/>
    <sheet name="408d" sheetId="420" r:id="rId63"/>
    <sheet name="409d" sheetId="421" r:id="rId64"/>
    <sheet name="410d" sheetId="422" r:id="rId65"/>
    <sheet name="411d" sheetId="414" r:id="rId66"/>
    <sheet name="T5d" sheetId="320" r:id="rId67"/>
    <sheet name="501d" sheetId="376" r:id="rId68"/>
    <sheet name="502d" sheetId="377" r:id="rId69"/>
    <sheet name="503d" sheetId="378" r:id="rId70"/>
    <sheet name="504d" sheetId="392" r:id="rId71"/>
    <sheet name="T6d" sheetId="379" r:id="rId72"/>
    <sheet name="601d" sheetId="385" r:id="rId73"/>
    <sheet name="602d" sheetId="386" r:id="rId74"/>
    <sheet name="603d" sheetId="381" r:id="rId75"/>
    <sheet name="604d" sheetId="382" r:id="rId76"/>
    <sheet name="605d" sheetId="383" r:id="rId77"/>
    <sheet name="606d" sheetId="384" r:id="rId78"/>
    <sheet name="T7d" sheetId="380" r:id="rId79"/>
    <sheet name="701d" sheetId="391" r:id="rId80"/>
    <sheet name="702d" sheetId="390" r:id="rId81"/>
    <sheet name="703d" sheetId="387" r:id="rId82"/>
    <sheet name="704d" sheetId="388" r:id="rId83"/>
    <sheet name="705d" sheetId="389" r:id="rId84"/>
    <sheet name="T8d" sheetId="363" r:id="rId85"/>
    <sheet name="801d" sheetId="374" r:id="rId86"/>
    <sheet name="802d" sheetId="375" r:id="rId87"/>
    <sheet name="803d" sheetId="373" r:id="rId88"/>
    <sheet name="804d" sheetId="372" r:id="rId89"/>
    <sheet name="805d" sheetId="369" r:id="rId90"/>
    <sheet name="806d" sheetId="368" r:id="rId91"/>
    <sheet name="807d" sheetId="371" r:id="rId92"/>
    <sheet name="808d" sheetId="370" r:id="rId93"/>
    <sheet name="809d" sheetId="367" r:id="rId94"/>
    <sheet name="810d" sheetId="366" r:id="rId95"/>
    <sheet name="811d" sheetId="365" r:id="rId96"/>
    <sheet name="812d" sheetId="364" r:id="rId97"/>
    <sheet name="T9d" sheetId="467" r:id="rId98"/>
    <sheet name="901d" sheetId="459" r:id="rId99"/>
    <sheet name="902d" sheetId="458" r:id="rId100"/>
    <sheet name="903d" sheetId="457" r:id="rId101"/>
    <sheet name="904d" sheetId="456" r:id="rId102"/>
    <sheet name="905d" sheetId="455" r:id="rId103"/>
    <sheet name="906d" sheetId="472" r:id="rId104"/>
    <sheet name="907d" sheetId="471" r:id="rId105"/>
    <sheet name="908d" sheetId="470" r:id="rId106"/>
    <sheet name="909d" sheetId="416" r:id="rId107"/>
    <sheet name="910d" sheetId="417" r:id="rId108"/>
    <sheet name="911d" sheetId="476" r:id="rId109"/>
    <sheet name="912d" sheetId="460" r:id="rId110"/>
    <sheet name="913d" sheetId="474" r:id="rId111"/>
    <sheet name="914d" sheetId="468" r:id="rId112"/>
    <sheet name="915d" sheetId="469" r:id="rId113"/>
    <sheet name="916d" sheetId="463" r:id="rId114"/>
    <sheet name="917d" sheetId="464" r:id="rId115"/>
    <sheet name="918d" sheetId="465" r:id="rId116"/>
    <sheet name="919d" sheetId="461" r:id="rId117"/>
    <sheet name="920d" sheetId="477" r:id="rId118"/>
    <sheet name="921d" sheetId="418" r:id="rId119"/>
    <sheet name="922d" sheetId="419" r:id="rId120"/>
    <sheet name="T10d" sheetId="393" r:id="rId121"/>
    <sheet name="1001d" sheetId="394" r:id="rId122"/>
    <sheet name="1002d" sheetId="396" r:id="rId123"/>
    <sheet name="1003d" sheetId="397" r:id="rId124"/>
    <sheet name="T11d" sheetId="323" r:id="rId125"/>
    <sheet name="1101d" sheetId="337" r:id="rId126"/>
    <sheet name="1102d" sheetId="329" r:id="rId127"/>
    <sheet name="1103d" sheetId="328" r:id="rId128"/>
    <sheet name="1104d" sheetId="330" r:id="rId129"/>
    <sheet name="1105d" sheetId="332" r:id="rId130"/>
    <sheet name="1106d" sheetId="331" r:id="rId131"/>
    <sheet name="1107d" sheetId="428" r:id="rId132"/>
    <sheet name="1108d" sheetId="429" r:id="rId133"/>
    <sheet name="1109d" sheetId="427" r:id="rId134"/>
    <sheet name="1110d" sheetId="426" r:id="rId135"/>
    <sheet name="1111d" sheetId="336" r:id="rId136"/>
    <sheet name="1112d" sheetId="334" r:id="rId137"/>
    <sheet name="1113d" sheetId="333" r:id="rId138"/>
    <sheet name="1114d" sheetId="326" r:id="rId139"/>
    <sheet name="1115d" sheetId="325" r:id="rId140"/>
    <sheet name="1116d" sheetId="324" r:id="rId141"/>
    <sheet name="1117d" sheetId="335" r:id="rId142"/>
    <sheet name="1118d" sheetId="430" r:id="rId143"/>
  </sheets>
  <definedNames>
    <definedName name="_xlnm.Print_Area" localSheetId="121">'1001d'!$A$1:$G$25</definedName>
    <definedName name="_xlnm.Print_Area" localSheetId="122">'1002d'!$A$1:$G$26</definedName>
    <definedName name="_xlnm.Print_Area" localSheetId="123">'1003d'!$A$1:$H$34</definedName>
    <definedName name="_xlnm.Print_Area" localSheetId="4">'101d'!$A$1:$V$57</definedName>
    <definedName name="_xlnm.Print_Area" localSheetId="5">'102d'!$A$1:$E$39</definedName>
    <definedName name="_xlnm.Print_Area" localSheetId="6">'103d'!$A$1:$E$39</definedName>
    <definedName name="_xlnm.Print_Area" localSheetId="7">'104d'!$A$1:$E$39</definedName>
    <definedName name="_xlnm.Print_Area" localSheetId="8">'105d'!$A$1:$E$39</definedName>
    <definedName name="_xlnm.Print_Area" localSheetId="9">'106d'!$A$1:$E$39</definedName>
    <definedName name="_xlnm.Print_Area" localSheetId="10">'107d'!$A$1:$E$48</definedName>
    <definedName name="_xlnm.Print_Area" localSheetId="11">'108d'!$A$1:$F$22</definedName>
    <definedName name="_xlnm.Print_Area" localSheetId="12">'109d'!$A$1:$F$22</definedName>
    <definedName name="_xlnm.Print_Area" localSheetId="125">'1101d'!$A$1:$G$25</definedName>
    <definedName name="_xlnm.Print_Area" localSheetId="126">'1102d'!$A$1:$G$27</definedName>
    <definedName name="_xlnm.Print_Area" localSheetId="127">'1103d'!$A$1:$F$43</definedName>
    <definedName name="_xlnm.Print_Area" localSheetId="128">'1104d'!$A$1:$G$41</definedName>
    <definedName name="_xlnm.Print_Area" localSheetId="129">'1105d'!$A$1:$G$22</definedName>
    <definedName name="_xlnm.Print_Area" localSheetId="130">'1106d'!$A$1:$G$18</definedName>
    <definedName name="_xlnm.Print_Area" localSheetId="131">'1107d'!$A$1:$J$27</definedName>
    <definedName name="_xlnm.Print_Area" localSheetId="132">'1108d'!$A$1:$J$42</definedName>
    <definedName name="_xlnm.Print_Area" localSheetId="133">'1109d'!$A$1:$K$26</definedName>
    <definedName name="_xlnm.Print_Area" localSheetId="13">'110d'!$A$1:$H$22</definedName>
    <definedName name="_xlnm.Print_Area" localSheetId="134">'1110d'!$A$1:$K$42</definedName>
    <definedName name="_xlnm.Print_Area" localSheetId="135">'1111d'!$A$1:$G$22</definedName>
    <definedName name="_xlnm.Print_Area" localSheetId="136">'1112d'!$A$1:$F$19</definedName>
    <definedName name="_xlnm.Print_Area" localSheetId="137">'1113d'!$A$1:$F$36</definedName>
    <definedName name="_xlnm.Print_Area" localSheetId="138">'1114d'!$A$1:$G$51</definedName>
    <definedName name="_xlnm.Print_Area" localSheetId="139">'1115d'!$A$1:$G$32</definedName>
    <definedName name="_xlnm.Print_Area" localSheetId="140">'1116d'!$A$1:$G$42</definedName>
    <definedName name="_xlnm.Print_Area" localSheetId="141">'1117d'!$A$1:$G$19</definedName>
    <definedName name="_xlnm.Print_Area" localSheetId="142">'1118d'!$A$1:$D$15</definedName>
    <definedName name="_xlnm.Print_Area" localSheetId="14">'111d'!$A$1:$G$22</definedName>
    <definedName name="_xlnm.Print_Area" localSheetId="15">'112d'!$A$1:$G$25</definedName>
    <definedName name="_xlnm.Print_Area" localSheetId="16">'113d'!$A$1:$G$25</definedName>
    <definedName name="_xlnm.Print_Area" localSheetId="18">'201d'!$A$1:$G$22</definedName>
    <definedName name="_xlnm.Print_Area" localSheetId="19">'202d'!$A$1:$G$80</definedName>
    <definedName name="_xlnm.Print_Area" localSheetId="20">'203d'!$A$1:$K$41</definedName>
    <definedName name="_xlnm.Print_Area" localSheetId="21">'204d'!$A$1:$G$42</definedName>
    <definedName name="_xlnm.Print_Area" localSheetId="22">'205d'!$A$1:$G$41</definedName>
    <definedName name="_xlnm.Print_Area" localSheetId="23">'206d'!$A$1:$G$31</definedName>
    <definedName name="_xlnm.Print_Area" localSheetId="24">'207d'!$A$1:$G$42</definedName>
    <definedName name="_xlnm.Print_Area" localSheetId="25">'208d'!$A$1:$G$41</definedName>
    <definedName name="_xlnm.Print_Area" localSheetId="26">'209d'!$A$1:$G$31</definedName>
    <definedName name="_xlnm.Print_Area" localSheetId="27">'210d'!$A$1:$G$41</definedName>
    <definedName name="_xlnm.Print_Area" localSheetId="28">'211d'!$A$1:$G$31</definedName>
    <definedName name="_xlnm.Print_Area" localSheetId="29">'212d'!$A$1:$G$39</definedName>
    <definedName name="_xlnm.Print_Area" localSheetId="30">'213d'!$A$1:$G$41</definedName>
    <definedName name="_xlnm.Print_Area" localSheetId="31">'214d'!$A$1:$G$24</definedName>
    <definedName name="_xlnm.Print_Area" localSheetId="32">'215d'!$A$1:$G$75</definedName>
    <definedName name="_xlnm.Print_Area" localSheetId="33">'216d'!$A$1:$N$47</definedName>
    <definedName name="_xlnm.Print_Area" localSheetId="34">'217d'!$A$1:$H$35</definedName>
    <definedName name="_xlnm.Print_Area" localSheetId="35">'218d'!$A$1:$N$46</definedName>
    <definedName name="_xlnm.Print_Area" localSheetId="36">'219d'!$A$1:$H$35</definedName>
    <definedName name="_xlnm.Print_Area" localSheetId="37">'220d'!$A$1:$G$24</definedName>
    <definedName name="_xlnm.Print_Area" localSheetId="38">'221d'!$A$1:$G$80</definedName>
    <definedName name="_xlnm.Print_Area" localSheetId="39">'222d'!$A$1:$G$17</definedName>
    <definedName name="_xlnm.Print_Area" localSheetId="40">'223d'!$A$1:$G$17</definedName>
    <definedName name="_xlnm.Print_Area" localSheetId="42">'301d'!$A$1:$H$36</definedName>
    <definedName name="_xlnm.Print_Area" localSheetId="43">'302d'!$A$1:$H$45</definedName>
    <definedName name="_xlnm.Print_Area" localSheetId="44">'303d'!$A$1:$G$45</definedName>
    <definedName name="_xlnm.Print_Area" localSheetId="45">'304d'!$A$1:$H$45</definedName>
    <definedName name="_xlnm.Print_Area" localSheetId="46">'305d'!$A$1:$G$42</definedName>
    <definedName name="_xlnm.Print_Area" localSheetId="47">'306d'!$A$1:$G$42</definedName>
    <definedName name="_xlnm.Print_Area" localSheetId="48">'307d'!$A$1:$G$42</definedName>
    <definedName name="_xlnm.Print_Area" localSheetId="49">'308d'!$A$1:$K$40</definedName>
    <definedName name="_xlnm.Print_Area" localSheetId="50">'309d'!$A$2:$G$24</definedName>
    <definedName name="_xlnm.Print_Area" localSheetId="51">'310d'!$A$1:$G$17</definedName>
    <definedName name="_xlnm.Print_Area" localSheetId="52">'311d'!$A$1:$G$17</definedName>
    <definedName name="_xlnm.Print_Area" localSheetId="53">'312d'!$A$1:$J$79</definedName>
    <definedName name="_xlnm.Print_Area" localSheetId="55" xml:space="preserve">  '401d'!$A$1:$H$25</definedName>
    <definedName name="_xlnm.Print_Area" localSheetId="56">'402d'!$A$1:$H$42</definedName>
    <definedName name="_xlnm.Print_Area" localSheetId="57">'403d'!$A$1:$F$35</definedName>
    <definedName name="_xlnm.Print_Area" localSheetId="58">'404d'!$A$1:$I$43</definedName>
    <definedName name="_xlnm.Print_Area" localSheetId="59">'405d'!$A$1:$I$42</definedName>
    <definedName name="_xlnm.Print_Area" localSheetId="60">'406d'!$A$1:$I$42</definedName>
    <definedName name="_xlnm.Print_Area" localSheetId="61">'407d'!$A$1:$I$35</definedName>
    <definedName name="_xlnm.Print_Area" localSheetId="62">'408d'!$A$1:$I$49</definedName>
    <definedName name="_xlnm.Print_Area" localSheetId="63">'409d'!$A$1:$G$47</definedName>
    <definedName name="_xlnm.Print_Area" localSheetId="64">'410d'!$A$1:$H$42</definedName>
    <definedName name="_xlnm.Print_Area" localSheetId="65">'411d'!$A$1:$I$49</definedName>
    <definedName name="_xlnm.Print_Area" localSheetId="67">'501d'!$A$1:$V$109</definedName>
    <definedName name="_xlnm.Print_Area" localSheetId="68">'502d'!$A$1:$J$76</definedName>
    <definedName name="_xlnm.Print_Area" localSheetId="69">'503d'!$A$1:$I$120</definedName>
    <definedName name="_xlnm.Print_Area" localSheetId="70">'504d'!$A$1:$I$33</definedName>
    <definedName name="_xlnm.Print_Area" localSheetId="72">'601d'!$A$1:$G$24</definedName>
    <definedName name="_xlnm.Print_Area" localSheetId="73">'602d'!$A$1:$G$22</definedName>
    <definedName name="_xlnm.Print_Area" localSheetId="74">'603d'!$A$1:$E$38</definedName>
    <definedName name="_xlnm.Print_Area" localSheetId="75">'604d'!$A$1:$E$37</definedName>
    <definedName name="_xlnm.Print_Area" localSheetId="76">'605d'!$A$1:$E$40</definedName>
    <definedName name="_xlnm.Print_Area" localSheetId="77">'606d'!$A$1:$E$40</definedName>
    <definedName name="_xlnm.Print_Area" localSheetId="79">'701d'!$A$1:$G$28</definedName>
    <definedName name="_xlnm.Print_Area" localSheetId="80">'702d'!$A$2:$F$23</definedName>
    <definedName name="_xlnm.Print_Area" localSheetId="81">'703d'!$A$1:$E$43</definedName>
    <definedName name="_xlnm.Print_Area" localSheetId="82">'704d'!$A$1:$E$37</definedName>
    <definedName name="_xlnm.Print_Area" localSheetId="83">'705d'!$A$1:$E$39</definedName>
    <definedName name="_xlnm.Print_Area" localSheetId="85">'801d'!$A$1:$G$22</definedName>
    <definedName name="_xlnm.Print_Area" localSheetId="86">'802d'!$A$1:$I$24</definedName>
    <definedName name="_xlnm.Print_Area" localSheetId="87">'803d'!$A$1:$H$25</definedName>
    <definedName name="_xlnm.Print_Area" localSheetId="88">'804d'!$A$1:$H$27</definedName>
    <definedName name="_xlnm.Print_Area" localSheetId="89">'805d'!$A$1:$D$48</definedName>
    <definedName name="_xlnm.Print_Area" localSheetId="90">'806d'!$A$1:$D$41</definedName>
    <definedName name="_xlnm.Print_Area" localSheetId="91">'807d'!$A$1:$G$26</definedName>
    <definedName name="_xlnm.Print_Area" localSheetId="92">'808d'!$A$1:$F$24</definedName>
    <definedName name="_xlnm.Print_Area" localSheetId="93">'809d'!$A$1:$D$33</definedName>
    <definedName name="_xlnm.Print_Area" localSheetId="94">'810d'!$A$1:$D$44</definedName>
    <definedName name="_xlnm.Print_Area" localSheetId="95">'811d'!$A$1:$D$31</definedName>
    <definedName name="_xlnm.Print_Area" localSheetId="96" xml:space="preserve">  '812d'!$A$1:$D$27</definedName>
    <definedName name="_xlnm.Print_Area" localSheetId="98">'901d'!$A$1:$G$31</definedName>
    <definedName name="_xlnm.Print_Area" localSheetId="99">'902d'!$A$1:$H$29</definedName>
    <definedName name="_xlnm.Print_Area" localSheetId="100">'903d'!$A$1:$I$30</definedName>
    <definedName name="_xlnm.Print_Area" localSheetId="101">'904d'!$A$1:$H$28</definedName>
    <definedName name="_xlnm.Print_Area" localSheetId="102">'905d'!$A$1:$H$30</definedName>
    <definedName name="_xlnm.Print_Area" localSheetId="103">'906d'!$A$1:$P$44</definedName>
    <definedName name="_xlnm.Print_Area" localSheetId="104">'907d'!$A$1:$P$39</definedName>
    <definedName name="_xlnm.Print_Area" localSheetId="105">'908d'!$A$1:$Q$108</definedName>
    <definedName name="_xlnm.Print_Area" localSheetId="106">'909d'!$A$1:$K$51</definedName>
    <definedName name="_xlnm.Print_Area" localSheetId="107">'910d'!$A$1:$I$25</definedName>
    <definedName name="_xlnm.Print_Area" localSheetId="108">'911d'!$A$1:$O$39</definedName>
    <definedName name="_xlnm.Print_Area" localSheetId="109">'912d'!$A$1:$I$70</definedName>
    <definedName name="_xlnm.Print_Area" localSheetId="110">'913d'!$A$1:$K$45</definedName>
    <definedName name="_xlnm.Print_Area" localSheetId="111">'914d'!$A$1:$M$39</definedName>
    <definedName name="_xlnm.Print_Area" localSheetId="112">'915d'!$A$1:$G$75</definedName>
    <definedName name="_xlnm.Print_Area" localSheetId="113">'916d'!$A$1:$J$40</definedName>
    <definedName name="_xlnm.Print_Area" localSheetId="114">'917d'!$A$1:$K$35</definedName>
    <definedName name="_xlnm.Print_Area" localSheetId="115">'918d'!$A$1:$J$33</definedName>
    <definedName name="_xlnm.Print_Area" localSheetId="116">'919d'!$A$1:$N$26</definedName>
    <definedName name="_xlnm.Print_Area" localSheetId="117">'920d'!$A$1:$O$41</definedName>
    <definedName name="_xlnm.Print_Area" localSheetId="118">'921d'!$A$1:$G$35</definedName>
    <definedName name="_xlnm.Print_Area" localSheetId="119">'922d'!$A$1:$G$29</definedName>
    <definedName name="_xlnm.Print_Area" localSheetId="2" xml:space="preserve"> 'B1 d'!$A$1:$J$184</definedName>
    <definedName name="_xlnm.Print_Area" localSheetId="0">Info!$A$1:$K$69</definedName>
    <definedName name="_xlnm.Print_Titles" localSheetId="67">'501d'!$A:$B,'501d'!$1:$10</definedName>
    <definedName name="_xlnm.Print_Titles" localSheetId="69">'503d'!$A:$A,'503d'!$1:$10</definedName>
    <definedName name="_xlnm.Print_Titles" localSheetId="70">'504d'!$A:$A,'504d'!$1:$7</definedName>
    <definedName name="_xlnm.Print_Titles" localSheetId="104">'907d'!$1:$7</definedName>
    <definedName name="_xlnm.Print_Titles" localSheetId="2">'B1 d'!$5:$5</definedName>
    <definedName name="Z_E58FEA52_E3A2_4787_9824_12DA55A527FE_.wvu.Cols" localSheetId="64" hidden="1">'410d'!$J:$J</definedName>
    <definedName name="Z_E58FEA52_E3A2_4787_9824_12DA55A527FE_.wvu.PrintArea" localSheetId="64" hidden="1">'410d'!$A$1:$E$41</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2" i="469" l="1"/>
  <c r="D3" i="454"/>
  <c r="E3" i="454"/>
  <c r="G3" i="454"/>
  <c r="I3" i="454"/>
  <c r="K3" i="454"/>
  <c r="M3" i="454"/>
  <c r="S8" i="416"/>
  <c r="V8" i="416"/>
  <c r="S9" i="416"/>
  <c r="V9" i="416"/>
  <c r="S10" i="416"/>
  <c r="V10" i="416"/>
  <c r="S11" i="416"/>
  <c r="V11" i="416"/>
  <c r="S12" i="416"/>
  <c r="V12" i="416"/>
  <c r="S13" i="416"/>
  <c r="V13" i="416"/>
  <c r="S14" i="416"/>
  <c r="V14" i="416"/>
  <c r="S15" i="416"/>
  <c r="V15" i="416"/>
  <c r="S16" i="416"/>
  <c r="V16" i="416"/>
  <c r="S17" i="416"/>
  <c r="V17" i="416"/>
  <c r="S18" i="416"/>
  <c r="V18" i="416"/>
  <c r="S19" i="416"/>
  <c r="V19" i="416"/>
  <c r="S20" i="416"/>
  <c r="V20" i="416"/>
  <c r="S21" i="416"/>
  <c r="V21" i="416"/>
  <c r="S22" i="416"/>
  <c r="V22" i="416"/>
  <c r="S23" i="416"/>
  <c r="V23" i="416"/>
  <c r="S24" i="416"/>
  <c r="V24" i="416"/>
  <c r="S25" i="416"/>
  <c r="V25" i="416"/>
  <c r="S26" i="416"/>
  <c r="V26" i="416"/>
  <c r="S27" i="416"/>
  <c r="V27" i="416"/>
  <c r="S28" i="416"/>
  <c r="V28" i="416"/>
  <c r="S29" i="416"/>
  <c r="V29" i="416"/>
  <c r="S30" i="416"/>
  <c r="V30" i="416"/>
  <c r="S31" i="416"/>
  <c r="V31" i="416"/>
  <c r="S32" i="416"/>
  <c r="V32" i="416"/>
  <c r="S33" i="416"/>
  <c r="V33" i="416"/>
  <c r="N34" i="416"/>
  <c r="S34" i="416" s="1"/>
  <c r="O34" i="416"/>
  <c r="P34" i="416"/>
  <c r="Q34" i="416"/>
  <c r="T34" i="416"/>
  <c r="V34" i="4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Informatik</author>
  </authors>
  <commentList>
    <comment ref="H6" authorId="0" shapeId="0" xr:uid="{C356D368-AA12-2C4A-9677-19CC4A5755A5}">
      <text>
        <r>
          <rPr>
            <b/>
            <sz val="8"/>
            <color indexed="81"/>
            <rFont val="Tahoma"/>
            <family val="2"/>
          </rPr>
          <t>Cap / 22.10.01</t>
        </r>
        <r>
          <rPr>
            <sz val="8"/>
            <color indexed="81"/>
            <rFont val="Tahoma"/>
            <family val="2"/>
          </rPr>
          <t xml:space="preserve">
gemäss Auswertung 1999 vom 22.10.01</t>
        </r>
      </text>
    </comment>
  </commentList>
</comments>
</file>

<file path=xl/sharedStrings.xml><?xml version="1.0" encoding="utf-8"?>
<sst xmlns="http://schemas.openxmlformats.org/spreadsheetml/2006/main" count="8013" uniqueCount="2238">
  <si>
    <t>2) Quelle: T 7.03 : Krankentaggeld VVG (BAG). Mit Unfallversicherung.</t>
  </si>
  <si>
    <t>3) Total: die kursiv gedruckten Zahlen wurden vom BSV geschätzt auf der Basis der vom BPV gelieferten Zahlen.</t>
  </si>
  <si>
    <t>4) Quelle: Die privaten Versicherungseinrichtungen in der Schweiz (BPV), detaillierte Fassung der Tabelle AS03N. Für 1996 sind keine Zahlen verfügbar.</t>
  </si>
  <si>
    <t>5) Das BPV konnte die definitiven Werte für 2004 bis zum Redaktionsschluss (15.10.05) nicht liefern.</t>
  </si>
  <si>
    <r>
      <t>Total</t>
    </r>
    <r>
      <rPr>
        <b/>
        <vertAlign val="superscript"/>
        <sz val="11"/>
        <rFont val="Arial"/>
        <family val="2"/>
      </rPr>
      <t xml:space="preserve"> 3</t>
    </r>
  </si>
  <si>
    <r>
      <t xml:space="preserve">VVG </t>
    </r>
    <r>
      <rPr>
        <vertAlign val="superscript"/>
        <sz val="11"/>
        <rFont val="Arial"/>
        <family val="2"/>
      </rPr>
      <t>2</t>
    </r>
  </si>
  <si>
    <r>
      <t xml:space="preserve">VVG </t>
    </r>
    <r>
      <rPr>
        <vertAlign val="superscript"/>
        <sz val="11"/>
        <rFont val="Arial"/>
        <family val="2"/>
      </rPr>
      <t>4</t>
    </r>
  </si>
  <si>
    <r>
      <t xml:space="preserve">KVG </t>
    </r>
    <r>
      <rPr>
        <vertAlign val="superscript"/>
        <sz val="11"/>
        <rFont val="Arial"/>
        <family val="2"/>
      </rPr>
      <t>1</t>
    </r>
  </si>
  <si>
    <r>
      <t xml:space="preserve">(-&gt; 2003: Bundesamt für Privatversicherungen [BPV]. Ohne Unfallversicherung.). </t>
    </r>
    <r>
      <rPr>
        <i/>
        <sz val="10"/>
        <rFont val="Arial"/>
        <family val="2"/>
      </rPr>
      <t>1996: Schätzung BSV.</t>
    </r>
  </si>
  <si>
    <r>
      <t xml:space="preserve">     Der Anteil der Kollektivversicherung (Prämien und Leistungen) umfasst mehr als 90 %. Ohne Unfallversicherung. </t>
    </r>
    <r>
      <rPr>
        <i/>
        <sz val="10"/>
        <rFont val="Arial"/>
        <family val="2"/>
      </rPr>
      <t>1996:  Schätzungen  BSV.</t>
    </r>
  </si>
  <si>
    <t>Grund-</t>
  </si>
  <si>
    <t>2) Die Zusatzversicherungen gemäss VVG der KVG-Versicherer (Krankenkassen) ab 1996 sind nicht in diesen Zahlen inbegriffen.</t>
  </si>
  <si>
    <t>3) Zusatzversicherungen der KVG-Versicherer (Krankenkassen) : ab 1996 gemäss VVG. Mit Unfallversicherung.</t>
  </si>
  <si>
    <t>Quelle: T 7.03 Brutto-Prämien [60-65] und bezahlte Leistungen [30-33] (BAG) - Krankentaggeld VVG (-&gt; 2003: Bundesamt für Privatversicherungen [BPV]).</t>
  </si>
  <si>
    <t>4) Quelle: T 1.02 Brutto-Prämien [60-65] und bezahlte Leistungen [30-33]. Mit Unfallversicherung.</t>
  </si>
  <si>
    <r>
      <t xml:space="preserve">T 9.18  Krankenversicherung </t>
    </r>
    <r>
      <rPr>
        <b/>
        <vertAlign val="superscript"/>
        <sz val="12"/>
        <rFont val="Arial"/>
        <family val="2"/>
      </rPr>
      <t>1</t>
    </r>
    <r>
      <rPr>
        <b/>
        <sz val="12"/>
        <rFont val="Arial"/>
        <family val="2"/>
      </rPr>
      <t xml:space="preserve"> (KVG-Versicherer und Privatversicherer) ab 1996 in Mio. Fr.</t>
    </r>
  </si>
  <si>
    <r>
      <t xml:space="preserve">Privat-versicherer </t>
    </r>
    <r>
      <rPr>
        <b/>
        <vertAlign val="superscript"/>
        <sz val="11"/>
        <rFont val="Arial"/>
        <family val="2"/>
      </rPr>
      <t>2</t>
    </r>
  </si>
  <si>
    <r>
      <t xml:space="preserve">versicherung </t>
    </r>
    <r>
      <rPr>
        <vertAlign val="superscript"/>
        <sz val="10"/>
        <rFont val="Arial"/>
        <family val="2"/>
      </rPr>
      <t>4</t>
    </r>
  </si>
  <si>
    <r>
      <t xml:space="preserve">sicherung </t>
    </r>
    <r>
      <rPr>
        <vertAlign val="superscript"/>
        <sz val="11"/>
        <rFont val="Arial"/>
        <family val="2"/>
      </rPr>
      <t>3</t>
    </r>
  </si>
  <si>
    <r>
      <t xml:space="preserve">1) Krankenpflegeversicherung: Prämien und Leistungen ohne Taggeldversicherung; </t>
    </r>
    <r>
      <rPr>
        <i/>
        <sz val="10"/>
        <rFont val="Arial"/>
        <family val="2"/>
      </rPr>
      <t>1996: Schätzung BSV</t>
    </r>
    <r>
      <rPr>
        <sz val="10"/>
        <rFont val="Arial"/>
        <family val="2"/>
      </rPr>
      <t>.</t>
    </r>
  </si>
  <si>
    <r>
      <t xml:space="preserve">Quelle: T 9.16. </t>
    </r>
    <r>
      <rPr>
        <u/>
        <sz val="10"/>
        <rFont val="Arial"/>
        <family val="2"/>
      </rPr>
      <t>Ohne</t>
    </r>
    <r>
      <rPr>
        <sz val="10"/>
        <rFont val="Arial"/>
        <family val="2"/>
      </rPr>
      <t xml:space="preserve"> Unfallversicherung.</t>
    </r>
  </si>
  <si>
    <t>T 9.11 Versicherte mit einer Spitalzusatzversicherung ab 1996</t>
  </si>
  <si>
    <t xml:space="preserve">   (KVG + Privatversicherer)</t>
  </si>
  <si>
    <t>OKP</t>
  </si>
  <si>
    <t>per 31.12</t>
  </si>
  <si>
    <t>allgemein</t>
  </si>
  <si>
    <t>halbprivat</t>
  </si>
  <si>
    <t>privat</t>
  </si>
  <si>
    <t>ganze CH</t>
  </si>
  <si>
    <t xml:space="preserve">in % von A </t>
  </si>
  <si>
    <t>in % von A</t>
  </si>
  <si>
    <t>1) Quelle: Die privaten Versicherungseinrichtungen in der Schweiz (BPV), detaillierte Fassung der Tabelle AS03N.</t>
  </si>
  <si>
    <t>Versicherungsangebote wie:</t>
  </si>
  <si>
    <t xml:space="preserve">  bzw. Kostenbeteiligung für Halb­privat oder Privat Abteilung wählen können.</t>
  </si>
  <si>
    <t>- Spitalzimmerversicherung für die freie Wahl von Ein- oder Zweibettzimmern in der allgemeinen Spitalabteilung</t>
  </si>
  <si>
    <t>- Taggeldversicherung im Zusammenhang mit Spitalaufenthalten bei denen der Versicherte einen fixen Betrag pro Spitaltag erhält.</t>
  </si>
  <si>
    <t>- Behandlungskostenversicherung bei Spitalaufenthalten mit einem definierten Maximalbetrag pro Jahr.</t>
  </si>
  <si>
    <t>vorläufig der Kategorie allgemeine Abteilung CH ab 2005 zuzuordnen.</t>
  </si>
  <si>
    <t>3) Quelle: T 11.06.</t>
  </si>
  <si>
    <r>
      <t xml:space="preserve"> Privatversicherer </t>
    </r>
    <r>
      <rPr>
        <b/>
        <vertAlign val="superscript"/>
        <sz val="11"/>
        <rFont val="Arial"/>
        <family val="2"/>
      </rPr>
      <t>1</t>
    </r>
  </si>
  <si>
    <r>
      <t xml:space="preserve">(A) </t>
    </r>
    <r>
      <rPr>
        <vertAlign val="superscript"/>
        <sz val="11"/>
        <rFont val="Arial"/>
        <family val="2"/>
      </rPr>
      <t>3</t>
    </r>
  </si>
  <si>
    <t>Belegexemplares an das Bundesamt für Gesundheit, Sektion Statistik und Mathematik gestattet.</t>
  </si>
  <si>
    <t>Verfügbar am:</t>
  </si>
  <si>
    <t>Total</t>
  </si>
  <si>
    <t>Vom Bund anerkannte Versicherungsträger</t>
  </si>
  <si>
    <t xml:space="preserve">Tabellen </t>
  </si>
  <si>
    <t>Teil 1</t>
  </si>
  <si>
    <t>Teil 2</t>
  </si>
  <si>
    <t>Leistungen und Kostenbeteiligung in der OKP</t>
  </si>
  <si>
    <t>Teil 3</t>
  </si>
  <si>
    <t>Prämien in der OKP</t>
  </si>
  <si>
    <t>Teil 4</t>
  </si>
  <si>
    <t>Prämienverbilligung in der OKP</t>
  </si>
  <si>
    <t>Teil 5</t>
  </si>
  <si>
    <t>Aufsichtsdaten OKP</t>
  </si>
  <si>
    <t>Teil 6</t>
  </si>
  <si>
    <t>601-606</t>
  </si>
  <si>
    <t>Freiwillige Taggeldversicherung KVG</t>
  </si>
  <si>
    <t>Teil 7</t>
  </si>
  <si>
    <t>Teil 8</t>
  </si>
  <si>
    <t>Teil 9</t>
  </si>
  <si>
    <t>Zusatzinformationen zum Gesundheitswesen</t>
  </si>
  <si>
    <t>1) Versichertenbestand (nur OKP Versicherer)</t>
  </si>
  <si>
    <t>2) Einnahmen Total (in Mio. Fr.)</t>
  </si>
  <si>
    <t>Prämiensoll, Subventionen und Prämienverbilligungen, Erlösminderungen (Rabatte und Skonti) sowie die übrigen Erträge (Kapital- und Liegenschaftserträge).</t>
  </si>
  <si>
    <t>3) Prämien (in Mio. Fr.)</t>
  </si>
  <si>
    <t>Prämiensoll = Prämiensumme gemäss den genehmigten Prämientarifen.</t>
  </si>
  <si>
    <t>Bezahlte Leistungen = Leistungen der Versicherer an die Leistungserbringer (Ärzte, Spitäler, Apotheken, usw.) nach Abzug der Kostenbeteiligung der Versicherten (Franchise / Selbstbehalt / Tagespauschale im Spital).</t>
  </si>
  <si>
    <t>6A + 6B) Verwaltungsaufwand/Abschreibungen (in % der Ausgaben und pro versicherte Person in Fr.)</t>
  </si>
  <si>
    <t>Personalaufwand inkl. Sozialleistungen, Verwaltungsräumlichkeiten und Betriebseinrichtungen, EDV-Kosten, Versicherungsprämien (Mobiliar, Haftpflicht usw.), Werbung sowie Abschreibungen. Ausgaben = Total des Versicherungs- und Betriebsaufwands.</t>
  </si>
  <si>
    <t>7) Gesamtergebnis (pro versicherte Person in Fr.)</t>
  </si>
  <si>
    <t>Das Gesamtbetriebsergebnis entspricht dem Saldo der Einnahmen (Total des Gesamtertrags) und der Ausgaben (Total des Versicherungs- und Betriebsaufwands).</t>
  </si>
  <si>
    <t>Versicherte</t>
  </si>
  <si>
    <t>Quelle: Formulare EF 1 2 3</t>
  </si>
  <si>
    <t>EF2 Konten 6 + 7 Krankheit + Unfall Seiten 2.2 -&gt; 2.7</t>
  </si>
  <si>
    <t>EF2 Konto 61 Krankheit + Unfall Seiten 2.2 -&gt; 2.7</t>
  </si>
  <si>
    <t>(EF2 Konto 37 Krankheit + Unfall Seiten 2.2 -&gt; 2.7) / [ 2 ]</t>
  </si>
  <si>
    <t>EF2 Konto 30-33 Krankheit + Unfall Seiten 2.2 -&gt; 2.7</t>
  </si>
  <si>
    <t>(EF2 Konten 40-47 + 48 Krankheit + Unfall Seiten 2.2 -&gt; 2.7) / (EF2 Konto 3/4 Krankheit + Unfall Seiten 2.2 -&gt; 2.7) in %</t>
  </si>
  <si>
    <t>(EF2 Konten 40-47 + 48 Krankheit + Unfall Seiten 2.2 -&gt; 2.7) / [ 1 ] in %</t>
  </si>
  <si>
    <t>EF2 Konten Gesamtbetriebsergebnis ohne Position Krankheit + Unfall Seiten 2.2 -&gt; 2.7 / ( [ 1 ] )</t>
  </si>
  <si>
    <t>EF1 Seite 4 Konto 270</t>
  </si>
  <si>
    <t>EF1 Seite 5 Konten 290 + 290.9</t>
  </si>
  <si>
    <t>T 5.02 Erklärungen und Quellen für Aufsichtsdaten OKP (T 5.01)</t>
  </si>
  <si>
    <t>Je nach Grösse des Versicherers müssen folgende Mindestsätze (Reserven in % des jährlichen Prämiensolls) erreicht werden (Art. 78 KVV):</t>
  </si>
  <si>
    <t>KVG-Versicherer, welche eigene VVG-Zusatzversicherungen anbieten.</t>
  </si>
  <si>
    <r>
      <t xml:space="preserve">Minimale Reserve in % </t>
    </r>
    <r>
      <rPr>
        <b/>
        <vertAlign val="superscript"/>
        <sz val="10"/>
        <color indexed="8"/>
        <rFont val="Arial"/>
        <family val="2"/>
      </rPr>
      <t>*</t>
    </r>
  </si>
  <si>
    <t>Zusatzversicherungen VVG der vom BAG anerkannten Krankenversicherer</t>
  </si>
  <si>
    <t>Mutuel Assurances</t>
  </si>
  <si>
    <t>Beilage B</t>
  </si>
  <si>
    <t>11: Versicherte in der OKP</t>
  </si>
  <si>
    <t>Durchschnittlicher Versichertenbestand ab 1996</t>
  </si>
  <si>
    <t>Versichertenbestand ab 1996 per 31.12.</t>
  </si>
  <si>
    <t>Versichertenbestand nach Wohnkanton per 31.12.</t>
  </si>
  <si>
    <t>1) Gemäss Versichertenbestand OKP am Jahresende.</t>
  </si>
  <si>
    <t>Quelle: T 5.01</t>
  </si>
  <si>
    <r>
      <t xml:space="preserve">T 8.02  Anzahl Versicherer OKP nach Grösse </t>
    </r>
    <r>
      <rPr>
        <b/>
        <vertAlign val="superscript"/>
        <sz val="12"/>
        <rFont val="Arial"/>
        <family val="2"/>
      </rPr>
      <t>1</t>
    </r>
    <r>
      <rPr>
        <b/>
        <sz val="12"/>
        <rFont val="Arial"/>
        <family val="2"/>
      </rPr>
      <t xml:space="preserve"> ab 1996</t>
    </r>
  </si>
  <si>
    <t>8.8.06: 8.01 -&gt; 8.12</t>
  </si>
  <si>
    <t>2005: 97,8% / 2004: 97,8% / 2003: 94,8% / 2002: 94,7% / 2001: 92,9% / 2000: 92,2% / 1999: 92,8% / 1998: 93% / 1997: 91,2%</t>
  </si>
  <si>
    <t xml:space="preserve">1) Anzahl Versicherte, die im betrachteten Jahr betrieben wurden sowie das den Betreibungen unterliegende Prämienvolumen, </t>
  </si>
  <si>
    <r>
      <t xml:space="preserve">T 11.18 Zahlungsausstände für OKP-Prämien </t>
    </r>
    <r>
      <rPr>
        <b/>
        <vertAlign val="superscript"/>
        <sz val="12"/>
        <rFont val="Arial"/>
        <family val="2"/>
      </rPr>
      <t>1</t>
    </r>
  </si>
  <si>
    <t>Rückstellungen für unerledigte Versicherungsfälle, welche am Ende des Jahres für diejenigen Leistungen gebildet werden müssen, welche von den Versicherten bereits in Anspruch genommen worden sind, für die sie aber noch keine Rechnungen erhalten haben.</t>
  </si>
  <si>
    <t>Es handelt sich hierbei um geschuldete Leistungen, welche die Versicherer im folgenden Jahr noch zu erbringen haben; sie stellen somit keine Reserven dar.</t>
  </si>
  <si>
    <t xml:space="preserve">Über den Risikoausgleich erhalten Versicherer mit überdurchschnittlich kostenverursachenden Versicherten (Frauen, ältere Personen) Beiträge, </t>
  </si>
  <si>
    <t>3.10</t>
  </si>
  <si>
    <t>Statistik der obligatorischen Krankenversicherung 2005</t>
  </si>
  <si>
    <t>24.4.06:  5.02, 5.04</t>
  </si>
  <si>
    <t>Übergangsschlüssel Tabellen 2004 -&gt; 2005 / 2005 -&gt; 2004</t>
  </si>
  <si>
    <t>Krankenkasse Unitas Binn</t>
  </si>
  <si>
    <t>Krankenkasse der Region Goms</t>
  </si>
  <si>
    <t>Öffentliche Krankenkasse Celerina</t>
  </si>
  <si>
    <t>Kranken und Unfall-Versicherungsverein St. Moritz</t>
  </si>
  <si>
    <t>Progrès</t>
  </si>
  <si>
    <t>Progrès Assurances SA</t>
  </si>
  <si>
    <t>Easy Sana</t>
  </si>
  <si>
    <t>Krankenkasse Color Metal</t>
  </si>
  <si>
    <t>Öffentliche Krankenkasse Winterthur</t>
  </si>
  <si>
    <t>ÖKK Kranken und Unfallversicherungen</t>
  </si>
  <si>
    <t>Krankenkasse Brugg</t>
  </si>
  <si>
    <t>401-411</t>
  </si>
  <si>
    <t>ZH, LU, SZ, ZG, SO, BS, BL, AG, BE</t>
  </si>
  <si>
    <t>Caisse-maladie des chemins de fer du Jura</t>
  </si>
  <si>
    <t>Fondation Natura Assurances.ch</t>
  </si>
  <si>
    <t>Krankenkasse Cervino</t>
  </si>
  <si>
    <t>Futura caisse-maladie et accidents</t>
  </si>
  <si>
    <t>Sana24</t>
  </si>
  <si>
    <t>Arcosana AG</t>
  </si>
  <si>
    <r>
      <t xml:space="preserve">BAG-Liste </t>
    </r>
    <r>
      <rPr>
        <vertAlign val="superscript"/>
        <sz val="10"/>
        <rFont val="Arial"/>
        <family val="2"/>
      </rPr>
      <t>1</t>
    </r>
  </si>
  <si>
    <t>Statistik der obligatorischen Krankenversicherung 2005, Bundesamt für Gesundheit</t>
  </si>
  <si>
    <t xml:space="preserve">BAG-Nr. nur wenn EF1.12A Total  &gt; 0 </t>
  </si>
  <si>
    <t>2) Anzahl Personen in % der mittleren Wohnbevölkerung des Berichtsjahres.</t>
  </si>
  <si>
    <t xml:space="preserve">    Die Quote ist approximativ und mit Vorsicht zu behandeln, weil die Wohnbevölverung (gemäss der Definition des BFS) </t>
  </si>
  <si>
    <t xml:space="preserve">    von der Zahl der OKP-Versicherten abweichen kann, die theoretisch einen Anspruch auf Prämienverbilligung haben könnten.</t>
  </si>
  <si>
    <t>3) Gemäss eidgenössischer Volkszählung 2000.</t>
  </si>
  <si>
    <t>4) Die Zahlen sind nur begrenzt vergleichbar, da</t>
  </si>
  <si>
    <t>- Vergleich der Zahlen dieses Jahres mit den Haushalten von 2000,</t>
  </si>
  <si>
    <t>- unterschiedliche Definition des Begriffes Haushalt.</t>
  </si>
  <si>
    <r>
      <t xml:space="preserve">Mittlere Wohnbevölkerung </t>
    </r>
    <r>
      <rPr>
        <vertAlign val="superscript"/>
        <sz val="11"/>
        <rFont val="Arial"/>
        <family val="2"/>
      </rPr>
      <t>1</t>
    </r>
  </si>
  <si>
    <r>
      <t xml:space="preserve">Bezügerquoten (approximativ) </t>
    </r>
    <r>
      <rPr>
        <vertAlign val="superscript"/>
        <sz val="11"/>
        <rFont val="Arial"/>
        <family val="2"/>
      </rPr>
      <t>2</t>
    </r>
  </si>
  <si>
    <r>
      <t xml:space="preserve">Total </t>
    </r>
    <r>
      <rPr>
        <vertAlign val="superscript"/>
        <sz val="11"/>
        <rFont val="Arial"/>
        <family val="2"/>
      </rPr>
      <t>3</t>
    </r>
  </si>
  <si>
    <r>
      <t xml:space="preserve">in % </t>
    </r>
    <r>
      <rPr>
        <vertAlign val="superscript"/>
        <sz val="11"/>
        <rFont val="Arial"/>
        <family val="2"/>
      </rPr>
      <t>4</t>
    </r>
  </si>
  <si>
    <t xml:space="preserve">T 5.01 Aufsichtsdaten OKP gemäss Art. 31 KVV </t>
  </si>
  <si>
    <t>Name des OKP Versicherers</t>
  </si>
  <si>
    <t>Versicher-</t>
  </si>
  <si>
    <t>Einnahmen</t>
  </si>
  <si>
    <t>Risikoaus–</t>
  </si>
  <si>
    <t>Verwaltungs-</t>
  </si>
  <si>
    <t>Gesamter-</t>
  </si>
  <si>
    <t>Stand der</t>
  </si>
  <si>
    <t>VVG</t>
  </si>
  <si>
    <t>Gesetzlich</t>
  </si>
  <si>
    <t>Höher als die</t>
  </si>
  <si>
    <t>Tiefer als die</t>
  </si>
  <si>
    <t>tenbestand</t>
  </si>
  <si>
    <t>in Mio. Fr.</t>
  </si>
  <si>
    <t>gleich</t>
  </si>
  <si>
    <t>gleich in %</t>
  </si>
  <si>
    <t>des Ver-</t>
  </si>
  <si>
    <t xml:space="preserve">aufwand + </t>
  </si>
  <si>
    <t>gebnis je</t>
  </si>
  <si>
    <t xml:space="preserve"> Rückstel-</t>
  </si>
  <si>
    <t>in % der</t>
  </si>
  <si>
    <t>Zusatzver-</t>
  </si>
  <si>
    <t>vorgeschrie-</t>
  </si>
  <si>
    <t>gesetzlich</t>
  </si>
  <si>
    <t>je versi-</t>
  </si>
  <si>
    <t>der Ein-</t>
  </si>
  <si>
    <t>sicherers</t>
  </si>
  <si>
    <t>Abschrei-</t>
  </si>
  <si>
    <t>versicherte</t>
  </si>
  <si>
    <t>lungen</t>
  </si>
  <si>
    <t>lungen je</t>
  </si>
  <si>
    <t xml:space="preserve"> in Mio. Fr.</t>
  </si>
  <si>
    <t>sicherungen:</t>
  </si>
  <si>
    <t>bene Reserve</t>
  </si>
  <si>
    <t>cherte Per-</t>
  </si>
  <si>
    <t>nahmen</t>
  </si>
  <si>
    <t>bungen</t>
  </si>
  <si>
    <t>bungen je</t>
  </si>
  <si>
    <t xml:space="preserve"> Person</t>
  </si>
  <si>
    <t>son in Fr.</t>
  </si>
  <si>
    <t xml:space="preserve"> in % der </t>
  </si>
  <si>
    <t xml:space="preserve"> in Fr.</t>
  </si>
  <si>
    <t>Person</t>
  </si>
  <si>
    <t>(+) in Mio. Fr.</t>
  </si>
  <si>
    <t>(-) in Mio. Fr.</t>
  </si>
  <si>
    <t>3) Quelle: BFS, Sektion Preise und Verbrauch. Krankenversicherungsprämienindex (KVPI) [Medienmitteilung 11/06].</t>
  </si>
  <si>
    <t>Datenstand: 20.11.06</t>
  </si>
  <si>
    <t>= [ 8A ] / [ 2 ]</t>
  </si>
  <si>
    <t xml:space="preserve">Bestand EF 3.3 Total  </t>
  </si>
  <si>
    <t>= [ 7A ] - [ 8A ]</t>
  </si>
  <si>
    <t>EF3  T 3.7.1</t>
  </si>
  <si>
    <t>= [ 3A ] / [ 2 ] * 100</t>
  </si>
  <si>
    <t>= [ 7B ] - [ 8B ]</t>
  </si>
  <si>
    <t>EF3  T 3.7.2</t>
  </si>
  <si>
    <t>EF2 Konten 40-47 + 48 K+U Seiten 2.2 -&gt; 2.7</t>
  </si>
  <si>
    <t>= [ 10A ] / [ 2 ]</t>
  </si>
  <si>
    <t>EF3  T 3.4</t>
  </si>
  <si>
    <t xml:space="preserve">EF2 Konto Gesamtbetriebsergebnis Krankheit + Unfall Seiten 2.2 -&gt; 2.7 </t>
  </si>
  <si>
    <t>= [ 6A ] / [ 2 ]</t>
  </si>
  <si>
    <t>EF 1.4 Konto 270</t>
  </si>
  <si>
    <t>EF3  T 3.6</t>
  </si>
  <si>
    <t>= [ 12A ] / [ 2 ]</t>
  </si>
  <si>
    <t>= [ 7A ] / [ 2 ]</t>
  </si>
  <si>
    <t>= [ 12A ] / [ 9A ] * 100 in %</t>
  </si>
  <si>
    <t>EF3  T 3.6 / [ 2 ]</t>
  </si>
  <si>
    <t xml:space="preserve">T 4.09 Reduktionsfaktor und Subventionen nach Reduktion nach Kantonen </t>
  </si>
  <si>
    <t>Reduk-</t>
  </si>
  <si>
    <t>Versichertenbestand nach Alter und Geschlecht per 31.12.</t>
  </si>
  <si>
    <t>Versichertenbestand per 31.12 nach Versicherungsform ab 1996</t>
  </si>
  <si>
    <t>Versichertenbestand nach Versicherungsform per 31.12.</t>
  </si>
  <si>
    <t>Verteilung der Versicherungsformen in % - Versicherte ab 19 Jahren seit 1996</t>
  </si>
  <si>
    <t>Verteilung der Versicherungsformen in % nach Kanton - Versicherte ab 19 Jahren</t>
  </si>
  <si>
    <t>Verteilung der Versicherungsformen in % - Versicherte 0-18 Jahre seit 1996</t>
  </si>
  <si>
    <t xml:space="preserve">Verteilung der Versicherungsformen in % nach Kanton - Versicherte 0-18 Jahre </t>
  </si>
  <si>
    <t>Aufteilung der Versicherten (Kinder und Erwachsene) nach Versicherungsform ab 1996</t>
  </si>
  <si>
    <t>Versichertenbestand nach Geschlecht am 1.1.</t>
  </si>
  <si>
    <t>Durchschnittlicher Versichertenbestand KVG nach Geschlecht</t>
  </si>
  <si>
    <t>Durchschnittlicher Versichertenbestand nach Kantonen und Altersgruppen</t>
  </si>
  <si>
    <t>Durchschnittlicher Versichertenbestand nach Altersgruppen und Geschlecht</t>
  </si>
  <si>
    <t xml:space="preserve">Durchschnittlicher Versichertenbestand nach Kantonen </t>
  </si>
  <si>
    <t>Versicherteneintritte / Versicherungswechsler KVG nach Geschlecht</t>
  </si>
  <si>
    <t>Kanton</t>
  </si>
  <si>
    <t>Kinder</t>
  </si>
  <si>
    <t>Männer</t>
  </si>
  <si>
    <t>Frauen</t>
  </si>
  <si>
    <t>Erwach-</t>
  </si>
  <si>
    <t>Kinder und</t>
  </si>
  <si>
    <t>sene</t>
  </si>
  <si>
    <t>Erwachsene</t>
  </si>
  <si>
    <t>ZH</t>
  </si>
  <si>
    <t>BE</t>
  </si>
  <si>
    <t>LU</t>
  </si>
  <si>
    <t>UR</t>
  </si>
  <si>
    <t>SZ</t>
  </si>
  <si>
    <t>OW</t>
  </si>
  <si>
    <t>NW</t>
  </si>
  <si>
    <t>GL</t>
  </si>
  <si>
    <t>ZG</t>
  </si>
  <si>
    <t>FR</t>
  </si>
  <si>
    <t>SO</t>
  </si>
  <si>
    <t>BS</t>
  </si>
  <si>
    <t>BL</t>
  </si>
  <si>
    <t>SH</t>
  </si>
  <si>
    <t>AR</t>
  </si>
  <si>
    <t>AI</t>
  </si>
  <si>
    <t>SG</t>
  </si>
  <si>
    <t>GR</t>
  </si>
  <si>
    <t>AG</t>
  </si>
  <si>
    <t>TG</t>
  </si>
  <si>
    <t>TI</t>
  </si>
  <si>
    <t>VD</t>
  </si>
  <si>
    <t>VS</t>
  </si>
  <si>
    <t>NE</t>
  </si>
  <si>
    <t>GE</t>
  </si>
  <si>
    <t>JU</t>
  </si>
  <si>
    <t>CH</t>
  </si>
  <si>
    <t>Quelle: Statistik des Risikoausgleiches - Gemeinsame Einrichtung KVG</t>
  </si>
  <si>
    <t>1) Durchschnittlicher Versichertenbestand = Anzahl Versicherungsmonate dividiert durch 12.</t>
  </si>
  <si>
    <t>2) Vgl. Fussnote 2) von Tabelle 11.14.</t>
  </si>
  <si>
    <r>
      <t xml:space="preserve">T 11.16  Durchschnittlicher Versichertenbestand </t>
    </r>
    <r>
      <rPr>
        <b/>
        <vertAlign val="superscript"/>
        <sz val="12"/>
        <rFont val="Arial"/>
        <family val="2"/>
      </rPr>
      <t>1, 2</t>
    </r>
    <r>
      <rPr>
        <b/>
        <sz val="12"/>
        <rFont val="Arial"/>
        <family val="2"/>
      </rPr>
      <t xml:space="preserve">  nach Kantonen</t>
    </r>
  </si>
  <si>
    <t>Altersgruppen</t>
  </si>
  <si>
    <t>Männlich</t>
  </si>
  <si>
    <t>in %</t>
  </si>
  <si>
    <t>Weiblich</t>
  </si>
  <si>
    <t>Veränd.</t>
  </si>
  <si>
    <t>des Totals</t>
  </si>
  <si>
    <t>gegenüb.</t>
  </si>
  <si>
    <t>Vorjahr</t>
  </si>
  <si>
    <t>0 - 18</t>
  </si>
  <si>
    <t>19 - 25</t>
  </si>
  <si>
    <t>26 - 30</t>
  </si>
  <si>
    <t>31 - 35</t>
  </si>
  <si>
    <t>36 - 40</t>
  </si>
  <si>
    <t>41 - 45</t>
  </si>
  <si>
    <t>46 - 50</t>
  </si>
  <si>
    <t>51 - 55</t>
  </si>
  <si>
    <t>56 - 60</t>
  </si>
  <si>
    <t>61 - 65</t>
  </si>
  <si>
    <t>66 - 70</t>
  </si>
  <si>
    <t>71 - 75</t>
  </si>
  <si>
    <t>76 - 80</t>
  </si>
  <si>
    <t>81 - 85</t>
  </si>
  <si>
    <t>86 - 90</t>
  </si>
  <si>
    <t>&gt; 90</t>
  </si>
  <si>
    <r>
      <t xml:space="preserve">T 11.15 Durchschnittlicher Versichertenbestand </t>
    </r>
    <r>
      <rPr>
        <b/>
        <vertAlign val="superscript"/>
        <sz val="12"/>
        <rFont val="Arial"/>
        <family val="2"/>
      </rPr>
      <t>1, 2</t>
    </r>
    <r>
      <rPr>
        <b/>
        <sz val="12"/>
        <rFont val="Arial"/>
        <family val="2"/>
      </rPr>
      <t xml:space="preserve">  nach Altersgruppen und Geschlecht</t>
    </r>
  </si>
  <si>
    <t>Junge</t>
  </si>
  <si>
    <t>(0-18 Jahre)</t>
  </si>
  <si>
    <t>(19-25 Jahre)</t>
  </si>
  <si>
    <t>(26 J. und älter)</t>
  </si>
  <si>
    <t xml:space="preserve">2) Mit dem In-Kraft-Treten des Personenfreizügigkeitsabkommens mit den EG-Staaten bzw. dem revidierten EFTA-Abkommen </t>
  </si>
  <si>
    <t>per 1. Juni 2002 wurde die Versicherungspflicht auf einzelne Personengruppen ausgedehnt, welche Wohnsitz in einem EG-Staat haben:</t>
  </si>
  <si>
    <t xml:space="preserve">- Im Risikoausgleich zu berücksichtigen sind: </t>
  </si>
  <si>
    <t>Versicherte mit Arbeitsort in der Schweiz (Grenzgänger) sowie ihre nicht erwerbstätigen Familienangehörigen.</t>
  </si>
  <si>
    <t>- Im Risikoausgleich nicht zu berücksichtigen sind:</t>
  </si>
  <si>
    <t>Empfänger einer schweizerischen Rente und ihre nicht erwerbstätigen Familienangehörigen;</t>
  </si>
  <si>
    <t>30.11.06: 9.04, 9.13, 11.01, 11.04</t>
  </si>
  <si>
    <t>Es sind keine Informationen zu der Einteilung spezieller Versicherungsangebote vorhanden (vgl. Fussnote 2)</t>
  </si>
  <si>
    <t>2) Quelle: Bundesamt für Gesundheit (BAG), Formular EF3 [3.7.3].</t>
  </si>
  <si>
    <t xml:space="preserve">- Flex-Versicherung bei der Versicherte von Fall zu Fall die Abteilung in der sie behandelt werden wollen und die dazu gehörigen Franchise </t>
  </si>
  <si>
    <t>4) Es können nur Versicherte berücksichtigt werden, welche die Zusatzversicherung beim gleichen Versicherer abgeschlossen haben wie die obligatorische Krankenpflegeversicherung.</t>
  </si>
  <si>
    <t>Falls die Zusatzversicherung bei einem anderen Versicherer abgeschlossen ist, fehlt die Information.</t>
  </si>
  <si>
    <t>5) Mit Vorsicht zu interpretieren, Angaben unvollständig, vgl. Bemerkungen 1) &amp; 4).</t>
  </si>
  <si>
    <r>
      <t xml:space="preserve">   KVG-Versicherer </t>
    </r>
    <r>
      <rPr>
        <b/>
        <vertAlign val="superscript"/>
        <sz val="11"/>
        <rFont val="Arial"/>
        <family val="2"/>
      </rPr>
      <t>2, 4</t>
    </r>
  </si>
  <si>
    <r>
      <t xml:space="preserve">   Total der Versicherer </t>
    </r>
    <r>
      <rPr>
        <b/>
        <vertAlign val="superscript"/>
        <sz val="11"/>
        <rFont val="Arial"/>
        <family val="2"/>
      </rPr>
      <t>5</t>
    </r>
  </si>
  <si>
    <t xml:space="preserve">  0 - 5</t>
  </si>
  <si>
    <t xml:space="preserve">  6 - 10</t>
  </si>
  <si>
    <t>11 - 15</t>
  </si>
  <si>
    <t>16 - 18</t>
  </si>
  <si>
    <t>Total 0 - 18</t>
  </si>
  <si>
    <t>19 - 20</t>
  </si>
  <si>
    <t>21 - 25</t>
  </si>
  <si>
    <t>Total 19 - 65</t>
  </si>
  <si>
    <t>91 - 95</t>
  </si>
  <si>
    <t>96 - 100</t>
  </si>
  <si>
    <t>&gt; 100</t>
  </si>
  <si>
    <t>Total 66 u. mehr</t>
  </si>
  <si>
    <t>1) Vgl. Fussnote 3) von Tabelle 11.02.</t>
  </si>
  <si>
    <t>Quelle: Formular EF3 [T 3.1]</t>
  </si>
  <si>
    <r>
      <t xml:space="preserve">T 11.04  Versichertenbestand </t>
    </r>
    <r>
      <rPr>
        <b/>
        <vertAlign val="superscript"/>
        <sz val="12"/>
        <rFont val="Arial"/>
        <family val="2"/>
      </rPr>
      <t>1</t>
    </r>
    <r>
      <rPr>
        <b/>
        <sz val="12"/>
        <rFont val="Arial"/>
        <family val="2"/>
      </rPr>
      <t xml:space="preserve">  nach Alter und Geschlecht per 31.12.</t>
    </r>
  </si>
  <si>
    <t>T 11.06  Versichertenbestand nach Versicherungsform per 31.12.</t>
  </si>
  <si>
    <t>Versicherungsform</t>
  </si>
  <si>
    <t>Ordentliche Jahresfranchise</t>
  </si>
  <si>
    <t>Wählbare Jahresfranchisen</t>
  </si>
  <si>
    <t>BONUS-Versicherung</t>
  </si>
  <si>
    <t>Eingeschränkte Wahl (z.B. HMO)</t>
  </si>
  <si>
    <t>Quelle: Formular EF3 [T3.3]</t>
  </si>
  <si>
    <t>T 11.05 Versichertenbestand per 31.12. nach Versicherungsform ab 1996</t>
  </si>
  <si>
    <t xml:space="preserve">Jahr </t>
  </si>
  <si>
    <t>Ordentliche</t>
  </si>
  <si>
    <t>Wählbare</t>
  </si>
  <si>
    <t>BONUS-</t>
  </si>
  <si>
    <t>Einge-</t>
  </si>
  <si>
    <t xml:space="preserve">  Jahres-</t>
  </si>
  <si>
    <t xml:space="preserve"> Jahres-</t>
  </si>
  <si>
    <t>Versiche-</t>
  </si>
  <si>
    <t>schränk-</t>
  </si>
  <si>
    <t>franchise</t>
  </si>
  <si>
    <t>franchisen</t>
  </si>
  <si>
    <t>rung</t>
  </si>
  <si>
    <t>te Wahl</t>
  </si>
  <si>
    <t xml:space="preserve"> (z.B. HMO)</t>
  </si>
  <si>
    <t>Quelle: T 11.06</t>
  </si>
  <si>
    <t>T 11.13 Durchschnittlicher Versichertenbestand, gemäss Art. 29 KVV, für die obligatorische Krankenpflegeversicherung</t>
  </si>
  <si>
    <t>Alter</t>
  </si>
  <si>
    <t>Anteil in %</t>
  </si>
  <si>
    <t>am Total</t>
  </si>
  <si>
    <t>Junge Erwachsene</t>
  </si>
  <si>
    <t>davon gestorben</t>
  </si>
  <si>
    <t>1) Versichertenbestand per 31.12: siehe T 11.02.</t>
  </si>
  <si>
    <t xml:space="preserve">    Durchschnittsbestand = Stand aller Monate zusammengezählt und geteilt durch 12.</t>
  </si>
  <si>
    <t>2) Betriebsrechnung: siehe T 1.07.</t>
  </si>
  <si>
    <t>3) GrenzgängerInnen, sowie ihre nichterwerbstätigen Familienangehörigen (Versicherte gemäss Art. 3 KVV).</t>
  </si>
  <si>
    <t>Quelle: A: Formular EF3 [T 3.8.1 &amp; 3.8.4] / B: Formular EF1 [1.12 D] / C: Formular EF1 [1.12 E]</t>
  </si>
  <si>
    <r>
      <t xml:space="preserve">A. KVG-Versicherte mit Wohnsitz in der Schweiz und schweizerischer Prämie (inkl. Versicherte gemäss Art. 4 und 5 KVV) </t>
    </r>
    <r>
      <rPr>
        <b/>
        <vertAlign val="superscript"/>
        <sz val="12"/>
        <rFont val="55 Helvetica Roman"/>
      </rPr>
      <t>1</t>
    </r>
  </si>
  <si>
    <r>
      <t xml:space="preserve">B. KVG-Versicherte mit Wohnsitz in einem EG-Staat, in Island oder in Norwegen, inklusive GrenzgängerInnen </t>
    </r>
    <r>
      <rPr>
        <b/>
        <vertAlign val="superscript"/>
        <sz val="12"/>
        <rFont val="Arial"/>
        <family val="2"/>
      </rPr>
      <t>2</t>
    </r>
  </si>
  <si>
    <r>
      <t xml:space="preserve">C. KVG-Versicherte mit Wohnsitz in einem EG-Staat, in Island oder in Norwegen, nur GrenzgängerInnen </t>
    </r>
    <r>
      <rPr>
        <b/>
        <vertAlign val="superscript"/>
        <sz val="12"/>
        <rFont val="Arial"/>
        <family val="2"/>
      </rPr>
      <t>3</t>
    </r>
  </si>
  <si>
    <t>Versichertenbestand KVG, Personen mit Wohnsitz in der Schweiz und schweizerischer Prämie (inkl. Versicherte gemäss Art. 4 und 5 KVV)</t>
  </si>
  <si>
    <t>Quelle: Formular EF3 [T 3.8.2]</t>
  </si>
  <si>
    <t xml:space="preserve">T 11.17  Versicherteneintritte / Versicherungswechsler KVG nach Geschlecht </t>
  </si>
  <si>
    <t xml:space="preserve">In % am </t>
  </si>
  <si>
    <t>durchschnittlichen</t>
  </si>
  <si>
    <t>Versichertenbestand</t>
  </si>
  <si>
    <t>davon Neugeborene</t>
  </si>
  <si>
    <t>Quelle: Formular EF3 [3.8.3] + T 11.13</t>
  </si>
  <si>
    <t>T 11.11 Verteilung der Versicherten (Kinder und Erwachsene) nach Versicherungsform ab 1996</t>
  </si>
  <si>
    <t>Quelle: T 11.05</t>
  </si>
  <si>
    <t>1) Durchschnittlicher Versichertenbestand : Stand aller Monate zusammengezählt und geteilt durch 12.</t>
  </si>
  <si>
    <t>10: Risikoausgleich in der OKP</t>
  </si>
  <si>
    <t>Risikoausgleich: Nettozahler und Nettoempfänger ab 1996</t>
  </si>
  <si>
    <t>9: Zusatzinformationen zum Gesundheitswesen</t>
  </si>
  <si>
    <t>Kosten des Gesundheitswesens in der Schweiz aus der Sicht der sozialen Sicherheit ab 1996</t>
  </si>
  <si>
    <t>Kosten des Gesundheitswesens in der Schweiz nach Direktzahler ab 1996</t>
  </si>
  <si>
    <t>Kosten des Gesundheitswesens in der Schweiz nach Leistungserbringer ab 1996</t>
  </si>
  <si>
    <r>
      <t xml:space="preserve">     unabhängig davon, ob die Prämien schlussendlich durch das Betreibungsverfahren eingebracht werden konnten. </t>
    </r>
    <r>
      <rPr>
        <b/>
        <sz val="10"/>
        <rFont val="Arial"/>
        <family val="2"/>
      </rPr>
      <t>Unvollständige Daten.</t>
    </r>
  </si>
  <si>
    <t>Zahlungsausstände für OKP-Prämien</t>
  </si>
  <si>
    <t>Bezahlte Leistungen je versicherte Person nach Versicherungsform ab 1996</t>
  </si>
  <si>
    <t xml:space="preserve">Leistungen (brutto) in Fr. nach Versicherungsform </t>
  </si>
  <si>
    <t xml:space="preserve">Leistungen (brutto) in Fr. je versicherte Person nach Versicherungsform </t>
  </si>
  <si>
    <t>Kantonale bezahlte Leistungen pro Versicherten pro Jahr in Franken ab 1996</t>
  </si>
  <si>
    <t>Finanzen und obligatorische Krankenpflegeversicherung (OKP)</t>
  </si>
  <si>
    <t>T 2.19  Leistungen (brutto) in Franken je versicherte Person nach Kostengruppen</t>
  </si>
  <si>
    <t>Kostengruppen</t>
  </si>
  <si>
    <t>Arzt ambulant</t>
  </si>
  <si>
    <t>Spital ambulant</t>
  </si>
  <si>
    <t>Medikamente Arzt</t>
  </si>
  <si>
    <t>Medikamente Apotheke</t>
  </si>
  <si>
    <t>Spitex</t>
  </si>
  <si>
    <t>Physiotherapie</t>
  </si>
  <si>
    <t>Labor</t>
  </si>
  <si>
    <t>Chiropraktik</t>
  </si>
  <si>
    <t>Mittel und Gegenstände</t>
  </si>
  <si>
    <t>Komplementärmedizin</t>
  </si>
  <si>
    <t>Übrige Leistungen ambulant</t>
  </si>
  <si>
    <t>Leistungen Total</t>
  </si>
  <si>
    <t>davon Leistungen Mutterschaft</t>
  </si>
  <si>
    <t>1) Sofern keine Aufteilung nach den anderen aufgeführten Kostengruppen möglich ist.</t>
  </si>
  <si>
    <t>10.10.06: 9.01 -&gt; 9.05</t>
  </si>
  <si>
    <t>2) Der Sozialschutz umfasst alle Maßnahmen öffentlicher oder privater Stellen, die darauf abzielen, Haushalte</t>
  </si>
  <si>
    <t xml:space="preserve">    oder Einzelne vor bestimmten festgelegten Risiken zu schützen.</t>
  </si>
  <si>
    <t xml:space="preserve">3) Für die Definition der für die Schweiz ausgewiesenen Leistungen siehe </t>
  </si>
  <si>
    <r>
      <t>Schweiz</t>
    </r>
    <r>
      <rPr>
        <b/>
        <vertAlign val="superscript"/>
        <sz val="11"/>
        <rFont val="Arial"/>
        <family val="2"/>
      </rPr>
      <t xml:space="preserve"> 3</t>
    </r>
  </si>
  <si>
    <r>
      <t>T 9.20  Sozial</t>
    </r>
    <r>
      <rPr>
        <b/>
        <sz val="12"/>
        <color indexed="10"/>
        <rFont val="Arial"/>
        <family val="2"/>
      </rPr>
      <t>schutz</t>
    </r>
    <r>
      <rPr>
        <b/>
        <sz val="12"/>
        <rFont val="Arial"/>
        <family val="2"/>
      </rPr>
      <t xml:space="preserve">leistungen für die Gesundheitsversorgung </t>
    </r>
    <r>
      <rPr>
        <b/>
        <vertAlign val="superscript"/>
        <sz val="12"/>
        <rFont val="Arial"/>
        <family val="2"/>
      </rPr>
      <t>2</t>
    </r>
    <r>
      <rPr>
        <b/>
        <sz val="12"/>
        <rFont val="Arial"/>
        <family val="2"/>
      </rPr>
      <t xml:space="preserve"> : Internationaler Vergleich in % des BIP ab 1996</t>
    </r>
  </si>
  <si>
    <r>
      <t xml:space="preserve">T 2.13 Kostenbeteiligung  </t>
    </r>
    <r>
      <rPr>
        <b/>
        <vertAlign val="superscript"/>
        <sz val="12"/>
        <rFont val="Arial"/>
        <family val="2"/>
      </rPr>
      <t>1</t>
    </r>
    <r>
      <rPr>
        <b/>
        <sz val="12"/>
        <rFont val="Arial"/>
        <family val="2"/>
      </rPr>
      <t xml:space="preserve">  pro Versicherten pro Jahr nach Kantonen und Altersgruppen</t>
    </r>
  </si>
  <si>
    <t>17.8.06: 2.09-&gt;2.13</t>
  </si>
  <si>
    <t>E 03</t>
  </si>
  <si>
    <t>E 04</t>
  </si>
  <si>
    <t>E 05</t>
  </si>
  <si>
    <t>E 06</t>
  </si>
  <si>
    <t>E 07</t>
  </si>
  <si>
    <t>E 08</t>
  </si>
  <si>
    <t>E 09</t>
  </si>
  <si>
    <t>E 10</t>
  </si>
  <si>
    <t>E 11</t>
  </si>
  <si>
    <t>F 01</t>
  </si>
  <si>
    <t>F 02</t>
  </si>
  <si>
    <t>F 03</t>
  </si>
  <si>
    <t>F 04</t>
  </si>
  <si>
    <t>G 01</t>
  </si>
  <si>
    <t>H 01</t>
  </si>
  <si>
    <t>G 02 A</t>
  </si>
  <si>
    <t>H 02 A</t>
  </si>
  <si>
    <t>G 02 B</t>
  </si>
  <si>
    <t>H 02 B</t>
  </si>
  <si>
    <t>G 03</t>
  </si>
  <si>
    <t>H 03</t>
  </si>
  <si>
    <t>G 04 A</t>
  </si>
  <si>
    <t>und nach Prämienregionen. Die Tarife der Versicherungsmodelle mit wählbarer Franchise, Bonus oder eingeschränkter Wahl des</t>
  </si>
  <si>
    <t xml:space="preserve">Leistungserbringers wurden hier nicht berücksichtigt. </t>
  </si>
  <si>
    <t>2)  Die Werte für 1996 wurden revidiert. Diese Werte beziehen sich auf das KVG-Einführungsjahr</t>
  </si>
  <si>
    <t>und sind infolge teilweise unvollständiger Daten mit Zurückhaltung zu interpretieren.</t>
  </si>
  <si>
    <t>3) Die Werte für 1996 wurden revidiert. Sie wurden mittels der Veränderungen 1996/97 der Durchschnittsprämien der Erwachsenen geschätzt.</t>
  </si>
  <si>
    <t>Bis zum Jahr 2000 gab es nur reduzierte Prämien für junge Erwachsene, welche noch in Ausbildung waren. Mit dem Weglassen</t>
  </si>
  <si>
    <t>der Bedingung "in Ausbildung" in 2001 kamen deutlich mehr Personen, welche vorher eine Erwachsenenprämie bezahlen mussten,</t>
  </si>
  <si>
    <t>in den Genuss einer reduzierten Prämie. Als Folge hiervon musste die reduzierte Prämie relativ stark auf 2001 hin erhöht werden.</t>
  </si>
  <si>
    <t>4) Die Werte für 1996 wurden revidiert. Sie wurden mittels der Veränderungen 1996/97 der Durchschnittsprämien der Erwachsenen geschätzt.</t>
  </si>
  <si>
    <r>
      <t xml:space="preserve">(26 J. und älter) </t>
    </r>
    <r>
      <rPr>
        <vertAlign val="superscript"/>
        <sz val="11"/>
        <rFont val="Arial"/>
        <family val="2"/>
      </rPr>
      <t>2</t>
    </r>
  </si>
  <si>
    <r>
      <t xml:space="preserve">(0-18 Jahre) </t>
    </r>
    <r>
      <rPr>
        <vertAlign val="superscript"/>
        <sz val="11"/>
        <rFont val="Arial"/>
        <family val="2"/>
      </rPr>
      <t>4</t>
    </r>
  </si>
  <si>
    <r>
      <t xml:space="preserve">(19-25 Jahre) </t>
    </r>
    <r>
      <rPr>
        <vertAlign val="superscript"/>
        <sz val="11"/>
        <rFont val="Arial"/>
        <family val="2"/>
      </rPr>
      <t>3</t>
    </r>
  </si>
  <si>
    <r>
      <t xml:space="preserve">1) Ausgewiesen wird die </t>
    </r>
    <r>
      <rPr>
        <b/>
        <sz val="10"/>
        <rFont val="Arial"/>
        <family val="2"/>
      </rPr>
      <t>geschätzte</t>
    </r>
    <r>
      <rPr>
        <sz val="10"/>
        <rFont val="Arial"/>
        <family val="2"/>
      </rPr>
      <t xml:space="preserve"> monatliche Durchschnittsprämie </t>
    </r>
    <r>
      <rPr>
        <b/>
        <sz val="10"/>
        <rFont val="Arial"/>
        <family val="2"/>
      </rPr>
      <t>OKP</t>
    </r>
    <r>
      <rPr>
        <sz val="10"/>
        <rFont val="Arial"/>
        <family val="2"/>
      </rPr>
      <t xml:space="preserve"> in Franken; die Berechnungen beruhen auf den Prämientarifen</t>
    </r>
  </si>
  <si>
    <r>
      <t xml:space="preserve"> </t>
    </r>
    <r>
      <rPr>
        <b/>
        <sz val="10"/>
        <rFont val="Arial"/>
        <family val="2"/>
      </rPr>
      <t>inklusive Unfalldeckung der ordentlichen Franchise</t>
    </r>
    <r>
      <rPr>
        <sz val="10"/>
        <rFont val="Arial"/>
        <family val="2"/>
      </rPr>
      <t xml:space="preserve"> und auf den Versichertenbeständen nach Kantonen, nach Versicherer </t>
    </r>
  </si>
  <si>
    <r>
      <t xml:space="preserve">T 3.05  Verteilung der kantonalen monatlichen Durchschnittsprämien </t>
    </r>
    <r>
      <rPr>
        <b/>
        <vertAlign val="superscript"/>
        <sz val="12"/>
        <rFont val="Arial"/>
        <family val="2"/>
      </rPr>
      <t>1</t>
    </r>
  </si>
  <si>
    <r>
      <t xml:space="preserve">T 3.06  Verteilung der kantonalen monatlichen Durchschnittsprämien </t>
    </r>
    <r>
      <rPr>
        <b/>
        <vertAlign val="superscript"/>
        <sz val="12"/>
        <rFont val="Arial"/>
        <family val="2"/>
      </rPr>
      <t>1</t>
    </r>
  </si>
  <si>
    <r>
      <t>T 3.07 Verteilung der kantonalen monatlichen Durchschnittsprämien</t>
    </r>
    <r>
      <rPr>
        <b/>
        <vertAlign val="superscript"/>
        <sz val="12"/>
        <rFont val="Arial"/>
        <family val="2"/>
      </rPr>
      <t xml:space="preserve"> 1</t>
    </r>
  </si>
  <si>
    <r>
      <t xml:space="preserve">T 3.08 Kantonale Durchschnittsprämien </t>
    </r>
    <r>
      <rPr>
        <b/>
        <vertAlign val="superscript"/>
        <sz val="12"/>
        <rFont val="Arial"/>
        <family val="2"/>
      </rPr>
      <t xml:space="preserve">1 </t>
    </r>
    <r>
      <rPr>
        <b/>
        <sz val="12"/>
        <rFont val="Arial"/>
        <family val="2"/>
      </rPr>
      <t xml:space="preserve"> pro Versicherten pro Jahr in Franken ab 1996</t>
    </r>
  </si>
  <si>
    <t>T 3.09  Prämiensoll in Franken nach Versicherungsform ab 1996</t>
  </si>
  <si>
    <t>Quelle: T 3.10</t>
  </si>
  <si>
    <t>Quelle: T 3.11</t>
  </si>
  <si>
    <t xml:space="preserve">T 3.10  Prämiensoll in Franken nach Versicherungsform </t>
  </si>
  <si>
    <t>T 3.11  Prämiensoll in Franken je versicherte Person nach Versicherungsform</t>
  </si>
  <si>
    <t>Quelle: T 3.10 / T 11.06</t>
  </si>
  <si>
    <t>R1</t>
  </si>
  <si>
    <t>R2</t>
  </si>
  <si>
    <t>R3</t>
  </si>
  <si>
    <t>RU</t>
  </si>
  <si>
    <t>Jahresdurch-</t>
  </si>
  <si>
    <t>schnittliche</t>
  </si>
  <si>
    <t>Veränderung</t>
  </si>
  <si>
    <t>1997 - 2007</t>
  </si>
  <si>
    <t>2) Die Krankenkassen dürfen innerhalb eines Kantons bis zu drei unterschiedliche Regionaltarife anwenden (R1, R2, R3).</t>
  </si>
  <si>
    <t>KVG</t>
  </si>
  <si>
    <t>1) Im Jahr 1996-97: ordentliche Jahresfranchise: 150.- ; wählbare Jahresfranchisen: 300.-  600.-  1200.-  1500.-</t>
  </si>
  <si>
    <t xml:space="preserve">    Im Jahr 1998-2003: ordentliche Jahresfranchise: 230.- ; wählbare Jahresfranchisen: 400.-  600.-  1200.-  1500.-</t>
  </si>
  <si>
    <t xml:space="preserve">    Im Jahr 2004: ordentliche Jahresfranchise: 300.- ; wählbare Jahresfranchisen: 400.-  600.-  1200.-  1500.-</t>
  </si>
  <si>
    <t xml:space="preserve">    Im Jahr 2005: ordentliche Jahresfranchise: 300.- ; wählbare Jahresfranchisen: 500.-  1000.-  1500.-  2000.- 2500.-</t>
  </si>
  <si>
    <t>Quelle: 1996 : T 11.06  ; 1997- : T 11.08</t>
  </si>
  <si>
    <r>
      <t>T 11.07 Verteilung der Versicherungsformen</t>
    </r>
    <r>
      <rPr>
        <b/>
        <vertAlign val="superscript"/>
        <sz val="12"/>
        <rFont val="Arial"/>
        <family val="2"/>
      </rPr>
      <t xml:space="preserve"> </t>
    </r>
    <r>
      <rPr>
        <b/>
        <sz val="12"/>
        <rFont val="Arial"/>
        <family val="2"/>
      </rPr>
      <t>in % - Versicherte ab 19 Jahren ab 1996</t>
    </r>
  </si>
  <si>
    <t>1000 Fr.</t>
  </si>
  <si>
    <t>1500 Fr.</t>
  </si>
  <si>
    <t>2000 Fr.</t>
  </si>
  <si>
    <t>2500 Fr.</t>
  </si>
  <si>
    <t xml:space="preserve">Datenstand: 16.5.06 </t>
  </si>
  <si>
    <t>texte de base pour T 11.07 11.09 et 11.10</t>
  </si>
  <si>
    <t>Quelle: DATENPOOL santésuisse / Auswertung BAG / Abdeckungsgrad der Erhebung 2005: CH 97,8% ; Kantone: 94,4% - 100,0%</t>
  </si>
  <si>
    <r>
      <t xml:space="preserve">T 11.08 Verteilung der Versicherungsformen in % nach Kanton - Versicherte ab 19 Jahren </t>
    </r>
    <r>
      <rPr>
        <b/>
        <vertAlign val="superscript"/>
        <sz val="12"/>
        <rFont val="Arial"/>
        <family val="2"/>
      </rPr>
      <t>1</t>
    </r>
  </si>
  <si>
    <t>Leistungen (brutto)  je versicherte Person nach Versicherungsform ab 1996</t>
  </si>
  <si>
    <t>Leistungen (brutto)  nach Kostengruppen ab 1996</t>
  </si>
  <si>
    <t xml:space="preserve">Leistungen (brutto) nach Kostengruppen </t>
  </si>
  <si>
    <r>
      <t xml:space="preserve">1) Basis des Indexes der Konsumentenpreise: Mai 2000 = 100. </t>
    </r>
    <r>
      <rPr>
        <sz val="10"/>
        <color indexed="10"/>
        <rFont val="Arial"/>
        <family val="2"/>
      </rPr>
      <t>Indizes neu berechnet</t>
    </r>
    <r>
      <rPr>
        <sz val="10"/>
        <rFont val="Arial"/>
        <family val="2"/>
      </rPr>
      <t xml:space="preserve"> auf der Basis Jahresdurchschnitt 1996 = 100.</t>
    </r>
  </si>
  <si>
    <t>27.10.06: 9.11, 9.16 -&gt; 9.18</t>
  </si>
  <si>
    <t>20.10.06: 9.12, 9.14, 9.19 -&gt; 9.21</t>
  </si>
  <si>
    <t>T 9.22 Erkrankte, Spitaleinweisungen und Spitaltage ab 1996</t>
  </si>
  <si>
    <t>T 9.14 Index der Krankenpflegekosten, der Krankenversicherungsausgaben der Versicherten sowie der Löhne ab 1996</t>
  </si>
  <si>
    <t>Pflege-</t>
  </si>
  <si>
    <t>Gesundheits-</t>
  </si>
  <si>
    <t>Krankenver-</t>
  </si>
  <si>
    <t>OKP-</t>
  </si>
  <si>
    <t>Kosten-</t>
  </si>
  <si>
    <t>BFS-Lohn-</t>
  </si>
  <si>
    <t>kosten-</t>
  </si>
  <si>
    <t>wesen Kosten-</t>
  </si>
  <si>
    <t>sicherung-</t>
  </si>
  <si>
    <t>beteiligung</t>
  </si>
  <si>
    <t>index</t>
  </si>
  <si>
    <t>ausgaben</t>
  </si>
  <si>
    <t>(nominal)</t>
  </si>
  <si>
    <t>Pflegekostenindex OKP</t>
  </si>
  <si>
    <t>BFS–Lohnindex</t>
  </si>
  <si>
    <t>1) Quelle: T 2.15. Entwicklung der Leistungen pro Versicherte(n) (erfasst mit der Kostenbeteiligung der Versicherten).</t>
  </si>
  <si>
    <t>3) Quelle: T 9.21. OKP Ausgaben = Prämien + Kostenbeteiligung.</t>
  </si>
  <si>
    <t>4) Quelle: T 2.02.</t>
  </si>
  <si>
    <t>5) Quelle: BFS, Sektion Löhne und Arbeitsbedingungen.</t>
  </si>
  <si>
    <t>6) Quelle: T 3.12. Entwicklung pro versicherte Person für alle Versicherungsmodelle.</t>
  </si>
  <si>
    <r>
      <t xml:space="preserve">index </t>
    </r>
    <r>
      <rPr>
        <vertAlign val="superscript"/>
        <sz val="11"/>
        <rFont val="Arial"/>
        <family val="2"/>
      </rPr>
      <t>5</t>
    </r>
  </si>
  <si>
    <r>
      <t xml:space="preserve">index </t>
    </r>
    <r>
      <rPr>
        <vertAlign val="superscript"/>
        <sz val="11"/>
        <rFont val="Arial"/>
        <family val="2"/>
      </rPr>
      <t>2</t>
    </r>
  </si>
  <si>
    <r>
      <t xml:space="preserve">OKP </t>
    </r>
    <r>
      <rPr>
        <vertAlign val="superscript"/>
        <sz val="11"/>
        <rFont val="Arial"/>
        <family val="2"/>
      </rPr>
      <t>1</t>
    </r>
  </si>
  <si>
    <r>
      <t xml:space="preserve">OKP Index </t>
    </r>
    <r>
      <rPr>
        <vertAlign val="superscript"/>
        <sz val="11"/>
        <rFont val="Arial"/>
        <family val="2"/>
      </rPr>
      <t>3</t>
    </r>
  </si>
  <si>
    <r>
      <t xml:space="preserve">Index </t>
    </r>
    <r>
      <rPr>
        <vertAlign val="superscript"/>
        <sz val="11"/>
        <rFont val="Arial"/>
        <family val="2"/>
      </rPr>
      <t>6</t>
    </r>
  </si>
  <si>
    <r>
      <t xml:space="preserve">Index </t>
    </r>
    <r>
      <rPr>
        <vertAlign val="superscript"/>
        <sz val="11"/>
        <rFont val="Arial"/>
        <family val="2"/>
      </rPr>
      <t>4</t>
    </r>
  </si>
  <si>
    <r>
      <t xml:space="preserve">2) Quelle: T 9.05. Entwicklung pro Einwohner. </t>
    </r>
    <r>
      <rPr>
        <i/>
        <sz val="10"/>
        <rFont val="Arial"/>
        <family val="2"/>
      </rPr>
      <t>2005: Schätzung [ BFS, Medienmitteilung 3/06].</t>
    </r>
  </si>
  <si>
    <t xml:space="preserve"> an die Versicherten für die Prämienverbilligung); Kostenbeteiligung; "Out of pocket"; Andere private Finanzierung.</t>
  </si>
  <si>
    <t>4) Schätzung BFS [Medienmitteilung 3/06].</t>
  </si>
  <si>
    <r>
      <t xml:space="preserve">Staat </t>
    </r>
    <r>
      <rPr>
        <vertAlign val="superscript"/>
        <sz val="11"/>
        <rFont val="Arial"/>
        <family val="2"/>
      </rPr>
      <t>1</t>
    </r>
  </si>
  <si>
    <r>
      <t xml:space="preserve">nehmungen </t>
    </r>
    <r>
      <rPr>
        <vertAlign val="superscript"/>
        <sz val="11"/>
        <rFont val="Arial"/>
        <family val="2"/>
      </rPr>
      <t>2</t>
    </r>
  </si>
  <si>
    <r>
      <t xml:space="preserve">Haushalte </t>
    </r>
    <r>
      <rPr>
        <vertAlign val="superscript"/>
        <sz val="11"/>
        <rFont val="Arial"/>
        <family val="2"/>
      </rPr>
      <t>3</t>
    </r>
  </si>
  <si>
    <r>
      <t xml:space="preserve">2005 </t>
    </r>
    <r>
      <rPr>
        <i/>
        <vertAlign val="superscript"/>
        <sz val="11"/>
        <rFont val="Arial"/>
        <family val="2"/>
      </rPr>
      <t>4</t>
    </r>
  </si>
  <si>
    <r>
      <t xml:space="preserve">2006 </t>
    </r>
    <r>
      <rPr>
        <i/>
        <vertAlign val="superscript"/>
        <sz val="11"/>
        <rFont val="Arial"/>
        <family val="2"/>
      </rPr>
      <t>4</t>
    </r>
  </si>
  <si>
    <r>
      <t xml:space="preserve">2007 </t>
    </r>
    <r>
      <rPr>
        <i/>
        <vertAlign val="superscript"/>
        <sz val="11"/>
        <rFont val="Arial"/>
        <family val="2"/>
      </rPr>
      <t>4</t>
    </r>
  </si>
  <si>
    <t>T 9.04  Kosten des Gesundheitswesens in der Schweiz nach Leistungen in Mio. Fr. ab 1996</t>
  </si>
  <si>
    <t>Stationäre</t>
  </si>
  <si>
    <t>Verkauf</t>
  </si>
  <si>
    <t>Verwaltung</t>
  </si>
  <si>
    <t>und</t>
  </si>
  <si>
    <t>Gesund-</t>
  </si>
  <si>
    <t>teilstationäre</t>
  </si>
  <si>
    <t>1) Akutbehandlung Inkl. Psychiatrie; Rehabilitation; Lagzeit; Andere.</t>
  </si>
  <si>
    <t>2) Medizinische Laboruntersuchungen (in medizinischen Labors); Radiologie; Transport und Rettung; Andere.</t>
  </si>
  <si>
    <t>3) Arzneimittel durch Detailhandel; Arzneimittel durch Ärzte; Therapeutische Apparate.</t>
  </si>
  <si>
    <t>4) Alkohol- und Drogenmissbrauch; Schulgesundheit, usw.</t>
  </si>
  <si>
    <t>5) Schätzung BFS [Medienmitteilung 3/06].</t>
  </si>
  <si>
    <r>
      <t xml:space="preserve">Prävention </t>
    </r>
    <r>
      <rPr>
        <vertAlign val="superscript"/>
        <sz val="11"/>
        <rFont val="Arial"/>
        <family val="2"/>
      </rPr>
      <t>4</t>
    </r>
  </si>
  <si>
    <r>
      <t xml:space="preserve">Leistungen </t>
    </r>
    <r>
      <rPr>
        <vertAlign val="superscript"/>
        <sz val="11"/>
        <rFont val="Arial"/>
        <family val="2"/>
      </rPr>
      <t>2</t>
    </r>
  </si>
  <si>
    <r>
      <t xml:space="preserve">heitsgüter </t>
    </r>
    <r>
      <rPr>
        <vertAlign val="superscript"/>
        <sz val="11"/>
        <rFont val="Arial"/>
        <family val="2"/>
      </rPr>
      <t>3</t>
    </r>
  </si>
  <si>
    <r>
      <t xml:space="preserve">Behandlung </t>
    </r>
    <r>
      <rPr>
        <vertAlign val="superscript"/>
        <sz val="11"/>
        <rFont val="Arial"/>
        <family val="2"/>
      </rPr>
      <t>1</t>
    </r>
  </si>
  <si>
    <r>
      <t xml:space="preserve">2004 </t>
    </r>
    <r>
      <rPr>
        <i/>
        <vertAlign val="superscript"/>
        <sz val="11"/>
        <rFont val="Arial"/>
        <family val="2"/>
      </rPr>
      <t>5</t>
    </r>
  </si>
  <si>
    <t>T 9.03  Kosten des Gesundheitswesens in der Schweiz nach Leistungserbringer in Mio. Fr. ab 1996</t>
  </si>
  <si>
    <t>Sozialme-</t>
  </si>
  <si>
    <t>Detail-</t>
  </si>
  <si>
    <t>Organisati-</t>
  </si>
  <si>
    <t>Total </t>
  </si>
  <si>
    <t>dizinische</t>
  </si>
  <si>
    <t>Versor-</t>
  </si>
  <si>
    <t>onen ohne</t>
  </si>
  <si>
    <t>Institu-</t>
  </si>
  <si>
    <t>Erwerbs-</t>
  </si>
  <si>
    <t>charakter</t>
  </si>
  <si>
    <t>1) Allgemeine Krankenhäuser; Psychiatrische Kliniken; Rehabilitationskliniken; andere Spezialkliniken.</t>
  </si>
  <si>
    <t>2) Institutionen für Betagte und Chronischkranke; Institutionen für Behinderte und andere Institutionen.</t>
  </si>
  <si>
    <r>
      <t xml:space="preserve">Korrigierte Tabellen :      </t>
    </r>
    <r>
      <rPr>
        <sz val="11"/>
        <color indexed="10"/>
        <rFont val="55 Helvetica Roman"/>
      </rPr>
      <t>(Korrekturen in roter Farbe)</t>
    </r>
    <r>
      <rPr>
        <sz val="11"/>
        <rFont val="55 Helvetica Roman"/>
      </rPr>
      <t xml:space="preserve">  </t>
    </r>
    <r>
      <rPr>
        <b/>
        <sz val="11"/>
        <rFont val="55 Helvetica Roman"/>
      </rPr>
      <t xml:space="preserve">   </t>
    </r>
    <r>
      <rPr>
        <b/>
        <sz val="11"/>
        <color indexed="9"/>
        <rFont val="55 Helvetica Roman"/>
      </rPr>
      <t xml:space="preserve">     (gegenüber PDF Version und der gedruckten Version) :</t>
    </r>
  </si>
  <si>
    <t>Anzahl Bezüger nach Geschlecht und Kantonen</t>
  </si>
  <si>
    <t>Anzahl Bezüger nach Geschlecht und Altersgruppen</t>
  </si>
  <si>
    <t>T 4.02 Anzahl Bezüger nach Geschlecht und Kantonen</t>
  </si>
  <si>
    <t>T 4.03 Anzahl Bezüger nach Geschlecht und Altersgruppen</t>
  </si>
  <si>
    <t>Betriebsrechnung der obligatorischen Krankenpflegeversicherung Personen mit Wohnsitz in einem EG-Staat</t>
  </si>
  <si>
    <t>Gesamtbetriebsergebnis  nach Versicherungsform ab 1996</t>
  </si>
  <si>
    <t>Gesamtbetriebsergebnis  je versicherte Person nach Versicherungsform ab 1996</t>
  </si>
  <si>
    <t>Verwaltungsaufwand / Abschreibungen  nach Versicherungsform ab 1996</t>
  </si>
  <si>
    <t xml:space="preserve">Verwaltungsaufwand / Abschreibungen  je versicherte Person nach Versicherungsform ab 1996 </t>
  </si>
  <si>
    <t>Stand der Reserven per 31.12. ab 1996</t>
  </si>
  <si>
    <t xml:space="preserve">Stand der Rückstellungen per 31.12. für unerledigte Versicherungsfälle ab 1996 </t>
  </si>
  <si>
    <t>1) Siehe Fussnote 1) in T 1.02</t>
  </si>
  <si>
    <t>Quelle: Formular EF2 [ 2.2 ]</t>
  </si>
  <si>
    <r>
      <t xml:space="preserve">T 1.03  Betriebsrechnung der Versicherung </t>
    </r>
    <r>
      <rPr>
        <b/>
        <vertAlign val="superscript"/>
        <sz val="12"/>
        <rFont val="Arial"/>
        <family val="2"/>
      </rPr>
      <t>1</t>
    </r>
    <r>
      <rPr>
        <b/>
        <sz val="12"/>
        <rFont val="Arial"/>
        <family val="2"/>
      </rPr>
      <t xml:space="preserve">  mit ordentlicher Franchise </t>
    </r>
  </si>
  <si>
    <t>Quelle: Formular EF2 [ 2.3]</t>
  </si>
  <si>
    <r>
      <t xml:space="preserve">T 1.04  Betriebsrechnung der Versicherungen </t>
    </r>
    <r>
      <rPr>
        <b/>
        <vertAlign val="superscript"/>
        <sz val="12"/>
        <rFont val="Arial"/>
        <family val="2"/>
      </rPr>
      <t>1</t>
    </r>
    <r>
      <rPr>
        <b/>
        <sz val="12"/>
        <rFont val="Arial"/>
        <family val="2"/>
      </rPr>
      <t xml:space="preserve">  mit wählbarer Franchise </t>
    </r>
  </si>
  <si>
    <t>Quelle: Formular EF2 [ 2.4]</t>
  </si>
  <si>
    <r>
      <t xml:space="preserve">T 1.05  Betriebsrechnung der BONUS-Versicherung </t>
    </r>
    <r>
      <rPr>
        <b/>
        <vertAlign val="superscript"/>
        <sz val="12"/>
        <rFont val="Arial"/>
        <family val="2"/>
      </rPr>
      <t>1</t>
    </r>
  </si>
  <si>
    <t>Quelle: Formular EF2 [Summe 2.5 bis 2.7]</t>
  </si>
  <si>
    <r>
      <t xml:space="preserve">T 1.06  Betriebsrechnung der Versicherungen </t>
    </r>
    <r>
      <rPr>
        <b/>
        <vertAlign val="superscript"/>
        <sz val="12"/>
        <rFont val="Arial"/>
        <family val="2"/>
      </rPr>
      <t>1</t>
    </r>
    <r>
      <rPr>
        <b/>
        <sz val="12"/>
        <rFont val="Arial"/>
        <family val="2"/>
      </rPr>
      <t xml:space="preserve">  mit eingeschränkter Wahl des Leistungserbringers </t>
    </r>
  </si>
  <si>
    <t xml:space="preserve">Prämien für Effektivkosten </t>
  </si>
  <si>
    <t xml:space="preserve">Prämien für Pauschalkosten </t>
  </si>
  <si>
    <t>Leistungen (Effektivkosten)</t>
  </si>
  <si>
    <t>Leistungen (Pauschalkosten)</t>
  </si>
  <si>
    <t>Rückstellungen für Pauschalkosten</t>
  </si>
  <si>
    <t>(in Millionen Fanken, Höher als die gesetzliche vorgeschriebene Reserve, Tiefer als die gesetzliche vorgeschriebene Reserve)</t>
  </si>
  <si>
    <t>Siehe auch 9A.</t>
  </si>
  <si>
    <t>Versicherer: EF1.12A Total wenn &gt; 0 / Total: Bestand am 31.12.</t>
  </si>
  <si>
    <t>4A</t>
  </si>
  <si>
    <t>6.10.06: 1.01, 3.01 -&gt; 3.12</t>
  </si>
  <si>
    <t>6.10.06: T3d, Bd, 3.12</t>
  </si>
  <si>
    <t>3.08</t>
  </si>
  <si>
    <t>1.11</t>
  </si>
  <si>
    <t>1.10</t>
  </si>
  <si>
    <t>für junge Erwachsene (19 -25 Jahre) in Franken für 2007</t>
  </si>
  <si>
    <t>der Versicherten sind oberhalb dieser Prämie</t>
  </si>
  <si>
    <t>Quelle: Genehmigungsverfahren für Krankenversicherungsprämien, BAG.</t>
  </si>
  <si>
    <t>4) Aufwand der Krankenversicherung (Betrag der Zahlungen der Krankenversicherung an das Gesundheitswesen, abzüglich Beiträge</t>
  </si>
  <si>
    <t xml:space="preserve">    an die Versicherten für die Prämienverbilligung); Kostenbeteiligungen; "Out of pocket".</t>
  </si>
  <si>
    <t>Quelle: Kosten des Gesundheitswesens 1995-2000 &amp; Kosten und Finanzierung des Gesundheitswesens 2001/02/03/04, BFS</t>
  </si>
  <si>
    <r>
      <t xml:space="preserve">Sicherheit </t>
    </r>
    <r>
      <rPr>
        <vertAlign val="superscript"/>
        <sz val="11"/>
        <rFont val="Arial"/>
        <family val="2"/>
      </rPr>
      <t>3</t>
    </r>
  </si>
  <si>
    <t>Datenstand: 16.10.06</t>
  </si>
  <si>
    <t>Quelle: Kosten des Gesundheitswesens 1995-2000 &amp; Kosten und Finanzierung des Gesundheitswesens 2001/02/03/04, BFS &amp; T 9.10.</t>
  </si>
  <si>
    <t>und Betriebsauf-</t>
  </si>
  <si>
    <t>wand</t>
  </si>
  <si>
    <t>wands</t>
  </si>
  <si>
    <t>Quelle: T 1.03, 1.04, 1.05, 1.06 [4] &amp; 1.02 [3/4]</t>
  </si>
  <si>
    <t>Datenstand: 18.7.06</t>
  </si>
  <si>
    <t>4.8.06: 1.02 -&gt; 1.11</t>
  </si>
  <si>
    <t>31.5.07: 4.07</t>
  </si>
  <si>
    <t>1) Vgl. Fussnote 1) von Tabelle 3.01.</t>
  </si>
  <si>
    <t>Schätzung basierend auf den Prämien 2007 und der Aufteilung der Versicherten 2005.</t>
  </si>
  <si>
    <t>für junge Erwachsene (19 - 25 Jahre) in Franken für 2007</t>
  </si>
  <si>
    <t>Datenstand: 29.9.06</t>
  </si>
  <si>
    <t>für Kinder (0 - 18 Jahre) in Franken für 2007</t>
  </si>
  <si>
    <t>für Erwachsene (26 Jahre und mehr) in Franken für 2007</t>
  </si>
  <si>
    <t>Krankenkasse Gondo/Zwischbergen</t>
  </si>
  <si>
    <t>Wincare Versicherungen</t>
  </si>
  <si>
    <t>AVANTIS-Assureur maladie</t>
  </si>
  <si>
    <t>Caisse-maladie de la vallée d'Entremont</t>
  </si>
  <si>
    <t>Krankenkasse für die Mitglieder des Institutes Ingenbohl</t>
  </si>
  <si>
    <t>Krankenkasse Turbenthal</t>
  </si>
  <si>
    <t>AUXILIA Assurance-maladie</t>
  </si>
  <si>
    <t>Caisse-maladie de Troistorrents</t>
  </si>
  <si>
    <t>Stiftung Krankenkasse Wädenswil</t>
  </si>
  <si>
    <t>Betriebskrankenkasse Birchmeier</t>
  </si>
  <si>
    <t>kmu-Krankenversicherung</t>
  </si>
  <si>
    <t>Krankenkasse Stoffel</t>
  </si>
  <si>
    <t>Krankenkasse Simplon</t>
  </si>
  <si>
    <t>SWICA Krankenversicherung</t>
  </si>
  <si>
    <t>Galenos Kranken- und Unfallversicherung</t>
  </si>
  <si>
    <t>ÖKK Öffentliche Krankenkasse Schweiz</t>
  </si>
  <si>
    <t>Betriebskrankenkasse Heerbrugg</t>
  </si>
  <si>
    <t>Allgemeine Krankenkasse Brugg</t>
  </si>
  <si>
    <t>Fondation AMB</t>
  </si>
  <si>
    <t>Sanitas Grundversicherungen AG</t>
  </si>
  <si>
    <t>Caisse de maladie de la Société suisse des hôteliers</t>
  </si>
  <si>
    <t>Intras - Caisse Maladie</t>
  </si>
  <si>
    <t>Caisse maladie-accident Philos</t>
  </si>
  <si>
    <t>Assura, assurance maladie et accident</t>
  </si>
  <si>
    <t>Caisse-maladie et accidents Universa</t>
  </si>
  <si>
    <t>aerosana versicherungen</t>
  </si>
  <si>
    <t>Visana</t>
  </si>
  <si>
    <t>Agrisano</t>
  </si>
  <si>
    <t>Helsana Versicherungen AG</t>
  </si>
  <si>
    <t>innova Krankenversicherung AG</t>
  </si>
  <si>
    <t>avanex Versicherungen AG</t>
  </si>
  <si>
    <t>sansan Versicherungen AG</t>
  </si>
  <si>
    <t>Die Eidgenössische Gesundheitskasse</t>
  </si>
  <si>
    <t>Caisse-maladie du personnel de la Ville de Neuchâtel</t>
  </si>
  <si>
    <t>Taggeldkasse bildende KünstlerInnen</t>
  </si>
  <si>
    <t>Gewerbliche Krankenkasse Bern</t>
  </si>
  <si>
    <t>Krankenkasse Schweizerischer Metallbaufirmen</t>
  </si>
  <si>
    <t>KrankengeldVersicherung der fenaco</t>
  </si>
  <si>
    <t>1) Mit Versicherten, die dem Versicherungsobligatorium unterstehen und in einem EU- oder EFTA-Staat Wohnsitz haben (EWG);</t>
  </si>
  <si>
    <t>[T 1.02 + T 1.07].</t>
  </si>
  <si>
    <t xml:space="preserve">2) Jene Zusatzversicherungen VVG, welche auch unternehmensrechtlich vom KVG-Bereich eines Versicherers abgetrennt werden, </t>
  </si>
  <si>
    <t>entziehen sich der Sicht der BAG-Krankenversicherungsstatistik.</t>
  </si>
  <si>
    <t>Quelle: Formular EF1 [6,7]</t>
  </si>
  <si>
    <r>
      <t xml:space="preserve">Obligatorische Krankenpflegeversicherung KVG </t>
    </r>
    <r>
      <rPr>
        <vertAlign val="superscript"/>
        <sz val="11"/>
        <rFont val="Arial"/>
        <family val="2"/>
      </rPr>
      <t>1</t>
    </r>
  </si>
  <si>
    <r>
      <t xml:space="preserve">Zusatzversicherungen VVG, inkl. Taggeld VVG </t>
    </r>
    <r>
      <rPr>
        <vertAlign val="superscript"/>
        <sz val="11"/>
        <rFont val="Arial"/>
        <family val="2"/>
      </rPr>
      <t>2</t>
    </r>
  </si>
  <si>
    <t xml:space="preserve">T 8.05 Gesamtbetriebsrechnung: Ertrag der Versicherer </t>
  </si>
  <si>
    <t>– Taggeld</t>
  </si>
  <si>
    <t>– Überschussbeteiligung auf Kollektivversicherung Taggeld</t>
  </si>
  <si>
    <t>60 – 63</t>
  </si>
  <si>
    <t>Prämiensoll</t>
  </si>
  <si>
    <t>Erlösminderungen auf Prämien</t>
  </si>
  <si>
    <t>Andere Prämienanteile</t>
  </si>
  <si>
    <t>60 – 65</t>
  </si>
  <si>
    <t>Prämienanteile der Rückversicherer</t>
  </si>
  <si>
    <t>60 – 66</t>
  </si>
  <si>
    <t>Prämienverbilligung und sonstige Beiträge / Subventionen</t>
  </si>
  <si>
    <t>– Beiträge zur Prämienverbilligung (Art. 65 KVG)</t>
  </si>
  <si>
    <t>– Beiträge anderer Institutionen z.G. der Versicherten</t>
  </si>
  <si>
    <t>– Beiträge z.G. des Versicheres</t>
  </si>
  <si>
    <t>– Beiträge an Insolvenzfonds</t>
  </si>
  <si>
    <t>Prämienermässigung an Versicherte</t>
  </si>
  <si>
    <t>67 – 68</t>
  </si>
  <si>
    <t>Eigene Subventionen und Beiträge</t>
  </si>
  <si>
    <t>Liegenschaftsrechnung</t>
  </si>
  <si>
    <t>– Liegenschaftsergebnis</t>
  </si>
  <si>
    <t>Neutraler Aufwand und Ertrag</t>
  </si>
  <si>
    <t>– Kapitalertrag</t>
  </si>
  <si>
    <t>– Kapitalaufwand</t>
  </si>
  <si>
    <t>– Wertberichtigung auf Wertschriften</t>
  </si>
  <si>
    <t>– Nicht rückzuerstattende Abgabeerträge VOC und HEL</t>
  </si>
  <si>
    <t>– Übriger neutraler Aufwand und Ertrag</t>
  </si>
  <si>
    <t>Datenstand: 16.10.2007</t>
  </si>
  <si>
    <t>16.10.07: 3.03, 3.04</t>
  </si>
  <si>
    <r>
      <t>T 2.15  Leistungen (brutto</t>
    </r>
    <r>
      <rPr>
        <b/>
        <sz val="12"/>
        <rFont val="Arial"/>
        <family val="2"/>
      </rPr>
      <t>) in Franken je versicherte Person nach Versicherungsform ab 1996</t>
    </r>
  </si>
  <si>
    <t>25.9.06: T2d,Bd,2.02,2.15,2.21</t>
  </si>
  <si>
    <t>201-223</t>
  </si>
  <si>
    <t>25.8.06: T4d, Bd</t>
  </si>
  <si>
    <r>
      <t xml:space="preserve">T 2.05  Bruttokosten </t>
    </r>
    <r>
      <rPr>
        <b/>
        <vertAlign val="superscript"/>
        <sz val="12"/>
        <rFont val="Arial"/>
        <family val="2"/>
      </rPr>
      <t xml:space="preserve">1 </t>
    </r>
    <r>
      <rPr>
        <b/>
        <sz val="12"/>
        <rFont val="Arial"/>
        <family val="2"/>
      </rPr>
      <t xml:space="preserve"> in Fr. pro Versicherten pro Versicherungsmonat nach Kantonen</t>
    </r>
  </si>
  <si>
    <r>
      <t xml:space="preserve">1) Bruttokosten = Leistungen (brutto) der Versicherer in der OKP </t>
    </r>
    <r>
      <rPr>
        <b/>
        <sz val="10"/>
        <rFont val="Arial"/>
        <family val="2"/>
      </rPr>
      <t>mit</t>
    </r>
    <r>
      <rPr>
        <sz val="10"/>
        <rFont val="Arial"/>
        <family val="2"/>
      </rPr>
      <t xml:space="preserve"> Kostenbeteiligung durch die Versicherten.</t>
    </r>
  </si>
  <si>
    <r>
      <t xml:space="preserve">T 2.06  Bruttokosten </t>
    </r>
    <r>
      <rPr>
        <b/>
        <vertAlign val="superscript"/>
        <sz val="12"/>
        <rFont val="Arial"/>
        <family val="2"/>
      </rPr>
      <t>1</t>
    </r>
    <r>
      <rPr>
        <b/>
        <sz val="12"/>
        <rFont val="Arial"/>
        <family val="2"/>
      </rPr>
      <t xml:space="preserve">  in Fr. pro Versicherten pro Versicherungsmonat nach Altersgruppen und Geschlecht</t>
    </r>
  </si>
  <si>
    <t>Quelle: T 2.07 / T 11.16</t>
  </si>
  <si>
    <r>
      <t xml:space="preserve">T 2.08  Effektive Kosten </t>
    </r>
    <r>
      <rPr>
        <b/>
        <vertAlign val="superscript"/>
        <sz val="12"/>
        <rFont val="Arial"/>
        <family val="2"/>
      </rPr>
      <t>1</t>
    </r>
    <r>
      <rPr>
        <b/>
        <sz val="12"/>
        <rFont val="Arial"/>
        <family val="2"/>
      </rPr>
      <t xml:space="preserve">  in Fr. pro Versicherten pro Versicherungsmonat nach Kantonen</t>
    </r>
  </si>
  <si>
    <r>
      <t xml:space="preserve">1) Effektive Kosten = (bezahlte) Leistungen der Versicherer in der OKP </t>
    </r>
    <r>
      <rPr>
        <b/>
        <sz val="10"/>
        <rFont val="Arial"/>
        <family val="2"/>
      </rPr>
      <t>ohne</t>
    </r>
    <r>
      <rPr>
        <sz val="10"/>
        <rFont val="Arial"/>
        <family val="2"/>
      </rPr>
      <t xml:space="preserve"> Kostenbeteiligung durch die Versicherten.</t>
    </r>
  </si>
  <si>
    <t>Datenstand: 3.7.06</t>
  </si>
  <si>
    <t>16.8.06: 10.01-&gt;10.03, 2.04-&gt;2.08</t>
  </si>
  <si>
    <r>
      <t xml:space="preserve">10) VVG Zusatzversicherungen : </t>
    </r>
    <r>
      <rPr>
        <b/>
        <sz val="10"/>
        <color indexed="10"/>
        <rFont val="Arial"/>
        <family val="2"/>
      </rPr>
      <t>Prämien (in Mio. Fr.)</t>
    </r>
  </si>
  <si>
    <t>Quelle: Formular EF1 [1.12 A]</t>
  </si>
  <si>
    <r>
      <t xml:space="preserve">T 11.01 Durchschnittlicher Versichertenbestand </t>
    </r>
    <r>
      <rPr>
        <b/>
        <vertAlign val="superscript"/>
        <sz val="12"/>
        <rFont val="Arial"/>
        <family val="2"/>
      </rPr>
      <t xml:space="preserve">1  </t>
    </r>
    <r>
      <rPr>
        <b/>
        <sz val="12"/>
        <rFont val="Arial"/>
        <family val="2"/>
      </rPr>
      <t>ab 1996</t>
    </r>
  </si>
  <si>
    <t>Datenstand : 18.7.06</t>
  </si>
  <si>
    <t>T 11.12 Versichertenbestand KVG nach Geschlecht  am 1.1.2006</t>
  </si>
  <si>
    <t/>
  </si>
  <si>
    <t>Kontengruppen</t>
  </si>
  <si>
    <t>Krankheit</t>
  </si>
  <si>
    <t>Unfall</t>
  </si>
  <si>
    <t>in Fr.</t>
  </si>
  <si>
    <t>Prämien</t>
  </si>
  <si>
    <t>Erlösminderungen für Prämien (-)</t>
  </si>
  <si>
    <t>Andere Beitragsanteile</t>
  </si>
  <si>
    <t>60-65</t>
  </si>
  <si>
    <t>Brutto-Prämien</t>
  </si>
  <si>
    <t>Prämienanteile der Rückversicherer (-)</t>
  </si>
  <si>
    <t>60-66</t>
  </si>
  <si>
    <t>Eigene Versicherungsprämien</t>
  </si>
  <si>
    <t>Prämienverbilligung / sonstige Beiträge</t>
  </si>
  <si>
    <t>Prämienermässigung an Versicherte (-)</t>
  </si>
  <si>
    <t>Sonstige Betriebserträge</t>
  </si>
  <si>
    <t>Quelle: EFV - Bundes- und Kantonsbeiträge : Verteilungsmodell für das Jahr 2005.</t>
  </si>
  <si>
    <t>1) vgl. Art. 66 Abs. 3 KVG: "Der Bundesrat setzt die Anteile der einzelnen Kantone am Bundesbeitrag nach deren Wohnbevöl-</t>
  </si>
  <si>
    <t>kerung und deren Finanzkraft fest. Er kann die durchschnittlichen Prämien der obligatorischen Krankenpflegeversicherung in</t>
  </si>
  <si>
    <t>den einzelnen Kantonen berücksichtigen".</t>
  </si>
  <si>
    <t>2) inklusive versicherte Grenzgänger und deren Familienangehörige.</t>
  </si>
  <si>
    <t>3) Prämien-Index ist seit 2002 nicht mehr berücksichtigt.</t>
  </si>
  <si>
    <t>4)  Relativer Anteil des Kantonsbeitrages am Bundesbeitrag (vgl. Fussnote 1).</t>
  </si>
  <si>
    <t>5) Maximaler Subventionsbetrag von Bund und Kantonen gemäss KVG-Verteilmodell (vgl. Art. 106 KVG).</t>
  </si>
  <si>
    <r>
      <t xml:space="preserve">T 4.08 KVG-Verteilmodell </t>
    </r>
    <r>
      <rPr>
        <b/>
        <vertAlign val="superscript"/>
        <sz val="12"/>
        <rFont val="Arial"/>
        <family val="2"/>
      </rPr>
      <t>1</t>
    </r>
    <r>
      <rPr>
        <b/>
        <sz val="12"/>
        <rFont val="Arial"/>
        <family val="2"/>
      </rPr>
      <t xml:space="preserve"> : Berechnungsbasis sowie Bundes- und Kantonsbeiträge </t>
    </r>
  </si>
  <si>
    <r>
      <t xml:space="preserve">index KV </t>
    </r>
    <r>
      <rPr>
        <vertAlign val="superscript"/>
        <sz val="11"/>
        <rFont val="Arial"/>
        <family val="2"/>
      </rPr>
      <t>3</t>
    </r>
  </si>
  <si>
    <t>Leistungen (31.1 + 31.2)</t>
  </si>
  <si>
    <t>Kostenbeteiligung der Versicherten (32)    (-)</t>
  </si>
  <si>
    <t>Bezahlte Leistungen (30-33)</t>
  </si>
  <si>
    <t>1) Ohne Liechstenstein. Versichertenbestand : siehe T 11.13.</t>
  </si>
  <si>
    <t>2) GrenzgängerInnen, sowie ihre nichterwerbstätigen Familienangehörigen (Versicherte gemäss Art. 3 KVV).</t>
  </si>
  <si>
    <t>Quelle: Formular EF2 [T.E] &amp; EF1 [1.12]</t>
  </si>
  <si>
    <t>2) Schätzungen : alle Kostengruppen sind nicht verfügbar.</t>
  </si>
  <si>
    <t>Quelle: T 2.16 / 11.06</t>
  </si>
  <si>
    <r>
      <t xml:space="preserve">T 2.18  Leistungen (brutto) in Franken je versicherte Person nach Kostengruppen ab 1996 </t>
    </r>
    <r>
      <rPr>
        <b/>
        <vertAlign val="superscript"/>
        <sz val="12"/>
        <rFont val="Arial"/>
        <family val="2"/>
      </rPr>
      <t>1</t>
    </r>
  </si>
  <si>
    <t>die resp. der Entnahme von den Fonds und Reserven.</t>
  </si>
  <si>
    <t>Quelle:  T 8.05 [6/7]; T 8.06 [3/4]; T 8.06 [800-801] - T 8.05 [800-801]</t>
  </si>
  <si>
    <r>
      <t xml:space="preserve">ergebnis </t>
    </r>
    <r>
      <rPr>
        <vertAlign val="superscript"/>
        <sz val="11"/>
        <rFont val="Arial"/>
        <family val="2"/>
      </rPr>
      <t>2</t>
    </r>
  </si>
  <si>
    <t>7.8.06: 2.01,2.14,2.15,2.17,2.19-&gt;2.23,3.04,3.16,3.17</t>
  </si>
  <si>
    <t>8: Gesamtgeschäft der vom BAG anerkannten Krankenversicherer</t>
  </si>
  <si>
    <t>Anzahl Versicherer ab 1996</t>
  </si>
  <si>
    <t>Anzahl Versicherer OKP nach Grösse ab 1996</t>
  </si>
  <si>
    <t>Stellen- und Personalbestand der Versicherer ab 1996</t>
  </si>
  <si>
    <t>Ertrag, Aufwand und Ergebnis der Versicherer ab 1996</t>
  </si>
  <si>
    <t>Gesamtbetriebsrechnung: Ertrag der Versicherer</t>
  </si>
  <si>
    <t xml:space="preserve">Gesamtbetriebsrechnung: Aufwand der Versicherer </t>
  </si>
  <si>
    <t>Aktiven und Passiven der Versicherer ab 1996</t>
  </si>
  <si>
    <t xml:space="preserve">Eigenkapital und Eigenkapitalquote der Versicherer ab 1996 </t>
  </si>
  <si>
    <t>Bilanz: Aktiven der Versicherer per 31.12.</t>
  </si>
  <si>
    <t>Bilanz: Passiven der Versicherer per 31.12.</t>
  </si>
  <si>
    <t>Aufstellung über Kapitalanlagen, Grundstücke und Gebäude per 31.12.</t>
  </si>
  <si>
    <t>Ergebnisverteilung per 31.12.</t>
  </si>
  <si>
    <t>T 8.12  Ergebnisverteilung per 31.12.</t>
  </si>
  <si>
    <t>Betrag</t>
  </si>
  <si>
    <t>Gesamtbetriebsrechnung:</t>
  </si>
  <si>
    <t>Vorschlag</t>
  </si>
  <si>
    <t>Rückschlag</t>
  </si>
  <si>
    <t>Zuweisungen</t>
  </si>
  <si>
    <t xml:space="preserve">Entnahmen </t>
  </si>
  <si>
    <t>Fonds:</t>
  </si>
  <si>
    <t>Reglementierte Fonds</t>
  </si>
  <si>
    <t>Immobilien</t>
  </si>
  <si>
    <t>EDV-Projekte</t>
  </si>
  <si>
    <t>Eigenkapital:</t>
  </si>
  <si>
    <t xml:space="preserve">Reserven Oblig. Krankenpflegeversicherung (ohne Kto. 290.5) </t>
  </si>
  <si>
    <t>Reserven Oblig. Krankenpflegeversicherung EG und EFTA (ohne Liechtenstein)</t>
  </si>
  <si>
    <t>Reserven Freiw.Taggeldversicherung KVG</t>
  </si>
  <si>
    <t xml:space="preserve">Reserven Aktive Rückversicherung nach KVG </t>
  </si>
  <si>
    <t>Zusatzversicherung VVG, inkl. Taggeld VVG</t>
  </si>
  <si>
    <t>Quelle: Formular EF1 [10]</t>
  </si>
  <si>
    <t>T 8.11  Aufstellung über Kapitalanlagen, Grundstücke und Gebäude per 31.12.</t>
  </si>
  <si>
    <t>Anteile</t>
  </si>
  <si>
    <t xml:space="preserve">Kapitalanlagen </t>
  </si>
  <si>
    <t>Kapitalanlagen nach Art. 80 KVV</t>
  </si>
  <si>
    <t>Anlagen bei öffentlich-rechtlichen Körperschaften und bei Banken und Sparkassen</t>
  </si>
  <si>
    <t>Wertpapiere und andere an der Börse kotierte Anlagen</t>
  </si>
  <si>
    <t xml:space="preserve">Anlagen in grundpfandgesicherten Darlehen </t>
  </si>
  <si>
    <t>Anlagen und Guthaben von Betriebskrankenkassen im eigenen Betrieb</t>
  </si>
  <si>
    <t>Anlagen bei Institutionen, die der Durchführung der sozialen Krankenversicherung dienen</t>
  </si>
  <si>
    <t xml:space="preserve">Sonstige Wertschriften </t>
  </si>
  <si>
    <t>Wertberichtigung Kapitalanlagen</t>
  </si>
  <si>
    <t>11.8.06: 5.02, 5.04</t>
  </si>
  <si>
    <t>Kapitalanlagen  - Gesamttotal</t>
  </si>
  <si>
    <t>Grundstücke und Gebäude</t>
  </si>
  <si>
    <t xml:space="preserve">Grundstücke </t>
  </si>
  <si>
    <t>Gebäude für Verwaltungszwecke</t>
  </si>
  <si>
    <t>Gebäude für Wohn- und Geschäftszwecke</t>
  </si>
  <si>
    <t>1) Anschaffungswert = Buchwert</t>
  </si>
  <si>
    <t>Quelle: Formular EF1 [11]</t>
  </si>
  <si>
    <t>T 8.10  Bilanz: Passiven der Versicherer per 31.12.</t>
  </si>
  <si>
    <t>Fremdkapital</t>
  </si>
  <si>
    <t>Verbindlichkeiten aus Versicherungsleistungen</t>
  </si>
  <si>
    <t>Verbindlichkeiten bei Versicherten (ohne Konto.215)</t>
  </si>
  <si>
    <t>Noch zur Verrechnung gelangende Abgabeerträge VOC und HEL</t>
  </si>
  <si>
    <t>Verbindlichkeiten bei Partnern</t>
  </si>
  <si>
    <t>Verbindlichkeiten bei Rückversicherern</t>
  </si>
  <si>
    <t>Verbindlichkeiten bei der Gemeinsamen Einrichtung KVG</t>
  </si>
  <si>
    <t>Verbindlichkeiten bei anderen Versicherern</t>
  </si>
  <si>
    <t>Übrige Verbindlichkeiten und passive Rechnungsabgrenzung</t>
  </si>
  <si>
    <t>Rückstellung für unerledigte Versicherungsfälle, Risikoausgleich, nicht versicherungstechn. Rückstellungen, Rücklagen aus Fusionen</t>
  </si>
  <si>
    <t xml:space="preserve">Oblig. Krankenpflegevers. (ohne Kto. 270.2 und 270.3)  </t>
  </si>
  <si>
    <t>Nicht versicherungstechnische Rückstellungen KVG</t>
  </si>
  <si>
    <t>Oblig. Krankenpflegevers. (effektive Kosten gemäss Verordnung (EWG) Nr. 574/72 Art. 93)</t>
  </si>
  <si>
    <t>Oblig. Krankenpflegevers. (Pauschalkosten gem. Verordnung (EWG) Nr. 574/72 Art. 94 und 95)</t>
  </si>
  <si>
    <t>– Freiwillige Taggeldversicherung nach KVG</t>
  </si>
  <si>
    <t>– Aktive Rückversicherung</t>
  </si>
  <si>
    <t>– Zusatzversicherungen inkl. Taggeld VVG</t>
  </si>
  <si>
    <t>– Nicht versicherungstechnische Rückstellungen VVG</t>
  </si>
  <si>
    <t>– Risikoausgleich</t>
  </si>
  <si>
    <t>– Zweckgebundene Rücklagen aus Fusionen</t>
  </si>
  <si>
    <t>Fonds und Eigenkapital</t>
  </si>
  <si>
    <t>Fonds</t>
  </si>
  <si>
    <t>– Reglementierte Fonds</t>
  </si>
  <si>
    <t>– Immobilien (Renovationen, Umbauten)</t>
  </si>
  <si>
    <t>– EDV-Projekte</t>
  </si>
  <si>
    <t>Eigenkapital</t>
  </si>
  <si>
    <t xml:space="preserve">Reserven Oblig. Krankenpflegeversicherung (ohne Konto 290.5) </t>
  </si>
  <si>
    <t>Aktienkapital</t>
  </si>
  <si>
    <t>– Reserven Taggeldversicherung nach KVG</t>
  </si>
  <si>
    <t>– Reserven Aktive Rückversicherung</t>
  </si>
  <si>
    <t>– Zusatzversicherung VVG, inkl. Taggeld VVG</t>
  </si>
  <si>
    <t>– Einkaufssummen fusionierter Versicherer</t>
  </si>
  <si>
    <t>Total Passiven</t>
  </si>
  <si>
    <t>Quelle: Formular EF1 [4,5]</t>
  </si>
  <si>
    <t>T 8.09  Bilanz: Aktiven der Versicherer per 31.12.</t>
  </si>
  <si>
    <t>Umlaufvermögen</t>
  </si>
  <si>
    <t>Flüssige Mittel</t>
  </si>
  <si>
    <t>Forderungen bei Versicherten</t>
  </si>
  <si>
    <t>– Forderungen bei Versicherten brutto</t>
  </si>
  <si>
    <t xml:space="preserve">– Wertberichtigung / Delkredere </t>
  </si>
  <si>
    <t>Forderungen bei Partnern</t>
  </si>
  <si>
    <t>– Forderungen bei Partnern brutto</t>
  </si>
  <si>
    <t>– Wertberichtigung / Delkredere</t>
  </si>
  <si>
    <t>Forderungen bei Rückversicherern</t>
  </si>
  <si>
    <t>Forderungen von Subventionen, Prämienverbilligung, Risikoausgleich und anderen Beiträgen</t>
  </si>
  <si>
    <t>Vorausbezahlte Versicherungsleistungen, Regress und Rückerstattungsansprüche</t>
  </si>
  <si>
    <t>Übrige Forderungen und aktive Rechnungsabgrenzung</t>
  </si>
  <si>
    <t>Anlagevermögen</t>
  </si>
  <si>
    <t>Kapitalanlagen</t>
  </si>
  <si>
    <t>– Kapitalanlagen brutto</t>
  </si>
  <si>
    <t xml:space="preserve">– Wertberichtigung </t>
  </si>
  <si>
    <t>– Grundstücke und Gebäude brutto</t>
  </si>
  <si>
    <t>– Wertberichtigung</t>
  </si>
  <si>
    <t>Betriebseinrichtungen und Fahrzeuge</t>
  </si>
  <si>
    <t>– Betriebseinrichtungen und Fahrzeuge brutto</t>
  </si>
  <si>
    <t>Total Aktiven</t>
  </si>
  <si>
    <t>Quelle: Formular EF1 [3]</t>
  </si>
  <si>
    <t xml:space="preserve">T 8.06  Gesamtbetriebsrechnung: Aufwand der Versicherer </t>
  </si>
  <si>
    <t>Kostenbeteiligung der Versicherten</t>
  </si>
  <si>
    <t>30 – 33</t>
  </si>
  <si>
    <t>Veränderung der Rückstellungen für unerledigte Versicherungsfälle / versicherungstechnische Rückstellungen</t>
  </si>
  <si>
    <t>30 – 35</t>
  </si>
  <si>
    <t>Leistungsanteile der Rückversicherer</t>
  </si>
  <si>
    <t>– Personalaufwand inkl. Sozialleistungen</t>
  </si>
  <si>
    <t>– Verwaltungsräumlichkeiten und Betriebseinrichtungen</t>
  </si>
  <si>
    <t>– EDV-Kosten</t>
  </si>
  <si>
    <t>– Versicherungsprämien und Verbandsbeiträge</t>
  </si>
  <si>
    <t>– Marketing und Werbung inkl. Provisionen KVG</t>
  </si>
  <si>
    <t>– Marketing und Werbung inkl. Provisionen VVG</t>
  </si>
  <si>
    <t>– Übriger Verwaltungsaufwand</t>
  </si>
  <si>
    <t>– Erhaltene Verwaltungsentschädigung</t>
  </si>
  <si>
    <t>40 – 47</t>
  </si>
  <si>
    <t>Total Verwaltungsaufwand</t>
  </si>
  <si>
    <t>3 / 4</t>
  </si>
  <si>
    <t>800 – 801</t>
  </si>
  <si>
    <t>Vorschlag Gesamtbetriebsrechnung</t>
  </si>
  <si>
    <t>–</t>
  </si>
  <si>
    <t>Gesamt-Total</t>
  </si>
  <si>
    <t xml:space="preserve">T 4.11 Bezügerquoten nach Geschlecht und Kantonen und begünstigte Haushalte in % </t>
  </si>
  <si>
    <t>Privat-</t>
  </si>
  <si>
    <t>Begünstigte</t>
  </si>
  <si>
    <t>haushalte</t>
  </si>
  <si>
    <t>(approximativ)</t>
  </si>
  <si>
    <t>Datenstand: 25.8.06</t>
  </si>
  <si>
    <t>Quelle: BFS Sektion Bevölkerungsentwicklung &amp; T 4.02 &amp; T 4.05</t>
  </si>
  <si>
    <t>Wertberichtigung Grundstücke und Gebäude</t>
  </si>
  <si>
    <t>Grundstücke / Gebäude - Gesamttotal</t>
  </si>
  <si>
    <t>17-18</t>
  </si>
  <si>
    <t>Gesamttotal  Kapitalanlagen, Grundstücke und Gebäude</t>
  </si>
  <si>
    <t xml:space="preserve"> - Medikamente: Kostenermittlung bei rund 200 Medikamenten in den 10 umsatzstärksten Behandlungskategorien</t>
  </si>
  <si>
    <t xml:space="preserve"> - Ärztliche Leistungen: Gewichtung nach 26 kantonalen Indizes; </t>
  </si>
  <si>
    <t xml:space="preserve">   für jeden Kanton werden die 30 umsatzstärksten Tarifpositionen ermittelt </t>
  </si>
  <si>
    <t xml:space="preserve"> - Zahnärztliche Leistungen: Kostenermittlung von 11 typischen Leistungsarten in 16 Gemeinden, bei ca. 50 Zahnärzten</t>
  </si>
  <si>
    <t xml:space="preserve"> - Spitalleistungen: Gewichtung nach 26 kantonalen Indizes unter Berücksichtigung der Tarife für stationäre und ambulante Dienste.</t>
  </si>
  <si>
    <t xml:space="preserve">   Betrachtet wurden öffentliche und private Akutspitäler und Psychiatrieeinrichtungen.</t>
  </si>
  <si>
    <t xml:space="preserve"> - Medizinische Geräte: Kostenermittlung nach den typischen Leistungen in den Bereichen Augenoptik (Brillen und </t>
  </si>
  <si>
    <t xml:space="preserve">   Kontaktlinsen in 16 Gemeinden), Hörgeräte (Kostenfeststellung nach den 6 - nach BAG-Tarif - meistverkauften Geräten)</t>
  </si>
  <si>
    <t xml:space="preserve">  und andere medizinische Geräte (z.B. Gehhilfen, Stützen usw.)</t>
  </si>
  <si>
    <t>Quelle: BFS, Sektion Preise und Verbrauch.</t>
  </si>
  <si>
    <r>
      <t xml:space="preserve">T 9.12  Entwicklung der Preisindizes für Gesundheitspflege ab 1996 </t>
    </r>
    <r>
      <rPr>
        <b/>
        <vertAlign val="superscript"/>
        <sz val="12"/>
        <rFont val="Arial"/>
        <family val="2"/>
      </rPr>
      <t>1</t>
    </r>
  </si>
  <si>
    <t>T 9.19  Gesundheitskosten ausgewählter OECD–Länder in % des BIP ab 1996</t>
  </si>
  <si>
    <t>Land</t>
  </si>
  <si>
    <t>Australien</t>
  </si>
  <si>
    <t>Belgien</t>
  </si>
  <si>
    <t>Dänemark</t>
  </si>
  <si>
    <t>Deutschland</t>
  </si>
  <si>
    <t>Finnland</t>
  </si>
  <si>
    <t>Frankreich</t>
  </si>
  <si>
    <t>Grossbritannien</t>
  </si>
  <si>
    <t>Italien</t>
  </si>
  <si>
    <t>Japan</t>
  </si>
  <si>
    <t>Niederlande</t>
  </si>
  <si>
    <t>Norwegen</t>
  </si>
  <si>
    <t>Österreich</t>
  </si>
  <si>
    <t>Schweden</t>
  </si>
  <si>
    <t>Spanien</t>
  </si>
  <si>
    <t>USA</t>
  </si>
  <si>
    <t>Quelle: www.oecd.org/home/   Topics &gt; Health &gt; OECD Health Data 2006 -</t>
  </si>
  <si>
    <t xml:space="preserve"> Frequently Requested Data &gt; Table 6: Total expenditure on health, % gross domestic product </t>
  </si>
  <si>
    <t xml:space="preserve">Belgien </t>
  </si>
  <si>
    <t>Griechenland</t>
  </si>
  <si>
    <t>Irland</t>
  </si>
  <si>
    <t>Luxemburg</t>
  </si>
  <si>
    <t>Portugal</t>
  </si>
  <si>
    <t>Vereinigtes Königreich</t>
  </si>
  <si>
    <t>Island</t>
  </si>
  <si>
    <t xml:space="preserve">1) EUR-12: Die Euro-Zone umfasst Belgien, Deutschland, Finnland, Frankreich, Griechenland, Irland, Italien, </t>
  </si>
  <si>
    <t xml:space="preserve">    Luxemburg, Niederlande, Österreich, Portugal und Spanien.</t>
  </si>
  <si>
    <t xml:space="preserve">    EU-15: EUR-12 plus Dänemark, Schweden und das Vereinigte Königreich.</t>
  </si>
  <si>
    <t>Gesamtrechnung der Sozialen Sichereit: Methoden und Konzepte, BFS, Neuenburg, 2002.</t>
  </si>
  <si>
    <t>Hier ist zu beachten, dass die Kostenbeteiligung der Versicherten (in der Schweiz im Rahmen des KVG obligatorisch)</t>
  </si>
  <si>
    <t>und die Prämienverbilligung in den Zahlen nicht berücksichtigt sind.</t>
  </si>
  <si>
    <t xml:space="preserve">Werte in der Schweiz in 2001 : </t>
  </si>
  <si>
    <t>Kostenbeteiligung der Versicherten = 0,57% des BIP ; Prämienverbilligung = 0,63% des BIP.</t>
  </si>
  <si>
    <t xml:space="preserve">Quelle: Eurostat, European social statistics – Social protection: Expenditure and receipts 1994–2003: C 1.3.1 </t>
  </si>
  <si>
    <r>
      <t xml:space="preserve">UE-15 </t>
    </r>
    <r>
      <rPr>
        <vertAlign val="superscript"/>
        <sz val="11"/>
        <rFont val="Arial"/>
        <family val="2"/>
      </rPr>
      <t>1</t>
    </r>
  </si>
  <si>
    <r>
      <t xml:space="preserve">EUR-12 </t>
    </r>
    <r>
      <rPr>
        <vertAlign val="superscript"/>
        <sz val="11"/>
        <rFont val="Arial"/>
        <family val="2"/>
      </rPr>
      <t>1</t>
    </r>
  </si>
  <si>
    <t>1) Durchschnittliche Wohnbevölkerung in einem bestimmten Gebiet nach wirtschaftlichem Wohnsitz (BFS).</t>
  </si>
  <si>
    <t>EF 1.5 Konten 290 + 290.9</t>
  </si>
  <si>
    <t>EF3 T 3.6 / [ 2 ]</t>
  </si>
  <si>
    <t>= [ 13A ] / [ 2 ]</t>
  </si>
  <si>
    <t>EF2 Konto 32 K+U Seiten 2.2 -&gt; 2.7</t>
  </si>
  <si>
    <t>= [ 13A ] / [ 6A ] * 100 in %</t>
  </si>
  <si>
    <r>
      <t xml:space="preserve">Schät-zung 2006 </t>
    </r>
    <r>
      <rPr>
        <b/>
        <i/>
        <vertAlign val="superscript"/>
        <sz val="10"/>
        <rFont val="Arial"/>
        <family val="2"/>
      </rPr>
      <t>5</t>
    </r>
  </si>
  <si>
    <r>
      <t xml:space="preserve">Schät-zung 2007 </t>
    </r>
    <r>
      <rPr>
        <b/>
        <i/>
        <vertAlign val="superscript"/>
        <sz val="10"/>
        <rFont val="Arial"/>
        <family val="2"/>
      </rPr>
      <t>5</t>
    </r>
  </si>
  <si>
    <r>
      <t xml:space="preserve">Schätzung Veränderung 2005 - 2006 in % </t>
    </r>
    <r>
      <rPr>
        <i/>
        <vertAlign val="superscript"/>
        <sz val="9"/>
        <rFont val="Arial"/>
        <family val="2"/>
      </rPr>
      <t>5</t>
    </r>
  </si>
  <si>
    <r>
      <t xml:space="preserve">Schätzung Veränderung 2006 - 2007 in % </t>
    </r>
    <r>
      <rPr>
        <i/>
        <vertAlign val="superscript"/>
        <sz val="9"/>
        <rFont val="Arial"/>
        <family val="2"/>
      </rPr>
      <t>5</t>
    </r>
  </si>
  <si>
    <r>
      <t xml:space="preserve">– Leistungen </t>
    </r>
    <r>
      <rPr>
        <vertAlign val="superscript"/>
        <sz val="11"/>
        <rFont val="Arial"/>
        <family val="2"/>
      </rPr>
      <t>1</t>
    </r>
    <r>
      <rPr>
        <sz val="11"/>
        <rFont val="Arial"/>
        <family val="2"/>
      </rPr>
      <t xml:space="preserve"> in Mio. Fr.</t>
    </r>
  </si>
  <si>
    <r>
      <t xml:space="preserve">– Leistungen </t>
    </r>
    <r>
      <rPr>
        <vertAlign val="superscript"/>
        <sz val="11"/>
        <rFont val="Arial"/>
        <family val="2"/>
      </rPr>
      <t>1</t>
    </r>
    <r>
      <rPr>
        <sz val="11"/>
        <rFont val="Arial"/>
        <family val="2"/>
      </rPr>
      <t xml:space="preserve"> pro Versicherte(n) in Fr.</t>
    </r>
  </si>
  <si>
    <r>
      <t xml:space="preserve">– Bezahlte Leistungen </t>
    </r>
    <r>
      <rPr>
        <vertAlign val="superscript"/>
        <sz val="11"/>
        <rFont val="Arial"/>
        <family val="2"/>
      </rPr>
      <t xml:space="preserve">2  </t>
    </r>
    <r>
      <rPr>
        <sz val="11"/>
        <rFont val="Arial"/>
        <family val="2"/>
      </rPr>
      <t>in Mio. Fr.</t>
    </r>
  </si>
  <si>
    <r>
      <t xml:space="preserve">– Bezahlte Leistungen </t>
    </r>
    <r>
      <rPr>
        <vertAlign val="superscript"/>
        <sz val="11"/>
        <rFont val="Arial"/>
        <family val="2"/>
      </rPr>
      <t>2</t>
    </r>
    <r>
      <rPr>
        <sz val="11"/>
        <rFont val="Arial"/>
        <family val="2"/>
      </rPr>
      <t xml:space="preserve"> pro Versicherten in  Fr.</t>
    </r>
  </si>
  <si>
    <r>
      <t xml:space="preserve">– Rückstellungenquote </t>
    </r>
    <r>
      <rPr>
        <vertAlign val="superscript"/>
        <sz val="11"/>
        <rFont val="Arial"/>
        <family val="2"/>
      </rPr>
      <t>3</t>
    </r>
    <r>
      <rPr>
        <sz val="11"/>
        <rFont val="Arial"/>
        <family val="2"/>
      </rPr>
      <t xml:space="preserve"> per 31.12. in %</t>
    </r>
  </si>
  <si>
    <r>
      <t xml:space="preserve">– Reservequote </t>
    </r>
    <r>
      <rPr>
        <vertAlign val="superscript"/>
        <sz val="11"/>
        <rFont val="Arial"/>
        <family val="2"/>
      </rPr>
      <t>4</t>
    </r>
    <r>
      <rPr>
        <sz val="11"/>
        <rFont val="Arial"/>
        <family val="2"/>
      </rPr>
      <t xml:space="preserve"> per 31.12. in %</t>
    </r>
  </si>
  <si>
    <t>Datenstand: 22.9.06</t>
  </si>
  <si>
    <t>Person in Fr.</t>
  </si>
  <si>
    <t>Quelle und Erklärungen: T 5.02</t>
  </si>
  <si>
    <t xml:space="preserve">EF2 Seite 2.8 VVG Konto 63 Krankheit + Unfall </t>
  </si>
  <si>
    <t>T 5.03 KVG Versicherer: Daten zur freiwilligen Taggeldversicherung</t>
  </si>
  <si>
    <t>* : KVG-Versi-</t>
  </si>
  <si>
    <t>cherer nur mit</t>
  </si>
  <si>
    <t>ergebnis</t>
  </si>
  <si>
    <t xml:space="preserve">freiwilliger </t>
  </si>
  <si>
    <t>in Tausend</t>
  </si>
  <si>
    <t>Fr.</t>
  </si>
  <si>
    <t xml:space="preserve"> </t>
  </si>
  <si>
    <t>1) Es gibt OKP-Versicherer, die in der freiwilligen Krankentaggeld keine Versicherten haben.</t>
  </si>
  <si>
    <t>Quelle: Formular EF123</t>
  </si>
  <si>
    <t>BAG-Nr. nur wenn [2] oder [3] &gt; 0</t>
  </si>
  <si>
    <t xml:space="preserve">* wenn EF 1.12A Total = 0 </t>
  </si>
  <si>
    <t>EF3 Total T 3.9.2</t>
  </si>
  <si>
    <t>EF3 Total T 3.9.3</t>
  </si>
  <si>
    <t>4</t>
  </si>
  <si>
    <t xml:space="preserve">EF2 Konten 40-47 + 48 Krankheit + Unfall Seiten 2.0 -&gt; 2.1 </t>
  </si>
  <si>
    <t>EF2 Konten Gesamtbetriebergebnis ohne Position Krankheit + Unfall Seiten 2.0 -&gt; 2.1</t>
  </si>
  <si>
    <t>EF1 [1.4] Konto 271</t>
  </si>
  <si>
    <t>EF1 [1.5] Konto 291</t>
  </si>
  <si>
    <r>
      <t xml:space="preserve">Name des KVG-Versicherers </t>
    </r>
    <r>
      <rPr>
        <vertAlign val="superscript"/>
        <sz val="10"/>
        <rFont val="Arial"/>
        <family val="2"/>
      </rPr>
      <t>1</t>
    </r>
  </si>
  <si>
    <t>6: Freiwillige Taggeldversicherung KVG</t>
  </si>
  <si>
    <t>Prämien, Leistungen, Versichertenbestand und Versichererbestand ab 1996</t>
  </si>
  <si>
    <t>Ertrag, Aufwand und Ergebnis ab 1996</t>
  </si>
  <si>
    <t>Versicherer, Versicherte, Prämien und Leistungen nach Einzel- u. Kollektivverträgen</t>
  </si>
  <si>
    <t xml:space="preserve">Betriebsrechnung der Einzel- und Kollektivversicherung insgesamt </t>
  </si>
  <si>
    <t xml:space="preserve">Betriebsrechnung der Einzelversicherung </t>
  </si>
  <si>
    <t>Betriebsrechnung der Kollektivversicherung</t>
  </si>
  <si>
    <t>7: Andere Versicherungen der vom BAG anerkannten Krankenversicherer</t>
  </si>
  <si>
    <t>Ertrag, Aufwand und Ergebnis der anderen Versicherungen insgesamt ab 1996</t>
  </si>
  <si>
    <t>Indikatoren der Betriebsrechnung der anderen Versicherungen</t>
  </si>
  <si>
    <t>Betriebsrechnung der Zusatzversicherungen VVG</t>
  </si>
  <si>
    <t>4: Prämienverbilligung in der OKP</t>
  </si>
  <si>
    <t xml:space="preserve">Anzahl subventionierte Haushalte nach Haushaltsgrösse und Kantonen </t>
  </si>
  <si>
    <t>Anzahl subventionierte Haushalte nach ausbezahltem Jahresbetrag und Kantonen</t>
  </si>
  <si>
    <t xml:space="preserve">Kantonale Grenzbeträge für die Berechtigung: Massgebende Einkommen </t>
  </si>
  <si>
    <t>Maximale, budgetierte und ausbezahlte Subventionen ab 1996</t>
  </si>
  <si>
    <t xml:space="preserve">KVG-Verteilmodell: Berechnungsbasis sowie Bundes- und Kantonsbeiträge </t>
  </si>
  <si>
    <t>Reduktionsfaktor und Subventionen nach Reduktion nach Kantonen</t>
  </si>
  <si>
    <t xml:space="preserve">Ausgerichtete Leistungen nach Kantonen </t>
  </si>
  <si>
    <t>Bezügerquoten nach Geschlecht und Kantonen und begünstigte Haushalte in %</t>
  </si>
  <si>
    <t>Männliche</t>
  </si>
  <si>
    <t>Weibliche</t>
  </si>
  <si>
    <t xml:space="preserve">davon </t>
  </si>
  <si>
    <t>Ergänzungs-</t>
  </si>
  <si>
    <t>Sozialhilfe-</t>
  </si>
  <si>
    <t>Leistungs-</t>
  </si>
  <si>
    <t>Quelle: Formular PV2 [2.1]</t>
  </si>
  <si>
    <t>1) Anzahl Personen, an welche im Berichtsjahr Subventionen nach KVG ausgerichtet wurden.</t>
  </si>
  <si>
    <t>Altersgruppe</t>
  </si>
  <si>
    <t>total</t>
  </si>
  <si>
    <t>0 – 5</t>
  </si>
  <si>
    <t>6 – 10</t>
  </si>
  <si>
    <t>T 6.02 Ertrag, Aufwand und Ergebnis in Franken ab 1996</t>
  </si>
  <si>
    <t xml:space="preserve">aufwand </t>
  </si>
  <si>
    <t>Quelle: T 6.04</t>
  </si>
  <si>
    <t>davon Taggeldversicherung VVG</t>
  </si>
  <si>
    <t xml:space="preserve">Brutto-Prämien (60-65) </t>
  </si>
  <si>
    <t xml:space="preserve">Bezahlte Leistungen (30-33) </t>
  </si>
  <si>
    <t>1) Gemäss Art. 13 und 14 KVV, ohne  T 7.04 und 7.05.</t>
  </si>
  <si>
    <t>Quelle: Formular EF2 [2.8] &amp; EF1 [1.12C]</t>
  </si>
  <si>
    <r>
      <t xml:space="preserve">T 7.03  Betriebsrechnung der Zusatzversicherungen VVG </t>
    </r>
    <r>
      <rPr>
        <b/>
        <vertAlign val="superscript"/>
        <sz val="12"/>
        <rFont val="Arial"/>
        <family val="2"/>
      </rPr>
      <t>1</t>
    </r>
  </si>
  <si>
    <t xml:space="preserve">T 7.04  Betriebsrechnung der Krankenpflegeversicherung Liechtenstein </t>
  </si>
  <si>
    <t>Quelle: Formular EF2 [2.9]</t>
  </si>
  <si>
    <t>1) Ohne T 7.04</t>
  </si>
  <si>
    <t>Quelle: Formular EF2 [2.10]</t>
  </si>
  <si>
    <r>
      <t xml:space="preserve">T 7.05  Betriebsrechnung der Zusatzversicherungen Versicherte wohnhaft im Ausland </t>
    </r>
    <r>
      <rPr>
        <b/>
        <vertAlign val="superscript"/>
        <sz val="12"/>
        <rFont val="Arial"/>
        <family val="2"/>
      </rPr>
      <t>1</t>
    </r>
  </si>
  <si>
    <t xml:space="preserve">T 7.02  Indikatoren der Betriebsrechnung der anderen Versicherungen in Franken </t>
  </si>
  <si>
    <t>Zusatzversi-</t>
  </si>
  <si>
    <t>Kranken-</t>
  </si>
  <si>
    <t>cherungen</t>
  </si>
  <si>
    <t>pflegever-</t>
  </si>
  <si>
    <t>sicherungen</t>
  </si>
  <si>
    <t>sicherung</t>
  </si>
  <si>
    <t>Liechten-</t>
  </si>
  <si>
    <t>wohnhaft</t>
  </si>
  <si>
    <t>stein</t>
  </si>
  <si>
    <t xml:space="preserve"> im Ausland</t>
  </si>
  <si>
    <t>Versicherungsertrag</t>
  </si>
  <si>
    <t>davon Brutto-Prämien</t>
  </si>
  <si>
    <t>Neutraler Aufwand/Ertrag</t>
  </si>
  <si>
    <t>Total des Gesamtertrags</t>
  </si>
  <si>
    <t>Versicherungsaufwand</t>
  </si>
  <si>
    <t>davon Brutto-Leistungen</t>
  </si>
  <si>
    <t>Betriebsaufwand</t>
  </si>
  <si>
    <t>Total Vers.- und Betriebsaufwand</t>
  </si>
  <si>
    <t>Quelle: T 7.03, 7.04, 7.05</t>
  </si>
  <si>
    <t>1) Zusammenzug der «Zusatzversicherungen VVG»,</t>
  </si>
  <si>
    <t>«Krankenpflegeversicherung Liechtenstein» und «Zusatzversicherungen Versicherte wohnhaft im Ausland».</t>
  </si>
  <si>
    <t>2) Vorjahresvergleiche sind nur mit Vorbehalt möglich, da jene Zusatzversicherungen VAG, welche auch unternehmensrechtlich</t>
  </si>
  <si>
    <t>3) Revidierte Zahlen für 2002 und 2003 (ohne T 7.06).</t>
  </si>
  <si>
    <t>Quelle: T 7.02</t>
  </si>
  <si>
    <r>
      <t xml:space="preserve">T 7.01  Ertrag, Aufwand und Ergebnis der anderen Versicherungen insgesamt </t>
    </r>
    <r>
      <rPr>
        <b/>
        <vertAlign val="superscript"/>
        <sz val="12"/>
        <rFont val="Arial"/>
        <family val="2"/>
      </rPr>
      <t xml:space="preserve">1 </t>
    </r>
    <r>
      <rPr>
        <b/>
        <sz val="12"/>
        <rFont val="Arial"/>
        <family val="2"/>
      </rPr>
      <t xml:space="preserve"> in Franken ab 1996</t>
    </r>
  </si>
  <si>
    <r>
      <t xml:space="preserve">Jahr </t>
    </r>
    <r>
      <rPr>
        <vertAlign val="superscript"/>
        <sz val="11"/>
        <rFont val="Arial"/>
        <family val="2"/>
      </rPr>
      <t>2, 3</t>
    </r>
  </si>
  <si>
    <t>11.8.06: 5.01, 5.03, 6.01-&gt;6.06, 7.01-&gt;7.05</t>
  </si>
  <si>
    <t>CSS Kranken-Versicherung AG</t>
  </si>
  <si>
    <t>Krankenkasse Aquilana</t>
  </si>
  <si>
    <t>Krankenkasse 57</t>
  </si>
  <si>
    <t>SUPRA CAISSE-MALADIE</t>
  </si>
  <si>
    <t>Krankenkasse Luchsingen-Hätzingen</t>
  </si>
  <si>
    <t>Kranken- und Unfallkasse Einsiedeln</t>
  </si>
  <si>
    <t>Caisse Maladie de la Fonction Publique</t>
  </si>
  <si>
    <t>Kranken- &amp; Unfallkasse Rothenburg</t>
  </si>
  <si>
    <t>PROVITA Gesundheitsversicherung AG</t>
  </si>
  <si>
    <t>Sumiswalder Kranken- und Unfallkasse</t>
  </si>
  <si>
    <t>Caisse-Maladie EOS</t>
  </si>
  <si>
    <t>Krankenkasse Steffisburg</t>
  </si>
  <si>
    <t>Carena Schweiz</t>
  </si>
  <si>
    <t>Krankenkasse für das Bau- und Holzgewerbe SKBH</t>
  </si>
  <si>
    <t>CONCORDIA Kranken- und Unfallversicherung</t>
  </si>
  <si>
    <t>Krankenkasse Malters</t>
  </si>
  <si>
    <t>Atupri Krankenkasse</t>
  </si>
  <si>
    <t>Avenir Assurances, Assurances maladie et accidents</t>
  </si>
  <si>
    <t>Krankenkasse Luzerner Hinterland Zell</t>
  </si>
  <si>
    <t>KPT CPT Krankenkasse</t>
  </si>
  <si>
    <t>Xundheit, Öffentliche Gesundheitskasse Schweiz AG</t>
  </si>
  <si>
    <t>Caisse-maladie Hermes</t>
  </si>
  <si>
    <t>ÖKK Kranken- und Unfallversicherungen AG</t>
  </si>
  <si>
    <t>PANORAMA Kranken- und Unfallversicherung</t>
  </si>
  <si>
    <t>Öffentliche Krankenkasse Basel</t>
  </si>
  <si>
    <t>Kranken- und Unfall-Versicherungsverein St. Moritz</t>
  </si>
  <si>
    <t>Krankenkasse Flaachtal</t>
  </si>
  <si>
    <t>Krankenkasse Embd</t>
  </si>
  <si>
    <t>Krankenkasse Lötschental</t>
  </si>
  <si>
    <t>La Caisse Vaudoise - Fondation Vaudoise d'assurance</t>
  </si>
  <si>
    <t>Krankenkasse Stalden</t>
  </si>
  <si>
    <t>Kolping Krankenkasse AG</t>
  </si>
  <si>
    <t>Krankenversicherung EASY SANA</t>
  </si>
  <si>
    <t>Krankenkasse Elm</t>
  </si>
  <si>
    <t>Krankenkasse des Saastales</t>
  </si>
  <si>
    <t>Cassa da malsauns ed accidents Lumnezia I</t>
  </si>
  <si>
    <t>KLuG Krankenversicherung</t>
  </si>
  <si>
    <t>"Die Eidgenössische" Gesundheitskasse</t>
  </si>
  <si>
    <t>Krankenkasse Staldenried</t>
  </si>
  <si>
    <t>Öffentliche Kranken- und Unfallkasse Lugnez II</t>
  </si>
  <si>
    <t>Krankenkasse SLKK</t>
  </si>
  <si>
    <t>sodalis Krankenversicherer</t>
  </si>
  <si>
    <t>Öffentliche Krankenkasse Surselva (ÖKK Surselva)</t>
  </si>
  <si>
    <t>Krankenkasse Schattenberge</t>
  </si>
  <si>
    <t>Progrès Versicherungen AG</t>
  </si>
  <si>
    <t>Krankenkasse Zeneggen</t>
  </si>
  <si>
    <t>Krankenkasse Visperterminen</t>
  </si>
  <si>
    <t>Wohnbevölkerung, Ärzte mit Praxistätigkeit und Apotheken nach Kantonen</t>
  </si>
  <si>
    <t>Entwicklung der Wohnbevölkerung, der Ärzte mit Praxistätigkeit und der Apotheken ab 1996</t>
  </si>
  <si>
    <t>11 – 15</t>
  </si>
  <si>
    <t>16 – 18</t>
  </si>
  <si>
    <t>19 – 20</t>
  </si>
  <si>
    <t>20 – 25</t>
  </si>
  <si>
    <t>26 – 30</t>
  </si>
  <si>
    <t>31 – 35</t>
  </si>
  <si>
    <t>36 – 40</t>
  </si>
  <si>
    <t>41 – 45</t>
  </si>
  <si>
    <t>46 – 50</t>
  </si>
  <si>
    <t>51 – 55</t>
  </si>
  <si>
    <t>56 – 60</t>
  </si>
  <si>
    <t>61 – 65</t>
  </si>
  <si>
    <t>66 – 70</t>
  </si>
  <si>
    <t>71 – 75</t>
  </si>
  <si>
    <t>76 – 80</t>
  </si>
  <si>
    <t>81 – 85</t>
  </si>
  <si>
    <t>86 – 90</t>
  </si>
  <si>
    <t>91 – 95</t>
  </si>
  <si>
    <t>96 und mehr</t>
  </si>
  <si>
    <t>Alter unbekannt</t>
  </si>
  <si>
    <t>Haushaltgrösse gemäss Anzahl Haushaltsmitglieder</t>
  </si>
  <si>
    <t>Haushalte</t>
  </si>
  <si>
    <t>davon</t>
  </si>
  <si>
    <t>1 Person</t>
  </si>
  <si>
    <t>2 Perso-</t>
  </si>
  <si>
    <t>3 Perso-</t>
  </si>
  <si>
    <t>4 Perso-</t>
  </si>
  <si>
    <t>5 Perso-</t>
  </si>
  <si>
    <t>alleiner-</t>
  </si>
  <si>
    <t>nen</t>
  </si>
  <si>
    <t>nen und</t>
  </si>
  <si>
    <t>ziehende</t>
  </si>
  <si>
    <t>mehr</t>
  </si>
  <si>
    <t xml:space="preserve">FR </t>
  </si>
  <si>
    <t xml:space="preserve">SO </t>
  </si>
  <si>
    <t>Quelle: Formular PV2 [2.2]</t>
  </si>
  <si>
    <t>1) Anzahl subventionierte Haushalte im Sinne der kantonalen Regelungen zur Prämienverbilligung.</t>
  </si>
  <si>
    <t>2) Alleinerziehende Personen mit einem oder mehreren Kindern.</t>
  </si>
  <si>
    <r>
      <t xml:space="preserve">T 4.04 Anzahl subventionierte Haushalte </t>
    </r>
    <r>
      <rPr>
        <b/>
        <vertAlign val="superscript"/>
        <sz val="12"/>
        <rFont val="Arial"/>
        <family val="2"/>
      </rPr>
      <t>1</t>
    </r>
    <r>
      <rPr>
        <b/>
        <sz val="12"/>
        <rFont val="Arial"/>
        <family val="2"/>
      </rPr>
      <t xml:space="preserve">  nach Haushaltsgrösse und Kantonen</t>
    </r>
  </si>
  <si>
    <r>
      <t xml:space="preserve">Haushalte </t>
    </r>
    <r>
      <rPr>
        <vertAlign val="superscript"/>
        <sz val="11"/>
        <rFont val="Arial"/>
        <family val="2"/>
      </rPr>
      <t>2</t>
    </r>
  </si>
  <si>
    <t>Ausbezahlter Jahresbetrag</t>
  </si>
  <si>
    <t>1 - 600</t>
  </si>
  <si>
    <t>601 -</t>
  </si>
  <si>
    <t>1'201 -</t>
  </si>
  <si>
    <t>2'401 -</t>
  </si>
  <si>
    <t>3'601 -</t>
  </si>
  <si>
    <t>Jahresbe-</t>
  </si>
  <si>
    <t>1'200 Fr.</t>
  </si>
  <si>
    <t>2'400 Fr.</t>
  </si>
  <si>
    <t>3'600 Fr.</t>
  </si>
  <si>
    <t>4'800 Fr.</t>
  </si>
  <si>
    <t>trag un-</t>
  </si>
  <si>
    <t>bekannt</t>
  </si>
  <si>
    <r>
      <t xml:space="preserve">T 4.05 Anzahl subventionierte Haushalte </t>
    </r>
    <r>
      <rPr>
        <b/>
        <vertAlign val="superscript"/>
        <sz val="12"/>
        <rFont val="Arial"/>
        <family val="2"/>
      </rPr>
      <t>1</t>
    </r>
    <r>
      <rPr>
        <b/>
        <sz val="12"/>
        <rFont val="Arial"/>
        <family val="2"/>
      </rPr>
      <t xml:space="preserve">  nach ausbezahltem Jahresbetrag und Kantonen </t>
    </r>
  </si>
  <si>
    <t>Obergrenze des massgebenden Einkommens in Fr.</t>
  </si>
  <si>
    <t>Hauhaltsvorstand alleinstehend/alleinerziehend</t>
  </si>
  <si>
    <t>Hauhaltsvorstand verheiratet</t>
  </si>
  <si>
    <t>Keine</t>
  </si>
  <si>
    <t>1 Kind</t>
  </si>
  <si>
    <t>2 Kinder</t>
  </si>
  <si>
    <t>3 Kinder</t>
  </si>
  <si>
    <t>Quelle: Formular PV2 [2.3]</t>
  </si>
  <si>
    <t>1) Für massgebende Einkommen, die höher sind als die obenstehenden Beträge, werden keine Subventionen mehr ausbezahlt.</t>
  </si>
  <si>
    <t>Das massgebende Einkommen entspricht einem je nach Kanton definierten Einkommen, meist "steuerbares Einkommen" aber auch "Reineinkommen"</t>
  </si>
  <si>
    <t>oder "Effektives Einkommen", zuzüglich einem bestimmten Anteil des Vermögens (meist "steuerbares Vermögen" oder "Reinvermögen").</t>
  </si>
  <si>
    <r>
      <t xml:space="preserve">T 4.06 Kantonale Grenzbeträge für die Berechtigung: Massgebende Einkommen </t>
    </r>
    <r>
      <rPr>
        <b/>
        <vertAlign val="superscript"/>
        <sz val="12"/>
        <rFont val="Arial"/>
        <family val="2"/>
      </rPr>
      <t>1</t>
    </r>
  </si>
  <si>
    <t>Datenstand: 9.8.06</t>
  </si>
  <si>
    <t>18.8.06: 4.02-&gt;4.06</t>
  </si>
  <si>
    <t xml:space="preserve">Betriebsrechnung der Krankenpflegeversicherung Liechtenstein </t>
  </si>
  <si>
    <t>Betriebsrechnung der Zusatzversicherungen Versicherte wohnhaft im Ausland</t>
  </si>
  <si>
    <t>Anzahl / Betrag</t>
  </si>
  <si>
    <t>Einzel-</t>
  </si>
  <si>
    <t>Kollektiv-</t>
  </si>
  <si>
    <t>versiche-</t>
  </si>
  <si>
    <t>1999 alt</t>
  </si>
  <si>
    <t>1999 neu</t>
  </si>
  <si>
    <t>Anzahl Versicherer</t>
  </si>
  <si>
    <t>Prämiensoll in Franken</t>
  </si>
  <si>
    <t>Prämiensoll in Franken pro Versicherte(n)</t>
  </si>
  <si>
    <t xml:space="preserve">Leistungen in Franken </t>
  </si>
  <si>
    <t>davon Mutterschaft</t>
  </si>
  <si>
    <t xml:space="preserve">    und zur langfristigen Behandlung körperlich Kranker sowie die Spitaltage in psychiatrischen Kliniken;</t>
  </si>
  <si>
    <t xml:space="preserve">    nicht zu zählen sind hingegen die Tage in Pflegeheimen.</t>
  </si>
  <si>
    <t>5) Personen, die das 18. Altersjahr noch nicht vollendet haben (vgl. Art. 61 Abs. 3 KVG); bei der</t>
  </si>
  <si>
    <t xml:space="preserve">    "Mutterschaft" von "Kindern" ist die Mutterschaft von noch nicht 18-jährigen Frauen gemeint.</t>
  </si>
  <si>
    <t>Quelle: Formular EF3 [T 3.2 &amp; 3.7.1 &amp; 3.7.2]</t>
  </si>
  <si>
    <r>
      <t xml:space="preserve">Kinder </t>
    </r>
    <r>
      <rPr>
        <vertAlign val="superscript"/>
        <sz val="11"/>
        <rFont val="Arial"/>
        <family val="2"/>
      </rPr>
      <t>5</t>
    </r>
  </si>
  <si>
    <r>
      <t xml:space="preserve">Versicherte </t>
    </r>
    <r>
      <rPr>
        <vertAlign val="superscript"/>
        <sz val="11"/>
        <rFont val="Arial"/>
        <family val="2"/>
      </rPr>
      <t>1</t>
    </r>
  </si>
  <si>
    <r>
      <t xml:space="preserve">Erkrankte </t>
    </r>
    <r>
      <rPr>
        <vertAlign val="superscript"/>
        <sz val="11"/>
        <rFont val="Arial"/>
        <family val="2"/>
      </rPr>
      <t>2</t>
    </r>
  </si>
  <si>
    <r>
      <t xml:space="preserve">Einweisungen </t>
    </r>
    <r>
      <rPr>
        <vertAlign val="superscript"/>
        <sz val="11"/>
        <rFont val="Arial"/>
        <family val="2"/>
      </rPr>
      <t>3</t>
    </r>
  </si>
  <si>
    <r>
      <t xml:space="preserve">Spitaltage </t>
    </r>
    <r>
      <rPr>
        <vertAlign val="superscript"/>
        <sz val="11"/>
        <rFont val="Arial"/>
        <family val="2"/>
      </rPr>
      <t>4</t>
    </r>
  </si>
  <si>
    <t>Einwei-</t>
  </si>
  <si>
    <t>1) Anzahl versicherte Personen, welche im Berichtsjahr mindestens einmal ambulante oder stationäre Kosten verursacht haben.</t>
  </si>
  <si>
    <t>2) Die Zeitreihen der Einweisungen und besonders der Spitaltage sind von beschränkter Aussagekraft;</t>
  </si>
  <si>
    <r>
      <t xml:space="preserve">T 1.07  Betriebsrechnung der obligatorischen Krankenpflegeversicherung Personen mit Wohnsitz in einem EG-Staat, in Island oder in Norwegen, inklusive GrenzgängerInnen </t>
    </r>
    <r>
      <rPr>
        <b/>
        <vertAlign val="superscript"/>
        <sz val="12"/>
        <rFont val="Arial"/>
        <family val="2"/>
      </rPr>
      <t>1</t>
    </r>
  </si>
  <si>
    <r>
      <t xml:space="preserve">Nur GrenzgängerInnen </t>
    </r>
    <r>
      <rPr>
        <b/>
        <vertAlign val="superscript"/>
        <sz val="12"/>
        <rFont val="Arial"/>
        <family val="2"/>
      </rPr>
      <t>2</t>
    </r>
  </si>
  <si>
    <t>Aufteilung der Versicherten nach Art der Spitalzusatzversicherungen ab 1996</t>
  </si>
  <si>
    <t>Entwicklung der Preisindizes für Gesundheitspflege ab 1996</t>
  </si>
  <si>
    <t>Index der Krankenversicherungsprämien nach Versicherungsart ab 1996</t>
  </si>
  <si>
    <t>Index der Krankenpflegekosten, der Löhne sowie der Preise ab 1996</t>
  </si>
  <si>
    <t>Krankenversicherung bei den privaten Versicherungsunternehmungen ab 1996</t>
  </si>
  <si>
    <t>Taggeldversicherung KVG / VVG ab 1996</t>
  </si>
  <si>
    <t>Krankenversicherung (KVG-Versicherer und Privatversicherer) ab 1996</t>
  </si>
  <si>
    <t>Gesundheitskosten ausgewählter OECD–Länder in % des BIP ab 1996</t>
  </si>
  <si>
    <t>Sozialleistungen für die Gesundheitsversorgung : Internationaler Vergleich in % des BIP ab 1996</t>
  </si>
  <si>
    <t>Kosten des Gesundheitswesens in der Schweiz aus der Sicht der Krankenversicherungsleistungen ab 1996</t>
  </si>
  <si>
    <t>Totaler Beitrag je versicherte Person nach Versicherungsform in der OKP ab 1996</t>
  </si>
  <si>
    <t>Erkrankte, Spitaleinweisungen und Spitaltage in der OKP ab 1996</t>
  </si>
  <si>
    <t>Erkrankte, Spitaleinweisungen und Spitaltage in der OKP</t>
  </si>
  <si>
    <t>Daten Vorjahr</t>
  </si>
  <si>
    <t>Mittlere</t>
  </si>
  <si>
    <t>Ärzte:</t>
  </si>
  <si>
    <t>Dichte der</t>
  </si>
  <si>
    <t>Medika-</t>
  </si>
  <si>
    <t>Apo-</t>
  </si>
  <si>
    <t>Aerzte-</t>
  </si>
  <si>
    <t>Wohn-</t>
  </si>
  <si>
    <t>Allge-</t>
  </si>
  <si>
    <t>Spezial-</t>
  </si>
  <si>
    <t>Ärzte mit</t>
  </si>
  <si>
    <t>Apothe-</t>
  </si>
  <si>
    <t>menten-</t>
  </si>
  <si>
    <t>theken-</t>
  </si>
  <si>
    <t>Anzahl Ärzte (linke Skala)</t>
  </si>
  <si>
    <t>Anzahl Apotheken (rechte Skala)</t>
  </si>
  <si>
    <t>bevölke-</t>
  </si>
  <si>
    <t>mein-</t>
  </si>
  <si>
    <t>ärzte</t>
  </si>
  <si>
    <t>Praxistä-</t>
  </si>
  <si>
    <t>äzte</t>
  </si>
  <si>
    <t>ken</t>
  </si>
  <si>
    <t>praktiker</t>
  </si>
  <si>
    <t>FMH</t>
  </si>
  <si>
    <t>tigkeit</t>
  </si>
  <si>
    <t>1) Quellen: BFS, Bevölkerungsentwicklung; FMH, Ärztestatistik (Ärzte mit Praxistätigkeit), Schweizerischerer Apothekerverein.</t>
  </si>
  <si>
    <t xml:space="preserve">1) Quelle: T 4.11. </t>
  </si>
  <si>
    <t>2) Anzahl Einwohner pro Arzt mit Praxistätigkeit resp. Anzahl Einwohner pro Apotheke (Öffentliche Apotheken).</t>
  </si>
  <si>
    <t>2) Summe der Ärzte (mit Praxistätigkeit) mit Facharzttitel in Allgemeinmedizin und der Ärzte (mit Praxistätigkeit) ohne Facharzttitel.</t>
  </si>
  <si>
    <t>3) Inklusiv Fachärzte für innere Medizin, die als Grundversorger tätig sind.</t>
  </si>
  <si>
    <t>4) Quelle: FMH, Ärztestatistik;</t>
  </si>
  <si>
    <t>5) Anzahl Ärzte mit Praxistätigkeit pro 1'000 Einwohner.</t>
  </si>
  <si>
    <t>6) Veränderung der Dichte.</t>
  </si>
  <si>
    <t>7) Quelle: Schweizerischer Apothekerverein SAV.</t>
  </si>
  <si>
    <t>8) Anzahl Apotheken (Öffentliche Apotheken) pro 10'000 Einwohner.</t>
  </si>
  <si>
    <t>9) Selbstdispensation (Medikamentenverkauf durch Ärzte) : 1 flächendeckend im Kanton / 2 Mischformen /  3 reines Rezeptursystem.</t>
  </si>
  <si>
    <t xml:space="preserve">    Quelle : Managed Care 6/04 S. 33-36.</t>
  </si>
  <si>
    <r>
      <t xml:space="preserve">T 9.09  Wohnbevölkerung, Ärzte mit Praxistätigkeit </t>
    </r>
    <r>
      <rPr>
        <b/>
        <sz val="12"/>
        <rFont val="Arial"/>
        <family val="2"/>
      </rPr>
      <t xml:space="preserve">und Apotheken nach Kantonen </t>
    </r>
  </si>
  <si>
    <r>
      <t xml:space="preserve">Veränd. </t>
    </r>
    <r>
      <rPr>
        <vertAlign val="superscript"/>
        <sz val="11"/>
        <rFont val="Arial"/>
        <family val="2"/>
      </rPr>
      <t>6</t>
    </r>
  </si>
  <si>
    <r>
      <t xml:space="preserve">Ärzte </t>
    </r>
    <r>
      <rPr>
        <vertAlign val="superscript"/>
        <sz val="11"/>
        <rFont val="Arial"/>
        <family val="2"/>
      </rPr>
      <t>5</t>
    </r>
  </si>
  <si>
    <r>
      <t xml:space="preserve">dichte </t>
    </r>
    <r>
      <rPr>
        <vertAlign val="superscript"/>
        <sz val="11"/>
        <rFont val="Arial"/>
        <family val="2"/>
      </rPr>
      <t>2)</t>
    </r>
  </si>
  <si>
    <r>
      <t>ken</t>
    </r>
    <r>
      <rPr>
        <vertAlign val="superscript"/>
        <sz val="11"/>
        <rFont val="Arial"/>
        <family val="2"/>
      </rPr>
      <t xml:space="preserve"> 7</t>
    </r>
  </si>
  <si>
    <r>
      <t xml:space="preserve">verkauf </t>
    </r>
    <r>
      <rPr>
        <vertAlign val="superscript"/>
        <sz val="11"/>
        <rFont val="Arial"/>
        <family val="2"/>
      </rPr>
      <t>9</t>
    </r>
  </si>
  <si>
    <r>
      <t xml:space="preserve">dichte </t>
    </r>
    <r>
      <rPr>
        <vertAlign val="superscript"/>
        <sz val="11"/>
        <rFont val="Arial"/>
        <family val="2"/>
      </rPr>
      <t>8</t>
    </r>
  </si>
  <si>
    <r>
      <t xml:space="preserve">rung </t>
    </r>
    <r>
      <rPr>
        <vertAlign val="superscript"/>
        <sz val="11"/>
        <rFont val="Arial"/>
        <family val="2"/>
      </rPr>
      <t>1</t>
    </r>
  </si>
  <si>
    <r>
      <t xml:space="preserve">praktiker </t>
    </r>
    <r>
      <rPr>
        <vertAlign val="superscript"/>
        <sz val="11"/>
        <rFont val="Arial"/>
        <family val="2"/>
      </rPr>
      <t>2</t>
    </r>
  </si>
  <si>
    <r>
      <t xml:space="preserve">FMH </t>
    </r>
    <r>
      <rPr>
        <vertAlign val="superscript"/>
        <sz val="11"/>
        <rFont val="Arial"/>
        <family val="2"/>
      </rPr>
      <t>3</t>
    </r>
  </si>
  <si>
    <r>
      <t xml:space="preserve">tigkeit </t>
    </r>
    <r>
      <rPr>
        <vertAlign val="superscript"/>
        <sz val="11"/>
        <rFont val="Arial"/>
        <family val="2"/>
      </rPr>
      <t>4</t>
    </r>
  </si>
  <si>
    <r>
      <t xml:space="preserve">T 9.10  Entwicklung der Wohnbevölkerung, der Ärzte mit Praxistätigkeit </t>
    </r>
    <r>
      <rPr>
        <b/>
        <sz val="12"/>
        <rFont val="Arial"/>
        <family val="2"/>
      </rPr>
      <t>und der Apotheken ab 1996</t>
    </r>
  </si>
  <si>
    <t>Ärzte</t>
  </si>
  <si>
    <t>Apo</t>
  </si>
  <si>
    <t>theken</t>
  </si>
  <si>
    <t>1) Quelle: T 9.09.</t>
  </si>
  <si>
    <t>2) Anzahl Ärzte mit Praxistätigkeit pro 1'000 Einwohner.</t>
  </si>
  <si>
    <t>3) Veränderung der Dichte.</t>
  </si>
  <si>
    <t>4) Anzahl Apotheken (Öffentliche Apotheken) pro 10'000 Einwohner.</t>
  </si>
  <si>
    <r>
      <t xml:space="preserve">Veränd. </t>
    </r>
    <r>
      <rPr>
        <vertAlign val="superscript"/>
        <sz val="11"/>
        <rFont val="Arial"/>
        <family val="2"/>
      </rPr>
      <t>3</t>
    </r>
  </si>
  <si>
    <t>T 1.08 Gesamtbetriebsergebnis in Franken nach Versicherungsform ab 1996</t>
  </si>
  <si>
    <t>Quelle: T 1.03, 1.04, 1.05, 1.06</t>
  </si>
  <si>
    <t>T 1.09  Gesamtbetriebsergebnis in Franken je versicherte Person nach Versicherungsform ab 1996</t>
  </si>
  <si>
    <t>Jahr</t>
  </si>
  <si>
    <t>Quelle: T 1.08 / T 11.05</t>
  </si>
  <si>
    <t>T 1.11 Verwaltungsaufwand / Abschreibungen in Franken je versicherte Person nach Versicherungsform ab 1996</t>
  </si>
  <si>
    <t>Quelle: T 1.10 / T 11.05</t>
  </si>
  <si>
    <t>T 1.10 Verwaltungsaufwand / Abschreibungen in Franken nach Versicherungsform ab 1996</t>
  </si>
  <si>
    <t>In % des</t>
  </si>
  <si>
    <t>Versicherungs-</t>
  </si>
  <si>
    <t>Ärztliche Leistungen</t>
  </si>
  <si>
    <t>Zahnärztliche Leistungen</t>
  </si>
  <si>
    <t>Spital-leistungen</t>
  </si>
  <si>
    <t>Medizinische Apparate</t>
  </si>
  <si>
    <t>Gesundheits-pflege (Total)</t>
  </si>
  <si>
    <t>Allgemeiner Kostenindex (LIK)</t>
  </si>
  <si>
    <t>Vorjahresveränderung der Preisindizes für Gesundheitspflege ab 1996</t>
  </si>
  <si>
    <t>Methode zur Ermittlung des Index  "Gesundheitspflege":</t>
  </si>
  <si>
    <t>- Gesundheitskosten: Gewichtung nach den 6 in der Folge aufgeführten Teilindizes:</t>
  </si>
  <si>
    <t xml:space="preserve">50'001 – </t>
  </si>
  <si>
    <t xml:space="preserve">100'001 – </t>
  </si>
  <si>
    <t>mehr als</t>
  </si>
  <si>
    <t>der Grund liegt darin, dass vor 1999 nicht von allen Versicherern die Einweisungen und Tage in Pflegeheime(n) vollständig ausge-</t>
  </si>
  <si>
    <t>schieden werden konnten. So ist insbesondere auch die starke Abnahme der Spitaltage zwischen 1998 und 1999 auf diese</t>
  </si>
  <si>
    <t>"Nicht-mehr-Berücksichtigung" von Pflegeheimtagen durch grosse Versicherer zurückzuführen und darf somit nicht als echte</t>
  </si>
  <si>
    <t>Abnahme der Spitaltage im Spital stationär fehlinterpretiert werden.</t>
  </si>
  <si>
    <r>
      <t xml:space="preserve">Erkrankte </t>
    </r>
    <r>
      <rPr>
        <vertAlign val="superscript"/>
        <sz val="11"/>
        <rFont val="Arial"/>
        <family val="2"/>
      </rPr>
      <t>1</t>
    </r>
  </si>
  <si>
    <r>
      <t>Spitaltage</t>
    </r>
    <r>
      <rPr>
        <vertAlign val="superscript"/>
        <sz val="11"/>
        <rFont val="Arial"/>
        <family val="2"/>
      </rPr>
      <t xml:space="preserve"> 2</t>
    </r>
  </si>
  <si>
    <r>
      <t xml:space="preserve">sungen </t>
    </r>
    <r>
      <rPr>
        <vertAlign val="superscript"/>
        <sz val="11"/>
        <rFont val="Arial"/>
        <family val="2"/>
      </rPr>
      <t>2</t>
    </r>
  </si>
  <si>
    <t>25.8.06: 4.11, 9.09, 9.10, 9.24, 9.25</t>
  </si>
  <si>
    <t>Risikoausgleich: Bruttoumverteilung und Nettoumverteilung ab 1996</t>
  </si>
  <si>
    <t>Risikoausgleich pro Versicherten und Versicherungsmonat nach Altersgruppen und Geschlecht</t>
  </si>
  <si>
    <t>T 10.01  Risikoausgleich: Nettozahler und Nettoempfänger ab 1996</t>
  </si>
  <si>
    <t>Aus-</t>
  </si>
  <si>
    <t>Netto-</t>
  </si>
  <si>
    <t>Anteil</t>
  </si>
  <si>
    <t>gleichs-</t>
  </si>
  <si>
    <t>jahr</t>
  </si>
  <si>
    <t>1) Anzahl OKP Versicherer, die für das Ausgleichsjahr eine Abgabe an den Risikoausgleich leisten mussten (Nettozahler),</t>
  </si>
  <si>
    <r>
      <t xml:space="preserve">zahler </t>
    </r>
    <r>
      <rPr>
        <vertAlign val="superscript"/>
        <sz val="11"/>
        <rFont val="Arial"/>
        <family val="2"/>
      </rPr>
      <t>1</t>
    </r>
  </si>
  <si>
    <r>
      <t xml:space="preserve">empfänger </t>
    </r>
    <r>
      <rPr>
        <vertAlign val="superscript"/>
        <sz val="11"/>
        <rFont val="Arial"/>
        <family val="2"/>
      </rPr>
      <t>1</t>
    </r>
  </si>
  <si>
    <t xml:space="preserve">  (vgl. hierzu auch Tabelle 2.20).</t>
  </si>
  <si>
    <r>
      <t xml:space="preserve">T 2.07  Effektive Kosten </t>
    </r>
    <r>
      <rPr>
        <b/>
        <vertAlign val="superscript"/>
        <sz val="12"/>
        <rFont val="Arial"/>
        <family val="2"/>
      </rPr>
      <t xml:space="preserve">1 </t>
    </r>
    <r>
      <rPr>
        <b/>
        <sz val="12"/>
        <rFont val="Arial"/>
        <family val="2"/>
      </rPr>
      <t xml:space="preserve"> in Fr. nach Kantonen </t>
    </r>
  </si>
  <si>
    <r>
      <t xml:space="preserve">1) Effektive Kosten = (bezahlte) Leistungen der Versicherer in der OKP </t>
    </r>
    <r>
      <rPr>
        <b/>
        <sz val="10"/>
        <rFont val="Arial"/>
        <family val="2"/>
      </rPr>
      <t>ohne</t>
    </r>
    <r>
      <rPr>
        <sz val="10"/>
        <rFont val="Arial"/>
        <family val="2"/>
      </rPr>
      <t xml:space="preserve"> Kostenbeteiligung durch die Versicherten;</t>
    </r>
  </si>
  <si>
    <t>T 10.02  Risikoausgleich: Bruttoumverteilung und Nettoumverteilung in Mio. Fr. ab 1996</t>
  </si>
  <si>
    <t>nach Ge-</t>
  </si>
  <si>
    <t>nach</t>
  </si>
  <si>
    <t>zwischen</t>
  </si>
  <si>
    <t>schlecht</t>
  </si>
  <si>
    <t>Versicherern</t>
  </si>
  <si>
    <t xml:space="preserve">Vorjahr </t>
  </si>
  <si>
    <t>1) Theoretisch-statistische Grösse: Gesamtschweizerische Umverteilung von Männern zu Frauen resp. von jüngeren</t>
  </si>
  <si>
    <t>Versicherten (19 – 55-jährige Personen) zu älteren Versicherten (56-jährige und ältere Personen).</t>
  </si>
  <si>
    <t>2) Effektiv erfolgte Umverteilung zwischen den Versicherern (von Nettozahlern zu Nettoempfängern; vgl. Tabelle 10.01).</t>
  </si>
  <si>
    <r>
      <t xml:space="preserve">Bruttoumverteilung </t>
    </r>
    <r>
      <rPr>
        <vertAlign val="superscript"/>
        <sz val="11"/>
        <rFont val="Arial"/>
        <family val="2"/>
      </rPr>
      <t>1</t>
    </r>
  </si>
  <si>
    <r>
      <t xml:space="preserve">Nettoumverteilung </t>
    </r>
    <r>
      <rPr>
        <vertAlign val="superscript"/>
        <sz val="11"/>
        <rFont val="Arial"/>
        <family val="2"/>
      </rPr>
      <t>2</t>
    </r>
  </si>
  <si>
    <r>
      <t xml:space="preserve">Ärzte </t>
    </r>
    <r>
      <rPr>
        <vertAlign val="superscript"/>
        <sz val="11"/>
        <rFont val="Arial"/>
        <family val="2"/>
      </rPr>
      <t>1</t>
    </r>
  </si>
  <si>
    <r>
      <t xml:space="preserve">dichte </t>
    </r>
    <r>
      <rPr>
        <vertAlign val="superscript"/>
        <sz val="11"/>
        <rFont val="Arial"/>
        <family val="2"/>
      </rPr>
      <t>2</t>
    </r>
  </si>
  <si>
    <r>
      <t xml:space="preserve">ken </t>
    </r>
    <r>
      <rPr>
        <vertAlign val="superscript"/>
        <sz val="11"/>
        <rFont val="Arial"/>
        <family val="2"/>
      </rPr>
      <t>1</t>
    </r>
  </si>
  <si>
    <r>
      <t xml:space="preserve">dichte </t>
    </r>
    <r>
      <rPr>
        <vertAlign val="superscript"/>
        <sz val="11"/>
        <rFont val="Arial"/>
        <family val="2"/>
      </rPr>
      <t>4</t>
    </r>
  </si>
  <si>
    <t>Merkmal</t>
  </si>
  <si>
    <t>Erkrankte je 100 Versicherte</t>
  </si>
  <si>
    <t>Einweisungen je 100 Versicherte</t>
  </si>
  <si>
    <t>Spitaltage je 100 Versicherte</t>
  </si>
  <si>
    <t>Spitaltage je Einweisung</t>
  </si>
  <si>
    <t>1) Versichertenbestand am Jahresende.</t>
  </si>
  <si>
    <t>2) Anzahl versicherte Personen, welche im Berichtsjahr mindestens einmal ambulante oder stationäre Kosten verursacht haben</t>
  </si>
  <si>
    <t xml:space="preserve">   (die Anzahl Erkrankte ist somit kleiner oder gleich wie die Anzahl Versicherte).</t>
  </si>
  <si>
    <t>3) Anzahl Einweisungen ins Spital stationär; zu zählensind Einweisungen in Spitäler zur kurzfristigen</t>
  </si>
  <si>
    <t xml:space="preserve">    und zur langfristigen Behandlung körperlich Kranker sowie Einweisungen in psychiatrische Klini-</t>
  </si>
  <si>
    <t xml:space="preserve">    ken; nicht zu zählensind hingegen Einweisungen in Pflegeheime. Sobald zwischen zwei Spital-</t>
  </si>
  <si>
    <t xml:space="preserve">    aufenthalten eine Lücke besteht, zählen diese als zwei Einweisungen.</t>
  </si>
  <si>
    <t>4) Anzahl Spitaltage im Spital stationär; zu zählen sind die Spitaltage in Spitälern zur kurzfristigen</t>
  </si>
  <si>
    <r>
      <t xml:space="preserve">völkerung </t>
    </r>
    <r>
      <rPr>
        <vertAlign val="superscript"/>
        <sz val="11"/>
        <rFont val="Arial"/>
        <family val="2"/>
      </rPr>
      <t>2</t>
    </r>
  </si>
  <si>
    <r>
      <t xml:space="preserve">Ziel </t>
    </r>
    <r>
      <rPr>
        <b/>
        <vertAlign val="superscript"/>
        <sz val="11"/>
        <rFont val="Arial"/>
        <family val="2"/>
      </rPr>
      <t>5</t>
    </r>
  </si>
  <si>
    <r>
      <t xml:space="preserve">beiträge </t>
    </r>
    <r>
      <rPr>
        <vertAlign val="superscript"/>
        <sz val="11"/>
        <rFont val="Arial"/>
        <family val="2"/>
      </rPr>
      <t>4</t>
    </r>
  </si>
  <si>
    <r>
      <t xml:space="preserve">2) Jahresergebnis ( = Vorschlag Gesamtbetriebsrechnung minus Rückschlag Gesamtbetriebsrechnung) </t>
    </r>
    <r>
      <rPr>
        <i/>
        <sz val="10"/>
        <rFont val="Arial"/>
        <family val="2"/>
      </rPr>
      <t>vor</t>
    </r>
    <r>
      <rPr>
        <sz val="10"/>
        <rFont val="Arial"/>
        <family val="2"/>
      </rPr>
      <t xml:space="preserve"> der Zuweisung an</t>
    </r>
  </si>
  <si>
    <t>T 8.03  Stellen- und Personalbestand der Versicherer ab 1996</t>
  </si>
  <si>
    <t xml:space="preserve">   Verwaltung / Haupsitz</t>
  </si>
  <si>
    <t xml:space="preserve">       Sektionen / Agenturen</t>
  </si>
  <si>
    <t xml:space="preserve">                          Total</t>
  </si>
  <si>
    <t>Stellen</t>
  </si>
  <si>
    <t>Personen</t>
  </si>
  <si>
    <t>1) Ab 2001, nur obligatorische Grundversicherung OKP.</t>
  </si>
  <si>
    <t>2) Total Personen.</t>
  </si>
  <si>
    <t>Quelle: Formular EF3 [3.10.3]</t>
  </si>
  <si>
    <r>
      <t xml:space="preserve">Vorjahr </t>
    </r>
    <r>
      <rPr>
        <vertAlign val="superscript"/>
        <sz val="9"/>
        <rFont val="Arial"/>
        <family val="2"/>
      </rPr>
      <t>2</t>
    </r>
  </si>
  <si>
    <t xml:space="preserve">      Anzahl Versicherer</t>
  </si>
  <si>
    <t xml:space="preserve">Anzahl </t>
  </si>
  <si>
    <t>Zuwachs</t>
  </si>
  <si>
    <t>Abgang</t>
  </si>
  <si>
    <t>Obligatorische</t>
  </si>
  <si>
    <t>Taggeld-</t>
  </si>
  <si>
    <t>Krankenpflege-</t>
  </si>
  <si>
    <t>versicherung</t>
  </si>
  <si>
    <t>Quelle: T 5.01; T 5.03; T 5.04</t>
  </si>
  <si>
    <t>1 – 5'000</t>
  </si>
  <si>
    <t>5'001 –</t>
  </si>
  <si>
    <t>10'001 –</t>
  </si>
  <si>
    <t>1.11.06: 4.07, Bd</t>
  </si>
  <si>
    <t>27.10.06: T9d, 9.12</t>
  </si>
  <si>
    <t>9.21</t>
  </si>
  <si>
    <t>Daten pro Kanton (27)</t>
  </si>
  <si>
    <t>neu / Neuheit im Jahr 2005 (2)</t>
  </si>
  <si>
    <t>Neue Nummer im Jahr 2005 (62)</t>
  </si>
  <si>
    <t>T 9.08 Details des Finanzierungssaldos in Millionen Franken ab 1996</t>
  </si>
  <si>
    <t xml:space="preserve">Durchschnittl. </t>
  </si>
  <si>
    <t>Schätzung</t>
  </si>
  <si>
    <t>2003-2004</t>
  </si>
  <si>
    <t>jährl.</t>
  </si>
  <si>
    <t>1996-2004</t>
  </si>
  <si>
    <t>Krankenversicherer</t>
  </si>
  <si>
    <t>Obligatorische Krankenpflegeversicherung KVG</t>
  </si>
  <si>
    <t xml:space="preserve">Zusatzversicherungen VVG der KVG-Versicherer </t>
  </si>
  <si>
    <t>Zusatzversicherungen VVG der Privatversicherer</t>
  </si>
  <si>
    <t>Fussnoten T 9.06:</t>
  </si>
  <si>
    <t>1) Subventionen oder direkte Leistungen an das Gesundheitswesen (an die Leistungserbringer (Spitäler), an die</t>
  </si>
  <si>
    <t xml:space="preserve">   sozialmedizinischen Institutionen, an die Spitex- und Rettungsdienste) und die Öffentliche Gesundheit, Verwaltung und Prävention.</t>
  </si>
  <si>
    <t xml:space="preserve">   Quelle: Kosten des Gesundheitswesens [nach Direktzahlern], BFS. Schätzungen: BFS [Medienmitteilung 3/06].</t>
  </si>
  <si>
    <t>2) Leistungen/Zahlungen nur an das Gesundheitswesen.</t>
  </si>
  <si>
    <t xml:space="preserve">   Quelle: Kosten des Gesundheitswesens [aus der Sicht der sozialen Sicherheit], BFS. Schätzungen: BAG: Entwicklung gemäss jährl. Veränderung 2003-2004.</t>
  </si>
  <si>
    <t>3) Individuelle Sachleistungen und Subventionen an die IV-Institutionen; von der AHV bezahlte Hilfsmittel.</t>
  </si>
  <si>
    <t>4) Quelle: T 9.08.</t>
  </si>
  <si>
    <t>5) Ohne Prämien für Taggelder KVG oder VVG. Quelle: T 9.08.</t>
  </si>
  <si>
    <t>6) Ohne Prämien für Taggelder für Verdienstausfall nach VVG. Quelle: T 9.08.</t>
  </si>
  <si>
    <t>gegenüber</t>
  </si>
  <si>
    <t xml:space="preserve">1) Bei der Berechnung der Abgaben und Beiträge werden die effektiven Durchschnittskosten jeder Risikogruppe mit den </t>
  </si>
  <si>
    <t>effektiven Durchschnittskosten aller erwachsenen Versicherten im Alter von 19 und mehr Jahren (Referenzgruppe) verglichen.</t>
  </si>
  <si>
    <t xml:space="preserve">Sind die effektiven Durchschnittskosten der jeweiligen Risikogruppe höher als die Durchschnittskosten der Referenzgruppe, </t>
  </si>
  <si>
    <t>so erhält der Versicherer für jeden Versicherten in dieser Risikogruppe einen Beitrag (+). Umgekehrt hat er eine Abgabe (-) zu leisten.</t>
  </si>
  <si>
    <t>Kinder (0-18 Jahre) werden für die Berechnung des Risikoausgleichs nicht miteinbezogen.</t>
  </si>
  <si>
    <r>
      <t xml:space="preserve">T 10.03  Risikoausgleich </t>
    </r>
    <r>
      <rPr>
        <b/>
        <vertAlign val="superscript"/>
        <sz val="12"/>
        <rFont val="Arial"/>
        <family val="2"/>
      </rPr>
      <t>1</t>
    </r>
    <r>
      <rPr>
        <b/>
        <sz val="12"/>
        <rFont val="Arial"/>
        <family val="2"/>
      </rPr>
      <t xml:space="preserve">  in Fr. pro Versicherten und Versicherungsmonat nach Altersgruppen und Geschlecht</t>
    </r>
  </si>
  <si>
    <t>(vgl. hierzu auch Tabellen 2.14, 2.16 et 2.17).</t>
  </si>
  <si>
    <r>
      <t xml:space="preserve">T 2.04  Bruttokosten </t>
    </r>
    <r>
      <rPr>
        <b/>
        <vertAlign val="superscript"/>
        <sz val="12"/>
        <rFont val="Arial"/>
        <family val="2"/>
      </rPr>
      <t>1</t>
    </r>
    <r>
      <rPr>
        <b/>
        <sz val="12"/>
        <rFont val="Arial"/>
        <family val="2"/>
      </rPr>
      <t xml:space="preserve">  in Fr. nach Kantonen</t>
    </r>
  </si>
  <si>
    <r>
      <t xml:space="preserve">1) Bruttokosten = Leistungen (brutto) der Versicherer in der OKP </t>
    </r>
    <r>
      <rPr>
        <b/>
        <sz val="10"/>
        <rFont val="Arial"/>
        <family val="2"/>
      </rPr>
      <t>mit</t>
    </r>
    <r>
      <rPr>
        <sz val="10"/>
        <rFont val="Arial"/>
        <family val="2"/>
      </rPr>
      <t xml:space="preserve"> Kostenbeteiligung durch die Versicherten;</t>
    </r>
  </si>
  <si>
    <t>Quelle: T 2.04 / T 11.16</t>
  </si>
  <si>
    <t>der Versicherten sind unterhalb dieser Prämie</t>
  </si>
  <si>
    <t>der Versicherten sind unterhalb und oberhalb dieser Prämie</t>
  </si>
  <si>
    <t>Leistungen in Franken pro Versicherte(n)</t>
  </si>
  <si>
    <t>Quelle: Formular EF3 [3.9]</t>
  </si>
  <si>
    <t>1) Getrennte Rechnungsführung für die Einzel- und die Kollektivversicherung wird nur bei unterschiedlichen Prämientarifen</t>
  </si>
  <si>
    <t>verlangt (vgl. Art. 75 Abs. 2 KVG).</t>
  </si>
  <si>
    <t>2) Versichertenbestand am 31.12.</t>
  </si>
  <si>
    <r>
      <t xml:space="preserve">T 6.03 Versicherer, Versicherte, Prämien und Leistungen nach Einzel- und Kollektivverträgen </t>
    </r>
    <r>
      <rPr>
        <b/>
        <vertAlign val="superscript"/>
        <sz val="12"/>
        <rFont val="Arial"/>
        <family val="2"/>
      </rPr>
      <t>1</t>
    </r>
  </si>
  <si>
    <r>
      <t xml:space="preserve">Versichertenbestand </t>
    </r>
    <r>
      <rPr>
        <b/>
        <vertAlign val="superscript"/>
        <sz val="11"/>
        <rFont val="Arial"/>
        <family val="2"/>
      </rPr>
      <t>2</t>
    </r>
  </si>
  <si>
    <t xml:space="preserve">T 6.04  Betriebsrechnung der Einzel- und Kollektivversicherung insgesamt </t>
  </si>
  <si>
    <t>Quelle: Formular EF2 [2.0 &amp; 2.1]</t>
  </si>
  <si>
    <t>Quelle: Formular EF2 [2.0]</t>
  </si>
  <si>
    <r>
      <t xml:space="preserve">T 6.05  Betriebsrechnung der Einzelversicherung </t>
    </r>
    <r>
      <rPr>
        <b/>
        <vertAlign val="superscript"/>
        <sz val="12"/>
        <rFont val="Arial"/>
        <family val="2"/>
      </rPr>
      <t>1</t>
    </r>
  </si>
  <si>
    <t>Quelle: Formular EF2 [2.1]</t>
  </si>
  <si>
    <r>
      <t xml:space="preserve">T 6.06  Betriebsrechnung der Kollektivversicherung </t>
    </r>
    <r>
      <rPr>
        <b/>
        <vertAlign val="superscript"/>
        <sz val="12"/>
        <rFont val="Arial"/>
        <family val="2"/>
      </rPr>
      <t>1</t>
    </r>
  </si>
  <si>
    <t>T 6.01 Prämien, Leistungen, Versichertenbestand und Versichererbestand ab 1996</t>
  </si>
  <si>
    <t>Prämien-</t>
  </si>
  <si>
    <t>Leistun-</t>
  </si>
  <si>
    <t>Versi-</t>
  </si>
  <si>
    <t>soll pro</t>
  </si>
  <si>
    <t>gen pro</t>
  </si>
  <si>
    <t>cherten-</t>
  </si>
  <si>
    <t>cherer-</t>
  </si>
  <si>
    <t>Versicherte(n)</t>
  </si>
  <si>
    <t>bestand</t>
  </si>
  <si>
    <t>te(n) in Fr.</t>
  </si>
  <si>
    <t>Quelle: T 6.03</t>
  </si>
  <si>
    <t>1) Versichertenbestand am 31.12. Die Werte 1997 bis 1999 des Versichertenbestands wurden revidiert.</t>
  </si>
  <si>
    <r>
      <t xml:space="preserve">bestand </t>
    </r>
    <r>
      <rPr>
        <vertAlign val="superscript"/>
        <sz val="11"/>
        <rFont val="Arial"/>
        <family val="2"/>
      </rPr>
      <t>1</t>
    </r>
  </si>
  <si>
    <t>T 9.16 Krankenversicherung bei den privaten Versicherungsunternehmungen ab 1996 in Mio. Fr.</t>
  </si>
  <si>
    <t>mit</t>
  </si>
  <si>
    <t>krankenver-</t>
  </si>
  <si>
    <t>1) Prämien = verdiente Prämien brutto; Leistungen = Zahlungen für Versicherungsfälle brutto.</t>
  </si>
  <si>
    <t xml:space="preserve">  1996:  Schätzung  BSV (kursiv).</t>
  </si>
  <si>
    <t xml:space="preserve">   Die Zusatzversicherungen gemäss VVG der KVG-Versicherer (Krankenkassen) ab 1996 sind in diesen Zahlen nicht inbegriffen.</t>
  </si>
  <si>
    <t>2) Prämien und Leistungen ohne Taggeldversicherung und ohne Unfallversicherung.</t>
  </si>
  <si>
    <t>Quelle: Die privaten Versicherungseinrichtungen in der Schweiz (BPV), detaillierte Fassung der Tabelle AS03N.</t>
  </si>
  <si>
    <r>
      <t xml:space="preserve">Prämien </t>
    </r>
    <r>
      <rPr>
        <b/>
        <vertAlign val="superscript"/>
        <sz val="11"/>
        <rFont val="Arial"/>
        <family val="2"/>
      </rPr>
      <t>1</t>
    </r>
  </si>
  <si>
    <r>
      <t xml:space="preserve">Leistungen </t>
    </r>
    <r>
      <rPr>
        <b/>
        <vertAlign val="superscript"/>
        <sz val="11"/>
        <rFont val="Arial"/>
        <family val="2"/>
      </rPr>
      <t>1</t>
    </r>
  </si>
  <si>
    <r>
      <t xml:space="preserve">      Krankenpflegeversicherung</t>
    </r>
    <r>
      <rPr>
        <b/>
        <vertAlign val="superscript"/>
        <sz val="11"/>
        <rFont val="Arial"/>
        <family val="2"/>
      </rPr>
      <t xml:space="preserve"> 2</t>
    </r>
  </si>
  <si>
    <r>
      <t xml:space="preserve">      Krankenpflegeversicherung </t>
    </r>
    <r>
      <rPr>
        <b/>
        <vertAlign val="superscript"/>
        <sz val="11"/>
        <rFont val="Arial"/>
        <family val="2"/>
      </rPr>
      <t>2</t>
    </r>
  </si>
  <si>
    <t>T 9.17 Taggeldversicherung KVG / VVG ab 1996 in Mio. Fr.</t>
  </si>
  <si>
    <t>KVG-Versicherer</t>
  </si>
  <si>
    <t>Privat-versicherer</t>
  </si>
  <si>
    <t>freiwillige</t>
  </si>
  <si>
    <t>Versicherung</t>
  </si>
  <si>
    <t>Prämien = verdiente Prämien brutto; Leistungen = Zahlungen für Versicherungsfälle .</t>
  </si>
  <si>
    <t>1) Quelle: T 6.04 Brutto-Prämien [60-65] und bezahlte Leistungen [30-33]. Mit Unfallversicherung.</t>
  </si>
  <si>
    <t>7) Quelle: Kosten des Gesundheitswesens [aus der Sicht der sozialen Sicherheit], BFS.</t>
  </si>
  <si>
    <t xml:space="preserve">     Schätzungen: BAG: Entwicklung gemäss jährl. Veränderung 2003-2004.</t>
  </si>
  <si>
    <t xml:space="preserve">8) Zahnpflege, Pensionskosten in Pflegeheimen, Spitexdienste und rezeptfreie Medikamente </t>
  </si>
  <si>
    <t xml:space="preserve">    ("over the counter") bilden die Hauptkosten zur vollen oder teilweisen Last der Haushalte.</t>
  </si>
  <si>
    <t xml:space="preserve">   Wert berechnet wie das Total der Kosten des Gesundheitswesens - Summe der anderen Positionen.</t>
  </si>
  <si>
    <t>9) Spenden und Legate an Organisationen ohne Erwerbszweck wie Pflegeheime für Betagte, Institutionen für Behinderte, Spitexorganisationen, Gesundheitsligen.</t>
  </si>
  <si>
    <t xml:space="preserve">     Quelle: Kosten des Gesundheitswesens [nach Direktzahlern], BFS. Schätzungen: BFS [Medienmitteilung 3/06].</t>
  </si>
  <si>
    <t>11) Quelle: T 9.08.</t>
  </si>
  <si>
    <t>12) Quelle: Kosten des Gesundheitswesens [nach Direktzahlern], BFS. Schätzungen: BFS [Medienmitteilung 3/06].</t>
  </si>
  <si>
    <t>13) Quelle: T 4.07 (Subventionsbudget nach Kürzungen).</t>
  </si>
  <si>
    <t>Fussnoten T 9.07:</t>
  </si>
  <si>
    <t xml:space="preserve">1) - 13) Vgl. Fussnoten von Tabelle 9.06. </t>
  </si>
  <si>
    <t>14) Ohne Prämienverbilligung KVG (in den Bruttoprämien der obligatorischen Krankenpflegeversicherung enthalten).</t>
  </si>
  <si>
    <t>15) Leistungen I der Krankenversicherer [T 9.08 a) ] + Kostenbeteiligung [T 9.08 f) ].</t>
  </si>
  <si>
    <t>16) Siehe T 9.08 : b) Übriger Aufwand und d) Verwaltungskosten (inkl. Prävention).</t>
  </si>
  <si>
    <t>Fussnoten T 9.08:</t>
  </si>
  <si>
    <t>1) Ohne Taggelder (für Verdienstausfall) KVG oder VVG.</t>
  </si>
  <si>
    <t>2) Quelle: T 1.02 [30-33] &amp; T 7.03 [30-33] ohne Taggeld VVG-Prämien oder T 9.18.</t>
  </si>
  <si>
    <t>3) = d) - c). Übriger Versicherungsaufwand gemäss Kosten des Gesundheitswesens, BFS { Quelle: T 1.02 [34]  und T 7.03 [34] } + Korrekturen [BFS].</t>
  </si>
  <si>
    <t>4) = e) - d)</t>
  </si>
  <si>
    <t>5) Verwaltungskosten (inkl. Prävention). Quelle: Kosten des Gesundheitswesens [nach Leistungserbringern und Direktzahlern, interne detaillierte Version BFS]. Schätzungen [BAG]: basierend auf dem 2004 festgestellten Verhältnis [d) / a)].</t>
  </si>
  <si>
    <t>6) Quelle: Kosten des Gesundheitswesens [nach Direktzahlern], BFS. Schätzungen: basierend auf dem 2004 festgestellten Verhältnis [e) / a)].</t>
  </si>
  <si>
    <t>7) Quelle: T 1.02 [32]; T 7.03 [32], keine Informationen für Privatversicherer [0].</t>
  </si>
  <si>
    <t>8) = e) + f)</t>
  </si>
  <si>
    <t>9) Quelle: T 1.02 [60-65] (Bruttoprämien  inklusive Prämienverbilligung KVG) &amp; T 7.03 [60-65] ohne Taggeld VVG-Prämien oder T 9.18.</t>
  </si>
  <si>
    <t>10) = h) + f)</t>
  </si>
  <si>
    <t>11) Finanzierungssaldo: Differenz zwischen den Leistungen III der Versicherer an das Gesundheitswesen und den Prämieneinzahlungen der Haushalte.</t>
  </si>
  <si>
    <t xml:space="preserve">    Aus der Sicht des Finanzgleichgewichts handelt es sich um die Kapitaleinkommen, die ausserordentlichen Einkommen, die Gewinne und die Veränderungen von Reserven.</t>
  </si>
  <si>
    <t xml:space="preserve">    Ein positiver Saldo bedeutet grundsätzlich einen Abbau, ein negativer Saldo eine Erhöhung der Reserven. = e) - h) oder g) - i).</t>
  </si>
  <si>
    <r>
      <t xml:space="preserve">Krankenversicherung </t>
    </r>
    <r>
      <rPr>
        <b/>
        <i/>
        <vertAlign val="superscript"/>
        <sz val="10"/>
        <rFont val="Arial"/>
        <family val="2"/>
      </rPr>
      <t>1</t>
    </r>
  </si>
  <si>
    <r>
      <t xml:space="preserve">2005 </t>
    </r>
    <r>
      <rPr>
        <b/>
        <i/>
        <vertAlign val="superscript"/>
        <sz val="10"/>
        <rFont val="Arial"/>
        <family val="2"/>
      </rPr>
      <t>12</t>
    </r>
  </si>
  <si>
    <r>
      <t xml:space="preserve">  a) Leistungen der Krankenversicherer I </t>
    </r>
    <r>
      <rPr>
        <b/>
        <vertAlign val="superscript"/>
        <sz val="10"/>
        <rFont val="Arial"/>
        <family val="2"/>
      </rPr>
      <t>2</t>
    </r>
  </si>
  <si>
    <r>
      <t xml:space="preserve">  b) Übriger Aufwand </t>
    </r>
    <r>
      <rPr>
        <b/>
        <vertAlign val="superscript"/>
        <sz val="10"/>
        <rFont val="Arial"/>
        <family val="2"/>
      </rPr>
      <t>3</t>
    </r>
  </si>
  <si>
    <r>
      <t xml:space="preserve">  c) Leistungen II </t>
    </r>
    <r>
      <rPr>
        <b/>
        <vertAlign val="superscript"/>
        <sz val="10"/>
        <rFont val="Arial"/>
        <family val="2"/>
      </rPr>
      <t>4</t>
    </r>
  </si>
  <si>
    <r>
      <t xml:space="preserve">  d) Verwaltungskosten (inkl. Prävention)  </t>
    </r>
    <r>
      <rPr>
        <b/>
        <vertAlign val="superscript"/>
        <sz val="10"/>
        <rFont val="Arial"/>
        <family val="2"/>
      </rPr>
      <t>5</t>
    </r>
  </si>
  <si>
    <r>
      <t xml:space="preserve">  e) Leistungen III  </t>
    </r>
    <r>
      <rPr>
        <b/>
        <vertAlign val="superscript"/>
        <sz val="10"/>
        <rFont val="Arial"/>
        <family val="2"/>
      </rPr>
      <t>6</t>
    </r>
  </si>
  <si>
    <r>
      <t xml:space="preserve">  f) Kostenbeteiligung </t>
    </r>
    <r>
      <rPr>
        <b/>
        <vertAlign val="superscript"/>
        <sz val="10"/>
        <rFont val="Arial"/>
        <family val="2"/>
      </rPr>
      <t>7</t>
    </r>
  </si>
  <si>
    <r>
      <t xml:space="preserve">  g) Gesamtleistungen IV  </t>
    </r>
    <r>
      <rPr>
        <b/>
        <vertAlign val="superscript"/>
        <sz val="10"/>
        <rFont val="Arial"/>
        <family val="2"/>
      </rPr>
      <t>8</t>
    </r>
  </si>
  <si>
    <r>
      <t xml:space="preserve">  h) Prämien der Haushalte </t>
    </r>
    <r>
      <rPr>
        <b/>
        <vertAlign val="superscript"/>
        <sz val="10"/>
        <rFont val="Arial"/>
        <family val="2"/>
      </rPr>
      <t>9</t>
    </r>
  </si>
  <si>
    <r>
      <t xml:space="preserve">Obligatorische Krankenpflegeversicherung KVG </t>
    </r>
    <r>
      <rPr>
        <vertAlign val="superscript"/>
        <sz val="8"/>
        <rFont val="Arial"/>
        <family val="2"/>
      </rPr>
      <t>3</t>
    </r>
  </si>
  <si>
    <r>
      <t xml:space="preserve">  i) Gesamtbeitrag </t>
    </r>
    <r>
      <rPr>
        <b/>
        <vertAlign val="superscript"/>
        <sz val="10"/>
        <rFont val="Arial"/>
        <family val="2"/>
      </rPr>
      <t>10</t>
    </r>
  </si>
  <si>
    <r>
      <t xml:space="preserve">j) Finanzierungssaldo </t>
    </r>
    <r>
      <rPr>
        <b/>
        <vertAlign val="superscript"/>
        <sz val="10"/>
        <rFont val="Arial"/>
        <family val="2"/>
      </rPr>
      <t>11</t>
    </r>
  </si>
  <si>
    <r>
      <t xml:space="preserve">10) NettoPrämien der Haushalte = Bruttoprämien obligatorische Krankenpflegeversicherung (T 9.08 </t>
    </r>
    <r>
      <rPr>
        <vertAlign val="superscript"/>
        <sz val="10"/>
        <rFont val="Arial"/>
        <family val="2"/>
      </rPr>
      <t>h</t>
    </r>
    <r>
      <rPr>
        <sz val="10"/>
        <rFont val="Arial"/>
        <family val="2"/>
      </rPr>
      <t xml:space="preserve"> ) - Prämienverbilligung KVG an Versicherte (T 9.06 </t>
    </r>
    <r>
      <rPr>
        <vertAlign val="superscript"/>
        <sz val="10"/>
        <rFont val="Arial"/>
        <family val="2"/>
      </rPr>
      <t>13</t>
    </r>
    <r>
      <rPr>
        <sz val="10"/>
        <rFont val="Arial"/>
        <family val="2"/>
      </rPr>
      <t xml:space="preserve"> ).</t>
    </r>
  </si>
  <si>
    <r>
      <t xml:space="preserve">14) Schätzungen </t>
    </r>
    <r>
      <rPr>
        <i/>
        <sz val="10"/>
        <rFont val="Arial"/>
        <family val="2"/>
      </rPr>
      <t>(kursiv)</t>
    </r>
    <r>
      <rPr>
        <sz val="10"/>
        <rFont val="Arial"/>
        <family val="2"/>
      </rPr>
      <t xml:space="preserve"> [BFS &amp; BAG].</t>
    </r>
  </si>
  <si>
    <r>
      <t xml:space="preserve">17) Schätzungen </t>
    </r>
    <r>
      <rPr>
        <i/>
        <sz val="10"/>
        <rFont val="Arial"/>
        <family val="2"/>
      </rPr>
      <t>(kursiv)</t>
    </r>
    <r>
      <rPr>
        <sz val="10"/>
        <rFont val="Arial"/>
        <family val="2"/>
      </rPr>
      <t xml:space="preserve"> [BFS &amp; BAG].</t>
    </r>
  </si>
  <si>
    <r>
      <t xml:space="preserve">12) Schätzungen </t>
    </r>
    <r>
      <rPr>
        <i/>
        <sz val="10"/>
        <rFont val="Arial"/>
        <family val="2"/>
      </rPr>
      <t>(kursiv)</t>
    </r>
    <r>
      <rPr>
        <sz val="10"/>
        <rFont val="Arial"/>
        <family val="2"/>
      </rPr>
      <t xml:space="preserve"> [BAG].</t>
    </r>
  </si>
  <si>
    <t>T 9.07 Kosten des Gesundheitswesens in der Schweiz aus der Sicht der Krankenversicherungsleistungen in Millionen Franken ab 1996</t>
  </si>
  <si>
    <t>Finanzierungsträger</t>
  </si>
  <si>
    <t>Durchschnittl.</t>
  </si>
  <si>
    <t>des Gesundheitswesens</t>
  </si>
  <si>
    <t>Übrige Systeme der sozialen Sicherheit</t>
  </si>
  <si>
    <t xml:space="preserve"> Übriger Aufwand</t>
  </si>
  <si>
    <t xml:space="preserve"> Verwaltungskosten (inkl. Prävention) </t>
  </si>
  <si>
    <t>1) - 17) und Quellen: siehe Fussnoten unter der Tabelle 9.08.</t>
  </si>
  <si>
    <r>
      <t xml:space="preserve">2005 </t>
    </r>
    <r>
      <rPr>
        <i/>
        <vertAlign val="superscript"/>
        <sz val="10"/>
        <rFont val="Arial"/>
        <family val="2"/>
      </rPr>
      <t>17</t>
    </r>
  </si>
  <si>
    <r>
      <t xml:space="preserve">Staat </t>
    </r>
    <r>
      <rPr>
        <b/>
        <vertAlign val="superscript"/>
        <sz val="10"/>
        <rFont val="Arial"/>
        <family val="2"/>
      </rPr>
      <t>1</t>
    </r>
  </si>
  <si>
    <r>
      <t xml:space="preserve">Sozialversicherungen </t>
    </r>
    <r>
      <rPr>
        <b/>
        <vertAlign val="superscript"/>
        <sz val="10"/>
        <rFont val="Arial"/>
        <family val="2"/>
      </rPr>
      <t>2</t>
    </r>
  </si>
  <si>
    <r>
      <t xml:space="preserve">     Ergänzungsleistungen </t>
    </r>
    <r>
      <rPr>
        <b/>
        <vertAlign val="superscript"/>
        <sz val="9"/>
        <rFont val="Arial"/>
        <family val="2"/>
      </rPr>
      <t>7</t>
    </r>
  </si>
  <si>
    <r>
      <t xml:space="preserve">     Sozialhilfe </t>
    </r>
    <r>
      <rPr>
        <b/>
        <vertAlign val="superscript"/>
        <sz val="9"/>
        <rFont val="Arial"/>
        <family val="2"/>
      </rPr>
      <t>7</t>
    </r>
  </si>
  <si>
    <r>
      <t xml:space="preserve">     Hilflosenentschädigungen </t>
    </r>
    <r>
      <rPr>
        <b/>
        <vertAlign val="superscript"/>
        <sz val="9"/>
        <rFont val="Arial"/>
        <family val="2"/>
      </rPr>
      <t>7</t>
    </r>
  </si>
  <si>
    <r>
      <t xml:space="preserve">Brutto Krankenversicherungleistungen </t>
    </r>
    <r>
      <rPr>
        <b/>
        <vertAlign val="superscript"/>
        <sz val="10"/>
        <rFont val="Arial"/>
        <family val="2"/>
      </rPr>
      <t>15</t>
    </r>
    <r>
      <rPr>
        <b/>
        <sz val="10"/>
        <rFont val="Arial"/>
        <family val="2"/>
      </rPr>
      <t xml:space="preserve"> </t>
    </r>
  </si>
  <si>
    <r>
      <t xml:space="preserve">       davon Kostenbeteiligung </t>
    </r>
    <r>
      <rPr>
        <b/>
        <vertAlign val="superscript"/>
        <sz val="8"/>
        <rFont val="Arial"/>
        <family val="2"/>
      </rPr>
      <t>11</t>
    </r>
  </si>
  <si>
    <r>
      <t xml:space="preserve">      davon Prämienverbilligung KVG </t>
    </r>
    <r>
      <rPr>
        <b/>
        <vertAlign val="superscript"/>
        <sz val="8"/>
        <rFont val="Arial"/>
        <family val="2"/>
      </rPr>
      <t>13</t>
    </r>
  </si>
  <si>
    <r>
      <t xml:space="preserve">Zusatzversicherungen VVG der KVG-Versicherer </t>
    </r>
    <r>
      <rPr>
        <vertAlign val="superscript"/>
        <sz val="9"/>
        <rFont val="Arial"/>
        <family val="2"/>
      </rPr>
      <t>5</t>
    </r>
  </si>
  <si>
    <r>
      <t xml:space="preserve">      davon Kostenbeteiligung </t>
    </r>
    <r>
      <rPr>
        <b/>
        <vertAlign val="superscript"/>
        <sz val="8"/>
        <rFont val="Arial"/>
        <family val="2"/>
      </rPr>
      <t>11</t>
    </r>
  </si>
  <si>
    <r>
      <t xml:space="preserve">Zusatzversicherungen VVG der Privatversicherer </t>
    </r>
    <r>
      <rPr>
        <vertAlign val="superscript"/>
        <sz val="9"/>
        <rFont val="Arial"/>
        <family val="2"/>
      </rPr>
      <t>6</t>
    </r>
  </si>
  <si>
    <r>
      <t xml:space="preserve">Andere </t>
    </r>
    <r>
      <rPr>
        <b/>
        <vertAlign val="superscript"/>
        <sz val="10"/>
        <rFont val="Arial"/>
        <family val="2"/>
      </rPr>
      <t>16</t>
    </r>
  </si>
  <si>
    <r>
      <t xml:space="preserve">Out of pocket (Haushalte) </t>
    </r>
    <r>
      <rPr>
        <b/>
        <vertAlign val="superscript"/>
        <sz val="10"/>
        <rFont val="Arial"/>
        <family val="2"/>
      </rPr>
      <t>8</t>
    </r>
  </si>
  <si>
    <r>
      <t xml:space="preserve">Übrige private Finanzierung </t>
    </r>
    <r>
      <rPr>
        <b/>
        <vertAlign val="superscript"/>
        <sz val="10"/>
        <rFont val="Arial"/>
        <family val="2"/>
      </rPr>
      <t>9</t>
    </r>
  </si>
  <si>
    <r>
      <t xml:space="preserve">Total Kosten des Gesundheitswesens </t>
    </r>
    <r>
      <rPr>
        <b/>
        <vertAlign val="superscript"/>
        <sz val="10"/>
        <rFont val="Arial"/>
        <family val="2"/>
      </rPr>
      <t>12</t>
    </r>
  </si>
  <si>
    <t>T 9.06 Kosten des Gesundheitswesens in der Schweiz aus der Sicht der Krankenversicherungsprämien in Millionen Franken ab 1996</t>
  </si>
  <si>
    <t>Bund</t>
  </si>
  <si>
    <t>Kantone</t>
  </si>
  <si>
    <t>Gemeinden</t>
  </si>
  <si>
    <t>Unfallversicherung UVG</t>
  </si>
  <si>
    <t>Militärversicherung</t>
  </si>
  <si>
    <t xml:space="preserve">  Krankenversicherungsprämien </t>
  </si>
  <si>
    <t>1) - 14) und Quellen: siehe Fussnoten unter der Tabelle 9.08.</t>
  </si>
  <si>
    <r>
      <t xml:space="preserve">2005 </t>
    </r>
    <r>
      <rPr>
        <b/>
        <i/>
        <vertAlign val="superscript"/>
        <sz val="10"/>
        <rFont val="Arial"/>
        <family val="2"/>
      </rPr>
      <t>14</t>
    </r>
  </si>
  <si>
    <r>
      <t xml:space="preserve">AHV / IV </t>
    </r>
    <r>
      <rPr>
        <b/>
        <vertAlign val="superscript"/>
        <sz val="10"/>
        <rFont val="Arial"/>
        <family val="2"/>
      </rPr>
      <t>3</t>
    </r>
  </si>
  <si>
    <r>
      <t xml:space="preserve">Finanzierungssaldo für die Krankenversicherung </t>
    </r>
    <r>
      <rPr>
        <b/>
        <vertAlign val="superscript"/>
        <sz val="10"/>
        <rFont val="Arial"/>
        <family val="2"/>
      </rPr>
      <t>4</t>
    </r>
  </si>
  <si>
    <r>
      <t xml:space="preserve">  Prämienverbilligung KVG </t>
    </r>
    <r>
      <rPr>
        <b/>
        <vertAlign val="superscript"/>
        <sz val="10"/>
        <rFont val="Arial"/>
        <family val="2"/>
      </rPr>
      <t>13</t>
    </r>
  </si>
  <si>
    <r>
      <t xml:space="preserve">  Ergänzungsleistungen </t>
    </r>
    <r>
      <rPr>
        <b/>
        <vertAlign val="superscript"/>
        <sz val="10"/>
        <rFont val="Arial"/>
        <family val="2"/>
      </rPr>
      <t>7</t>
    </r>
  </si>
  <si>
    <r>
      <t xml:space="preserve">  Sozialhilfe </t>
    </r>
    <r>
      <rPr>
        <b/>
        <vertAlign val="superscript"/>
        <sz val="10"/>
        <rFont val="Arial"/>
        <family val="2"/>
      </rPr>
      <t>7</t>
    </r>
  </si>
  <si>
    <r>
      <t xml:space="preserve">  Hilflosenentschädigungen </t>
    </r>
    <r>
      <rPr>
        <b/>
        <vertAlign val="superscript"/>
        <sz val="10"/>
        <rFont val="Arial"/>
        <family val="2"/>
      </rPr>
      <t>7</t>
    </r>
  </si>
  <si>
    <r>
      <t xml:space="preserve">Netto Prämien der obligatorischen Krankenpflegeversicherung KVG </t>
    </r>
    <r>
      <rPr>
        <b/>
        <vertAlign val="superscript"/>
        <sz val="8"/>
        <rFont val="Arial"/>
        <family val="2"/>
      </rPr>
      <t>10</t>
    </r>
  </si>
  <si>
    <r>
      <t xml:space="preserve">Zusatzversicherungen VVG der KVG-Versicherer </t>
    </r>
    <r>
      <rPr>
        <b/>
        <vertAlign val="superscript"/>
        <sz val="8"/>
        <rFont val="Arial"/>
        <family val="2"/>
      </rPr>
      <t>5</t>
    </r>
  </si>
  <si>
    <r>
      <t xml:space="preserve">Zusatzversicherungen VVG der Privatversicherer </t>
    </r>
    <r>
      <rPr>
        <b/>
        <vertAlign val="superscript"/>
        <sz val="8"/>
        <rFont val="Arial"/>
        <family val="2"/>
      </rPr>
      <t>6</t>
    </r>
  </si>
  <si>
    <r>
      <t xml:space="preserve">  Kostenbeteiligung </t>
    </r>
    <r>
      <rPr>
        <b/>
        <vertAlign val="superscript"/>
        <sz val="10"/>
        <rFont val="Arial"/>
        <family val="2"/>
      </rPr>
      <t>11</t>
    </r>
  </si>
  <si>
    <r>
      <t xml:space="preserve">  Out of pocket </t>
    </r>
    <r>
      <rPr>
        <b/>
        <vertAlign val="superscript"/>
        <sz val="10"/>
        <rFont val="Arial"/>
        <family val="2"/>
      </rPr>
      <t>8</t>
    </r>
  </si>
  <si>
    <t>T 9.13 Index der Krankenversicherungsprämien je versicherte Person nach Versicherungsart ab 1996 (Basis 1999 = 100)</t>
  </si>
  <si>
    <t>Einfluss auf das</t>
  </si>
  <si>
    <t xml:space="preserve">Kinder </t>
  </si>
  <si>
    <t>verfügbares</t>
  </si>
  <si>
    <t>Einkommen</t>
  </si>
  <si>
    <t>(ganze CH)</t>
  </si>
  <si>
    <t>Veränderung gegenüber dem Vorjahr</t>
  </si>
  <si>
    <t>1) Auswirkung der Prämienentwicklung auf das Wachstum des verfügbaren Einkommens der Haushalte in %. Quelle: Siehe 3).</t>
  </si>
  <si>
    <t>2) Quelle: T 3.12. Effektive Erhöhungen für alle Versicherungsmodelle.</t>
  </si>
  <si>
    <r>
      <t xml:space="preserve">Obligatorische Krankenpflegeversicherung (OKP) </t>
    </r>
    <r>
      <rPr>
        <b/>
        <vertAlign val="superscript"/>
        <sz val="11"/>
        <rFont val="Arial"/>
        <family val="2"/>
      </rPr>
      <t>2</t>
    </r>
  </si>
  <si>
    <r>
      <t xml:space="preserve">Spitalzusatzversicherungen </t>
    </r>
    <r>
      <rPr>
        <b/>
        <vertAlign val="superscript"/>
        <sz val="11"/>
        <rFont val="Arial"/>
        <family val="2"/>
      </rPr>
      <t>3</t>
    </r>
  </si>
  <si>
    <r>
      <t xml:space="preserve">in %  </t>
    </r>
    <r>
      <rPr>
        <vertAlign val="superscript"/>
        <sz val="10"/>
        <rFont val="Arial"/>
        <family val="2"/>
      </rPr>
      <t>1</t>
    </r>
  </si>
  <si>
    <r>
      <t xml:space="preserve">Werte der </t>
    </r>
    <r>
      <rPr>
        <u/>
        <sz val="10"/>
        <rFont val="Arial"/>
        <family val="2"/>
      </rPr>
      <t>effektiven</t>
    </r>
    <r>
      <rPr>
        <sz val="10"/>
        <rFont val="Arial"/>
        <family val="2"/>
      </rPr>
      <t xml:space="preserve"> Erhöhung der Prämien nach Altersgruppen und Versicherungsform: vgl. T 3.12.</t>
    </r>
  </si>
  <si>
    <r>
      <t xml:space="preserve">Werte der </t>
    </r>
    <r>
      <rPr>
        <u/>
        <sz val="10"/>
        <rFont val="Arial"/>
        <family val="2"/>
      </rPr>
      <t>geschätzten</t>
    </r>
    <r>
      <rPr>
        <sz val="10"/>
        <rFont val="Arial"/>
        <family val="2"/>
      </rPr>
      <t xml:space="preserve"> Erhöhung der Prämien pro Kanton und Altersgruppen für die ordentliche Franchise: vgl. T 3.01.</t>
    </r>
  </si>
  <si>
    <t>T 9.15 Totaler Beitrag je versicherte Person (Prämie + Kostenbeteiligung) nach Versicherungsform ab 1996</t>
  </si>
  <si>
    <t>T 9.21  Erkrankte, Spitaleinweisungen und Spitaltage</t>
  </si>
  <si>
    <t>901-922</t>
  </si>
  <si>
    <t>vollständig (129 T.)</t>
  </si>
  <si>
    <t>Kosten des Gesundheitswesens in der Schweiz aus der Sicht der Krankenversicherungsprämien ab 1996</t>
  </si>
  <si>
    <t>Details des Finanzierungssaldos ab 1996</t>
  </si>
  <si>
    <t>9.15</t>
  </si>
  <si>
    <t>(129 Tabellen)</t>
  </si>
  <si>
    <t>1.11.06: 9.06 -&gt; 9.08, 9.13</t>
  </si>
  <si>
    <t>unvollständig (129 / 129 T.)</t>
  </si>
  <si>
    <t>welche von den Versicherern mit unterdurchschnittlich kostenverursachenden Versicherten (Männer, jüngere Personen) finanziert werden.</t>
  </si>
  <si>
    <t>Sicherheits- und Schwankungsreserven = Mittel, die dem Versicherer zur Sicherstellung der langfristigen eigenen Zahlungsfähigkeit dienen.</t>
  </si>
  <si>
    <t>Sektion Statistik und Mathematik</t>
  </si>
  <si>
    <t>© Bundesamt für Gesundheit (BAG)</t>
  </si>
  <si>
    <r>
      <t xml:space="preserve">Bezüger </t>
    </r>
    <r>
      <rPr>
        <vertAlign val="superscript"/>
        <sz val="11"/>
        <rFont val="Arial"/>
        <family val="2"/>
      </rPr>
      <t>1</t>
    </r>
  </si>
  <si>
    <t>Bezüger</t>
  </si>
  <si>
    <t>Bezüger, deren</t>
  </si>
  <si>
    <t>Auszugsweiser Abdruck – ausser für kommerzielle Nutzung –  unter</t>
  </si>
  <si>
    <t>laufende Aufdatierung</t>
  </si>
  <si>
    <t>(0 - 100%)</t>
  </si>
  <si>
    <t>Gesamtgeschäft der vom BAG anerkannten Krankenversicherer</t>
  </si>
  <si>
    <t>Name des Versicherers</t>
  </si>
  <si>
    <t>Datum</t>
  </si>
  <si>
    <t>nicht mehr</t>
  </si>
  <si>
    <t>Neuer</t>
  </si>
  <si>
    <t>Neue</t>
  </si>
  <si>
    <t>Neues</t>
  </si>
  <si>
    <t>Zusammenschluss oder Transfer mit</t>
  </si>
  <si>
    <t>Nr.</t>
  </si>
  <si>
    <t>in der</t>
  </si>
  <si>
    <t>Versicherer</t>
  </si>
  <si>
    <t>Namen</t>
  </si>
  <si>
    <t>Tätikeits-</t>
  </si>
  <si>
    <t>gebiet</t>
  </si>
  <si>
    <t>x</t>
  </si>
  <si>
    <r>
      <t>B</t>
    </r>
    <r>
      <rPr>
        <b/>
        <i/>
        <sz val="12"/>
        <rFont val="55 Helvetica Roman"/>
      </rPr>
      <t xml:space="preserve">     Bundesamt für Gesundheit</t>
    </r>
  </si>
  <si>
    <t>BAG-</t>
  </si>
  <si>
    <t>T 5.04  Mutationen bei den Krankenversicherern</t>
  </si>
  <si>
    <t>andere Teile folgen später</t>
  </si>
  <si>
    <t>501-504</t>
  </si>
  <si>
    <t>Teil 10</t>
  </si>
  <si>
    <t>1001-1003</t>
  </si>
  <si>
    <t>Risikoausgleich in der OKP</t>
  </si>
  <si>
    <r>
      <t xml:space="preserve">Teil  Tabellen </t>
    </r>
    <r>
      <rPr>
        <b/>
        <sz val="14"/>
        <rFont val="55 Helvetica Roman"/>
      </rPr>
      <t>(Excel Format)</t>
    </r>
  </si>
  <si>
    <t>1) Nach dem Entzug der Anerkennung als Krankenversicherer wurden die Leistungen durch den Insolvenzfonds (Gemeinsame Einrichtung) erbracht.</t>
  </si>
  <si>
    <t>Quelle: Bulletin RKUV BAG</t>
  </si>
  <si>
    <t>Versicherer: Durchschnittsbestand = Mittelwert aller Monate / Total: Bestand am 31.12.</t>
  </si>
  <si>
    <t>4A + 4B + 4C) Risikoausgleich (in Mio. Fr., pro versicherte Person in Fr., und in % der Einnahmen)</t>
  </si>
  <si>
    <t>5A + 5B) Leistungen der Versicherer (in Mio. Fr. und pro versicherte Person in Fr.)</t>
  </si>
  <si>
    <t>8A + 8B) Rückstellungen (in Mio. Fr. und pro versicherte Person in Fr.)</t>
  </si>
  <si>
    <t>9A + 9B + 9C) Reserven (in Mio. Fr., pro versicherte Person in Fr., in % des Prämiensolls)</t>
  </si>
  <si>
    <t>&lt; 50'000</t>
  </si>
  <si>
    <t>&lt;= 250'000</t>
  </si>
  <si>
    <t>&gt; 250'000</t>
  </si>
  <si>
    <t>**</t>
  </si>
  <si>
    <t>*) Gilt ab Jahr 2004.</t>
  </si>
  <si>
    <t>**) Versicherer mit weniger als 50 000 Versicherten sind verpflichtet, eine Rückversicherung abzuschliessen.</t>
  </si>
  <si>
    <t>11A + 11B + 11C) Gesetzlich vorgeschriebene Reserve</t>
  </si>
  <si>
    <t xml:space="preserve">Leistungen (brutto) je versicherte Person nach Kostengruppen ab 1996 </t>
  </si>
  <si>
    <t>Leistungen (brutto)  je versicherte Person nach Kostengruppen</t>
  </si>
  <si>
    <t>Bezahlte Leistungen nach Versicherungsform ab 1996</t>
  </si>
  <si>
    <t>19.9.06: 11.08 -&gt; 11.10</t>
  </si>
  <si>
    <t>Zusätzliche Angaben : nach Altersgruppe ab 1996</t>
  </si>
  <si>
    <t xml:space="preserve">Erwachsene </t>
  </si>
  <si>
    <t>(26 Jahre und mehr)</t>
  </si>
  <si>
    <t>Alle Versicherte</t>
  </si>
  <si>
    <t>Quelle: T 2.01 / T 11.05</t>
  </si>
  <si>
    <t>Datenstand: 1997 - 2000 : 16.4.02 ; 2001-2002 : 24.4.03  ; 2003 : 28.4.04 ; 2004 : 4.6.05 ; 2005 : 16.5.06</t>
  </si>
  <si>
    <t xml:space="preserve">Quelle: DATENPOOL santésuisse / Auswertung BAG / Abdeckungsgrad der Erhebung  CH: </t>
  </si>
  <si>
    <t>2) Diese Auswertung basiert auf der Gesamtheit der Versicherten, für die Alter, Geschlecht, Kanton,</t>
  </si>
  <si>
    <t xml:space="preserve">    Versicherungsform und Franchisehöhe bekannt sind.</t>
  </si>
  <si>
    <r>
      <t xml:space="preserve">T 2.02  Kostenbeteiligung </t>
    </r>
    <r>
      <rPr>
        <b/>
        <vertAlign val="superscript"/>
        <sz val="12"/>
        <rFont val="Arial"/>
        <family val="2"/>
      </rPr>
      <t>1</t>
    </r>
    <r>
      <rPr>
        <b/>
        <sz val="12"/>
        <rFont val="Arial"/>
        <family val="2"/>
      </rPr>
      <t xml:space="preserve"> je versicherte Person in Franken nach Versicherungsform ab 1996</t>
    </r>
  </si>
  <si>
    <r>
      <t xml:space="preserve">Zusätzliche Angaben : nach Altersgruppe ab 1996 </t>
    </r>
    <r>
      <rPr>
        <b/>
        <vertAlign val="superscript"/>
        <sz val="12"/>
        <rFont val="Arial"/>
        <family val="2"/>
      </rPr>
      <t>2</t>
    </r>
  </si>
  <si>
    <t>2) Vgl. Fussnote 1) von Tabelle 11.02.</t>
  </si>
  <si>
    <t>1) Vgl. Fussnote 2) von Tabelle 11.02.</t>
  </si>
  <si>
    <t>Ausgaben</t>
  </si>
  <si>
    <t>H 04 A</t>
  </si>
  <si>
    <t>G 04 B</t>
  </si>
  <si>
    <t>H 04 B</t>
  </si>
  <si>
    <t>G 05</t>
  </si>
  <si>
    <t>H 05</t>
  </si>
  <si>
    <t>G 07</t>
  </si>
  <si>
    <t>G 08</t>
  </si>
  <si>
    <t>H 08</t>
  </si>
  <si>
    <t>9.10</t>
  </si>
  <si>
    <t>G 09</t>
  </si>
  <si>
    <t>H 09</t>
  </si>
  <si>
    <t>G 01 A</t>
  </si>
  <si>
    <t>G 03 A</t>
  </si>
  <si>
    <t>G 03 B</t>
  </si>
  <si>
    <t>G 04</t>
  </si>
  <si>
    <t>G 06</t>
  </si>
  <si>
    <t>G 10</t>
  </si>
  <si>
    <t>G 11</t>
  </si>
  <si>
    <t>G 12</t>
  </si>
  <si>
    <t>2.10</t>
  </si>
  <si>
    <t xml:space="preserve">* : Teil Tabellen </t>
  </si>
  <si>
    <t xml:space="preserve">Publikation 2000 </t>
  </si>
  <si>
    <t>F 02 -&gt; F 05</t>
  </si>
  <si>
    <t>F 01 -&gt; F 03</t>
  </si>
  <si>
    <t>3.11</t>
  </si>
  <si>
    <t>3.12</t>
  </si>
  <si>
    <t>3.13</t>
  </si>
  <si>
    <t>5.01 -&gt; 5.03</t>
  </si>
  <si>
    <t>5.00</t>
  </si>
  <si>
    <t>H 06 + H 07</t>
  </si>
  <si>
    <t>G 06 + G 07</t>
  </si>
  <si>
    <t>-</t>
  </si>
  <si>
    <t>1.50</t>
  </si>
  <si>
    <t>Eine positive Prozentzahl bedeutet, dass der Versicherer in den Risikoausgleich einzahlen muss, ein negativer Wert steht bei Versicherern, welche aus dem Risikoausgleich Mittel beziehen können.</t>
  </si>
  <si>
    <t>Natura Gesundheitskasse</t>
  </si>
  <si>
    <t>Mutualité Assurances</t>
  </si>
  <si>
    <t>BAG-Nr. / Versicherer</t>
  </si>
  <si>
    <t>701-705</t>
  </si>
  <si>
    <t>10.01</t>
  </si>
  <si>
    <t>10.02</t>
  </si>
  <si>
    <t>10.03</t>
  </si>
  <si>
    <t>5: Individuelle Daten pro Versicherer</t>
  </si>
  <si>
    <t>Aufsichtsdaten der Krankenversicherer OKP</t>
  </si>
  <si>
    <t>Erklärungen und Quellen für die Aufsichtsdaten</t>
  </si>
  <si>
    <t xml:space="preserve">KVG-Versicherer: Daten zur freiwilligen Taggeldversicherung </t>
  </si>
  <si>
    <t>Mutationen bei den Krankenversicherern</t>
  </si>
  <si>
    <t>Caisse-maladie d'Isérables</t>
  </si>
  <si>
    <t>Krankenkasse Mischabel</t>
  </si>
  <si>
    <t>Krankenkasse Zermatt</t>
  </si>
  <si>
    <t>Quellenangabe (Name der Publikation, Jahr, Nummer der Tabelle) und Zustellung eines</t>
  </si>
  <si>
    <t xml:space="preserve"> - Andere Gesundheitsleistungen: Kostenermittlung nach den typischen Leistungen in den Bereichen Physiotherapie, Labor und Spitex. </t>
  </si>
  <si>
    <t>Andere Gesundheits-leistungen</t>
  </si>
  <si>
    <t>Kosten des Gesundheitswesens in der Schweiz nach Leistungen ab 1996</t>
  </si>
  <si>
    <t>Kosten des Gesundheitswesens in der Schweiz aus der Sicht der Volkswirtschaft und pro Einwohner ab 1996</t>
  </si>
  <si>
    <t>29.9.06: 3.07 -&gt; 3.10</t>
  </si>
  <si>
    <t>T 1.01 Obligatorische Krankenpflegeversicherung ab 1996: wichtigste Indikatoren</t>
  </si>
  <si>
    <t>Merkmale</t>
  </si>
  <si>
    <t>Veränderung 2004 - 2005 in %</t>
  </si>
  <si>
    <t>Jahresdurch-schnittliche Veränderung 1996 - 2005 in %</t>
  </si>
  <si>
    <t>– Anzahl Versicherer OKP</t>
  </si>
  <si>
    <t>– Versichertenbestand per 31.12. in 1'000</t>
  </si>
  <si>
    <t>3A</t>
  </si>
  <si>
    <t>– Anzahl Erkrankte in 1'000</t>
  </si>
  <si>
    <t>3B</t>
  </si>
  <si>
    <t>– Anzahl Erkrankte je 100 Versicherte</t>
  </si>
  <si>
    <t>– Anzahl Spitaleinweisungen in 1'000</t>
  </si>
  <si>
    <t>– Anzahl Spitaltage in 1'000</t>
  </si>
  <si>
    <t>– Prämiensoll in Mio. Fr.</t>
  </si>
  <si>
    <t>– Prämiensoll pro Versicherte(n) in Fr.</t>
  </si>
  <si>
    <t>7A</t>
  </si>
  <si>
    <t>7B</t>
  </si>
  <si>
    <t>7C</t>
  </si>
  <si>
    <t>–– davon ambulante Leistungen in Fr.</t>
  </si>
  <si>
    <t>7D</t>
  </si>
  <si>
    <t>–– davon stationäre Leistungen in Fr.</t>
  </si>
  <si>
    <t>– Kostenbeteiligung in Mio. Fr.</t>
  </si>
  <si>
    <t>– Kostenbeteiligung pro Versicherten in Fr.</t>
  </si>
  <si>
    <t>10A</t>
  </si>
  <si>
    <t>– Verwaltungsaufwand / Abschreibungen in Mio. Fr.</t>
  </si>
  <si>
    <t>10B</t>
  </si>
  <si>
    <t>– Verwaltungsaufwand / Abschreibungen pro Versicherten in Fr.</t>
  </si>
  <si>
    <t>– Gesamtbetriebsergebnis in Mio. Fr.</t>
  </si>
  <si>
    <t>12A</t>
  </si>
  <si>
    <t>– Rückstellungen: Stand per 31.12. in Mio. Fr.</t>
  </si>
  <si>
    <t>12B</t>
  </si>
  <si>
    <t>– Rückstellungen per 31.12. pro Versicherten in Fr.</t>
  </si>
  <si>
    <t>12C</t>
  </si>
  <si>
    <t>13A</t>
  </si>
  <si>
    <t>– Reserven: Stand per 31.12. in Mio. Fr.</t>
  </si>
  <si>
    <t>13B</t>
  </si>
  <si>
    <t>– Reserven per 31.12. pro Versicherten in Fr.</t>
  </si>
  <si>
    <t>13C</t>
  </si>
  <si>
    <t>1) Leistungen brutto = Leistungen inkl. Kostenbeteiligung der Versicherten.</t>
  </si>
  <si>
    <t>2) Leistungen netto = Leistungen der Versicherer abzüglich Kostenbeteiligung der Versicherten.</t>
  </si>
  <si>
    <t>3) Rückstellungen in Prozent der bezahlten Leistungen.</t>
  </si>
  <si>
    <t>4) Reserven in Prozent des Prämiensolls.</t>
  </si>
  <si>
    <t>5) Quelle (Schätzungen): Prämiengenehmigungsverfahren BAG, ausser Versichertenbestand und Verwaltungsaufwand / Abschreibungen [2006(7) = 2005(6) + Veränderung 2004-05 in %].</t>
  </si>
  <si>
    <t>Quelle: T 8.02, 11.02, 9.25, 3.14, 3.15, 2.16, 2.18, 2.01, 2.02, 2.20, 2.21, 1.10, 1.08, 1.12, 1.13 (ohne Schätzungen).</t>
  </si>
  <si>
    <t>oder</t>
  </si>
  <si>
    <t>Formulare EF123:</t>
  </si>
  <si>
    <t>Anzahl Versicherer mit EF 1.12 A Total &gt; 0</t>
  </si>
  <si>
    <t>Beilage B1</t>
  </si>
  <si>
    <t>Übergangsschlüssel Tabellen  2005 -&gt; 1996</t>
  </si>
  <si>
    <r>
      <t xml:space="preserve">Alle Berichte im PDF </t>
    </r>
    <r>
      <rPr>
        <u/>
        <sz val="12"/>
        <rFont val="55 Helvetica Roman"/>
      </rPr>
      <t>und</t>
    </r>
    <r>
      <rPr>
        <sz val="12"/>
        <rFont val="55 Helvetica Roman"/>
      </rPr>
      <t xml:space="preserve"> Excel-Format 1996 - 2005 auf der Internet-Adresse</t>
    </r>
  </si>
  <si>
    <t xml:space="preserve">Beilage B1: </t>
  </si>
  <si>
    <t>Übergangsschlüssel Tabellen *  2005 -&gt; 1996</t>
  </si>
  <si>
    <t>Empfänger einer Leistung der schweizerischen Arbeitslosenversicherung und ihre nicht erwerbstätigen Familienangehörigen.</t>
  </si>
  <si>
    <t>Nicht erwerbstätige Familienangehörige von in der Schweiz erwerbstätigen und wohnenden Personen.</t>
  </si>
  <si>
    <t xml:space="preserve">Aufgrund unterschiedlicher Definitionen kommt es zu Differenzen beim Versichertenbestand und bei den Kosten  </t>
  </si>
  <si>
    <t>und denselben Angaben im Formular EF 123 der Versicherer (siehe Definition Versicherte in Tabelle 11.02, Fussnote 2).</t>
  </si>
  <si>
    <t>301-312</t>
  </si>
  <si>
    <t>2) Intra-muros Behandlung; andere Gruppen = ambulante Behandlung.</t>
  </si>
  <si>
    <t>3) Kategorie "Medikamente Spital ambulant" : gehört zur Kategorie "Spital ambulant".</t>
  </si>
  <si>
    <t xml:space="preserve">Quelle: T 2.17 / T 11.06 </t>
  </si>
  <si>
    <r>
      <t xml:space="preserve">Spital stationär </t>
    </r>
    <r>
      <rPr>
        <vertAlign val="superscript"/>
        <sz val="11"/>
        <rFont val="Arial"/>
        <family val="2"/>
      </rPr>
      <t>2</t>
    </r>
  </si>
  <si>
    <r>
      <t xml:space="preserve">Pflegeheim </t>
    </r>
    <r>
      <rPr>
        <vertAlign val="superscript"/>
        <sz val="11"/>
        <rFont val="Arial"/>
        <family val="2"/>
      </rPr>
      <t>2</t>
    </r>
  </si>
  <si>
    <r>
      <t xml:space="preserve">Betriebsbeiträge an HMO's </t>
    </r>
    <r>
      <rPr>
        <vertAlign val="superscript"/>
        <sz val="11"/>
        <rFont val="Arial"/>
        <family val="2"/>
      </rPr>
      <t>1</t>
    </r>
  </si>
  <si>
    <r>
      <t xml:space="preserve">Übrige Leistungen stationär </t>
    </r>
    <r>
      <rPr>
        <vertAlign val="superscript"/>
        <sz val="11"/>
        <rFont val="Arial"/>
        <family val="2"/>
      </rPr>
      <t>2</t>
    </r>
  </si>
  <si>
    <r>
      <t xml:space="preserve">davon Medikamente Spital ambulant </t>
    </r>
    <r>
      <rPr>
        <i/>
        <vertAlign val="superscript"/>
        <sz val="11"/>
        <rFont val="Arial"/>
        <family val="2"/>
      </rPr>
      <t>3</t>
    </r>
  </si>
  <si>
    <t xml:space="preserve">T 2.17  Leistungen (brutto) in Franken nach Kostengruppen </t>
  </si>
  <si>
    <t>in 1000 Fr.</t>
  </si>
  <si>
    <t xml:space="preserve">Quelle: Formular EF3 [T 3.6] </t>
  </si>
  <si>
    <t xml:space="preserve">T 2.22  Leistungen (brutto) in Franken nach Versicherungsform </t>
  </si>
  <si>
    <t>Quelle: Formular EF3 [T 3.5]</t>
  </si>
  <si>
    <t>T 2.23 Leistungen (brutto) in Franken je versicherte Person nach Versicherungsform</t>
  </si>
  <si>
    <t>Abweichung</t>
  </si>
  <si>
    <t>vom Gesamt-</t>
  </si>
  <si>
    <t>durchschnitt</t>
  </si>
  <si>
    <t>Quelle: T 2.22 / T 11.06</t>
  </si>
  <si>
    <t>T 2.14  Leistungen (brutto) in Franken nach Versicherungsform ab 1996</t>
  </si>
  <si>
    <t>Quelle: T 2.22</t>
  </si>
  <si>
    <r>
      <t xml:space="preserve">Jahr </t>
    </r>
    <r>
      <rPr>
        <vertAlign val="superscript"/>
        <sz val="11"/>
        <rFont val="Arial"/>
        <family val="2"/>
      </rPr>
      <t>1</t>
    </r>
  </si>
  <si>
    <t>Quelle: T 2.23</t>
  </si>
  <si>
    <t>1) Bezahlte Leistungen der Versicherer = Leistungen (brutto) der Versicherer minus Kostenbeteiligungen der Versicherten.</t>
  </si>
  <si>
    <t>Quelle: T 1.03; 1.04; 1.05; 1.06 [30-33]</t>
  </si>
  <si>
    <r>
      <t xml:space="preserve">T 2.20  Bezahlte Leistungen </t>
    </r>
    <r>
      <rPr>
        <b/>
        <vertAlign val="superscript"/>
        <sz val="12"/>
        <rFont val="Arial"/>
        <family val="2"/>
      </rPr>
      <t xml:space="preserve">1 </t>
    </r>
    <r>
      <rPr>
        <b/>
        <sz val="12"/>
        <rFont val="Arial"/>
        <family val="2"/>
      </rPr>
      <t xml:space="preserve"> in Franken nach Versicherungsform ab 1996</t>
    </r>
  </si>
  <si>
    <t>Quelle: T 2.20 / T 11.05</t>
  </si>
  <si>
    <r>
      <t xml:space="preserve">T 2.21 Bezahlte Leistungen </t>
    </r>
    <r>
      <rPr>
        <b/>
        <vertAlign val="superscript"/>
        <sz val="12"/>
        <rFont val="Arial"/>
        <family val="2"/>
      </rPr>
      <t>1</t>
    </r>
    <r>
      <rPr>
        <b/>
        <sz val="12"/>
        <rFont val="Arial"/>
        <family val="2"/>
      </rPr>
      <t xml:space="preserve">  in Franken je versicherte Person nach Versicherungsform ab 1996</t>
    </r>
  </si>
  <si>
    <t>T 2.01  Kostenbeteiligung der Versicherten in Franken nach Versicherungsform ab 1996</t>
  </si>
  <si>
    <t>Quelle: T 1.03; 1.04; 1.05; 1.06 [32]</t>
  </si>
  <si>
    <t>Quelle: Formular EF3 [T 3.4]</t>
  </si>
  <si>
    <t>3: Prämientarife in der OKP</t>
  </si>
  <si>
    <t>Verteilung der kantonalen Durchschnittsprämien für Erwachsene</t>
  </si>
  <si>
    <t>Verteilung der kantonalen Durchschnittsprämien für junge Erwachsene</t>
  </si>
  <si>
    <t>Verteilung der kantonalen Durchschnittsprämien für Kinder</t>
  </si>
  <si>
    <t>Kantonale Durchschnittsprämien für Erwachsene pro Prämienregion</t>
  </si>
  <si>
    <t>Kantonale Durchschnittsprämien für junge Erwachsene pro Prämienregion</t>
  </si>
  <si>
    <t>Kantonale Durchschnittsprämien für Kinder pro Prämienregion</t>
  </si>
  <si>
    <t>Prämiensoll nach Versicherungsform ab 1996</t>
  </si>
  <si>
    <t>Prämiensoll je versicherte Person nach Versicherungsform ab 1996</t>
  </si>
  <si>
    <t xml:space="preserve">Prämiensoll nach Versicherungsform </t>
  </si>
  <si>
    <t>Prämiensoll je versicherte Person nach Versicherungsform</t>
  </si>
  <si>
    <r>
      <t xml:space="preserve">T 11.14  Durchschnittlicher Versichertenbestand </t>
    </r>
    <r>
      <rPr>
        <b/>
        <vertAlign val="superscript"/>
        <sz val="12"/>
        <rFont val="Arial"/>
        <family val="2"/>
      </rPr>
      <t>1, 2</t>
    </r>
    <r>
      <rPr>
        <b/>
        <sz val="12"/>
        <rFont val="Arial"/>
        <family val="2"/>
      </rPr>
      <t xml:space="preserve">  nach Kantonen und Altergruppen</t>
    </r>
  </si>
  <si>
    <t>Teil 11</t>
  </si>
  <si>
    <t>Versicherte in der OKP</t>
  </si>
  <si>
    <t>801-812</t>
  </si>
  <si>
    <t>101-113</t>
  </si>
  <si>
    <t xml:space="preserve"> www.bag.admin.ch/themen/krankenversicherung/01156/02446/index.html?lang=de</t>
  </si>
  <si>
    <t>Beilage B: Übergangsschlüssel Tabellen T  2004 -&gt; 2005 / 2005 -&gt; 2004</t>
  </si>
  <si>
    <t>Publikation 2005</t>
  </si>
  <si>
    <t>4.10</t>
  </si>
  <si>
    <t>*</t>
  </si>
  <si>
    <t>2.20</t>
  </si>
  <si>
    <t>8.10</t>
  </si>
  <si>
    <t>8.11</t>
  </si>
  <si>
    <t>11.10</t>
  </si>
  <si>
    <t>9.22</t>
  </si>
  <si>
    <t>9.20</t>
  </si>
  <si>
    <t>nicht vorhanden</t>
  </si>
  <si>
    <t>Datenstand : 3.7.06</t>
  </si>
  <si>
    <t>T 11.03  Versichertenbestand nach Wohnkanton per 31.12.</t>
  </si>
  <si>
    <t xml:space="preserve">Veränderung </t>
  </si>
  <si>
    <t xml:space="preserve">gegenüber </t>
  </si>
  <si>
    <t>Schweiz</t>
  </si>
  <si>
    <t>unbekannt</t>
  </si>
  <si>
    <t xml:space="preserve">Total </t>
  </si>
  <si>
    <t>1) Personen mit Wohnsitz/Aufenthalt im Ausland gemäss Art. 4 und 5 KVV.</t>
  </si>
  <si>
    <t>Quelle: Formular EF3 [T 3.2]</t>
  </si>
  <si>
    <r>
      <t xml:space="preserve">Ausland </t>
    </r>
    <r>
      <rPr>
        <vertAlign val="superscript"/>
        <sz val="11"/>
        <rFont val="Arial"/>
        <family val="2"/>
      </rPr>
      <t>1)</t>
    </r>
  </si>
  <si>
    <t>T 11.02  Versichertenbestand per 31.12 ab 1996</t>
  </si>
  <si>
    <t>1) Personen, die das 18. Altersjahr noch nicht vollendet haben.</t>
  </si>
  <si>
    <t>2) Bis 2001: inbegriffen Versicherte mit Wohnsitz oder Aufenthalt im Ausland gemäss Art. 3, 4 und 5 KVV;</t>
  </si>
  <si>
    <t xml:space="preserve">    ab 2002: mit Personen mit Wohnsitz oder Aufenthalt im Ausland gemäss Art. 4 und 5 KVV aber ohne Versicherte,</t>
  </si>
  <si>
    <t xml:space="preserve">    die dem Versicherungsobligatorium unterstehen und in einem EU- oder EFTA-Staat Wohnsitz haben (EWG).</t>
  </si>
  <si>
    <t>Quelle: T 11.03</t>
  </si>
  <si>
    <r>
      <t xml:space="preserve">Jahr </t>
    </r>
    <r>
      <rPr>
        <vertAlign val="superscript"/>
        <sz val="11"/>
        <rFont val="Arial"/>
        <family val="2"/>
      </rPr>
      <t>2</t>
    </r>
  </si>
  <si>
    <r>
      <t xml:space="preserve">Kinder </t>
    </r>
    <r>
      <rPr>
        <vertAlign val="superscript"/>
        <sz val="11"/>
        <rFont val="Arial"/>
        <family val="2"/>
      </rPr>
      <t>1</t>
    </r>
  </si>
  <si>
    <t>Altersklassen</t>
  </si>
  <si>
    <t>männlich</t>
  </si>
  <si>
    <t>weiblich</t>
  </si>
  <si>
    <t>Anzahl</t>
  </si>
  <si>
    <t>Anteil am</t>
  </si>
  <si>
    <t>Gesamt-</t>
  </si>
  <si>
    <t>total in %</t>
  </si>
  <si>
    <t>T 9.05 Kosten des Gesundheitswesens in der Schweiz aus der Sicht der Volkswirtschaft in Mio. Fr. und pro Einwohner in Fr. ab 1996</t>
  </si>
  <si>
    <t>Unter-</t>
  </si>
  <si>
    <t>Private</t>
  </si>
  <si>
    <t>Total pro</t>
  </si>
  <si>
    <t>Einwohner</t>
  </si>
  <si>
    <t>1) Beiträge an Leistungserbringer; Gesundheitswesen,Verwaltung und Prävention; Verbilligung KVG-Prämien; Andere Soziale Sicherheit.</t>
  </si>
  <si>
    <t>2) Unfallversicherung UVG &amp; AHV-IV: Beiträge und Prämien der Arbeitgeber, der Arbeitnehmer und der Selbständigerwerbenden.</t>
  </si>
  <si>
    <t>3) Aufwand der Krankenversicherung (Betrag der Zahlungen der Krankenversicherung an das Gesundheitswesen, abzüglich Beiträge</t>
  </si>
  <si>
    <t>Subventions-</t>
  </si>
  <si>
    <t>In %</t>
  </si>
  <si>
    <t>tions-</t>
  </si>
  <si>
    <t>beitrag</t>
  </si>
  <si>
    <t>Budget</t>
  </si>
  <si>
    <t>nach Re-</t>
  </si>
  <si>
    <t>Beitrag</t>
  </si>
  <si>
    <t xml:space="preserve">duktion </t>
  </si>
  <si>
    <t>vor Re-</t>
  </si>
  <si>
    <t>Quelle : EFV - Bundes- und Kantonsbeiträge nach Reduktion durch die Kantone für das Jahr 2005.</t>
  </si>
  <si>
    <t>1) Vgl. Art. 66 Abs. 5 KVG: "Der Kanton darf den (...) von ihm zu übernehmenden Betrag um maximal 50 Prozent kürzen, wenn</t>
  </si>
  <si>
    <t xml:space="preserve">  die Prämienverbilligung für Versicherte in bescheidenen wirtschaftlichen Verhältnissen trotzdem sichergestellt ist. </t>
  </si>
  <si>
    <t xml:space="preserve">  Der Beitrag des Bundes an diesen Kanton wird im gleichen Verhältnis gekürzt".  Wert gerundet.</t>
  </si>
  <si>
    <t>2) Budget. Wert in einigen Kantonen gerundet.</t>
  </si>
  <si>
    <t>3) Benutzter Kantonsbeitrag in Prozent des maximalen Gesamtbeitrages.</t>
  </si>
  <si>
    <t>4) Der Reduktionsfaktor bezieht sich auf das Total der Prämienverbilligung.</t>
  </si>
  <si>
    <r>
      <t xml:space="preserve">faktor </t>
    </r>
    <r>
      <rPr>
        <vertAlign val="superscript"/>
        <sz val="11"/>
        <rFont val="Arial"/>
        <family val="2"/>
      </rPr>
      <t>1</t>
    </r>
  </si>
  <si>
    <r>
      <t xml:space="preserve">in Fr. </t>
    </r>
    <r>
      <rPr>
        <vertAlign val="superscript"/>
        <sz val="11"/>
        <rFont val="Arial"/>
        <family val="2"/>
      </rPr>
      <t>2</t>
    </r>
  </si>
  <si>
    <r>
      <t xml:space="preserve">in Fr. </t>
    </r>
    <r>
      <rPr>
        <b/>
        <vertAlign val="superscript"/>
        <sz val="11"/>
        <rFont val="Arial"/>
        <family val="2"/>
      </rPr>
      <t>2</t>
    </r>
  </si>
  <si>
    <r>
      <t xml:space="preserve">duktion </t>
    </r>
    <r>
      <rPr>
        <vertAlign val="superscript"/>
        <sz val="11"/>
        <rFont val="Arial"/>
        <family val="2"/>
      </rPr>
      <t>3</t>
    </r>
  </si>
  <si>
    <r>
      <t xml:space="preserve">CH </t>
    </r>
    <r>
      <rPr>
        <b/>
        <vertAlign val="superscript"/>
        <sz val="11"/>
        <rFont val="Arial"/>
        <family val="2"/>
      </rPr>
      <t>4</t>
    </r>
  </si>
  <si>
    <t>T 4.10 Ausgerichtete Leistungen nach Kantonen</t>
  </si>
  <si>
    <t>nach KVG</t>
  </si>
  <si>
    <t>der Kantone</t>
  </si>
  <si>
    <t>pro Haushalt</t>
  </si>
  <si>
    <t>pro Bezüger</t>
  </si>
  <si>
    <t>und früher</t>
  </si>
  <si>
    <t>Quelle: Formular PV1 &amp; T 4.02 &amp; T 4.04</t>
  </si>
  <si>
    <t>1) Effektiv im Berichtsjahr an die Haushalte/BezügerInnen ausbezahlte Prämienverbilligungen nach KVG. Bund und Kantone.</t>
  </si>
  <si>
    <r>
      <t xml:space="preserve">nach KVG </t>
    </r>
    <r>
      <rPr>
        <b/>
        <vertAlign val="superscript"/>
        <sz val="11"/>
        <rFont val="Arial"/>
        <family val="2"/>
      </rPr>
      <t>1</t>
    </r>
  </si>
  <si>
    <t xml:space="preserve">T 4.07 Maximale, budgetierte und ausbezahlte Subventionen ab 1996 </t>
  </si>
  <si>
    <t>Subven-</t>
  </si>
  <si>
    <t>Reduktions-</t>
  </si>
  <si>
    <t>Ausbezahlte</t>
  </si>
  <si>
    <t>budget nach</t>
  </si>
  <si>
    <t>Subventionen</t>
  </si>
  <si>
    <t>Durchschnitt</t>
  </si>
  <si>
    <t>CH in %</t>
  </si>
  <si>
    <t>Quelle: Fussnote 1) &amp; T 4.09 &amp; T 4.10</t>
  </si>
  <si>
    <t xml:space="preserve">1) Maximaler Subventionsbetrag von Bund und Kantonen gemäss KVG-Verteilmodell: </t>
  </si>
  <si>
    <t>Publikation 1996</t>
  </si>
  <si>
    <t>Publikation 1997</t>
  </si>
  <si>
    <t>Publikation 1998</t>
  </si>
  <si>
    <t>Publikation 1999</t>
  </si>
  <si>
    <t>Publikation 2001</t>
  </si>
  <si>
    <t>Publikation 2002</t>
  </si>
  <si>
    <t>Publikation 2003</t>
  </si>
  <si>
    <t>Publikation 2004</t>
  </si>
  <si>
    <t>A 01</t>
  </si>
  <si>
    <t>A 02 A</t>
  </si>
  <si>
    <t>A 02 B</t>
  </si>
  <si>
    <t>A 03 A</t>
  </si>
  <si>
    <t>A 03 B</t>
  </si>
  <si>
    <t>A 04 A</t>
  </si>
  <si>
    <t>A 04 B</t>
  </si>
  <si>
    <t>A 05 A</t>
  </si>
  <si>
    <t>A 05 B</t>
  </si>
  <si>
    <t>A 06</t>
  </si>
  <si>
    <t>A 07</t>
  </si>
  <si>
    <t>A 08 A</t>
  </si>
  <si>
    <t>A 08 B</t>
  </si>
  <si>
    <t>A 09 A</t>
  </si>
  <si>
    <t>A 09 B</t>
  </si>
  <si>
    <t>A 10</t>
  </si>
  <si>
    <t>A 11</t>
  </si>
  <si>
    <t>A 12 A</t>
  </si>
  <si>
    <t>A 12 B</t>
  </si>
  <si>
    <t>A 13 B</t>
  </si>
  <si>
    <t>A 13 A</t>
  </si>
  <si>
    <t>B 01</t>
  </si>
  <si>
    <t>B 02</t>
  </si>
  <si>
    <t>B 03 A</t>
  </si>
  <si>
    <t>B 03 B</t>
  </si>
  <si>
    <t>B 04 A</t>
  </si>
  <si>
    <t>B 04 B</t>
  </si>
  <si>
    <t>B 05 A</t>
  </si>
  <si>
    <t>B 05 B</t>
  </si>
  <si>
    <t>B 06 A</t>
  </si>
  <si>
    <t>B 06 B</t>
  </si>
  <si>
    <t>B 07 A</t>
  </si>
  <si>
    <t>B 07 B</t>
  </si>
  <si>
    <t>B 08 A</t>
  </si>
  <si>
    <t>B 08 B</t>
  </si>
  <si>
    <t>B 09 A</t>
  </si>
  <si>
    <t>B 09 B</t>
  </si>
  <si>
    <t>B 10 A</t>
  </si>
  <si>
    <t>B 10 B</t>
  </si>
  <si>
    <t>B 11 A</t>
  </si>
  <si>
    <t>B 11 B</t>
  </si>
  <si>
    <t>B 12 A</t>
  </si>
  <si>
    <t>B 12 B</t>
  </si>
  <si>
    <t>B 13 A</t>
  </si>
  <si>
    <t>B 13 B</t>
  </si>
  <si>
    <t>B 14</t>
  </si>
  <si>
    <t>B 15</t>
  </si>
  <si>
    <t>B 16</t>
  </si>
  <si>
    <t>B 17</t>
  </si>
  <si>
    <t>B 18</t>
  </si>
  <si>
    <t>C 01 A</t>
  </si>
  <si>
    <t>C 01 B</t>
  </si>
  <si>
    <t>C 02 A</t>
  </si>
  <si>
    <t>C 02 B</t>
  </si>
  <si>
    <t>C 03</t>
  </si>
  <si>
    <t>C 04</t>
  </si>
  <si>
    <t>C 05</t>
  </si>
  <si>
    <t>D 01 A</t>
  </si>
  <si>
    <t>D 01 B</t>
  </si>
  <si>
    <t>D 02</t>
  </si>
  <si>
    <t>D 03</t>
  </si>
  <si>
    <t>D 04</t>
  </si>
  <si>
    <t>E 01 A</t>
  </si>
  <si>
    <t>E 01 B</t>
  </si>
  <si>
    <t xml:space="preserve">E 01 </t>
  </si>
  <si>
    <t>E 02</t>
  </si>
  <si>
    <r>
      <t xml:space="preserve">T 2.09  Effektive Kosten </t>
    </r>
    <r>
      <rPr>
        <b/>
        <vertAlign val="superscript"/>
        <sz val="12"/>
        <rFont val="Arial"/>
        <family val="2"/>
      </rPr>
      <t>1</t>
    </r>
    <r>
      <rPr>
        <b/>
        <sz val="12"/>
        <rFont val="Arial"/>
        <family val="2"/>
      </rPr>
      <t xml:space="preserve">  in Fr. pro Versicherten pro Versicherungsmonat nach Altersgruppen und Geschlecht</t>
    </r>
  </si>
  <si>
    <t>Quelle: T 2.05 - T 2.08</t>
  </si>
  <si>
    <t>1) Berücksichtigt nur die bei dem Versicherer eingereichten Rechnungen.</t>
  </si>
  <si>
    <r>
      <t xml:space="preserve">T 2.10  Kostenbeteiligung </t>
    </r>
    <r>
      <rPr>
        <b/>
        <vertAlign val="superscript"/>
        <sz val="12"/>
        <rFont val="Arial"/>
        <family val="2"/>
      </rPr>
      <t>1</t>
    </r>
    <r>
      <rPr>
        <b/>
        <sz val="12"/>
        <rFont val="Arial"/>
        <family val="2"/>
      </rPr>
      <t xml:space="preserve">  pro Versicherten pro Jahr in Fr. nach Kantonen</t>
    </r>
  </si>
  <si>
    <t>Quelle: T 2.06 - T 2.09</t>
  </si>
  <si>
    <t>1) Berücksichtigt nur die bei dem Versicherer eingereichten Rechnungen</t>
  </si>
  <si>
    <r>
      <t xml:space="preserve">T 2.11  Kostenbeteiligung </t>
    </r>
    <r>
      <rPr>
        <b/>
        <vertAlign val="superscript"/>
        <sz val="12"/>
        <rFont val="Arial"/>
        <family val="2"/>
      </rPr>
      <t>1</t>
    </r>
    <r>
      <rPr>
        <b/>
        <sz val="12"/>
        <rFont val="Arial"/>
        <family val="2"/>
      </rPr>
      <t xml:space="preserve">  in Fr. pro Versicherten pro Jahr nach Altersgruppen und Geschlecht</t>
    </r>
  </si>
  <si>
    <t>T 2.12 Effektive Kosten pro Versicherten pro Versicherungsmonat nach Kantonen und Altersgruppen</t>
  </si>
  <si>
    <t>4.12.06: 8.01, 9.11, 9.20, B1d</t>
  </si>
  <si>
    <r>
      <t xml:space="preserve">T 8.01 Anzahl </t>
    </r>
    <r>
      <rPr>
        <b/>
        <sz val="12"/>
        <color indexed="10"/>
        <rFont val="Arial"/>
        <family val="2"/>
      </rPr>
      <t>KVG</t>
    </r>
    <r>
      <rPr>
        <b/>
        <sz val="12"/>
        <rFont val="Arial"/>
        <family val="2"/>
      </rPr>
      <t xml:space="preserve"> Versicherer ab 1996</t>
    </r>
  </si>
  <si>
    <t>Freiwillige</t>
  </si>
  <si>
    <t>Einige Kantone haben nur eine Region: die Krankenkassen wenden eine Einheitsprämie an (RU).</t>
  </si>
  <si>
    <t>3) Prämien publiziert im OKP Prämienwegweiser 2007 vom BAG.</t>
  </si>
  <si>
    <r>
      <t xml:space="preserve">T 3.02  Kantonale monatliche Durchschnittsprämien </t>
    </r>
    <r>
      <rPr>
        <b/>
        <vertAlign val="superscript"/>
        <sz val="12"/>
        <rFont val="Arial"/>
        <family val="2"/>
      </rPr>
      <t>1</t>
    </r>
    <r>
      <rPr>
        <b/>
        <sz val="12"/>
        <rFont val="Arial"/>
        <family val="2"/>
      </rPr>
      <t xml:space="preserve">  pro Prämienregion </t>
    </r>
    <r>
      <rPr>
        <b/>
        <vertAlign val="superscript"/>
        <sz val="12"/>
        <rFont val="Arial"/>
        <family val="2"/>
      </rPr>
      <t>2</t>
    </r>
  </si>
  <si>
    <r>
      <t xml:space="preserve">Total </t>
    </r>
    <r>
      <rPr>
        <b/>
        <vertAlign val="superscript"/>
        <sz val="11"/>
        <rFont val="Arial"/>
        <family val="2"/>
      </rPr>
      <t>3</t>
    </r>
  </si>
  <si>
    <r>
      <t xml:space="preserve">T 3.03  Kantonale monatliche Durchschnittsprämien </t>
    </r>
    <r>
      <rPr>
        <b/>
        <vertAlign val="superscript"/>
        <sz val="12"/>
        <rFont val="Arial"/>
        <family val="2"/>
      </rPr>
      <t>1</t>
    </r>
    <r>
      <rPr>
        <b/>
        <sz val="12"/>
        <rFont val="Arial"/>
        <family val="2"/>
      </rPr>
      <t xml:space="preserve"> pro Prämienregion </t>
    </r>
    <r>
      <rPr>
        <b/>
        <vertAlign val="superscript"/>
        <sz val="12"/>
        <rFont val="Arial"/>
        <family val="2"/>
      </rPr>
      <t>2</t>
    </r>
  </si>
  <si>
    <r>
      <t xml:space="preserve">T 3.04 Kantonale monatliche Durchschnittsprämien </t>
    </r>
    <r>
      <rPr>
        <b/>
        <vertAlign val="superscript"/>
        <sz val="12"/>
        <rFont val="Arial"/>
        <family val="2"/>
      </rPr>
      <t>1</t>
    </r>
    <r>
      <rPr>
        <b/>
        <sz val="12"/>
        <rFont val="Arial"/>
        <family val="2"/>
      </rPr>
      <t xml:space="preserve"> pro Prämienregion </t>
    </r>
    <r>
      <rPr>
        <b/>
        <vertAlign val="superscript"/>
        <sz val="12"/>
        <rFont val="Arial"/>
        <family val="2"/>
      </rPr>
      <t>2</t>
    </r>
  </si>
  <si>
    <t>Quelle: ab 1997: DATENPOOL santésuisse / Auswertung BAG / Abdeckungsgrad der Erhebung  CH : siehe T 3.12 / 1996: T 3.12.</t>
  </si>
  <si>
    <t>T 3.12  Prämiensoll in Franken je versicherte Person nach Versicherungsform ab 1996</t>
  </si>
  <si>
    <t>Durchschnittsprämien ab 1996 : CH</t>
  </si>
  <si>
    <t>Kantonale Durchschnittsprämien pro Versicherten pro Jahr ab 1996</t>
  </si>
  <si>
    <r>
      <t xml:space="preserve">T 3.01 Monatliche Durchschnittsprämien </t>
    </r>
    <r>
      <rPr>
        <b/>
        <vertAlign val="superscript"/>
        <sz val="12"/>
        <rFont val="Arial"/>
        <family val="2"/>
      </rPr>
      <t>1</t>
    </r>
    <r>
      <rPr>
        <b/>
        <sz val="12"/>
        <rFont val="Arial"/>
        <family val="2"/>
      </rPr>
      <t xml:space="preserve">  OKP in Franken ab 1996 : CH</t>
    </r>
  </si>
  <si>
    <t>EF2 Konto 37 Krankheit + Unfall Seiten 2.2 -&gt; 2.7</t>
  </si>
  <si>
    <t>4B</t>
  </si>
  <si>
    <t>(EF2 Konto 37 Krankheit + Unfall Seiten 2.2 -&gt; 2.7) / [ 1 ]</t>
  </si>
  <si>
    <t>4C</t>
  </si>
  <si>
    <t>5A</t>
  </si>
  <si>
    <t>5B</t>
  </si>
  <si>
    <t>= ( [ 5A ] / [ 1 ] )</t>
  </si>
  <si>
    <t>6A</t>
  </si>
  <si>
    <t>6B</t>
  </si>
  <si>
    <t>8A</t>
  </si>
  <si>
    <t>8B</t>
  </si>
  <si>
    <t>=( [ 8A ] / [ 1 ] ) in %</t>
  </si>
  <si>
    <t>9A</t>
  </si>
  <si>
    <t>9B</t>
  </si>
  <si>
    <t>= ( [ 9A ] / [ 1 ] ) in %</t>
  </si>
  <si>
    <t>9C</t>
  </si>
  <si>
    <t>= ( [ 9A ] / [ 3 ] ) in %</t>
  </si>
  <si>
    <t>11A</t>
  </si>
  <si>
    <t xml:space="preserve">wenn [1] &gt;= 250'000 : 15% von [3] ; wenn [1] &lt; 250'000 : 20% von [3] </t>
  </si>
  <si>
    <t>11B</t>
  </si>
  <si>
    <t xml:space="preserve">wenn [9A] &gt;= [11A] : [9A] - [11A] </t>
  </si>
  <si>
    <t>11C</t>
  </si>
  <si>
    <t xml:space="preserve">wenn [9A] &lt; [11A] : [9A] - [11A] </t>
  </si>
  <si>
    <t>1101-1118</t>
  </si>
  <si>
    <t>Anzahl Versicherte</t>
  </si>
  <si>
    <t>Prämienvolumen in Franken</t>
  </si>
  <si>
    <t>Versicherte mit Betreibung</t>
  </si>
  <si>
    <t>Versicherte mit sistierten Leistungen</t>
  </si>
  <si>
    <t>Quelle: Formular EF3 [3.10.4]</t>
  </si>
  <si>
    <t>Quelle: ab 1997: DATENPOOL santésuisse / Auswertung BAG / Abdeckungsgrad der Erhebung  CH : siehe T 3.15 / 1996: T 2.08.</t>
  </si>
  <si>
    <t>1) Für alle Versicherten für alle Versicherungsformen.</t>
  </si>
  <si>
    <r>
      <t xml:space="preserve">    Bezahlte Leistungen der Versicherer = Leistungen der Versicherer </t>
    </r>
    <r>
      <rPr>
        <b/>
        <sz val="10"/>
        <rFont val="Arial"/>
        <family val="2"/>
      </rPr>
      <t>ohne</t>
    </r>
    <r>
      <rPr>
        <sz val="10"/>
        <rFont val="Arial"/>
        <family val="2"/>
      </rPr>
      <t xml:space="preserve"> Kostenbeteiligungen der Versicherten.</t>
    </r>
  </si>
  <si>
    <t>T 1.12 Stand der Reserven per 31.12. in Franken ab 1996</t>
  </si>
  <si>
    <t>Stand</t>
  </si>
  <si>
    <t>Reserve-</t>
  </si>
  <si>
    <t>pro ver-</t>
  </si>
  <si>
    <t>sicherte Per-</t>
  </si>
  <si>
    <t>1) Vgl. Tabelle 11.06.</t>
  </si>
  <si>
    <t>2) Reserven in % des Prämiensolls (vgl. Tabelle 3.14).</t>
  </si>
  <si>
    <t>Quelle: T 8.10 [290 + 290.9]; T 11.06; T 3.14</t>
  </si>
  <si>
    <r>
      <t xml:space="preserve">Reserven </t>
    </r>
    <r>
      <rPr>
        <vertAlign val="superscript"/>
        <sz val="11"/>
        <rFont val="Arial"/>
        <family val="2"/>
      </rPr>
      <t>1</t>
    </r>
  </si>
  <si>
    <t xml:space="preserve">T 1.13  Stand der Rückstellungen per 31.12. für unerledigte Versicherungsfälle in Franken ab 1996 </t>
  </si>
  <si>
    <t>Stand Rück-</t>
  </si>
  <si>
    <t>Rückstellungen</t>
  </si>
  <si>
    <t>Rück-</t>
  </si>
  <si>
    <t>stellungen pro</t>
  </si>
  <si>
    <t>in % der be-</t>
  </si>
  <si>
    <t>stellungen</t>
  </si>
  <si>
    <t>zahlten Lei-</t>
  </si>
  <si>
    <t>2) Vgl. Tabelle 2.20.</t>
  </si>
  <si>
    <t>Quelle: T 8.10 [270]; T 11.06; T 2.20</t>
  </si>
  <si>
    <r>
      <t xml:space="preserve">Person in Fr. </t>
    </r>
    <r>
      <rPr>
        <vertAlign val="superscript"/>
        <sz val="11"/>
        <rFont val="Arial"/>
        <family val="2"/>
      </rPr>
      <t>1</t>
    </r>
  </si>
  <si>
    <r>
      <t xml:space="preserve">stungen </t>
    </r>
    <r>
      <rPr>
        <vertAlign val="superscript"/>
        <sz val="11"/>
        <rFont val="Arial"/>
        <family val="2"/>
      </rPr>
      <t>2</t>
    </r>
  </si>
  <si>
    <t>Quelle: DATENPOOL santésuisse / Auswertung BAG / Abdeckungsgrad der Erhebung  CH :</t>
  </si>
  <si>
    <t>1) Diese Auswertung basiert auf der Gesamtheit der Versicherten, für die Alter, Geschlecht, Kanton,</t>
  </si>
  <si>
    <t xml:space="preserve">   Versicherungsform und Franchisehöhe bekannt sind.</t>
  </si>
  <si>
    <r>
      <t xml:space="preserve">Zusätzliche Angaben : nach Altersgruppe ab 1996 </t>
    </r>
    <r>
      <rPr>
        <b/>
        <vertAlign val="superscript"/>
        <sz val="12"/>
        <rFont val="Arial"/>
        <family val="2"/>
      </rPr>
      <t>1</t>
    </r>
  </si>
  <si>
    <t>Datenstand: 18.7.05</t>
  </si>
  <si>
    <t>Datenstand : 16.05.06</t>
  </si>
  <si>
    <t>Datenstand: 16.5.06</t>
  </si>
  <si>
    <t>20.9.06: 1.12,1.13,2.02,2.03,2.24,3.10,3.15,3.18,11.18</t>
  </si>
  <si>
    <t>8.12.06: 3.12, 9.13, 9.15</t>
  </si>
  <si>
    <t>3) Ärzte, Zahnärzte, Physiotherapeuten, Psychotherapeuten, Spitexdienste, medizinische Labors , (usw.).</t>
  </si>
  <si>
    <t>4) Apotheken, Drogerien und therapeutische Apparate.</t>
  </si>
  <si>
    <t>5) Bund, Kantone, Gemeinden.</t>
  </si>
  <si>
    <t>6) Krankenversicherer (KVG); Unfallversicherer (UVG); AHV-IV; Private Krankenversicherer (VVG).</t>
  </si>
  <si>
    <t>7) Schätzung BFS [Medienmitteilung 3/06].</t>
  </si>
  <si>
    <r>
      <t xml:space="preserve">Staat </t>
    </r>
    <r>
      <rPr>
        <vertAlign val="superscript"/>
        <sz val="11"/>
        <rFont val="Arial"/>
        <family val="2"/>
      </rPr>
      <t>5</t>
    </r>
  </si>
  <si>
    <r>
      <t xml:space="preserve">häuser </t>
    </r>
    <r>
      <rPr>
        <vertAlign val="superscript"/>
        <sz val="11"/>
        <rFont val="Arial"/>
        <family val="2"/>
      </rPr>
      <t>1</t>
    </r>
  </si>
  <si>
    <r>
      <t xml:space="preserve">handel </t>
    </r>
    <r>
      <rPr>
        <vertAlign val="superscript"/>
        <sz val="11"/>
        <rFont val="Arial"/>
        <family val="2"/>
      </rPr>
      <t>4</t>
    </r>
  </si>
  <si>
    <r>
      <t xml:space="preserve">cherer </t>
    </r>
    <r>
      <rPr>
        <vertAlign val="superscript"/>
        <sz val="11"/>
        <rFont val="Arial"/>
        <family val="2"/>
      </rPr>
      <t>6</t>
    </r>
  </si>
  <si>
    <r>
      <t xml:space="preserve">gung </t>
    </r>
    <r>
      <rPr>
        <vertAlign val="superscript"/>
        <sz val="11"/>
        <rFont val="Arial"/>
        <family val="2"/>
      </rPr>
      <t>3</t>
    </r>
  </si>
  <si>
    <r>
      <t xml:space="preserve">tionen </t>
    </r>
    <r>
      <rPr>
        <vertAlign val="superscript"/>
        <sz val="11"/>
        <rFont val="Arial"/>
        <family val="2"/>
      </rPr>
      <t>2</t>
    </r>
  </si>
  <si>
    <r>
      <t xml:space="preserve">2005 </t>
    </r>
    <r>
      <rPr>
        <i/>
        <vertAlign val="superscript"/>
        <sz val="11"/>
        <rFont val="Arial"/>
        <family val="2"/>
      </rPr>
      <t>7</t>
    </r>
  </si>
  <si>
    <t>T 9.02  Kosten des Gesundheitswesens in der Schweiz nach Direktzahler in Mio. Fr. ab 1996</t>
  </si>
  <si>
    <t>Sozial-</t>
  </si>
  <si>
    <t>Haus-</t>
  </si>
  <si>
    <t>private</t>
  </si>
  <si>
    <t>rungen</t>
  </si>
  <si>
    <t>Finanzie-</t>
  </si>
  <si>
    <t>1) Öffentliche Sicherheit, Rettungsdienste, Stationäre Betriebe, Ambulante Krankenpflege, Verwaltung, Prävention (usw.).</t>
  </si>
  <si>
    <t>2) Krankenversicherung KVG (Grundversicherung); Unfallversicherung UVG; AHV-IV; Militärversicherung.</t>
  </si>
  <si>
    <t>3) KVG-Versicherer &amp; private Versicherer.</t>
  </si>
  <si>
    <t>4) Kostenbeteiligung &amp; "Out of pocket".</t>
  </si>
  <si>
    <t xml:space="preserve">5) Spenden und Vermächtnisse an Institutionen ohne Erwerbscharakter (Pflegeheim, Institution für Behinderte, Spitexorganisation usw.) </t>
  </si>
  <si>
    <t>6) Schätzung BFS [Medienmitteilung 3/06].</t>
  </si>
  <si>
    <r>
      <t xml:space="preserve">rungen </t>
    </r>
    <r>
      <rPr>
        <vertAlign val="superscript"/>
        <sz val="11"/>
        <rFont val="Arial"/>
        <family val="2"/>
      </rPr>
      <t>2</t>
    </r>
  </si>
  <si>
    <r>
      <t xml:space="preserve">halte </t>
    </r>
    <r>
      <rPr>
        <vertAlign val="superscript"/>
        <sz val="11"/>
        <rFont val="Arial"/>
        <family val="2"/>
      </rPr>
      <t>4</t>
    </r>
  </si>
  <si>
    <r>
      <t xml:space="preserve">VVG </t>
    </r>
    <r>
      <rPr>
        <vertAlign val="superscript"/>
        <sz val="11"/>
        <rFont val="Arial"/>
        <family val="2"/>
      </rPr>
      <t>3</t>
    </r>
  </si>
  <si>
    <r>
      <t xml:space="preserve">rung </t>
    </r>
    <r>
      <rPr>
        <vertAlign val="superscript"/>
        <sz val="11"/>
        <rFont val="Arial"/>
        <family val="2"/>
      </rPr>
      <t>5</t>
    </r>
  </si>
  <si>
    <r>
      <t xml:space="preserve">2005 </t>
    </r>
    <r>
      <rPr>
        <i/>
        <vertAlign val="superscript"/>
        <sz val="11"/>
        <rFont val="Arial"/>
        <family val="2"/>
      </rPr>
      <t>6</t>
    </r>
  </si>
  <si>
    <t>T 9.01  Kosten des Gesundheitswesens in der Schweiz aus der Sicht der sozialen Sicherheit in Mio. Fr. ab 1996</t>
  </si>
  <si>
    <t>Regimes der</t>
  </si>
  <si>
    <t>sozialen</t>
  </si>
  <si>
    <t>1) Subventionen an die Leistungserbringer (Krankenhäuser, usw.); Gesundheitswesen, Verwaltung und Prävention.</t>
  </si>
  <si>
    <t>2) Unfallversicherung UVG, AHV-IV und Militärversicherung.</t>
  </si>
  <si>
    <t>3) Verbilligung KVG-Prämien; Ergänzungsleistungen AHV und IV; Sozialhilfe; Hilflosenschädigung:</t>
  </si>
  <si>
    <t xml:space="preserve">     Regimes der Sozialen Sicherheit, die nicht als Direktzahler in diser Statistik betrachtet sind.</t>
  </si>
  <si>
    <t>Quelle: T 3.12 + 2.02</t>
  </si>
  <si>
    <r>
      <t xml:space="preserve">Zusätzliche Angaben : nach Altersgruppe ab 1996 </t>
    </r>
    <r>
      <rPr>
        <b/>
        <vertAlign val="superscript"/>
        <sz val="12"/>
        <rFont val="Arial"/>
        <family val="2"/>
      </rPr>
      <t>3</t>
    </r>
  </si>
  <si>
    <t>Datenstand: 21.6.06</t>
  </si>
  <si>
    <t>Datenstand: 17.10.06</t>
  </si>
  <si>
    <t>Total Versicherungsertrag</t>
  </si>
  <si>
    <t>Leistungen</t>
  </si>
  <si>
    <t>Kostenbeteiligung der Versicherten (-)</t>
  </si>
  <si>
    <t>30-33</t>
  </si>
  <si>
    <t>Bezahlte Leistungen</t>
  </si>
  <si>
    <t>Sonstige Aufwendungen für Leistungen</t>
  </si>
  <si>
    <t>Rückstellungen für unerledigte Versicherungsfälle</t>
  </si>
  <si>
    <t>30-35</t>
  </si>
  <si>
    <t>Brutto-Leistungen</t>
  </si>
  <si>
    <t>Leistungsanteile der Rückversicherer (-)</t>
  </si>
  <si>
    <t>Risikoausgleich</t>
  </si>
  <si>
    <t>Total Versicherungsaufwand</t>
  </si>
  <si>
    <t>40-47</t>
  </si>
  <si>
    <t>Verwaltungsaufwand</t>
  </si>
  <si>
    <t>Abschreibungen</t>
  </si>
  <si>
    <t>Sonstige Betriebsaufwendungen</t>
  </si>
  <si>
    <t>Total Betriebsaufwand</t>
  </si>
  <si>
    <t>3/4</t>
  </si>
  <si>
    <t>Total Versicherungs- und Betriebsaufwand</t>
  </si>
  <si>
    <t>Versicherungsbetriebsergebnis</t>
  </si>
  <si>
    <t>Neutraler Aufwand / Ertrag</t>
  </si>
  <si>
    <t>Gesamtbetriebsergebnis</t>
  </si>
  <si>
    <t>Quelle: Formular EF2 [Summe 2.2 bis 2.7]</t>
  </si>
  <si>
    <r>
      <t xml:space="preserve">T 1.02  Betriebsrechnung der obligatorischen Krankenpflegeversicherung KVG insgesamt </t>
    </r>
    <r>
      <rPr>
        <b/>
        <vertAlign val="superscript"/>
        <sz val="12"/>
        <rFont val="Arial"/>
        <family val="2"/>
      </rPr>
      <t>1</t>
    </r>
  </si>
  <si>
    <t>1: Finanzen und obligatorische Krankenpflegeversicherung (OKP)</t>
  </si>
  <si>
    <t>Obligatorische Krankenpflegeversicherung ab 1996 : wichtigste Indikatoren</t>
  </si>
  <si>
    <t xml:space="preserve">Betriebsrechnung der obligatorischen Krankenpflegeversicherung KVG insgesamt </t>
  </si>
  <si>
    <t>Betriebsrechnung der Versicherung mit ordentlicher Franchise</t>
  </si>
  <si>
    <t xml:space="preserve">Betriebsrechnung der Versicherungen mit wählbarer Franchise </t>
  </si>
  <si>
    <t xml:space="preserve">Betriebsrechnung der BONUS-Versicherung </t>
  </si>
  <si>
    <t xml:space="preserve">Betriebsrechnung der Versicherungen mit eingeschränkter Wahl des Leistungserbringers </t>
  </si>
  <si>
    <t>Anzahl Bezüger, Bezügerquoten, subventionierte Haushalte sowie ausgerichtete Subventionen ab 1996</t>
  </si>
  <si>
    <t>Quelle: T 9.21</t>
  </si>
  <si>
    <t xml:space="preserve">    resp. einen Beitrag aus dem Risikoausgleich erhielten (Nettoempfänger).</t>
  </si>
  <si>
    <t>3.8.06: 11.01 -&gt; 11.06, 11.11 -&gt; 11.13, 11.17</t>
  </si>
  <si>
    <t>18.7.06: 11.14 -&gt; 11.16</t>
  </si>
  <si>
    <t>2: Leistungen und Kostenbeteiligung in der OKP</t>
  </si>
  <si>
    <t xml:space="preserve">Kostenbeteiligung der Versicherten in Fr. nach Versicherungsform ab 1996 </t>
  </si>
  <si>
    <t xml:space="preserve">Kostenbeteiligung je versicherte Person in Fr. nach Versicherungsform ab 1996 </t>
  </si>
  <si>
    <t>Bruttokosten nach Kantonen</t>
  </si>
  <si>
    <t>Bruttokosten pro Versicherten pro Versicherungsmonat nach Kantonen</t>
  </si>
  <si>
    <t xml:space="preserve">Bruttokosten pro Versicherten pro Versicherungsmonat nach Altersgruppen und Geschlecht </t>
  </si>
  <si>
    <t>Effektive Kosten nach Kantonen</t>
  </si>
  <si>
    <t xml:space="preserve">Effektive Kosten pro Versicherten pro Versicherungsmonat nach Kantonen </t>
  </si>
  <si>
    <t>Effektive Kosten pro Versicherten pro Versicherungsmonat nach Altersgruppen und Geschlecht</t>
  </si>
  <si>
    <t>Kostenbeteiligung pro Versicherten pro Jahr nach Kantonen</t>
  </si>
  <si>
    <t>Kostenbeteiligung pro Versicherten pro Jahr nach Altersgruppen und Geschlecht</t>
  </si>
  <si>
    <t>Effektive Kosten pro Versicherten pro Versicherungsmonat nach Kantonen und Altersgruppen</t>
  </si>
  <si>
    <t>Kostenbeteiligung pro Versicherten pro Jahr nach Kantonen und Altersgruppen</t>
  </si>
  <si>
    <t>Leistungen (brutto)  nach Versicherungsform ab 1996</t>
  </si>
  <si>
    <t>Ordentl.</t>
  </si>
  <si>
    <t>Andere</t>
  </si>
  <si>
    <t>100 Fr.</t>
  </si>
  <si>
    <t>200 Fr.</t>
  </si>
  <si>
    <t>300 Fr.</t>
  </si>
  <si>
    <t>400 Fr.</t>
  </si>
  <si>
    <t>500 Fr.</t>
  </si>
  <si>
    <t>600 Fr.</t>
  </si>
  <si>
    <t>rungsformen</t>
  </si>
  <si>
    <t>0 Fr.</t>
  </si>
  <si>
    <t>1) Diese Auswertung basiert auf der Gesamtheit der Versicherten, für die Alter, Geschlecht, Kanton, Versicherungsform und</t>
  </si>
  <si>
    <t xml:space="preserve"> Franchisehöhe bekannt sind. Es werden nur die im Berichtsjahr gültigen Höhen der Wahlfranchisen ausgewiesen.</t>
  </si>
  <si>
    <r>
      <t xml:space="preserve">T 11.10  Verteilung der Versicherungsformen in % nach Kanton - Versicherte 0-18 Jahre </t>
    </r>
    <r>
      <rPr>
        <b/>
        <vertAlign val="superscript"/>
        <sz val="12"/>
        <rFont val="Arial"/>
        <family val="2"/>
      </rPr>
      <t>1</t>
    </r>
  </si>
  <si>
    <t>T 11.09 Verteilung der Versicherungsformen in % - Versicherte 0-18 Jahre ab 1996</t>
  </si>
  <si>
    <t>I</t>
  </si>
  <si>
    <t>II</t>
  </si>
  <si>
    <t>III</t>
  </si>
  <si>
    <t>IV</t>
  </si>
  <si>
    <t>V</t>
  </si>
  <si>
    <t>VI</t>
  </si>
  <si>
    <t>1) Im Jahr 1996-2004: ordentliche Jahresfranchise: 0.- ; wählbare Jahresfranchisen: 150.-  300.-  375.-</t>
  </si>
  <si>
    <t xml:space="preserve">    Im Jahr 2005: ordentliche Jahresfranchise: 0.- ; wählbare Jahresfranchisen: 100.-  200.-  300.-  400.-  500.-  600.-</t>
  </si>
  <si>
    <t>Quelle: 1996 : T 11.06  ; 1997- : T 11.10</t>
  </si>
  <si>
    <t>T 2.16  Leistungen (brutto) in Mio. Franken nach Kostengruppen ab 1996</t>
  </si>
  <si>
    <t>Ambulante</t>
  </si>
  <si>
    <t>Arzt</t>
  </si>
  <si>
    <t>Spital</t>
  </si>
  <si>
    <t>Medikamente</t>
  </si>
  <si>
    <t>Mittel und</t>
  </si>
  <si>
    <t>Betriebsbeiträge</t>
  </si>
  <si>
    <t>Komplementär-</t>
  </si>
  <si>
    <t>(ambulant)</t>
  </si>
  <si>
    <t>(Arzt)</t>
  </si>
  <si>
    <t>(Apotheke)</t>
  </si>
  <si>
    <t>Gegenstände</t>
  </si>
  <si>
    <t>an HMO's</t>
  </si>
  <si>
    <t>medizin</t>
  </si>
  <si>
    <t>Jahresdurch-schnittliche Veränderung 1998-2005</t>
  </si>
  <si>
    <t>«Intra-muros»</t>
  </si>
  <si>
    <t xml:space="preserve">Spital </t>
  </si>
  <si>
    <t>Pflegeheim</t>
  </si>
  <si>
    <t>(stationär)</t>
  </si>
  <si>
    <t>1) Als «Intra-muros» Behandlung gelten die Kategorien "Spital stationär", "Pflegeheime" und "übrige Leistungen stationär";</t>
  </si>
  <si>
    <t xml:space="preserve"> als ambulante Kosten gelten alle übrigen Kategorien.</t>
  </si>
  <si>
    <t>2) Werte 1996 - 1997 teilweise geschätzt, Werte 1999 mit Datenstand Oktober 2001 revidiert.</t>
  </si>
  <si>
    <t>Quelle : T 2.17</t>
  </si>
  <si>
    <r>
      <t xml:space="preserve">Behandlung </t>
    </r>
    <r>
      <rPr>
        <b/>
        <vertAlign val="superscript"/>
        <sz val="11"/>
        <rFont val="Arial"/>
        <family val="2"/>
      </rPr>
      <t>1</t>
    </r>
  </si>
  <si>
    <t>Behandlung</t>
  </si>
  <si>
    <t>1) Vgl. Fussnoten 1) , 2) und 3) von Tabelle 2.16.</t>
  </si>
  <si>
    <t xml:space="preserve">   Art. 106 KVG &amp; Bundesbeschlüsse über die Bundesbeiträge in der Krankenversicherung.</t>
  </si>
  <si>
    <t>Einkommens-, Vermögens-, Ertrags- und Kapitalsteuer VVG</t>
  </si>
  <si>
    <t>Total neutraler Aufwand/Ertrag</t>
  </si>
  <si>
    <t>6 / 7</t>
  </si>
  <si>
    <t>Total des Gesamtertrages</t>
  </si>
  <si>
    <t>Rückschlag Gesamtbetriebsrechnung</t>
  </si>
  <si>
    <t>entziehen sich der Sicht der BSV-Krankenversicherungsstatistik.</t>
  </si>
  <si>
    <t>Quelle: Formular EF1 [8,9]</t>
  </si>
  <si>
    <t>T 8.08  Eigenkapital und Eigenkapitalquote der Versicherer in Franken ab 1996</t>
  </si>
  <si>
    <t>Eigenkapital-</t>
  </si>
  <si>
    <t xml:space="preserve">1) Eigenkapital in % des Prämiensolls. </t>
  </si>
  <si>
    <t>Quelle: T 8.10 [29]; T 8.05 [60-63]</t>
  </si>
  <si>
    <r>
      <t xml:space="preserve">quote </t>
    </r>
    <r>
      <rPr>
        <vertAlign val="superscript"/>
        <sz val="11"/>
        <rFont val="Arial"/>
        <family val="2"/>
      </rPr>
      <t>1</t>
    </r>
  </si>
  <si>
    <t>Index der</t>
  </si>
  <si>
    <t>Wohnbe-</t>
  </si>
  <si>
    <t>Finanz-</t>
  </si>
  <si>
    <t>Bundes-</t>
  </si>
  <si>
    <t>Kantons-</t>
  </si>
  <si>
    <t>kraft</t>
  </si>
  <si>
    <t>beiträge</t>
  </si>
  <si>
    <t>Beiträge</t>
  </si>
  <si>
    <t>in Fr. :</t>
  </si>
  <si>
    <t>2) Vgl. Art. 66 Abs. 5 KVG: "Der Kanton darf den (...) von ihm zu übernehmenden Betrag um maximal 50 Prozent kürzen, wenn</t>
  </si>
  <si>
    <t>die Prämienverbilligung für Versicherte in bescheidenen wirtschaftlichen Verhältnissen trotzdem sichergestellt ist. Der Beitrag</t>
  </si>
  <si>
    <t>des Bundes an diesen Kanton wird im gleichen Verhältnis gekürzt".</t>
  </si>
  <si>
    <t>3) Subventionsbudget = maximaler Subventionsbetrag abzüglich der Kürzungsbeträge von Kantonen und Bund (vgl. Fussnote 2).</t>
  </si>
  <si>
    <t>4) Effektiv im Berichtsjahr an die Haushalte/BezügerInnen ausbezahlte Prämienverbilligungen nach KVG.</t>
  </si>
  <si>
    <t xml:space="preserve">     Die Werte für 1996 und 2004 wurden revidiert.</t>
  </si>
  <si>
    <r>
      <t xml:space="preserve">tionsziel </t>
    </r>
    <r>
      <rPr>
        <vertAlign val="superscript"/>
        <sz val="11"/>
        <rFont val="Arial"/>
        <family val="2"/>
      </rPr>
      <t>1</t>
    </r>
  </si>
  <si>
    <r>
      <t xml:space="preserve">faktor </t>
    </r>
    <r>
      <rPr>
        <vertAlign val="superscript"/>
        <sz val="11"/>
        <rFont val="Arial"/>
        <family val="2"/>
      </rPr>
      <t>2</t>
    </r>
    <r>
      <rPr>
        <sz val="11"/>
        <rFont val="Arial"/>
        <family val="2"/>
      </rPr>
      <t xml:space="preserve"> :</t>
    </r>
  </si>
  <si>
    <r>
      <t xml:space="preserve">Kürzungen </t>
    </r>
    <r>
      <rPr>
        <vertAlign val="superscript"/>
        <sz val="11"/>
        <rFont val="Arial"/>
        <family val="2"/>
      </rPr>
      <t>3</t>
    </r>
  </si>
  <si>
    <r>
      <t xml:space="preserve">nach KVG </t>
    </r>
    <r>
      <rPr>
        <vertAlign val="superscript"/>
        <sz val="11"/>
        <rFont val="Arial"/>
        <family val="2"/>
      </rPr>
      <t>4</t>
    </r>
  </si>
  <si>
    <t>Leistungen *</t>
  </si>
  <si>
    <t>* davon Teil</t>
  </si>
  <si>
    <t>T 4.01 Anzahl Bezüger, Bezügerquoten, subventionierte Haushalte sowie ausgerichtete Subventionen nach KVG ab 1996</t>
  </si>
  <si>
    <t>Bezüger-</t>
  </si>
  <si>
    <t>Anzahl sub-</t>
  </si>
  <si>
    <t>Subvention</t>
  </si>
  <si>
    <t>Innen-</t>
  </si>
  <si>
    <t>ventionierte</t>
  </si>
  <si>
    <t>Innen</t>
  </si>
  <si>
    <t>Quelle: T 4.02 &amp; 4.04 &amp; 4.10 &amp; 4.11</t>
  </si>
  <si>
    <t>1) Angaben zu Bezügern und subventionierten Haushalten der Jahre 1996 und 1997 teilweise unvollständig.</t>
  </si>
  <si>
    <t>2) Anzahl Bezügern in Prozent der mittleren Wohnbevölkerung des entsprechenden Berichtsjahres. Siehe T 4.11 Fussnote 2).</t>
  </si>
  <si>
    <r>
      <t xml:space="preserve">quote </t>
    </r>
    <r>
      <rPr>
        <vertAlign val="superscript"/>
        <sz val="11"/>
        <rFont val="Arial"/>
        <family val="2"/>
      </rPr>
      <t>2</t>
    </r>
  </si>
  <si>
    <t>30.8.06: 4.01, 4.07 -&gt; 4.10</t>
  </si>
  <si>
    <t>KVG-Verteilmodell 2005</t>
  </si>
  <si>
    <t>für 2005</t>
  </si>
  <si>
    <t>für 2004</t>
  </si>
  <si>
    <t>2004/2005</t>
  </si>
  <si>
    <t>OKP Prämien</t>
  </si>
  <si>
    <t>vollumfänglich</t>
  </si>
  <si>
    <t>verbilligt werden</t>
  </si>
  <si>
    <t>01.01.05</t>
  </si>
  <si>
    <t>30.8.06: 4.02, 5.04</t>
  </si>
  <si>
    <t>T 8.07 Aktiven und Passiven der Versicherer in Franken ab 1996</t>
  </si>
  <si>
    <t>Aktiven</t>
  </si>
  <si>
    <t>Passiven</t>
  </si>
  <si>
    <t>Bilanz-</t>
  </si>
  <si>
    <t>Umlauf-</t>
  </si>
  <si>
    <t>Anlage-</t>
  </si>
  <si>
    <t>Fremd-</t>
  </si>
  <si>
    <t>Fonds und</t>
  </si>
  <si>
    <t>summe</t>
  </si>
  <si>
    <t>vermögen</t>
  </si>
  <si>
    <t>kapital</t>
  </si>
  <si>
    <t>Reserven</t>
  </si>
  <si>
    <t>1) Bestände per Jahresende; Vorjahresvergleiche sind nur mit Vorbehalt möglich, da jene Zusatzversicherungen VAG, welche</t>
  </si>
  <si>
    <t>auch unternehmensrechtlich vom KVG-Bereich eines Versicherers abgetrennt werden, sich der Sicht der BAG-Krankenversi-</t>
  </si>
  <si>
    <t>cherungsstatistik entziehen.</t>
  </si>
  <si>
    <t>Quelle: T 8.09; T 8.10</t>
  </si>
  <si>
    <t>T 8.04  Ertrag, Aufwand und Ergebnis der Versicherer in Franken ab 1996</t>
  </si>
  <si>
    <t>Total des</t>
  </si>
  <si>
    <t>Total Ver-</t>
  </si>
  <si>
    <t>sicherungs-</t>
  </si>
  <si>
    <t>betriebs-</t>
  </si>
  <si>
    <t>ertrags</t>
  </si>
  <si>
    <t>und Betriebs-</t>
  </si>
  <si>
    <t>aufwand</t>
  </si>
  <si>
    <t>1) Vorjahresvergleiche sind nur mit Vorbehalt möglich, da jene Zusatzversicherungen VAG, welche auch unternehmensrechtlich</t>
  </si>
  <si>
    <t>vom KVG-Bereich eines Versicherers abgetrennt werden, sich der Sicht der BAG-Krankenversicherungsstatistik entziehen.</t>
  </si>
  <si>
    <r>
      <t xml:space="preserve">T 2.03 Kantonale bezahlte Leistungen </t>
    </r>
    <r>
      <rPr>
        <b/>
        <vertAlign val="superscript"/>
        <sz val="12"/>
        <rFont val="Arial"/>
        <family val="2"/>
      </rPr>
      <t xml:space="preserve">1 </t>
    </r>
    <r>
      <rPr>
        <b/>
        <sz val="12"/>
        <rFont val="Arial"/>
        <family val="2"/>
      </rPr>
      <t xml:space="preserve"> pro Versicherten pro Jahr in Franken ab 1996</t>
    </r>
  </si>
  <si>
    <t>25.9.06: 2.16, 2.18</t>
  </si>
  <si>
    <t>Quelle: DATENPOOL santésuisse / Auswertung BAG : T 2.02 &amp; T 2.21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</si>
</sst>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82" formatCode="0.0"/>
    <numFmt numFmtId="183" formatCode="#,##0.0"/>
    <numFmt numFmtId="184" formatCode="0.0%"/>
  </numFmts>
  <fonts count="97">
    <font>
      <sz val="10"/>
      <name val="55 Helvetica Roman"/>
    </font>
    <font>
      <sz val="10"/>
      <name val="Geneva"/>
      <family val="2"/>
    </font>
    <font>
      <sz val="12"/>
      <name val="Arial"/>
      <family val="2"/>
    </font>
    <font>
      <b/>
      <sz val="12"/>
      <name val="Arial"/>
      <family val="2"/>
    </font>
    <font>
      <sz val="11"/>
      <name val="Arial"/>
      <family val="2"/>
    </font>
    <font>
      <sz val="10"/>
      <name val="Arial"/>
      <family val="2"/>
    </font>
    <font>
      <b/>
      <sz val="11"/>
      <name val="Arial"/>
      <family val="2"/>
    </font>
    <font>
      <b/>
      <i/>
      <sz val="22"/>
      <name val="Arial"/>
      <family val="2"/>
    </font>
    <font>
      <b/>
      <i/>
      <sz val="18"/>
      <name val="Arial"/>
      <family val="2"/>
    </font>
    <font>
      <b/>
      <sz val="10"/>
      <name val="Arial"/>
      <family val="2"/>
    </font>
    <font>
      <i/>
      <sz val="12"/>
      <name val="55 Helvetica Roman"/>
    </font>
    <font>
      <sz val="12"/>
      <name val="55 Helvetica Roman"/>
    </font>
    <font>
      <b/>
      <sz val="10"/>
      <color indexed="9"/>
      <name val="55 Helvetica Roman"/>
    </font>
    <font>
      <b/>
      <sz val="20"/>
      <name val="55 Helvetica Roman"/>
    </font>
    <font>
      <b/>
      <sz val="10"/>
      <name val="55 Helvetica Roman"/>
    </font>
    <font>
      <b/>
      <sz val="12"/>
      <color indexed="10"/>
      <name val="55 Helvetica Roman"/>
    </font>
    <font>
      <i/>
      <sz val="11"/>
      <name val="55 Helvetica Roman"/>
    </font>
    <font>
      <sz val="12"/>
      <color indexed="8"/>
      <name val="Arial"/>
      <family val="2"/>
    </font>
    <font>
      <b/>
      <sz val="14"/>
      <name val="55 Helvetica Roman"/>
    </font>
    <font>
      <sz val="9"/>
      <name val="Arial"/>
      <family val="2"/>
    </font>
    <font>
      <b/>
      <i/>
      <sz val="24"/>
      <name val="Logo BAG"/>
      <family val="1"/>
    </font>
    <font>
      <b/>
      <i/>
      <sz val="12"/>
      <name val="55 Helvetica Roman"/>
    </font>
    <font>
      <b/>
      <sz val="11"/>
      <color indexed="9"/>
      <name val="55 Helvetica Roman"/>
    </font>
    <font>
      <b/>
      <sz val="12"/>
      <color indexed="8"/>
      <name val="Arial"/>
      <family val="2"/>
    </font>
    <font>
      <b/>
      <sz val="12"/>
      <name val="55 Helvetica Roman"/>
    </font>
    <font>
      <b/>
      <sz val="10"/>
      <color indexed="8"/>
      <name val="Arial"/>
      <family val="2"/>
    </font>
    <font>
      <sz val="10"/>
      <color indexed="8"/>
      <name val="Arial"/>
      <family val="2"/>
    </font>
    <font>
      <b/>
      <i/>
      <u/>
      <sz val="11"/>
      <name val="Arial"/>
      <family val="2"/>
    </font>
    <font>
      <vertAlign val="superscript"/>
      <sz val="10"/>
      <name val="Arial"/>
      <family val="2"/>
    </font>
    <font>
      <sz val="8"/>
      <name val="Arial"/>
      <family val="2"/>
    </font>
    <font>
      <sz val="9"/>
      <name val="Geneva"/>
      <family val="2"/>
    </font>
    <font>
      <b/>
      <vertAlign val="superscript"/>
      <sz val="10"/>
      <color indexed="8"/>
      <name val="Arial"/>
      <family val="2"/>
    </font>
    <font>
      <i/>
      <sz val="10"/>
      <name val="55 Helvetica Roman"/>
    </font>
    <font>
      <i/>
      <sz val="10"/>
      <name val="Arial"/>
      <family val="2"/>
    </font>
    <font>
      <sz val="10"/>
      <color indexed="10"/>
      <name val="55 Helvetica Roman"/>
    </font>
    <font>
      <b/>
      <sz val="9"/>
      <name val="55 Helvetica Roman"/>
    </font>
    <font>
      <sz val="9"/>
      <name val="55 Helvetica Roman"/>
    </font>
    <font>
      <sz val="10"/>
      <name val="Arial"/>
      <family val="2"/>
    </font>
    <font>
      <sz val="11"/>
      <name val="55 Helvetica Roman"/>
    </font>
    <font>
      <b/>
      <sz val="8"/>
      <name val="Arial"/>
      <family val="2"/>
    </font>
    <font>
      <sz val="10"/>
      <color indexed="42"/>
      <name val="Arial"/>
      <family val="2"/>
    </font>
    <font>
      <b/>
      <sz val="7"/>
      <name val="Arial"/>
      <family val="2"/>
    </font>
    <font>
      <sz val="7"/>
      <name val="Arial"/>
      <family val="2"/>
    </font>
    <font>
      <i/>
      <sz val="7"/>
      <name val="Arial"/>
      <family val="2"/>
    </font>
    <font>
      <b/>
      <sz val="12"/>
      <color indexed="12"/>
      <name val="Arial"/>
      <family val="2"/>
    </font>
    <font>
      <u/>
      <sz val="12"/>
      <name val="55 Helvetica Roman"/>
    </font>
    <font>
      <sz val="9"/>
      <name val="Arial"/>
      <family val="2"/>
    </font>
    <font>
      <b/>
      <vertAlign val="superscript"/>
      <sz val="12"/>
      <name val="Arial"/>
      <family val="2"/>
    </font>
    <font>
      <i/>
      <sz val="8"/>
      <name val="Arial"/>
      <family val="2"/>
    </font>
    <font>
      <b/>
      <i/>
      <sz val="8"/>
      <name val="Arial"/>
      <family val="2"/>
    </font>
    <font>
      <vertAlign val="superscript"/>
      <sz val="11"/>
      <name val="Arial"/>
      <family val="2"/>
    </font>
    <font>
      <b/>
      <vertAlign val="superscript"/>
      <sz val="12"/>
      <name val="55 Helvetica Roman"/>
    </font>
    <font>
      <i/>
      <sz val="11"/>
      <name val="Arial"/>
      <family val="2"/>
    </font>
    <font>
      <b/>
      <i/>
      <sz val="11"/>
      <name val="Arial"/>
      <family val="2"/>
    </font>
    <font>
      <i/>
      <vertAlign val="superscript"/>
      <sz val="11"/>
      <name val="Arial"/>
      <family val="2"/>
    </font>
    <font>
      <i/>
      <sz val="12"/>
      <name val="Arial"/>
      <family val="2"/>
    </font>
    <font>
      <vertAlign val="superscript"/>
      <sz val="9"/>
      <name val="Arial"/>
      <family val="2"/>
    </font>
    <font>
      <b/>
      <vertAlign val="superscript"/>
      <sz val="11"/>
      <name val="Arial"/>
      <family val="2"/>
    </font>
    <font>
      <b/>
      <sz val="8"/>
      <color indexed="81"/>
      <name val="Tahoma"/>
      <family val="2"/>
    </font>
    <font>
      <sz val="8"/>
      <color indexed="81"/>
      <name val="Tahoma"/>
      <family val="2"/>
    </font>
    <font>
      <sz val="9"/>
      <color indexed="10"/>
      <name val="Arial"/>
      <family val="2"/>
    </font>
    <font>
      <b/>
      <sz val="10"/>
      <color indexed="10"/>
      <name val="Arial"/>
      <family val="2"/>
    </font>
    <font>
      <sz val="10"/>
      <color indexed="10"/>
      <name val="Arial"/>
      <family val="2"/>
    </font>
    <font>
      <sz val="10"/>
      <name val="55 Helvetica Roman"/>
    </font>
    <font>
      <sz val="11"/>
      <color indexed="10"/>
      <name val="Arial"/>
      <family val="2"/>
    </font>
    <font>
      <b/>
      <sz val="11"/>
      <color indexed="10"/>
      <name val="Arial"/>
      <family val="2"/>
    </font>
    <font>
      <sz val="10"/>
      <color indexed="10"/>
      <name val="Arial"/>
      <family val="2"/>
    </font>
    <font>
      <u/>
      <sz val="10"/>
      <name val="Arial"/>
      <family val="2"/>
    </font>
    <font>
      <i/>
      <sz val="9"/>
      <name val="Arial"/>
      <family val="2"/>
    </font>
    <font>
      <b/>
      <sz val="14"/>
      <name val="Arial"/>
      <family val="2"/>
    </font>
    <font>
      <b/>
      <i/>
      <sz val="12"/>
      <name val="Arial"/>
      <family val="2"/>
    </font>
    <font>
      <b/>
      <i/>
      <vertAlign val="superscript"/>
      <sz val="10"/>
      <name val="Arial"/>
      <family val="2"/>
    </font>
    <font>
      <b/>
      <i/>
      <sz val="10"/>
      <name val="Arial"/>
      <family val="2"/>
    </font>
    <font>
      <i/>
      <vertAlign val="superscript"/>
      <sz val="9"/>
      <name val="Arial"/>
      <family val="2"/>
    </font>
    <font>
      <b/>
      <sz val="9"/>
      <name val="Arial"/>
      <family val="2"/>
    </font>
    <font>
      <sz val="10"/>
      <color indexed="9"/>
      <name val="Arial"/>
      <family val="2"/>
    </font>
    <font>
      <sz val="10"/>
      <name val="Tms Rmn"/>
    </font>
    <font>
      <sz val="8"/>
      <name val="Tms Rmn"/>
    </font>
    <font>
      <b/>
      <vertAlign val="superscript"/>
      <sz val="10"/>
      <name val="Arial"/>
      <family val="2"/>
    </font>
    <font>
      <vertAlign val="superscript"/>
      <sz val="8"/>
      <name val="Arial"/>
      <family val="2"/>
    </font>
    <font>
      <b/>
      <u/>
      <sz val="10"/>
      <name val="Arial"/>
      <family val="2"/>
    </font>
    <font>
      <b/>
      <sz val="10"/>
      <color indexed="56"/>
      <name val="Arial"/>
      <family val="2"/>
    </font>
    <font>
      <b/>
      <sz val="10"/>
      <name val="Tms Rmn"/>
    </font>
    <font>
      <i/>
      <vertAlign val="superscript"/>
      <sz val="10"/>
      <name val="Arial"/>
      <family val="2"/>
    </font>
    <font>
      <sz val="8"/>
      <color indexed="10"/>
      <name val="Arial"/>
      <family val="2"/>
    </font>
    <font>
      <b/>
      <vertAlign val="superscript"/>
      <sz val="9"/>
      <name val="Arial"/>
      <family val="2"/>
    </font>
    <font>
      <sz val="9"/>
      <name val="Tms Rmn"/>
    </font>
    <font>
      <b/>
      <vertAlign val="superscript"/>
      <sz val="8"/>
      <name val="Arial"/>
      <family val="2"/>
    </font>
    <font>
      <b/>
      <sz val="12"/>
      <name val="Times New Roman"/>
      <family val="1"/>
    </font>
    <font>
      <sz val="8"/>
      <name val="Arial"/>
      <family val="2"/>
    </font>
    <font>
      <b/>
      <sz val="11"/>
      <color indexed="42"/>
      <name val="Arial"/>
      <family val="2"/>
    </font>
    <font>
      <sz val="11"/>
      <color indexed="42"/>
      <name val="Arial"/>
      <family val="2"/>
    </font>
    <font>
      <sz val="6"/>
      <name val="Arial"/>
      <family val="2"/>
    </font>
    <font>
      <b/>
      <sz val="12"/>
      <color indexed="10"/>
      <name val="Arial"/>
      <family val="2"/>
    </font>
    <font>
      <b/>
      <sz val="11"/>
      <name val="55 Helvetica Roman"/>
    </font>
    <font>
      <sz val="11"/>
      <color indexed="10"/>
      <name val="55 Helvetica Roman"/>
    </font>
    <font>
      <i/>
      <sz val="11"/>
      <color indexed="10"/>
      <name val="Arial"/>
      <family val="2"/>
    </font>
  </fonts>
  <fills count="12">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44"/>
        <bgColor indexed="64"/>
      </patternFill>
    </fill>
    <fill>
      <patternFill patternType="solid">
        <fgColor indexed="47"/>
        <bgColor indexed="64"/>
      </patternFill>
    </fill>
    <fill>
      <patternFill patternType="solid">
        <fgColor indexed="43"/>
        <bgColor indexed="64"/>
      </patternFill>
    </fill>
    <fill>
      <patternFill patternType="solid">
        <fgColor indexed="9"/>
        <bgColor indexed="64"/>
      </patternFill>
    </fill>
    <fill>
      <patternFill patternType="lightGray">
        <fgColor indexed="22"/>
        <bgColor indexed="22"/>
      </patternFill>
    </fill>
    <fill>
      <patternFill patternType="solid">
        <fgColor indexed="47"/>
        <bgColor indexed="47"/>
      </patternFill>
    </fill>
    <fill>
      <patternFill patternType="solid">
        <fgColor indexed="14"/>
        <bgColor indexed="64"/>
      </patternFill>
    </fill>
    <fill>
      <patternFill patternType="solid">
        <fgColor indexed="11"/>
        <bgColor indexed="64"/>
      </patternFill>
    </fill>
  </fills>
  <borders count="35">
    <border>
      <left/>
      <right/>
      <top/>
      <bottom/>
      <diagonal/>
    </border>
    <border>
      <left/>
      <right/>
      <top style="thin">
        <color indexed="64"/>
      </top>
      <bottom/>
      <diagonal/>
    </border>
    <border>
      <left/>
      <right/>
      <top/>
      <bottom style="thin">
        <color indexed="64"/>
      </bottom>
      <diagonal/>
    </border>
    <border>
      <left/>
      <right/>
      <top/>
      <bottom style="medium">
        <color indexed="9"/>
      </bottom>
      <diagonal/>
    </border>
    <border>
      <left/>
      <right/>
      <top style="medium">
        <color indexed="9"/>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style="medium">
        <color indexed="9"/>
      </bottom>
      <diagonal/>
    </border>
    <border>
      <left/>
      <right/>
      <top style="medium">
        <color indexed="9"/>
      </top>
      <bottom style="medium">
        <color indexed="9"/>
      </bottom>
      <diagonal/>
    </border>
    <border>
      <left/>
      <right/>
      <top style="medium">
        <color indexed="64"/>
      </top>
      <bottom/>
      <diagonal/>
    </border>
    <border>
      <left/>
      <right/>
      <top style="thin">
        <color indexed="64"/>
      </top>
      <bottom style="thin">
        <color indexed="64"/>
      </bottom>
      <diagonal/>
    </border>
    <border>
      <left/>
      <right/>
      <top/>
      <bottom style="medium">
        <color indexed="64"/>
      </bottom>
      <diagonal/>
    </border>
    <border>
      <left/>
      <right/>
      <top style="medium">
        <color indexed="9"/>
      </top>
      <bottom/>
      <diagonal/>
    </border>
    <border>
      <left/>
      <right/>
      <top style="thin">
        <color indexed="64"/>
      </top>
      <bottom style="medium">
        <color indexed="64"/>
      </bottom>
      <diagonal/>
    </border>
    <border>
      <left style="thin">
        <color indexed="64"/>
      </left>
      <right/>
      <top style="thin">
        <color indexed="64"/>
      </top>
      <bottom style="medium">
        <color indexed="9"/>
      </bottom>
      <diagonal/>
    </border>
    <border>
      <left style="thin">
        <color indexed="64"/>
      </left>
      <right/>
      <top style="medium">
        <color indexed="9"/>
      </top>
      <bottom style="medium">
        <color indexed="9"/>
      </bottom>
      <diagonal/>
    </border>
    <border>
      <left style="thin">
        <color indexed="64"/>
      </left>
      <right/>
      <top style="medium">
        <color indexed="9"/>
      </top>
      <bottom style="medium">
        <color indexed="64"/>
      </bottom>
      <diagonal/>
    </border>
    <border>
      <left/>
      <right/>
      <top style="hair">
        <color indexed="64"/>
      </top>
      <bottom style="hair">
        <color indexed="64"/>
      </bottom>
      <diagonal/>
    </border>
    <border>
      <left/>
      <right/>
      <top style="hair">
        <color indexed="8"/>
      </top>
      <bottom style="hair">
        <color indexed="8"/>
      </bottom>
      <diagonal/>
    </border>
    <border>
      <left/>
      <right/>
      <top style="thin">
        <color indexed="8"/>
      </top>
      <bottom style="medium">
        <color indexed="9"/>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bottom/>
      <diagonal/>
    </border>
    <border>
      <left style="medium">
        <color indexed="64"/>
      </left>
      <right/>
      <top style="thin">
        <color indexed="64"/>
      </top>
      <bottom style="medium">
        <color indexed="9"/>
      </bottom>
      <diagonal/>
    </border>
    <border>
      <left style="medium">
        <color indexed="64"/>
      </left>
      <right/>
      <top style="medium">
        <color indexed="9"/>
      </top>
      <bottom style="medium">
        <color indexed="9"/>
      </bottom>
      <diagonal/>
    </border>
    <border>
      <left style="medium">
        <color indexed="64"/>
      </left>
      <right/>
      <top/>
      <bottom style="medium">
        <color indexed="64"/>
      </bottom>
      <diagonal/>
    </border>
    <border>
      <left style="medium">
        <color indexed="64"/>
      </left>
      <right/>
      <top/>
      <bottom style="medium">
        <color indexed="9"/>
      </bottom>
      <diagonal/>
    </border>
    <border>
      <left style="medium">
        <color indexed="64"/>
      </left>
      <right/>
      <top style="thin">
        <color indexed="64"/>
      </top>
      <bottom style="medium">
        <color indexed="64"/>
      </bottom>
      <diagonal/>
    </border>
    <border>
      <left style="medium">
        <color indexed="64"/>
      </left>
      <right/>
      <top style="thin">
        <color indexed="8"/>
      </top>
      <bottom style="medium">
        <color indexed="9"/>
      </bottom>
      <diagonal/>
    </border>
    <border>
      <left style="medium">
        <color indexed="64"/>
      </left>
      <right/>
      <top style="thin">
        <color indexed="8"/>
      </top>
      <bottom style="medium">
        <color indexed="64"/>
      </bottom>
      <diagonal/>
    </border>
    <border>
      <left style="medium">
        <color indexed="64"/>
      </left>
      <right/>
      <top style="medium">
        <color indexed="9"/>
      </top>
      <bottom style="medium">
        <color indexed="64"/>
      </bottom>
      <diagonal/>
    </border>
    <border>
      <left style="medium">
        <color indexed="64"/>
      </left>
      <right/>
      <top style="medium">
        <color indexed="9"/>
      </top>
      <bottom/>
      <diagonal/>
    </border>
  </borders>
  <cellStyleXfs count="20">
    <xf numFmtId="0" fontId="0"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63" fillId="0" borderId="0"/>
    <xf numFmtId="0" fontId="76" fillId="0" borderId="0"/>
    <xf numFmtId="0" fontId="76" fillId="0" borderId="0"/>
    <xf numFmtId="0" fontId="76" fillId="0" borderId="0"/>
    <xf numFmtId="0" fontId="37" fillId="0" borderId="0"/>
    <xf numFmtId="9" fontId="1" fillId="0" borderId="0" applyFont="0" applyFill="0" applyBorder="0" applyAlignment="0" applyProtection="0"/>
  </cellStyleXfs>
  <cellXfs count="1636">
    <xf numFmtId="0" fontId="0" fillId="0" borderId="0" xfId="0"/>
    <xf numFmtId="0" fontId="2" fillId="0" borderId="0" xfId="0" applyFont="1"/>
    <xf numFmtId="0" fontId="5" fillId="0" borderId="0" xfId="0" applyFont="1"/>
    <xf numFmtId="1" fontId="5" fillId="0" borderId="0" xfId="0" applyNumberFormat="1" applyFont="1"/>
    <xf numFmtId="0" fontId="5" fillId="0" borderId="0" xfId="0" applyFont="1" applyBorder="1"/>
    <xf numFmtId="0" fontId="5" fillId="0" borderId="0" xfId="0" applyFont="1" applyFill="1"/>
    <xf numFmtId="0" fontId="7" fillId="0" borderId="0" xfId="0" applyFont="1" applyAlignment="1">
      <alignment horizontal="left"/>
    </xf>
    <xf numFmtId="0" fontId="8" fillId="0" borderId="0" xfId="0" applyFont="1" applyAlignment="1">
      <alignment horizontal="left"/>
    </xf>
    <xf numFmtId="0" fontId="10" fillId="0" borderId="0" xfId="0" applyFont="1" applyAlignment="1">
      <alignment horizontal="left"/>
    </xf>
    <xf numFmtId="3" fontId="5" fillId="0" borderId="0" xfId="0" applyNumberFormat="1" applyFont="1"/>
    <xf numFmtId="3" fontId="4" fillId="0" borderId="0" xfId="0" applyNumberFormat="1" applyFont="1" applyBorder="1" applyAlignment="1">
      <alignment horizontal="right"/>
    </xf>
    <xf numFmtId="0" fontId="13" fillId="2" borderId="0" xfId="0" applyFont="1" applyFill="1"/>
    <xf numFmtId="0" fontId="0" fillId="2" borderId="0" xfId="0" applyFill="1"/>
    <xf numFmtId="0" fontId="5" fillId="2" borderId="0" xfId="0" applyFont="1" applyFill="1"/>
    <xf numFmtId="0" fontId="11" fillId="0" borderId="0" xfId="0" applyFont="1"/>
    <xf numFmtId="2" fontId="3" fillId="0" borderId="0" xfId="0" applyNumberFormat="1" applyFont="1"/>
    <xf numFmtId="2" fontId="11" fillId="0" borderId="0" xfId="0" applyNumberFormat="1" applyFont="1"/>
    <xf numFmtId="0" fontId="5" fillId="3" borderId="0" xfId="0" applyFont="1" applyFill="1"/>
    <xf numFmtId="0" fontId="3" fillId="0" borderId="0" xfId="0" applyFont="1"/>
    <xf numFmtId="0" fontId="3" fillId="0" borderId="0" xfId="0" applyFont="1" applyBorder="1" applyAlignment="1">
      <alignment vertical="top"/>
    </xf>
    <xf numFmtId="0" fontId="5" fillId="0" borderId="0" xfId="0" applyFont="1" applyAlignment="1">
      <alignment horizontal="left"/>
    </xf>
    <xf numFmtId="0" fontId="5" fillId="0" borderId="0" xfId="0" applyFont="1" applyAlignment="1">
      <alignment horizontal="center"/>
    </xf>
    <xf numFmtId="0" fontId="6" fillId="2" borderId="0" xfId="0" applyFont="1" applyFill="1"/>
    <xf numFmtId="0" fontId="12" fillId="4" borderId="0" xfId="0" applyFont="1" applyFill="1"/>
    <xf numFmtId="0" fontId="6" fillId="4" borderId="0" xfId="0" applyFont="1" applyFill="1"/>
    <xf numFmtId="0" fontId="2" fillId="0" borderId="0" xfId="0" applyFont="1" applyFill="1"/>
    <xf numFmtId="0" fontId="2" fillId="0" borderId="0" xfId="0" applyFont="1" applyFill="1" applyAlignment="1">
      <alignment horizontal="center"/>
    </xf>
    <xf numFmtId="3" fontId="2" fillId="0" borderId="0" xfId="0" applyNumberFormat="1" applyFont="1" applyFill="1"/>
    <xf numFmtId="0" fontId="2" fillId="0" borderId="0" xfId="0" applyNumberFormat="1" applyFont="1" applyFill="1"/>
    <xf numFmtId="0" fontId="3" fillId="0" borderId="0" xfId="0" applyFont="1" applyFill="1"/>
    <xf numFmtId="0" fontId="5" fillId="3" borderId="1" xfId="0" applyFont="1" applyFill="1" applyBorder="1" applyAlignment="1">
      <alignment horizontal="left"/>
    </xf>
    <xf numFmtId="0" fontId="5" fillId="5" borderId="1" xfId="0" applyFont="1" applyFill="1" applyBorder="1" applyAlignment="1">
      <alignment horizontal="center"/>
    </xf>
    <xf numFmtId="0" fontId="5" fillId="3" borderId="1" xfId="0" applyFont="1" applyFill="1" applyBorder="1" applyAlignment="1">
      <alignment horizontal="center"/>
    </xf>
    <xf numFmtId="3" fontId="5" fillId="5" borderId="1" xfId="0" applyNumberFormat="1" applyFont="1" applyFill="1" applyBorder="1" applyAlignment="1">
      <alignment horizontal="center"/>
    </xf>
    <xf numFmtId="3" fontId="5" fillId="3" borderId="1" xfId="0" applyNumberFormat="1" applyFont="1" applyFill="1" applyBorder="1" applyAlignment="1">
      <alignment horizontal="center"/>
    </xf>
    <xf numFmtId="0" fontId="5" fillId="3" borderId="1" xfId="0" applyNumberFormat="1" applyFont="1" applyFill="1" applyBorder="1" applyAlignment="1">
      <alignment horizontal="left"/>
    </xf>
    <xf numFmtId="0" fontId="5" fillId="3" borderId="0" xfId="0" applyFont="1" applyFill="1" applyBorder="1" applyAlignment="1">
      <alignment horizontal="left"/>
    </xf>
    <xf numFmtId="0" fontId="5" fillId="5" borderId="0" xfId="0" applyFont="1" applyFill="1" applyBorder="1" applyAlignment="1">
      <alignment horizontal="center"/>
    </xf>
    <xf numFmtId="0" fontId="5" fillId="3" borderId="0" xfId="0" applyFont="1" applyFill="1" applyBorder="1" applyAlignment="1">
      <alignment horizontal="center"/>
    </xf>
    <xf numFmtId="3" fontId="5" fillId="5" borderId="0" xfId="0" applyNumberFormat="1" applyFont="1" applyFill="1" applyBorder="1" applyAlignment="1">
      <alignment horizontal="center"/>
    </xf>
    <xf numFmtId="3" fontId="5" fillId="3" borderId="0" xfId="0" applyNumberFormat="1" applyFont="1" applyFill="1" applyBorder="1" applyAlignment="1">
      <alignment horizontal="center"/>
    </xf>
    <xf numFmtId="0" fontId="5" fillId="3" borderId="0" xfId="0" applyNumberFormat="1" applyFont="1" applyFill="1" applyBorder="1" applyAlignment="1">
      <alignment horizontal="left"/>
    </xf>
    <xf numFmtId="0" fontId="5" fillId="3" borderId="0" xfId="0" applyNumberFormat="1" applyFont="1" applyFill="1" applyBorder="1" applyAlignment="1">
      <alignment horizontal="center"/>
    </xf>
    <xf numFmtId="0" fontId="5" fillId="3" borderId="2" xfId="0" applyFont="1" applyFill="1" applyBorder="1" applyAlignment="1">
      <alignment horizontal="left"/>
    </xf>
    <xf numFmtId="0" fontId="5" fillId="3" borderId="2" xfId="0" applyFont="1" applyFill="1" applyBorder="1" applyAlignment="1">
      <alignment horizontal="center"/>
    </xf>
    <xf numFmtId="0" fontId="5" fillId="5" borderId="2" xfId="0" applyFont="1" applyFill="1" applyBorder="1" applyAlignment="1">
      <alignment horizontal="center" vertical="top"/>
    </xf>
    <xf numFmtId="0" fontId="5" fillId="3" borderId="2" xfId="0" applyFont="1" applyFill="1" applyBorder="1" applyAlignment="1">
      <alignment horizontal="center" vertical="top"/>
    </xf>
    <xf numFmtId="3" fontId="5" fillId="5" borderId="2" xfId="0" applyNumberFormat="1" applyFont="1" applyFill="1" applyBorder="1" applyAlignment="1">
      <alignment horizontal="center" vertical="top"/>
    </xf>
    <xf numFmtId="3" fontId="5" fillId="3" borderId="2" xfId="0" applyNumberFormat="1" applyFont="1" applyFill="1" applyBorder="1" applyAlignment="1">
      <alignment horizontal="center" vertical="top"/>
    </xf>
    <xf numFmtId="0" fontId="5" fillId="3" borderId="2" xfId="0" applyNumberFormat="1" applyFont="1" applyFill="1" applyBorder="1" applyAlignment="1">
      <alignment horizontal="center" vertical="top"/>
    </xf>
    <xf numFmtId="1" fontId="5" fillId="3" borderId="3" xfId="0" applyNumberFormat="1" applyFont="1" applyFill="1" applyBorder="1" applyAlignment="1">
      <alignment horizontal="center" vertical="center"/>
    </xf>
    <xf numFmtId="1" fontId="5" fillId="3" borderId="3" xfId="0" applyNumberFormat="1" applyFont="1" applyFill="1" applyBorder="1" applyAlignment="1">
      <alignment horizontal="left" vertical="center"/>
    </xf>
    <xf numFmtId="14" fontId="5" fillId="5" borderId="3" xfId="0" applyNumberFormat="1" applyFont="1" applyFill="1" applyBorder="1" applyAlignment="1">
      <alignment horizontal="center" vertical="center"/>
    </xf>
    <xf numFmtId="183" fontId="5" fillId="3" borderId="3" xfId="0" applyNumberFormat="1" applyFont="1" applyFill="1" applyBorder="1" applyAlignment="1">
      <alignment horizontal="center" vertical="center" wrapText="1"/>
    </xf>
    <xf numFmtId="183" fontId="5" fillId="5" borderId="3" xfId="0" applyNumberFormat="1" applyFont="1" applyFill="1" applyBorder="1" applyAlignment="1">
      <alignment horizontal="center" vertical="center" wrapText="1"/>
    </xf>
    <xf numFmtId="0" fontId="5" fillId="3" borderId="3" xfId="0" applyNumberFormat="1" applyFont="1" applyFill="1" applyBorder="1" applyAlignment="1">
      <alignment horizontal="center" vertical="center" wrapText="1"/>
    </xf>
    <xf numFmtId="0" fontId="9" fillId="3" borderId="4" xfId="0" applyNumberFormat="1" applyFont="1" applyFill="1" applyBorder="1" applyAlignment="1">
      <alignment horizontal="center" vertical="center"/>
    </xf>
    <xf numFmtId="0" fontId="9" fillId="3" borderId="4" xfId="0" applyNumberFormat="1" applyFont="1" applyFill="1" applyBorder="1" applyAlignment="1">
      <alignment horizontal="left" vertical="center"/>
    </xf>
    <xf numFmtId="0" fontId="9" fillId="5" borderId="4" xfId="0" applyNumberFormat="1" applyFont="1" applyFill="1" applyBorder="1" applyAlignment="1">
      <alignment horizontal="center" vertical="center"/>
    </xf>
    <xf numFmtId="0" fontId="9" fillId="0" borderId="0" xfId="0" applyNumberFormat="1" applyFont="1" applyAlignment="1">
      <alignment horizontal="center"/>
    </xf>
    <xf numFmtId="0" fontId="5" fillId="0" borderId="0" xfId="0" applyFont="1" applyFill="1" applyAlignment="1">
      <alignment horizontal="center"/>
    </xf>
    <xf numFmtId="0" fontId="5" fillId="0" borderId="0" xfId="0" applyNumberFormat="1" applyFont="1"/>
    <xf numFmtId="1" fontId="5" fillId="0" borderId="0" xfId="0" applyNumberFormat="1" applyFont="1" applyAlignment="1">
      <alignment horizontal="left"/>
    </xf>
    <xf numFmtId="1" fontId="5" fillId="0" borderId="0" xfId="0" applyNumberFormat="1" applyFont="1" applyFill="1" applyAlignment="1">
      <alignment horizontal="left"/>
    </xf>
    <xf numFmtId="0" fontId="5" fillId="0" borderId="0" xfId="0" applyFont="1" applyFill="1" applyAlignment="1">
      <alignment horizontal="left"/>
    </xf>
    <xf numFmtId="0" fontId="20" fillId="0" borderId="0" xfId="0" applyFont="1"/>
    <xf numFmtId="0" fontId="5" fillId="6" borderId="0" xfId="0" applyFont="1" applyFill="1"/>
    <xf numFmtId="0" fontId="15" fillId="0" borderId="0" xfId="0" applyFont="1" applyFill="1"/>
    <xf numFmtId="14" fontId="5" fillId="6" borderId="0" xfId="0" applyNumberFormat="1" applyFont="1" applyFill="1"/>
    <xf numFmtId="0" fontId="0" fillId="0" borderId="0" xfId="0" applyAlignment="1">
      <alignment vertical="top"/>
    </xf>
    <xf numFmtId="0" fontId="24" fillId="0" borderId="0" xfId="0" applyFont="1" applyAlignment="1">
      <alignment vertical="top"/>
    </xf>
    <xf numFmtId="0" fontId="23" fillId="0" borderId="0" xfId="0" applyFont="1" applyAlignment="1"/>
    <xf numFmtId="0" fontId="25" fillId="0" borderId="0" xfId="0" applyFont="1" applyAlignment="1"/>
    <xf numFmtId="0" fontId="26" fillId="0" borderId="0" xfId="0" applyFont="1" applyAlignment="1"/>
    <xf numFmtId="0" fontId="25" fillId="0" borderId="5" xfId="0" applyFont="1" applyBorder="1" applyAlignment="1">
      <alignment vertical="top" wrapText="1"/>
    </xf>
    <xf numFmtId="0" fontId="25" fillId="0" borderId="6" xfId="0" applyFont="1" applyBorder="1" applyAlignment="1">
      <alignment vertical="top" wrapText="1"/>
    </xf>
    <xf numFmtId="0" fontId="5" fillId="0" borderId="0" xfId="0" applyFont="1" applyAlignment="1"/>
    <xf numFmtId="1" fontId="27" fillId="0" borderId="0" xfId="0" applyNumberFormat="1" applyFont="1" applyFill="1" applyBorder="1" applyAlignment="1"/>
    <xf numFmtId="0" fontId="9" fillId="0" borderId="0" xfId="0" applyFont="1" applyFill="1" applyBorder="1" applyAlignment="1">
      <alignment horizontal="center"/>
    </xf>
    <xf numFmtId="0" fontId="19" fillId="0" borderId="0" xfId="0" applyFont="1" applyFill="1" applyBorder="1"/>
    <xf numFmtId="16" fontId="9" fillId="0" borderId="0" xfId="0" quotePrefix="1" applyNumberFormat="1" applyFont="1" applyFill="1" applyBorder="1" applyAlignment="1">
      <alignment horizontal="center"/>
    </xf>
    <xf numFmtId="0" fontId="19" fillId="0" borderId="0" xfId="0" quotePrefix="1" applyFont="1" applyFill="1" applyBorder="1"/>
    <xf numFmtId="18" fontId="9" fillId="0" borderId="0" xfId="0" quotePrefix="1" applyNumberFormat="1" applyFont="1" applyFill="1" applyBorder="1" applyAlignment="1">
      <alignment horizontal="center"/>
    </xf>
    <xf numFmtId="0" fontId="9" fillId="0" borderId="0" xfId="0" quotePrefix="1" applyFont="1" applyFill="1" applyBorder="1" applyAlignment="1">
      <alignment horizontal="center"/>
    </xf>
    <xf numFmtId="0" fontId="9" fillId="0" borderId="0" xfId="0" applyFont="1" applyBorder="1" applyAlignment="1">
      <alignment horizontal="center"/>
    </xf>
    <xf numFmtId="0" fontId="19" fillId="0" borderId="0" xfId="0" applyFont="1" applyBorder="1"/>
    <xf numFmtId="1" fontId="5" fillId="0" borderId="0" xfId="0" applyNumberFormat="1" applyFont="1" applyBorder="1" applyAlignment="1">
      <alignment horizontal="left"/>
    </xf>
    <xf numFmtId="0" fontId="5" fillId="0" borderId="0" xfId="0" applyFont="1" applyBorder="1" applyAlignment="1">
      <alignment horizontal="left"/>
    </xf>
    <xf numFmtId="0" fontId="26" fillId="0" borderId="0" xfId="0" applyFont="1"/>
    <xf numFmtId="0" fontId="25" fillId="0" borderId="0" xfId="0" applyFont="1"/>
    <xf numFmtId="0" fontId="0" fillId="0" borderId="0" xfId="0" applyFill="1"/>
    <xf numFmtId="9" fontId="33" fillId="0" borderId="0" xfId="0" applyNumberFormat="1" applyFont="1" applyFill="1" applyAlignment="1">
      <alignment horizontal="right"/>
    </xf>
    <xf numFmtId="2" fontId="5" fillId="6" borderId="0" xfId="0" applyNumberFormat="1" applyFont="1" applyFill="1" applyAlignment="1">
      <alignment horizontal="left"/>
    </xf>
    <xf numFmtId="0" fontId="13" fillId="0" borderId="0" xfId="0" applyFont="1" applyFill="1"/>
    <xf numFmtId="0" fontId="14" fillId="0" borderId="0" xfId="0" applyFont="1" applyFill="1"/>
    <xf numFmtId="0" fontId="35" fillId="2" borderId="0" xfId="0" applyFont="1" applyFill="1"/>
    <xf numFmtId="0" fontId="36" fillId="2" borderId="0" xfId="0" applyFont="1" applyFill="1"/>
    <xf numFmtId="0" fontId="19" fillId="2" borderId="0" xfId="0" applyFont="1" applyFill="1"/>
    <xf numFmtId="14" fontId="5" fillId="0" borderId="0" xfId="0" applyNumberFormat="1" applyFont="1" applyFill="1"/>
    <xf numFmtId="2" fontId="5" fillId="0" borderId="0" xfId="0" applyNumberFormat="1" applyFont="1" applyFill="1" applyAlignment="1">
      <alignment horizontal="left"/>
    </xf>
    <xf numFmtId="1" fontId="5" fillId="3" borderId="3" xfId="0" applyNumberFormat="1" applyFont="1" applyFill="1" applyBorder="1" applyAlignment="1">
      <alignment horizontal="left" vertical="center" wrapText="1"/>
    </xf>
    <xf numFmtId="0" fontId="9" fillId="5" borderId="4" xfId="0" quotePrefix="1" applyNumberFormat="1" applyFont="1" applyFill="1" applyBorder="1" applyAlignment="1">
      <alignment horizontal="center" vertical="center"/>
    </xf>
    <xf numFmtId="0" fontId="26" fillId="0" borderId="7" xfId="0" applyFont="1" applyBorder="1" applyAlignment="1">
      <alignment horizontal="center" vertical="top" wrapText="1"/>
    </xf>
    <xf numFmtId="0" fontId="26" fillId="0" borderId="8" xfId="0" applyFont="1" applyBorder="1" applyAlignment="1">
      <alignment horizontal="center" vertical="top" wrapText="1"/>
    </xf>
    <xf numFmtId="9" fontId="26" fillId="0" borderId="8" xfId="0" applyNumberFormat="1" applyFont="1" applyBorder="1" applyAlignment="1">
      <alignment horizontal="center" vertical="top" wrapText="1"/>
    </xf>
    <xf numFmtId="0" fontId="3" fillId="0" borderId="0" xfId="7" applyFont="1"/>
    <xf numFmtId="0" fontId="37" fillId="0" borderId="0" xfId="7"/>
    <xf numFmtId="0" fontId="5" fillId="0" borderId="0" xfId="7" applyFont="1"/>
    <xf numFmtId="0" fontId="29" fillId="0" borderId="0" xfId="7" applyFont="1"/>
    <xf numFmtId="0" fontId="5" fillId="0" borderId="9" xfId="0" applyFont="1" applyBorder="1"/>
    <xf numFmtId="0" fontId="24" fillId="0" borderId="0" xfId="0" applyFont="1" applyFill="1"/>
    <xf numFmtId="0" fontId="36" fillId="0" borderId="0" xfId="0" applyFont="1" applyFill="1"/>
    <xf numFmtId="0" fontId="19" fillId="0" borderId="0" xfId="0" applyFont="1" applyFill="1"/>
    <xf numFmtId="0" fontId="32" fillId="0" borderId="0" xfId="0" applyFont="1" applyFill="1"/>
    <xf numFmtId="0" fontId="44" fillId="0" borderId="0" xfId="0" applyFont="1"/>
    <xf numFmtId="183" fontId="5" fillId="3" borderId="3" xfId="0" applyNumberFormat="1" applyFont="1" applyFill="1" applyBorder="1" applyAlignment="1">
      <alignment horizontal="left" vertical="center" wrapText="1"/>
    </xf>
    <xf numFmtId="1" fontId="5" fillId="3" borderId="3" xfId="0" applyNumberFormat="1" applyFont="1" applyFill="1" applyBorder="1" applyAlignment="1">
      <alignment horizontal="center" vertical="center" wrapText="1"/>
    </xf>
    <xf numFmtId="0" fontId="0" fillId="0" borderId="0" xfId="0" applyAlignment="1">
      <alignment wrapText="1"/>
    </xf>
    <xf numFmtId="0" fontId="3" fillId="0" borderId="0" xfId="3" applyFont="1"/>
    <xf numFmtId="0" fontId="37" fillId="0" borderId="0" xfId="3"/>
    <xf numFmtId="2" fontId="46" fillId="0" borderId="0" xfId="3" applyNumberFormat="1" applyFont="1"/>
    <xf numFmtId="0" fontId="46" fillId="0" borderId="0" xfId="3" applyFont="1"/>
    <xf numFmtId="0" fontId="46" fillId="0" borderId="0" xfId="3" applyFont="1" applyAlignment="1"/>
    <xf numFmtId="0" fontId="29" fillId="0" borderId="0" xfId="3" applyFont="1"/>
    <xf numFmtId="0" fontId="3" fillId="0" borderId="0" xfId="0" applyFont="1" applyAlignment="1">
      <alignment vertical="top"/>
    </xf>
    <xf numFmtId="0" fontId="4" fillId="3" borderId="1" xfId="0" applyFont="1" applyFill="1" applyBorder="1" applyAlignment="1">
      <alignment horizontal="left"/>
    </xf>
    <xf numFmtId="0" fontId="4" fillId="5" borderId="1" xfId="0" applyFont="1" applyFill="1" applyBorder="1" applyAlignment="1">
      <alignment horizontal="right"/>
    </xf>
    <xf numFmtId="0" fontId="4" fillId="3" borderId="1" xfId="0" applyFont="1" applyFill="1" applyBorder="1" applyAlignment="1">
      <alignment horizontal="right"/>
    </xf>
    <xf numFmtId="0" fontId="4" fillId="3" borderId="0" xfId="0" applyFont="1" applyFill="1" applyBorder="1" applyAlignment="1">
      <alignment horizontal="center"/>
    </xf>
    <xf numFmtId="0" fontId="4" fillId="5" borderId="0" xfId="0" applyFont="1" applyFill="1" applyBorder="1" applyAlignment="1">
      <alignment horizontal="right"/>
    </xf>
    <xf numFmtId="0" fontId="4" fillId="5" borderId="0" xfId="0" applyFont="1" applyFill="1" applyBorder="1" applyAlignment="1">
      <alignment horizontal="center"/>
    </xf>
    <xf numFmtId="0" fontId="4" fillId="3" borderId="0" xfId="0" applyFont="1" applyFill="1" applyBorder="1" applyAlignment="1">
      <alignment horizontal="right"/>
    </xf>
    <xf numFmtId="0" fontId="4" fillId="3" borderId="2" xfId="0" applyFont="1" applyFill="1" applyBorder="1" applyAlignment="1">
      <alignment horizontal="center" vertical="top"/>
    </xf>
    <xf numFmtId="0" fontId="4" fillId="5" borderId="2" xfId="0" applyFont="1" applyFill="1" applyBorder="1" applyAlignment="1">
      <alignment horizontal="center" vertical="top"/>
    </xf>
    <xf numFmtId="0" fontId="4" fillId="3" borderId="2" xfId="0" applyFont="1" applyFill="1" applyBorder="1" applyAlignment="1">
      <alignment horizontal="right" vertical="top"/>
    </xf>
    <xf numFmtId="0" fontId="4" fillId="5" borderId="2" xfId="0" applyFont="1" applyFill="1" applyBorder="1" applyAlignment="1">
      <alignment horizontal="right" vertical="top"/>
    </xf>
    <xf numFmtId="0" fontId="4" fillId="0" borderId="0" xfId="0" applyFont="1"/>
    <xf numFmtId="0" fontId="4" fillId="3" borderId="10" xfId="0" applyFont="1" applyFill="1" applyBorder="1" applyAlignment="1">
      <alignment horizontal="left"/>
    </xf>
    <xf numFmtId="3" fontId="4" fillId="5" borderId="10" xfId="0" applyNumberFormat="1" applyFont="1" applyFill="1" applyBorder="1"/>
    <xf numFmtId="3" fontId="4" fillId="3" borderId="10" xfId="0" applyNumberFormat="1" applyFont="1" applyFill="1" applyBorder="1"/>
    <xf numFmtId="3" fontId="4" fillId="0" borderId="0" xfId="0" applyNumberFormat="1" applyFont="1"/>
    <xf numFmtId="0" fontId="4" fillId="3" borderId="11" xfId="0" applyFont="1" applyFill="1" applyBorder="1" applyAlignment="1">
      <alignment horizontal="left"/>
    </xf>
    <xf numFmtId="0" fontId="4" fillId="3" borderId="11" xfId="0" applyFont="1" applyFill="1" applyBorder="1" applyAlignment="1">
      <alignment horizontal="left" vertical="center"/>
    </xf>
    <xf numFmtId="0" fontId="6" fillId="3" borderId="0" xfId="0" applyFont="1" applyFill="1" applyBorder="1" applyAlignment="1">
      <alignment horizontal="left" vertical="center"/>
    </xf>
    <xf numFmtId="3" fontId="6" fillId="5" borderId="10" xfId="0" applyNumberFormat="1" applyFont="1" applyFill="1" applyBorder="1" applyAlignment="1">
      <alignment vertical="center"/>
    </xf>
    <xf numFmtId="3" fontId="6" fillId="3" borderId="10" xfId="0" applyNumberFormat="1" applyFont="1" applyFill="1" applyBorder="1" applyAlignment="1">
      <alignment vertical="center"/>
    </xf>
    <xf numFmtId="0" fontId="5" fillId="0" borderId="12" xfId="0" applyFont="1" applyBorder="1"/>
    <xf numFmtId="0" fontId="5" fillId="7" borderId="0" xfId="0" applyFont="1" applyFill="1" applyBorder="1" applyProtection="1"/>
    <xf numFmtId="0" fontId="3" fillId="0" borderId="0" xfId="0" applyFont="1" applyAlignment="1">
      <alignment vertical="center"/>
    </xf>
    <xf numFmtId="3" fontId="3" fillId="0" borderId="0" xfId="0" applyNumberFormat="1" applyFont="1" applyAlignment="1">
      <alignment horizontal="left" vertical="center"/>
    </xf>
    <xf numFmtId="0" fontId="2" fillId="0" borderId="0" xfId="0" applyFont="1" applyAlignment="1">
      <alignment horizontal="right"/>
    </xf>
    <xf numFmtId="3" fontId="2" fillId="0" borderId="0" xfId="0" applyNumberFormat="1" applyFont="1" applyAlignment="1">
      <alignment horizontal="right"/>
    </xf>
    <xf numFmtId="0" fontId="0" fillId="0" borderId="2" xfId="0" applyBorder="1" applyAlignment="1">
      <alignment wrapText="1"/>
    </xf>
    <xf numFmtId="0" fontId="3" fillId="7" borderId="0" xfId="0" applyFont="1" applyFill="1" applyAlignment="1">
      <alignment horizontal="right" vertical="top"/>
    </xf>
    <xf numFmtId="3" fontId="4" fillId="5" borderId="1" xfId="0" applyNumberFormat="1" applyFont="1" applyFill="1" applyBorder="1" applyAlignment="1">
      <alignment horizontal="right"/>
    </xf>
    <xf numFmtId="3" fontId="4" fillId="5" borderId="0" xfId="0" applyNumberFormat="1" applyFont="1" applyFill="1" applyBorder="1" applyAlignment="1">
      <alignment horizontal="right"/>
    </xf>
    <xf numFmtId="3" fontId="4" fillId="5" borderId="2" xfId="0" applyNumberFormat="1" applyFont="1" applyFill="1" applyBorder="1" applyAlignment="1">
      <alignment horizontal="right" vertical="top"/>
    </xf>
    <xf numFmtId="3" fontId="4" fillId="5" borderId="3" xfId="0" applyNumberFormat="1" applyFont="1" applyFill="1" applyBorder="1" applyAlignment="1">
      <alignment horizontal="right"/>
    </xf>
    <xf numFmtId="184" fontId="4" fillId="3" borderId="3" xfId="0" applyNumberFormat="1" applyFont="1" applyFill="1" applyBorder="1" applyAlignment="1">
      <alignment horizontal="right"/>
    </xf>
    <xf numFmtId="3" fontId="4" fillId="5" borderId="11" xfId="0" applyNumberFormat="1" applyFont="1" applyFill="1" applyBorder="1" applyAlignment="1">
      <alignment horizontal="right"/>
    </xf>
    <xf numFmtId="184" fontId="4" fillId="3" borderId="11" xfId="0" applyNumberFormat="1" applyFont="1" applyFill="1" applyBorder="1" applyAlignment="1">
      <alignment horizontal="right"/>
    </xf>
    <xf numFmtId="3" fontId="6" fillId="5" borderId="11" xfId="0" applyNumberFormat="1" applyFont="1" applyFill="1" applyBorder="1" applyAlignment="1">
      <alignment horizontal="right" vertical="center"/>
    </xf>
    <xf numFmtId="184" fontId="6" fillId="3" borderId="11" xfId="0" applyNumberFormat="1" applyFont="1" applyFill="1" applyBorder="1" applyAlignment="1">
      <alignment horizontal="right" vertical="center"/>
    </xf>
    <xf numFmtId="0" fontId="9" fillId="0" borderId="0" xfId="0" applyFont="1"/>
    <xf numFmtId="1" fontId="9" fillId="0" borderId="0" xfId="0" applyNumberFormat="1" applyFont="1"/>
    <xf numFmtId="3" fontId="5" fillId="0" borderId="12" xfId="0" applyNumberFormat="1" applyFont="1" applyBorder="1" applyAlignment="1">
      <alignment horizontal="right"/>
    </xf>
    <xf numFmtId="0" fontId="5" fillId="0" borderId="12" xfId="0" applyFont="1" applyBorder="1" applyAlignment="1">
      <alignment horizontal="right"/>
    </xf>
    <xf numFmtId="3" fontId="5" fillId="0" borderId="0" xfId="0" applyNumberFormat="1" applyFont="1" applyBorder="1" applyAlignment="1">
      <alignment horizontal="right"/>
    </xf>
    <xf numFmtId="0" fontId="5" fillId="0" borderId="0" xfId="0" applyFont="1" applyBorder="1" applyAlignment="1">
      <alignment horizontal="right"/>
    </xf>
    <xf numFmtId="3" fontId="5" fillId="0" borderId="0" xfId="0" applyNumberFormat="1" applyFont="1" applyAlignment="1">
      <alignment horizontal="right"/>
    </xf>
    <xf numFmtId="0" fontId="5" fillId="0" borderId="0" xfId="0" applyFont="1" applyAlignment="1">
      <alignment horizontal="right"/>
    </xf>
    <xf numFmtId="0" fontId="3" fillId="7" borderId="0" xfId="0" applyFont="1" applyFill="1" applyAlignment="1">
      <alignment vertical="center"/>
    </xf>
    <xf numFmtId="184" fontId="4" fillId="5" borderId="10" xfId="0" applyNumberFormat="1" applyFont="1" applyFill="1" applyBorder="1" applyAlignment="1">
      <alignment horizontal="center"/>
    </xf>
    <xf numFmtId="184" fontId="6" fillId="5" borderId="10" xfId="0" applyNumberFormat="1" applyFont="1" applyFill="1" applyBorder="1" applyAlignment="1">
      <alignment horizontal="center" vertical="center"/>
    </xf>
    <xf numFmtId="0" fontId="3" fillId="0" borderId="0" xfId="12" applyFont="1" applyAlignment="1">
      <alignment horizontal="left"/>
    </xf>
    <xf numFmtId="0" fontId="37" fillId="0" borderId="0" xfId="12" applyAlignment="1">
      <alignment horizontal="center"/>
    </xf>
    <xf numFmtId="0" fontId="37" fillId="0" borderId="0" xfId="12"/>
    <xf numFmtId="0" fontId="39" fillId="6" borderId="0" xfId="12" applyFont="1" applyFill="1" applyAlignment="1">
      <alignment horizontal="center" wrapText="1" shrinkToFit="1"/>
    </xf>
    <xf numFmtId="0" fontId="39" fillId="0" borderId="2" xfId="12" applyFont="1" applyBorder="1" applyAlignment="1">
      <alignment horizontal="center" wrapText="1" shrinkToFit="1"/>
    </xf>
    <xf numFmtId="0" fontId="37" fillId="0" borderId="2" xfId="12" applyBorder="1" applyAlignment="1">
      <alignment horizontal="center"/>
    </xf>
    <xf numFmtId="0" fontId="37" fillId="0" borderId="2" xfId="12" applyBorder="1"/>
    <xf numFmtId="2" fontId="37" fillId="0" borderId="2" xfId="12" applyNumberFormat="1" applyBorder="1" applyAlignment="1">
      <alignment horizontal="center"/>
    </xf>
    <xf numFmtId="2" fontId="37" fillId="0" borderId="0" xfId="12" applyNumberFormat="1" applyBorder="1" applyAlignment="1">
      <alignment horizontal="center"/>
    </xf>
    <xf numFmtId="0" fontId="5" fillId="0" borderId="0" xfId="12" applyFont="1" applyFill="1" applyBorder="1" applyAlignment="1">
      <alignment horizontal="center"/>
    </xf>
    <xf numFmtId="0" fontId="48" fillId="0" borderId="0" xfId="12" applyFont="1"/>
    <xf numFmtId="0" fontId="39" fillId="0" borderId="0" xfId="12" applyFont="1" applyAlignment="1">
      <alignment horizontal="left"/>
    </xf>
    <xf numFmtId="0" fontId="37" fillId="0" borderId="13" xfId="12" quotePrefix="1" applyBorder="1" applyAlignment="1">
      <alignment horizontal="center"/>
    </xf>
    <xf numFmtId="0" fontId="48" fillId="0" borderId="0" xfId="12" applyFont="1" applyAlignment="1">
      <alignment horizontal="left"/>
    </xf>
    <xf numFmtId="0" fontId="37" fillId="0" borderId="13" xfId="12" applyBorder="1" applyAlignment="1">
      <alignment horizontal="center"/>
    </xf>
    <xf numFmtId="0" fontId="37" fillId="2" borderId="2" xfId="12" applyFill="1" applyBorder="1"/>
    <xf numFmtId="0" fontId="37" fillId="0" borderId="0" xfId="12" applyBorder="1" applyAlignment="1">
      <alignment horizontal="center"/>
    </xf>
    <xf numFmtId="184" fontId="2" fillId="0" borderId="0" xfId="0" applyNumberFormat="1" applyFont="1"/>
    <xf numFmtId="0" fontId="3" fillId="0" borderId="0" xfId="0" applyFont="1" applyFill="1" applyAlignment="1">
      <alignment horizontal="right" vertical="top"/>
    </xf>
    <xf numFmtId="184" fontId="4" fillId="5" borderId="1" xfId="0" applyNumberFormat="1" applyFont="1" applyFill="1" applyBorder="1" applyAlignment="1">
      <alignment horizontal="right"/>
    </xf>
    <xf numFmtId="184" fontId="4" fillId="5" borderId="0" xfId="0" applyNumberFormat="1" applyFont="1" applyFill="1" applyBorder="1" applyAlignment="1">
      <alignment horizontal="right"/>
    </xf>
    <xf numFmtId="184" fontId="4" fillId="5" borderId="2" xfId="0" applyNumberFormat="1" applyFont="1" applyFill="1" applyBorder="1" applyAlignment="1">
      <alignment horizontal="right" vertical="top"/>
    </xf>
    <xf numFmtId="184" fontId="4" fillId="5" borderId="10" xfId="0" applyNumberFormat="1" applyFont="1" applyFill="1" applyBorder="1"/>
    <xf numFmtId="3" fontId="4" fillId="5" borderId="11" xfId="0" applyNumberFormat="1" applyFont="1" applyFill="1" applyBorder="1"/>
    <xf numFmtId="3" fontId="4" fillId="3" borderId="11" xfId="0" applyNumberFormat="1" applyFont="1" applyFill="1" applyBorder="1"/>
    <xf numFmtId="184" fontId="4" fillId="5" borderId="11" xfId="0" applyNumberFormat="1" applyFont="1" applyFill="1" applyBorder="1"/>
    <xf numFmtId="3" fontId="4" fillId="5" borderId="11" xfId="0" applyNumberFormat="1" applyFont="1" applyFill="1" applyBorder="1" applyAlignment="1">
      <alignment vertical="center"/>
    </xf>
    <xf numFmtId="3" fontId="4" fillId="3" borderId="11" xfId="0" applyNumberFormat="1" applyFont="1" applyFill="1" applyBorder="1" applyAlignment="1">
      <alignment vertical="center"/>
    </xf>
    <xf numFmtId="184" fontId="4" fillId="5" borderId="11" xfId="0" applyNumberFormat="1" applyFont="1" applyFill="1" applyBorder="1" applyAlignment="1">
      <alignment vertical="center"/>
    </xf>
    <xf numFmtId="0" fontId="4" fillId="3" borderId="3" xfId="0" applyFont="1" applyFill="1" applyBorder="1" applyAlignment="1">
      <alignment horizontal="left" vertical="center"/>
    </xf>
    <xf numFmtId="184" fontId="4" fillId="5" borderId="11" xfId="0" applyNumberFormat="1" applyFont="1" applyFill="1" applyBorder="1" applyAlignment="1">
      <alignment horizontal="right" vertical="center"/>
    </xf>
    <xf numFmtId="0" fontId="6" fillId="3" borderId="4" xfId="0" applyFont="1" applyFill="1" applyBorder="1" applyAlignment="1">
      <alignment horizontal="left" vertical="center"/>
    </xf>
    <xf numFmtId="3" fontId="6" fillId="5" borderId="4" xfId="0" applyNumberFormat="1" applyFont="1" applyFill="1" applyBorder="1" applyAlignment="1">
      <alignment horizontal="right" vertical="center"/>
    </xf>
    <xf numFmtId="3" fontId="6" fillId="3" borderId="4" xfId="0" applyNumberFormat="1" applyFont="1" applyFill="1" applyBorder="1" applyAlignment="1">
      <alignment horizontal="right" vertical="center"/>
    </xf>
    <xf numFmtId="3" fontId="6" fillId="3" borderId="4" xfId="0" applyNumberFormat="1" applyFont="1" applyFill="1" applyBorder="1" applyAlignment="1">
      <alignment vertical="center"/>
    </xf>
    <xf numFmtId="184" fontId="6" fillId="5" borderId="4" xfId="0" applyNumberFormat="1" applyFont="1" applyFill="1" applyBorder="1" applyAlignment="1">
      <alignment horizontal="right" vertical="center"/>
    </xf>
    <xf numFmtId="184" fontId="5" fillId="0" borderId="0" xfId="0" applyNumberFormat="1" applyFont="1"/>
    <xf numFmtId="0" fontId="5" fillId="0" borderId="0" xfId="0" applyFont="1" applyFill="1" applyBorder="1"/>
    <xf numFmtId="0" fontId="4" fillId="3" borderId="0" xfId="0" applyFont="1" applyFill="1" applyBorder="1" applyAlignment="1">
      <alignment horizontal="left"/>
    </xf>
    <xf numFmtId="3" fontId="4" fillId="3" borderId="0" xfId="0" applyNumberFormat="1" applyFont="1" applyFill="1" applyBorder="1" applyAlignment="1">
      <alignment horizontal="right"/>
    </xf>
    <xf numFmtId="0" fontId="4" fillId="3" borderId="2" xfId="0" applyFont="1" applyFill="1" applyBorder="1" applyAlignment="1">
      <alignment horizontal="left" vertical="top"/>
    </xf>
    <xf numFmtId="3" fontId="4" fillId="3" borderId="2" xfId="0" applyNumberFormat="1" applyFont="1" applyFill="1" applyBorder="1" applyAlignment="1">
      <alignment horizontal="right" vertical="top"/>
    </xf>
    <xf numFmtId="0" fontId="4" fillId="3" borderId="3" xfId="0" quotePrefix="1" applyFont="1" applyFill="1" applyBorder="1" applyAlignment="1">
      <alignment horizontal="left"/>
    </xf>
    <xf numFmtId="3" fontId="4" fillId="3" borderId="3" xfId="0" applyNumberFormat="1" applyFont="1" applyFill="1" applyBorder="1" applyAlignment="1">
      <alignment horizontal="right"/>
    </xf>
    <xf numFmtId="0" fontId="4" fillId="3" borderId="11" xfId="0" quotePrefix="1" applyFont="1" applyFill="1" applyBorder="1" applyAlignment="1">
      <alignment horizontal="left"/>
    </xf>
    <xf numFmtId="3" fontId="4" fillId="3" borderId="11" xfId="0" applyNumberFormat="1" applyFont="1" applyFill="1" applyBorder="1" applyAlignment="1">
      <alignment horizontal="right"/>
    </xf>
    <xf numFmtId="0" fontId="6" fillId="3" borderId="0" xfId="0" quotePrefix="1" applyFont="1" applyFill="1" applyBorder="1" applyAlignment="1">
      <alignment horizontal="left" vertical="center"/>
    </xf>
    <xf numFmtId="3" fontId="6" fillId="5" borderId="0" xfId="0" applyNumberFormat="1" applyFont="1" applyFill="1" applyBorder="1" applyAlignment="1">
      <alignment horizontal="right" vertical="center"/>
    </xf>
    <xf numFmtId="3" fontId="6" fillId="3" borderId="0" xfId="0" applyNumberFormat="1" applyFont="1" applyFill="1" applyBorder="1" applyAlignment="1">
      <alignment horizontal="right" vertical="center"/>
    </xf>
    <xf numFmtId="3" fontId="4" fillId="0" borderId="12" xfId="0" applyNumberFormat="1" applyFont="1" applyBorder="1" applyAlignment="1">
      <alignment horizontal="right" vertical="top"/>
    </xf>
    <xf numFmtId="182" fontId="4" fillId="0" borderId="12" xfId="0" applyNumberFormat="1" applyFont="1" applyBorder="1" applyAlignment="1">
      <alignment horizontal="right" vertical="top"/>
    </xf>
    <xf numFmtId="3" fontId="4" fillId="0" borderId="0" xfId="0" applyNumberFormat="1" applyFont="1" applyBorder="1" applyAlignment="1">
      <alignment horizontal="right" vertical="top"/>
    </xf>
    <xf numFmtId="182" fontId="4" fillId="0" borderId="0" xfId="0" applyNumberFormat="1" applyFont="1" applyBorder="1" applyAlignment="1">
      <alignment horizontal="right" vertical="top"/>
    </xf>
    <xf numFmtId="0" fontId="5" fillId="7" borderId="0" xfId="0" applyFont="1" applyFill="1" applyBorder="1"/>
    <xf numFmtId="0" fontId="19" fillId="7" borderId="0" xfId="0" applyFont="1" applyFill="1" applyBorder="1"/>
    <xf numFmtId="0" fontId="4" fillId="3" borderId="1" xfId="0" applyFont="1" applyFill="1" applyBorder="1" applyAlignment="1">
      <alignment horizontal="left" vertical="center"/>
    </xf>
    <xf numFmtId="0" fontId="4" fillId="5" borderId="1" xfId="0" applyFont="1" applyFill="1" applyBorder="1" applyAlignment="1">
      <alignment horizontal="right" vertical="center"/>
    </xf>
    <xf numFmtId="0" fontId="4" fillId="3" borderId="1" xfId="0" applyFont="1" applyFill="1" applyBorder="1" applyAlignment="1">
      <alignment horizontal="right" vertical="center"/>
    </xf>
    <xf numFmtId="0" fontId="4" fillId="3" borderId="0" xfId="0" applyFont="1" applyFill="1" applyBorder="1" applyAlignment="1">
      <alignment horizontal="left" vertical="center"/>
    </xf>
    <xf numFmtId="0" fontId="4" fillId="5" borderId="0" xfId="0" applyFont="1" applyFill="1" applyBorder="1" applyAlignment="1">
      <alignment horizontal="right" vertical="center"/>
    </xf>
    <xf numFmtId="0" fontId="4" fillId="3" borderId="0" xfId="0" applyFont="1" applyFill="1" applyBorder="1" applyAlignment="1">
      <alignment horizontal="right" vertical="center"/>
    </xf>
    <xf numFmtId="184" fontId="4" fillId="3" borderId="10" xfId="0" applyNumberFormat="1" applyFont="1" applyFill="1" applyBorder="1"/>
    <xf numFmtId="16" fontId="4" fillId="3" borderId="11" xfId="0" applyNumberFormat="1" applyFont="1" applyFill="1" applyBorder="1" applyAlignment="1">
      <alignment horizontal="left"/>
    </xf>
    <xf numFmtId="184" fontId="4" fillId="3" borderId="10" xfId="0" applyNumberFormat="1" applyFont="1" applyFill="1" applyBorder="1" applyAlignment="1">
      <alignment vertical="center"/>
    </xf>
    <xf numFmtId="0" fontId="6" fillId="3" borderId="14" xfId="0" applyFont="1" applyFill="1" applyBorder="1" applyAlignment="1">
      <alignment horizontal="left" vertical="center"/>
    </xf>
    <xf numFmtId="3" fontId="6" fillId="5" borderId="4" xfId="0" applyNumberFormat="1" applyFont="1" applyFill="1" applyBorder="1" applyAlignment="1">
      <alignment vertical="center"/>
    </xf>
    <xf numFmtId="184" fontId="6" fillId="3" borderId="4" xfId="0" applyNumberFormat="1" applyFont="1" applyFill="1" applyBorder="1" applyAlignment="1">
      <alignment vertical="center"/>
    </xf>
    <xf numFmtId="0" fontId="19" fillId="7" borderId="0" xfId="0" applyFont="1" applyFill="1" applyBorder="1" applyProtection="1"/>
    <xf numFmtId="0" fontId="2" fillId="0" borderId="0" xfId="0" applyFont="1" applyBorder="1"/>
    <xf numFmtId="0" fontId="3" fillId="0" borderId="2" xfId="0" applyFont="1" applyBorder="1" applyAlignment="1">
      <alignment vertical="top"/>
    </xf>
    <xf numFmtId="0" fontId="4" fillId="3" borderId="2" xfId="0" applyFont="1" applyFill="1" applyBorder="1" applyAlignment="1">
      <alignment horizontal="center"/>
    </xf>
    <xf numFmtId="0" fontId="4" fillId="5" borderId="2" xfId="0" applyFont="1" applyFill="1" applyBorder="1" applyAlignment="1">
      <alignment horizontal="right"/>
    </xf>
    <xf numFmtId="0" fontId="4" fillId="3" borderId="2" xfId="0" applyFont="1" applyFill="1" applyBorder="1" applyAlignment="1">
      <alignment horizontal="right"/>
    </xf>
    <xf numFmtId="0" fontId="4" fillId="3" borderId="3" xfId="0" applyFont="1" applyFill="1" applyBorder="1" applyAlignment="1">
      <alignment vertical="top" wrapText="1"/>
    </xf>
    <xf numFmtId="3" fontId="4" fillId="5" borderId="3" xfId="0" applyNumberFormat="1" applyFont="1" applyFill="1" applyBorder="1"/>
    <xf numFmtId="3" fontId="4" fillId="3" borderId="3" xfId="0" applyNumberFormat="1" applyFont="1" applyFill="1" applyBorder="1"/>
    <xf numFmtId="184" fontId="4" fillId="5" borderId="3" xfId="0" applyNumberFormat="1" applyFont="1" applyFill="1" applyBorder="1"/>
    <xf numFmtId="184" fontId="4" fillId="3" borderId="3" xfId="0" applyNumberFormat="1" applyFont="1" applyFill="1" applyBorder="1"/>
    <xf numFmtId="0" fontId="4" fillId="3" borderId="15" xfId="0" applyFont="1" applyFill="1" applyBorder="1" applyAlignment="1">
      <alignment vertical="top"/>
    </xf>
    <xf numFmtId="3" fontId="4" fillId="5" borderId="15" xfId="0" applyNumberFormat="1" applyFont="1" applyFill="1" applyBorder="1"/>
    <xf numFmtId="3" fontId="4" fillId="3" borderId="15" xfId="0" applyNumberFormat="1" applyFont="1" applyFill="1" applyBorder="1"/>
    <xf numFmtId="184" fontId="4" fillId="5" borderId="15" xfId="0" applyNumberFormat="1" applyFont="1" applyFill="1" applyBorder="1"/>
    <xf numFmtId="184" fontId="4" fillId="3" borderId="15" xfId="0" applyNumberFormat="1" applyFont="1" applyFill="1" applyBorder="1"/>
    <xf numFmtId="0" fontId="4" fillId="3" borderId="0" xfId="0" applyFont="1" applyFill="1" applyBorder="1" applyAlignment="1">
      <alignment vertical="center"/>
    </xf>
    <xf numFmtId="3" fontId="6" fillId="5" borderId="0" xfId="0" applyNumberFormat="1" applyFont="1" applyFill="1" applyBorder="1" applyAlignment="1">
      <alignment vertical="center"/>
    </xf>
    <xf numFmtId="3" fontId="6" fillId="3" borderId="0" xfId="0" applyNumberFormat="1" applyFont="1" applyFill="1" applyBorder="1" applyAlignment="1">
      <alignment vertical="center"/>
    </xf>
    <xf numFmtId="184" fontId="6" fillId="5" borderId="3" xfId="0" applyNumberFormat="1" applyFont="1" applyFill="1" applyBorder="1" applyAlignment="1">
      <alignment vertical="center"/>
    </xf>
    <xf numFmtId="184" fontId="6" fillId="3" borderId="3" xfId="0" applyNumberFormat="1" applyFont="1" applyFill="1" applyBorder="1" applyAlignment="1">
      <alignment vertical="center"/>
    </xf>
    <xf numFmtId="3" fontId="4" fillId="3" borderId="1" xfId="0" applyNumberFormat="1" applyFont="1" applyFill="1" applyBorder="1" applyAlignment="1">
      <alignment horizontal="right"/>
    </xf>
    <xf numFmtId="0" fontId="3" fillId="0" borderId="0" xfId="0" applyFont="1" applyBorder="1" applyAlignment="1">
      <alignment vertical="top" wrapText="1"/>
    </xf>
    <xf numFmtId="0" fontId="0" fillId="0" borderId="0" xfId="0" applyAlignment="1"/>
    <xf numFmtId="0" fontId="24" fillId="0" borderId="2" xfId="0" applyFont="1" applyBorder="1" applyAlignment="1"/>
    <xf numFmtId="0" fontId="0" fillId="0" borderId="0" xfId="0" applyBorder="1" applyAlignment="1">
      <alignment wrapText="1"/>
    </xf>
    <xf numFmtId="0" fontId="6" fillId="3" borderId="1" xfId="0" applyFont="1" applyFill="1" applyBorder="1" applyAlignment="1">
      <alignment horizontal="left"/>
    </xf>
    <xf numFmtId="0" fontId="6" fillId="5" borderId="1" xfId="0" applyFont="1" applyFill="1" applyBorder="1" applyAlignment="1">
      <alignment horizontal="right"/>
    </xf>
    <xf numFmtId="0" fontId="6" fillId="3" borderId="1" xfId="0" applyFont="1" applyFill="1" applyBorder="1" applyAlignment="1">
      <alignment horizontal="right"/>
    </xf>
    <xf numFmtId="184" fontId="4" fillId="3" borderId="1" xfId="0" applyNumberFormat="1" applyFont="1" applyFill="1" applyBorder="1" applyAlignment="1">
      <alignment horizontal="right"/>
    </xf>
    <xf numFmtId="0" fontId="0" fillId="0" borderId="0" xfId="0" applyBorder="1"/>
    <xf numFmtId="184" fontId="4" fillId="3" borderId="0" xfId="0" applyNumberFormat="1" applyFont="1" applyFill="1" applyBorder="1" applyAlignment="1">
      <alignment horizontal="right"/>
    </xf>
    <xf numFmtId="184" fontId="4" fillId="3" borderId="2" xfId="0" applyNumberFormat="1" applyFont="1" applyFill="1" applyBorder="1" applyAlignment="1">
      <alignment horizontal="right" vertical="top"/>
    </xf>
    <xf numFmtId="0" fontId="4" fillId="3" borderId="3" xfId="0" applyFont="1" applyFill="1" applyBorder="1" applyAlignment="1">
      <alignment vertical="center" wrapText="1"/>
    </xf>
    <xf numFmtId="3" fontId="4" fillId="5" borderId="3" xfId="0" applyNumberFormat="1" applyFont="1" applyFill="1" applyBorder="1" applyAlignment="1">
      <alignment vertical="center"/>
    </xf>
    <xf numFmtId="3" fontId="4" fillId="3" borderId="3" xfId="0" applyNumberFormat="1" applyFont="1" applyFill="1" applyBorder="1" applyAlignment="1">
      <alignment vertical="center"/>
    </xf>
    <xf numFmtId="184" fontId="4" fillId="3" borderId="3" xfId="0" applyNumberFormat="1" applyFont="1" applyFill="1" applyBorder="1" applyAlignment="1">
      <alignment vertical="center"/>
    </xf>
    <xf numFmtId="0" fontId="6" fillId="3" borderId="4" xfId="0" applyFont="1" applyFill="1" applyBorder="1" applyAlignment="1">
      <alignment vertical="center"/>
    </xf>
    <xf numFmtId="184" fontId="6" fillId="3" borderId="0" xfId="0" applyNumberFormat="1" applyFont="1" applyFill="1" applyBorder="1" applyAlignment="1">
      <alignment vertical="center"/>
    </xf>
    <xf numFmtId="0" fontId="9" fillId="0" borderId="0" xfId="0" applyFont="1" applyAlignment="1">
      <alignment vertical="center"/>
    </xf>
    <xf numFmtId="184" fontId="5" fillId="0" borderId="12" xfId="0" applyNumberFormat="1" applyFont="1" applyBorder="1"/>
    <xf numFmtId="184" fontId="5" fillId="0" borderId="0" xfId="0" applyNumberFormat="1" applyFont="1" applyBorder="1"/>
    <xf numFmtId="0" fontId="52" fillId="3" borderId="16" xfId="0" applyFont="1" applyFill="1" applyBorder="1" applyAlignment="1">
      <alignment vertical="center"/>
    </xf>
    <xf numFmtId="3" fontId="52" fillId="5" borderId="16" xfId="0" applyNumberFormat="1" applyFont="1" applyFill="1" applyBorder="1" applyAlignment="1">
      <alignment vertical="center"/>
    </xf>
    <xf numFmtId="3" fontId="52" fillId="3" borderId="16" xfId="0" applyNumberFormat="1" applyFont="1" applyFill="1" applyBorder="1" applyAlignment="1">
      <alignment vertical="center"/>
    </xf>
    <xf numFmtId="184" fontId="52" fillId="3" borderId="16" xfId="0" applyNumberFormat="1" applyFont="1" applyFill="1" applyBorder="1" applyAlignment="1">
      <alignment vertical="center"/>
    </xf>
    <xf numFmtId="0" fontId="3" fillId="0" borderId="0" xfId="0" applyFont="1" applyAlignment="1">
      <alignment wrapText="1"/>
    </xf>
    <xf numFmtId="0" fontId="6" fillId="3" borderId="1" xfId="0" applyFont="1" applyFill="1" applyBorder="1" applyAlignment="1">
      <alignment horizontal="left" vertical="center"/>
    </xf>
    <xf numFmtId="0" fontId="6" fillId="5" borderId="1" xfId="0" applyFont="1" applyFill="1" applyBorder="1" applyAlignment="1">
      <alignment horizontal="right" vertical="center"/>
    </xf>
    <xf numFmtId="0" fontId="6" fillId="3" borderId="1" xfId="0" applyFont="1" applyFill="1" applyBorder="1" applyAlignment="1">
      <alignment horizontal="right" vertical="center"/>
    </xf>
    <xf numFmtId="0" fontId="6" fillId="3" borderId="16" xfId="0" applyFont="1" applyFill="1" applyBorder="1" applyAlignment="1">
      <alignment vertical="center"/>
    </xf>
    <xf numFmtId="3" fontId="4" fillId="5" borderId="16" xfId="0" applyNumberFormat="1" applyFont="1" applyFill="1" applyBorder="1" applyAlignment="1">
      <alignment vertical="center"/>
    </xf>
    <xf numFmtId="3" fontId="4" fillId="3" borderId="16" xfId="0" applyNumberFormat="1" applyFont="1" applyFill="1" applyBorder="1" applyAlignment="1">
      <alignment vertical="center"/>
    </xf>
    <xf numFmtId="3" fontId="6" fillId="3" borderId="16" xfId="0" applyNumberFormat="1" applyFont="1" applyFill="1" applyBorder="1" applyAlignment="1">
      <alignment vertical="center"/>
    </xf>
    <xf numFmtId="0" fontId="0" fillId="0" borderId="0" xfId="0" applyFont="1"/>
    <xf numFmtId="184" fontId="4" fillId="5" borderId="3" xfId="0" applyNumberFormat="1" applyFont="1" applyFill="1" applyBorder="1" applyAlignment="1">
      <alignment vertical="center"/>
    </xf>
    <xf numFmtId="184" fontId="6" fillId="5" borderId="4" xfId="0" applyNumberFormat="1" applyFont="1" applyFill="1" applyBorder="1" applyAlignment="1">
      <alignment vertical="center"/>
    </xf>
    <xf numFmtId="184" fontId="52" fillId="5" borderId="16" xfId="0" applyNumberFormat="1" applyFont="1" applyFill="1" applyBorder="1" applyAlignment="1">
      <alignment vertical="center"/>
    </xf>
    <xf numFmtId="0" fontId="33" fillId="0" borderId="0" xfId="0" applyFont="1"/>
    <xf numFmtId="184" fontId="4" fillId="5" borderId="3" xfId="0" applyNumberFormat="1" applyFont="1" applyFill="1" applyBorder="1" applyAlignment="1">
      <alignment horizontal="right"/>
    </xf>
    <xf numFmtId="184" fontId="4" fillId="5" borderId="11" xfId="0" applyNumberFormat="1" applyFont="1" applyFill="1" applyBorder="1" applyAlignment="1">
      <alignment horizontal="right"/>
    </xf>
    <xf numFmtId="184" fontId="6" fillId="5" borderId="0" xfId="0" applyNumberFormat="1" applyFont="1" applyFill="1" applyBorder="1" applyAlignment="1">
      <alignment horizontal="right" vertical="center"/>
    </xf>
    <xf numFmtId="184" fontId="6" fillId="3" borderId="0" xfId="0" applyNumberFormat="1" applyFont="1" applyFill="1" applyBorder="1" applyAlignment="1">
      <alignment horizontal="right" vertical="center"/>
    </xf>
    <xf numFmtId="0" fontId="5" fillId="0" borderId="0" xfId="0" applyFont="1" applyBorder="1" applyAlignment="1"/>
    <xf numFmtId="0" fontId="2" fillId="0" borderId="0" xfId="0" applyFont="1" applyAlignment="1">
      <alignment horizontal="center"/>
    </xf>
    <xf numFmtId="3" fontId="2" fillId="0" borderId="0" xfId="0" applyNumberFormat="1" applyFont="1"/>
    <xf numFmtId="3" fontId="6" fillId="5" borderId="1" xfId="0" applyNumberFormat="1" applyFont="1" applyFill="1" applyBorder="1" applyAlignment="1">
      <alignment horizontal="right"/>
    </xf>
    <xf numFmtId="0" fontId="4" fillId="3" borderId="2" xfId="0" applyFont="1" applyFill="1" applyBorder="1" applyAlignment="1">
      <alignment horizontal="left"/>
    </xf>
    <xf numFmtId="3" fontId="6" fillId="5" borderId="2" xfId="0" applyNumberFormat="1" applyFont="1" applyFill="1" applyBorder="1" applyAlignment="1">
      <alignment horizontal="right" vertical="top"/>
    </xf>
    <xf numFmtId="3" fontId="4" fillId="5" borderId="10" xfId="0" applyNumberFormat="1" applyFont="1" applyFill="1" applyBorder="1" applyAlignment="1">
      <alignment horizontal="right"/>
    </xf>
    <xf numFmtId="3" fontId="4" fillId="3" borderId="10" xfId="0" applyNumberFormat="1" applyFont="1" applyFill="1" applyBorder="1" applyAlignment="1">
      <alignment horizontal="right"/>
    </xf>
    <xf numFmtId="3" fontId="6" fillId="5" borderId="10" xfId="0" applyNumberFormat="1" applyFont="1" applyFill="1" applyBorder="1" applyAlignment="1">
      <alignment horizontal="right"/>
    </xf>
    <xf numFmtId="3" fontId="6" fillId="5" borderId="11" xfId="0" applyNumberFormat="1" applyFont="1" applyFill="1" applyBorder="1" applyAlignment="1">
      <alignment horizontal="right"/>
    </xf>
    <xf numFmtId="3" fontId="4" fillId="5" borderId="11" xfId="0" applyNumberFormat="1" applyFont="1" applyFill="1" applyBorder="1" applyAlignment="1">
      <alignment horizontal="right" vertical="center"/>
    </xf>
    <xf numFmtId="3" fontId="4" fillId="3" borderId="11" xfId="0" applyNumberFormat="1" applyFont="1" applyFill="1" applyBorder="1" applyAlignment="1">
      <alignment horizontal="right" vertical="center"/>
    </xf>
    <xf numFmtId="0" fontId="4" fillId="3" borderId="14" xfId="0" applyFont="1" applyFill="1" applyBorder="1" applyAlignment="1">
      <alignment horizontal="left" vertical="center"/>
    </xf>
    <xf numFmtId="3" fontId="4" fillId="5" borderId="14" xfId="0" applyNumberFormat="1" applyFont="1" applyFill="1" applyBorder="1" applyAlignment="1">
      <alignment horizontal="right" vertical="center"/>
    </xf>
    <xf numFmtId="3" fontId="4" fillId="3" borderId="14" xfId="0" applyNumberFormat="1" applyFont="1" applyFill="1" applyBorder="1" applyAlignment="1">
      <alignment horizontal="right" vertical="center"/>
    </xf>
    <xf numFmtId="3" fontId="6" fillId="5" borderId="14" xfId="0" applyNumberFormat="1" applyFont="1" applyFill="1" applyBorder="1" applyAlignment="1">
      <alignment horizontal="right" vertical="center"/>
    </xf>
    <xf numFmtId="0" fontId="29" fillId="7" borderId="0" xfId="0" applyFont="1" applyFill="1" applyBorder="1"/>
    <xf numFmtId="0" fontId="3" fillId="0" borderId="0" xfId="1" applyFont="1"/>
    <xf numFmtId="0" fontId="37" fillId="0" borderId="0" xfId="1"/>
    <xf numFmtId="2" fontId="46" fillId="0" borderId="0" xfId="1" applyNumberFormat="1" applyFont="1"/>
    <xf numFmtId="0" fontId="46" fillId="0" borderId="0" xfId="1" applyFont="1"/>
    <xf numFmtId="0" fontId="46" fillId="0" borderId="0" xfId="1" applyFont="1" applyAlignment="1"/>
    <xf numFmtId="0" fontId="5" fillId="0" borderId="0" xfId="1" quotePrefix="1" applyFont="1" applyAlignment="1">
      <alignment horizontal="right"/>
    </xf>
    <xf numFmtId="0" fontId="5" fillId="0" borderId="0" xfId="1" applyFont="1" applyAlignment="1"/>
    <xf numFmtId="0" fontId="29" fillId="0" borderId="0" xfId="1" applyFont="1"/>
    <xf numFmtId="0" fontId="4" fillId="3" borderId="1" xfId="0" applyFont="1" applyFill="1" applyBorder="1" applyAlignment="1">
      <alignment horizontal="center"/>
    </xf>
    <xf numFmtId="3" fontId="6" fillId="5" borderId="3" xfId="0" applyNumberFormat="1" applyFont="1" applyFill="1" applyBorder="1" applyAlignment="1">
      <alignment horizontal="right"/>
    </xf>
    <xf numFmtId="0" fontId="4" fillId="3" borderId="3" xfId="0" applyFont="1" applyFill="1" applyBorder="1" applyAlignment="1">
      <alignment horizontal="left"/>
    </xf>
    <xf numFmtId="0" fontId="4" fillId="3" borderId="4" xfId="0" applyFont="1" applyFill="1" applyBorder="1" applyAlignment="1">
      <alignment horizontal="left" vertical="center"/>
    </xf>
    <xf numFmtId="3" fontId="4" fillId="5" borderId="4" xfId="0" applyNumberFormat="1" applyFont="1" applyFill="1" applyBorder="1" applyAlignment="1">
      <alignment horizontal="right"/>
    </xf>
    <xf numFmtId="3" fontId="4" fillId="3" borderId="4" xfId="0" applyNumberFormat="1" applyFont="1" applyFill="1" applyBorder="1" applyAlignment="1">
      <alignment horizontal="right"/>
    </xf>
    <xf numFmtId="3" fontId="6" fillId="5" borderId="4" xfId="0" applyNumberFormat="1" applyFont="1" applyFill="1" applyBorder="1" applyAlignment="1">
      <alignment horizontal="right"/>
    </xf>
    <xf numFmtId="0" fontId="4" fillId="0" borderId="0" xfId="0" applyFont="1" applyFill="1" applyBorder="1" applyAlignment="1">
      <alignment horizontal="left" vertical="center"/>
    </xf>
    <xf numFmtId="3" fontId="4" fillId="0" borderId="0" xfId="0" applyNumberFormat="1" applyFont="1" applyFill="1" applyBorder="1" applyAlignment="1">
      <alignment horizontal="right" vertical="center"/>
    </xf>
    <xf numFmtId="3" fontId="6" fillId="0" borderId="0" xfId="0" applyNumberFormat="1" applyFont="1" applyFill="1" applyBorder="1" applyAlignment="1">
      <alignment horizontal="right" vertical="center"/>
    </xf>
    <xf numFmtId="0" fontId="3" fillId="0" borderId="2" xfId="0" applyFont="1" applyBorder="1" applyAlignment="1">
      <alignment vertical="center"/>
    </xf>
    <xf numFmtId="0" fontId="0" fillId="0" borderId="2" xfId="0" applyBorder="1" applyAlignment="1">
      <alignment vertical="center"/>
    </xf>
    <xf numFmtId="3" fontId="4" fillId="5" borderId="3" xfId="0" applyNumberFormat="1" applyFont="1" applyFill="1" applyBorder="1" applyAlignment="1">
      <alignment horizontal="right" vertical="center"/>
    </xf>
    <xf numFmtId="3" fontId="4" fillId="3" borderId="3" xfId="0" applyNumberFormat="1" applyFont="1" applyFill="1" applyBorder="1" applyAlignment="1">
      <alignment horizontal="right" vertical="center"/>
    </xf>
    <xf numFmtId="3" fontId="6" fillId="5" borderId="3" xfId="0" applyNumberFormat="1" applyFont="1" applyFill="1" applyBorder="1" applyAlignment="1">
      <alignment horizontal="right" vertical="center"/>
    </xf>
    <xf numFmtId="0" fontId="5" fillId="0" borderId="12" xfId="0" applyFont="1" applyBorder="1" applyAlignment="1">
      <alignment horizontal="center"/>
    </xf>
    <xf numFmtId="3" fontId="5" fillId="0" borderId="12" xfId="0" applyNumberFormat="1" applyFont="1" applyBorder="1"/>
    <xf numFmtId="3" fontId="9" fillId="0" borderId="12" xfId="0" applyNumberFormat="1" applyFont="1" applyBorder="1"/>
    <xf numFmtId="3" fontId="9" fillId="0" borderId="0" xfId="0" applyNumberFormat="1" applyFont="1"/>
    <xf numFmtId="0" fontId="19" fillId="0" borderId="0" xfId="18" applyFont="1"/>
    <xf numFmtId="0" fontId="5" fillId="0" borderId="0" xfId="0" applyFont="1" applyAlignment="1">
      <alignment vertical="top"/>
    </xf>
    <xf numFmtId="0" fontId="3" fillId="0" borderId="2" xfId="0" applyFont="1" applyFill="1" applyBorder="1" applyAlignment="1">
      <alignment horizontal="right" vertical="top"/>
    </xf>
    <xf numFmtId="0" fontId="4" fillId="5" borderId="0" xfId="0" applyFont="1" applyFill="1" applyBorder="1" applyAlignment="1">
      <alignment horizontal="right" wrapText="1"/>
    </xf>
    <xf numFmtId="0" fontId="4" fillId="3" borderId="0" xfId="0" applyFont="1" applyFill="1" applyBorder="1" applyAlignment="1">
      <alignment horizontal="right" wrapText="1"/>
    </xf>
    <xf numFmtId="0" fontId="4" fillId="5" borderId="0" xfId="0" applyFont="1" applyFill="1" applyBorder="1" applyAlignment="1">
      <alignment horizontal="right" vertical="top"/>
    </xf>
    <xf numFmtId="1" fontId="4" fillId="3" borderId="3" xfId="0" applyNumberFormat="1" applyFont="1" applyFill="1" applyBorder="1" applyAlignment="1">
      <alignment horizontal="left"/>
    </xf>
    <xf numFmtId="1" fontId="4" fillId="3" borderId="11" xfId="0" applyNumberFormat="1" applyFont="1" applyFill="1" applyBorder="1" applyAlignment="1">
      <alignment horizontal="left"/>
    </xf>
    <xf numFmtId="184" fontId="4" fillId="3" borderId="10" xfId="0" applyNumberFormat="1" applyFont="1" applyFill="1" applyBorder="1" applyAlignment="1">
      <alignment horizontal="right"/>
    </xf>
    <xf numFmtId="1" fontId="6" fillId="3" borderId="0" xfId="0" applyNumberFormat="1" applyFont="1" applyFill="1" applyBorder="1" applyAlignment="1">
      <alignment horizontal="left" vertical="center"/>
    </xf>
    <xf numFmtId="184" fontId="6" fillId="3" borderId="10" xfId="0" applyNumberFormat="1" applyFont="1" applyFill="1" applyBorder="1" applyAlignment="1">
      <alignment horizontal="right" vertical="center"/>
    </xf>
    <xf numFmtId="3" fontId="0" fillId="0" borderId="0" xfId="0" applyNumberFormat="1"/>
    <xf numFmtId="0" fontId="3" fillId="0" borderId="0" xfId="4" applyFont="1"/>
    <xf numFmtId="0" fontId="37" fillId="0" borderId="0" xfId="4"/>
    <xf numFmtId="0" fontId="19" fillId="0" borderId="0" xfId="4" applyFont="1" applyAlignment="1"/>
    <xf numFmtId="0" fontId="19" fillId="0" borderId="0" xfId="4" applyFont="1"/>
    <xf numFmtId="0" fontId="37" fillId="0" borderId="0" xfId="4" applyAlignment="1"/>
    <xf numFmtId="2" fontId="19" fillId="0" borderId="0" xfId="4" quotePrefix="1" applyNumberFormat="1" applyFont="1"/>
    <xf numFmtId="0" fontId="19" fillId="0" borderId="0" xfId="4" quotePrefix="1" applyFont="1" applyAlignment="1">
      <alignment horizontal="right"/>
    </xf>
    <xf numFmtId="0" fontId="29" fillId="0" borderId="0" xfId="4" applyFont="1"/>
    <xf numFmtId="0" fontId="0" fillId="0" borderId="2" xfId="0" applyBorder="1" applyAlignment="1"/>
    <xf numFmtId="3" fontId="6" fillId="3" borderId="0" xfId="0" applyNumberFormat="1" applyFont="1" applyFill="1" applyBorder="1" applyAlignment="1">
      <alignment horizontal="right"/>
    </xf>
    <xf numFmtId="3" fontId="6" fillId="3" borderId="2" xfId="0" applyNumberFormat="1" applyFont="1" applyFill="1" applyBorder="1" applyAlignment="1">
      <alignment horizontal="right" vertical="top"/>
    </xf>
    <xf numFmtId="0" fontId="4" fillId="3" borderId="10" xfId="0" quotePrefix="1" applyFont="1" applyFill="1" applyBorder="1" applyAlignment="1">
      <alignment horizontal="left"/>
    </xf>
    <xf numFmtId="3" fontId="6" fillId="3" borderId="10" xfId="0" applyNumberFormat="1" applyFont="1" applyFill="1" applyBorder="1" applyAlignment="1">
      <alignment horizontal="right"/>
    </xf>
    <xf numFmtId="184" fontId="4" fillId="5" borderId="10" xfId="0" applyNumberFormat="1" applyFont="1" applyFill="1" applyBorder="1" applyAlignment="1">
      <alignment horizontal="right"/>
    </xf>
    <xf numFmtId="3" fontId="6" fillId="3" borderId="11" xfId="0" applyNumberFormat="1" applyFont="1" applyFill="1" applyBorder="1" applyAlignment="1">
      <alignment horizontal="right"/>
    </xf>
    <xf numFmtId="0" fontId="4" fillId="3" borderId="4" xfId="0" quotePrefix="1" applyFont="1" applyFill="1" applyBorder="1" applyAlignment="1">
      <alignment horizontal="left" vertical="center"/>
    </xf>
    <xf numFmtId="3" fontId="4" fillId="5" borderId="4" xfId="0" applyNumberFormat="1" applyFont="1" applyFill="1" applyBorder="1" applyAlignment="1">
      <alignment horizontal="right" vertical="center"/>
    </xf>
    <xf numFmtId="3" fontId="4" fillId="3" borderId="4" xfId="0" applyNumberFormat="1" applyFont="1" applyFill="1" applyBorder="1" applyAlignment="1">
      <alignment horizontal="right" vertical="center"/>
    </xf>
    <xf numFmtId="184" fontId="4" fillId="5" borderId="4" xfId="0" applyNumberFormat="1" applyFont="1" applyFill="1" applyBorder="1" applyAlignment="1">
      <alignment horizontal="right" vertical="center"/>
    </xf>
    <xf numFmtId="0" fontId="4" fillId="0" borderId="0" xfId="0" quotePrefix="1" applyFont="1" applyFill="1" applyBorder="1" applyAlignment="1">
      <alignment horizontal="left" vertical="center"/>
    </xf>
    <xf numFmtId="184" fontId="4" fillId="0" borderId="0" xfId="0" applyNumberFormat="1" applyFont="1" applyFill="1" applyBorder="1" applyAlignment="1">
      <alignment horizontal="right" vertical="center"/>
    </xf>
    <xf numFmtId="0" fontId="52" fillId="3" borderId="10" xfId="0" quotePrefix="1" applyFont="1" applyFill="1" applyBorder="1" applyAlignment="1">
      <alignment horizontal="left" vertical="center"/>
    </xf>
    <xf numFmtId="3" fontId="52" fillId="5" borderId="10" xfId="0" applyNumberFormat="1" applyFont="1" applyFill="1" applyBorder="1" applyAlignment="1">
      <alignment horizontal="right" vertical="center"/>
    </xf>
    <xf numFmtId="3" fontId="52" fillId="3" borderId="10" xfId="0" applyNumberFormat="1" applyFont="1" applyFill="1" applyBorder="1" applyAlignment="1">
      <alignment horizontal="right" vertical="center"/>
    </xf>
    <xf numFmtId="3" fontId="53" fillId="3" borderId="10" xfId="0" applyNumberFormat="1" applyFont="1" applyFill="1" applyBorder="1" applyAlignment="1">
      <alignment horizontal="right" vertical="center"/>
    </xf>
    <xf numFmtId="184" fontId="52" fillId="5" borderId="10" xfId="0" applyNumberFormat="1" applyFont="1" applyFill="1" applyBorder="1" applyAlignment="1">
      <alignment horizontal="right" vertical="center"/>
    </xf>
    <xf numFmtId="0" fontId="52" fillId="3" borderId="14" xfId="0" quotePrefix="1" applyFont="1" applyFill="1" applyBorder="1" applyAlignment="1">
      <alignment horizontal="left" vertical="center" wrapText="1"/>
    </xf>
    <xf numFmtId="3" fontId="52" fillId="5" borderId="14" xfId="0" applyNumberFormat="1" applyFont="1" applyFill="1" applyBorder="1" applyAlignment="1">
      <alignment horizontal="right" vertical="center"/>
    </xf>
    <xf numFmtId="3" fontId="52" fillId="3" borderId="14" xfId="0" applyNumberFormat="1" applyFont="1" applyFill="1" applyBorder="1" applyAlignment="1">
      <alignment horizontal="right" vertical="center"/>
    </xf>
    <xf numFmtId="3" fontId="53" fillId="3" borderId="14" xfId="0" applyNumberFormat="1" applyFont="1" applyFill="1" applyBorder="1" applyAlignment="1">
      <alignment horizontal="right" vertical="center"/>
    </xf>
    <xf numFmtId="184" fontId="52" fillId="5" borderId="14" xfId="0" applyNumberFormat="1" applyFont="1" applyFill="1" applyBorder="1" applyAlignment="1">
      <alignment horizontal="right" vertical="center"/>
    </xf>
    <xf numFmtId="3" fontId="6" fillId="0" borderId="12" xfId="0" applyNumberFormat="1" applyFont="1" applyBorder="1" applyAlignment="1">
      <alignment horizontal="right" vertical="top"/>
    </xf>
    <xf numFmtId="3" fontId="6" fillId="0" borderId="0" xfId="0" applyNumberFormat="1" applyFont="1" applyBorder="1" applyAlignment="1">
      <alignment horizontal="right" vertical="top"/>
    </xf>
    <xf numFmtId="0" fontId="55" fillId="0" borderId="0" xfId="0" applyFont="1"/>
    <xf numFmtId="0" fontId="4" fillId="0" borderId="0" xfId="0" applyFont="1" applyFill="1" applyBorder="1" applyAlignment="1">
      <alignment horizontal="left"/>
    </xf>
    <xf numFmtId="3" fontId="4" fillId="3" borderId="0" xfId="0" applyNumberFormat="1" applyFont="1" applyFill="1" applyBorder="1"/>
    <xf numFmtId="0" fontId="6" fillId="3" borderId="0" xfId="0" applyFont="1" applyFill="1" applyBorder="1" applyAlignment="1">
      <alignment vertical="center"/>
    </xf>
    <xf numFmtId="184" fontId="6" fillId="5" borderId="0" xfId="0" applyNumberFormat="1" applyFont="1" applyFill="1" applyBorder="1" applyAlignment="1">
      <alignment vertical="center"/>
    </xf>
    <xf numFmtId="0" fontId="5" fillId="0" borderId="0" xfId="0" applyFont="1" applyAlignment="1">
      <alignment vertical="center"/>
    </xf>
    <xf numFmtId="3" fontId="4" fillId="3" borderId="0" xfId="0" applyNumberFormat="1" applyFont="1" applyFill="1" applyBorder="1" applyAlignment="1">
      <alignment vertical="center"/>
    </xf>
    <xf numFmtId="3" fontId="5" fillId="0" borderId="0" xfId="0" applyNumberFormat="1" applyFont="1" applyFill="1"/>
    <xf numFmtId="182" fontId="5" fillId="0" borderId="0" xfId="0" applyNumberFormat="1" applyFont="1"/>
    <xf numFmtId="0" fontId="6" fillId="0" borderId="0" xfId="0" applyFont="1" applyFill="1"/>
    <xf numFmtId="3" fontId="6" fillId="0" borderId="0" xfId="0" applyNumberFormat="1" applyFont="1" applyFill="1"/>
    <xf numFmtId="0" fontId="2" fillId="7" borderId="0" xfId="0" applyFont="1" applyFill="1"/>
    <xf numFmtId="0" fontId="3" fillId="7" borderId="0" xfId="0" applyFont="1" applyFill="1" applyAlignment="1">
      <alignment vertical="top"/>
    </xf>
    <xf numFmtId="0" fontId="5" fillId="7" borderId="12" xfId="0" applyFont="1" applyFill="1" applyBorder="1"/>
    <xf numFmtId="0" fontId="3" fillId="0" borderId="0" xfId="5" applyFont="1"/>
    <xf numFmtId="0" fontId="37" fillId="0" borderId="0" xfId="5"/>
    <xf numFmtId="0" fontId="19" fillId="0" borderId="0" xfId="5" applyFont="1"/>
    <xf numFmtId="0" fontId="19" fillId="0" borderId="0" xfId="5" applyFont="1" applyAlignment="1"/>
    <xf numFmtId="0" fontId="19" fillId="0" borderId="0" xfId="5" quotePrefix="1" applyFont="1" applyAlignment="1">
      <alignment horizontal="right"/>
    </xf>
    <xf numFmtId="0" fontId="6" fillId="3" borderId="15" xfId="0" quotePrefix="1" applyFont="1" applyFill="1" applyBorder="1" applyAlignment="1">
      <alignment horizontal="left" vertical="center"/>
    </xf>
    <xf numFmtId="3" fontId="6" fillId="5" borderId="15" xfId="0" applyNumberFormat="1" applyFont="1" applyFill="1" applyBorder="1" applyAlignment="1">
      <alignment horizontal="right" vertical="center"/>
    </xf>
    <xf numFmtId="3" fontId="6" fillId="3" borderId="15" xfId="0" applyNumberFormat="1" applyFont="1" applyFill="1" applyBorder="1" applyAlignment="1">
      <alignment horizontal="right" vertical="center"/>
    </xf>
    <xf numFmtId="0" fontId="3" fillId="0" borderId="0" xfId="10" applyFont="1"/>
    <xf numFmtId="0" fontId="37" fillId="0" borderId="0" xfId="10"/>
    <xf numFmtId="2" fontId="19" fillId="0" borderId="0" xfId="10" applyNumberFormat="1" applyFont="1"/>
    <xf numFmtId="0" fontId="19" fillId="0" borderId="0" xfId="10" applyFont="1" applyAlignment="1"/>
    <xf numFmtId="0" fontId="46" fillId="0" borderId="0" xfId="10" applyFont="1"/>
    <xf numFmtId="0" fontId="19" fillId="0" borderId="0" xfId="10" applyFont="1"/>
    <xf numFmtId="0" fontId="19" fillId="0" borderId="0" xfId="10" applyFont="1" applyFill="1" applyBorder="1"/>
    <xf numFmtId="184" fontId="2" fillId="0" borderId="0" xfId="0" applyNumberFormat="1" applyFont="1" applyAlignment="1">
      <alignment horizontal="center"/>
    </xf>
    <xf numFmtId="3" fontId="4" fillId="5" borderId="1" xfId="0" applyNumberFormat="1" applyFont="1" applyFill="1" applyBorder="1" applyAlignment="1">
      <alignment horizontal="center"/>
    </xf>
    <xf numFmtId="184" fontId="4" fillId="3" borderId="1" xfId="0" applyNumberFormat="1" applyFont="1" applyFill="1" applyBorder="1" applyAlignment="1">
      <alignment horizontal="center"/>
    </xf>
    <xf numFmtId="3" fontId="4" fillId="5" borderId="2" xfId="0" applyNumberFormat="1" applyFont="1" applyFill="1" applyBorder="1" applyAlignment="1">
      <alignment horizontal="center" vertical="top"/>
    </xf>
    <xf numFmtId="184" fontId="4" fillId="3" borderId="2" xfId="0" applyNumberFormat="1" applyFont="1" applyFill="1" applyBorder="1" applyAlignment="1">
      <alignment horizontal="center" vertical="top"/>
    </xf>
    <xf numFmtId="0" fontId="53" fillId="3" borderId="10" xfId="0" applyFont="1" applyFill="1" applyBorder="1" applyAlignment="1">
      <alignment horizontal="left"/>
    </xf>
    <xf numFmtId="183" fontId="5" fillId="5" borderId="3" xfId="0" applyNumberFormat="1" applyFont="1" applyFill="1" applyBorder="1" applyAlignment="1">
      <alignment vertical="center"/>
    </xf>
    <xf numFmtId="3" fontId="5" fillId="5" borderId="3" xfId="0" applyNumberFormat="1" applyFont="1" applyFill="1" applyBorder="1" applyAlignment="1">
      <alignment horizontal="right" vertical="center"/>
    </xf>
    <xf numFmtId="184" fontId="5" fillId="3" borderId="3" xfId="0" applyNumberFormat="1" applyFont="1" applyFill="1" applyBorder="1" applyAlignment="1">
      <alignment vertical="center"/>
    </xf>
    <xf numFmtId="3" fontId="6" fillId="5" borderId="10" xfId="0" applyNumberFormat="1" applyFont="1" applyFill="1" applyBorder="1" applyAlignment="1">
      <alignment horizontal="left"/>
    </xf>
    <xf numFmtId="184" fontId="6" fillId="3" borderId="10" xfId="0" applyNumberFormat="1" applyFont="1" applyFill="1" applyBorder="1" applyAlignment="1">
      <alignment horizontal="center"/>
    </xf>
    <xf numFmtId="0" fontId="4" fillId="3" borderId="11" xfId="0" applyFont="1" applyFill="1" applyBorder="1" applyAlignment="1">
      <alignment horizontal="center"/>
    </xf>
    <xf numFmtId="3" fontId="4" fillId="3" borderId="10" xfId="0" applyNumberFormat="1" applyFont="1" applyFill="1" applyBorder="1" applyAlignment="1">
      <alignment horizontal="center"/>
    </xf>
    <xf numFmtId="0" fontId="4" fillId="3" borderId="11" xfId="0" applyFont="1" applyFill="1" applyBorder="1" applyAlignment="1">
      <alignment horizontal="left" wrapText="1"/>
    </xf>
    <xf numFmtId="3" fontId="27" fillId="5" borderId="11" xfId="0" applyNumberFormat="1" applyFont="1" applyFill="1" applyBorder="1" applyAlignment="1">
      <alignment horizontal="center" wrapText="1"/>
    </xf>
    <xf numFmtId="184" fontId="27" fillId="3" borderId="10" xfId="0" applyNumberFormat="1" applyFont="1" applyFill="1" applyBorder="1" applyAlignment="1">
      <alignment horizontal="center" wrapText="1"/>
    </xf>
    <xf numFmtId="0" fontId="53" fillId="3" borderId="11" xfId="0" applyFont="1" applyFill="1" applyBorder="1" applyAlignment="1">
      <alignment horizontal="left"/>
    </xf>
    <xf numFmtId="0" fontId="4" fillId="3" borderId="11" xfId="0" applyFont="1" applyFill="1" applyBorder="1" applyAlignment="1">
      <alignment horizontal="center" wrapText="1"/>
    </xf>
    <xf numFmtId="0" fontId="53" fillId="3" borderId="11" xfId="0" applyFont="1" applyFill="1" applyBorder="1" applyAlignment="1">
      <alignment horizontal="left" wrapText="1"/>
    </xf>
    <xf numFmtId="0" fontId="5" fillId="0" borderId="0" xfId="0" applyFont="1" applyAlignment="1">
      <alignment wrapText="1"/>
    </xf>
    <xf numFmtId="0" fontId="6" fillId="3" borderId="11" xfId="0" applyFont="1" applyFill="1" applyBorder="1" applyAlignment="1">
      <alignment horizontal="center"/>
    </xf>
    <xf numFmtId="0" fontId="6" fillId="3" borderId="11" xfId="0" applyFont="1" applyFill="1" applyBorder="1" applyAlignment="1">
      <alignment horizontal="left"/>
    </xf>
    <xf numFmtId="0" fontId="6" fillId="3" borderId="11" xfId="0" applyFont="1" applyFill="1" applyBorder="1" applyAlignment="1">
      <alignment horizontal="left" vertical="center"/>
    </xf>
    <xf numFmtId="0" fontId="6" fillId="3" borderId="11" xfId="0" applyFont="1" applyFill="1" applyBorder="1" applyAlignment="1">
      <alignment horizontal="left" vertical="center" wrapText="1"/>
    </xf>
    <xf numFmtId="184" fontId="6" fillId="3" borderId="10" xfId="0" applyNumberFormat="1" applyFont="1" applyFill="1" applyBorder="1" applyAlignment="1">
      <alignment horizontal="center" vertical="center"/>
    </xf>
    <xf numFmtId="184" fontId="5" fillId="0" borderId="12" xfId="0" applyNumberFormat="1" applyFont="1" applyBorder="1" applyAlignment="1">
      <alignment horizontal="center"/>
    </xf>
    <xf numFmtId="0" fontId="5" fillId="0" borderId="0" xfId="0" applyFont="1" applyBorder="1" applyAlignment="1">
      <alignment horizontal="center"/>
    </xf>
    <xf numFmtId="3" fontId="5" fillId="0" borderId="0" xfId="0" applyNumberFormat="1" applyFont="1" applyBorder="1"/>
    <xf numFmtId="184" fontId="5" fillId="0" borderId="0" xfId="0" applyNumberFormat="1" applyFont="1" applyBorder="1" applyAlignment="1">
      <alignment horizontal="center"/>
    </xf>
    <xf numFmtId="184" fontId="5" fillId="0" borderId="0" xfId="0" applyNumberFormat="1" applyFont="1" applyAlignment="1">
      <alignment horizontal="center"/>
    </xf>
    <xf numFmtId="0" fontId="53" fillId="3" borderId="10" xfId="0" applyFont="1" applyFill="1" applyBorder="1" applyAlignment="1">
      <alignment horizontal="left" wrapText="1"/>
    </xf>
    <xf numFmtId="0" fontId="52" fillId="3" borderId="11" xfId="0" applyFont="1" applyFill="1" applyBorder="1" applyAlignment="1">
      <alignment horizontal="center"/>
    </xf>
    <xf numFmtId="0" fontId="52" fillId="3" borderId="11" xfId="0" applyFont="1" applyFill="1" applyBorder="1" applyAlignment="1">
      <alignment horizontal="left"/>
    </xf>
    <xf numFmtId="184" fontId="4" fillId="3" borderId="10" xfId="0" applyNumberFormat="1" applyFont="1" applyFill="1" applyBorder="1" applyAlignment="1">
      <alignment horizontal="center"/>
    </xf>
    <xf numFmtId="3" fontId="4" fillId="5" borderId="11" xfId="0" applyNumberFormat="1" applyFont="1" applyFill="1" applyBorder="1" applyAlignment="1">
      <alignment horizontal="right" wrapText="1"/>
    </xf>
    <xf numFmtId="0" fontId="6" fillId="3" borderId="10" xfId="0" applyFont="1" applyFill="1" applyBorder="1" applyAlignment="1">
      <alignment horizontal="left"/>
    </xf>
    <xf numFmtId="184" fontId="4" fillId="3" borderId="3" xfId="0" applyNumberFormat="1" applyFont="1" applyFill="1" applyBorder="1" applyAlignment="1">
      <alignment horizontal="center"/>
    </xf>
    <xf numFmtId="0" fontId="52" fillId="3" borderId="11" xfId="0" applyFont="1" applyFill="1" applyBorder="1" applyAlignment="1">
      <alignment horizontal="center" wrapText="1"/>
    </xf>
    <xf numFmtId="0" fontId="52" fillId="3" borderId="11" xfId="0" applyFont="1" applyFill="1" applyBorder="1" applyAlignment="1">
      <alignment horizontal="left" wrapText="1"/>
    </xf>
    <xf numFmtId="184" fontId="6" fillId="3" borderId="3" xfId="0" applyNumberFormat="1" applyFont="1" applyFill="1" applyBorder="1" applyAlignment="1">
      <alignment horizontal="center" vertical="center"/>
    </xf>
    <xf numFmtId="184" fontId="4" fillId="3" borderId="11" xfId="0" applyNumberFormat="1" applyFont="1" applyFill="1" applyBorder="1" applyAlignment="1">
      <alignment horizontal="center"/>
    </xf>
    <xf numFmtId="3" fontId="52" fillId="5" borderId="3" xfId="0" applyNumberFormat="1" applyFont="1" applyFill="1" applyBorder="1" applyAlignment="1">
      <alignment horizontal="right"/>
    </xf>
    <xf numFmtId="0" fontId="52" fillId="3" borderId="11" xfId="0" applyFont="1" applyFill="1" applyBorder="1" applyAlignment="1">
      <alignment horizontal="left" vertical="center"/>
    </xf>
    <xf numFmtId="184" fontId="6" fillId="3" borderId="11" xfId="0" applyNumberFormat="1" applyFont="1" applyFill="1" applyBorder="1" applyAlignment="1">
      <alignment horizontal="center" vertical="center"/>
    </xf>
    <xf numFmtId="3" fontId="2" fillId="0" borderId="0" xfId="0" applyNumberFormat="1" applyFont="1" applyAlignment="1">
      <alignment horizontal="center"/>
    </xf>
    <xf numFmtId="3" fontId="4" fillId="3" borderId="1" xfId="0" applyNumberFormat="1" applyFont="1" applyFill="1" applyBorder="1" applyAlignment="1">
      <alignment horizontal="center"/>
    </xf>
    <xf numFmtId="3" fontId="4" fillId="3" borderId="2" xfId="0" applyNumberFormat="1" applyFont="1" applyFill="1" applyBorder="1" applyAlignment="1">
      <alignment horizontal="center" vertical="top"/>
    </xf>
    <xf numFmtId="0" fontId="4" fillId="3" borderId="11" xfId="0" applyFont="1" applyFill="1" applyBorder="1" applyAlignment="1">
      <alignment horizontal="left" vertical="center" wrapText="1"/>
    </xf>
    <xf numFmtId="184" fontId="4" fillId="3" borderId="3" xfId="0" applyNumberFormat="1" applyFont="1" applyFill="1" applyBorder="1" applyAlignment="1">
      <alignment horizontal="center" vertical="center"/>
    </xf>
    <xf numFmtId="184" fontId="6" fillId="3" borderId="3" xfId="0" applyNumberFormat="1" applyFont="1" applyFill="1" applyBorder="1" applyAlignment="1">
      <alignment horizontal="center"/>
    </xf>
    <xf numFmtId="183" fontId="4" fillId="3" borderId="11" xfId="0" applyNumberFormat="1" applyFont="1" applyFill="1" applyBorder="1" applyAlignment="1">
      <alignment horizontal="center" vertical="center"/>
    </xf>
    <xf numFmtId="183" fontId="4" fillId="3" borderId="0" xfId="0" applyNumberFormat="1" applyFont="1" applyFill="1" applyBorder="1" applyAlignment="1">
      <alignment horizontal="center" vertical="center"/>
    </xf>
    <xf numFmtId="3" fontId="5" fillId="0" borderId="12" xfId="0" applyNumberFormat="1" applyFont="1" applyBorder="1" applyAlignment="1">
      <alignment horizontal="center"/>
    </xf>
    <xf numFmtId="3" fontId="5" fillId="0" borderId="0" xfId="0" applyNumberFormat="1" applyFont="1" applyBorder="1" applyAlignment="1">
      <alignment horizontal="center"/>
    </xf>
    <xf numFmtId="3" fontId="5" fillId="0" borderId="0" xfId="0" applyNumberFormat="1" applyFont="1" applyAlignment="1">
      <alignment horizontal="center"/>
    </xf>
    <xf numFmtId="184" fontId="6" fillId="3" borderId="11" xfId="0" applyNumberFormat="1" applyFont="1" applyFill="1" applyBorder="1" applyAlignment="1">
      <alignment horizontal="center"/>
    </xf>
    <xf numFmtId="184" fontId="4" fillId="3" borderId="11" xfId="0" applyNumberFormat="1" applyFont="1" applyFill="1" applyBorder="1" applyAlignment="1">
      <alignment horizontal="center" vertical="center"/>
    </xf>
    <xf numFmtId="184" fontId="4" fillId="5" borderId="1" xfId="0" applyNumberFormat="1" applyFont="1" applyFill="1" applyBorder="1" applyAlignment="1">
      <alignment horizontal="center"/>
    </xf>
    <xf numFmtId="184" fontId="4" fillId="3" borderId="0" xfId="0" applyNumberFormat="1" applyFont="1" applyFill="1" applyBorder="1" applyAlignment="1">
      <alignment horizontal="center"/>
    </xf>
    <xf numFmtId="184" fontId="4" fillId="5" borderId="0" xfId="0" applyNumberFormat="1" applyFont="1" applyFill="1" applyBorder="1" applyAlignment="1">
      <alignment horizontal="center"/>
    </xf>
    <xf numFmtId="184" fontId="4" fillId="5" borderId="2" xfId="0" applyNumberFormat="1" applyFont="1" applyFill="1" applyBorder="1" applyAlignment="1">
      <alignment horizontal="center" vertical="top"/>
    </xf>
    <xf numFmtId="184" fontId="4" fillId="5" borderId="3" xfId="0" applyNumberFormat="1" applyFont="1" applyFill="1" applyBorder="1" applyAlignment="1">
      <alignment horizontal="center"/>
    </xf>
    <xf numFmtId="184" fontId="4" fillId="5" borderId="11" xfId="0" applyNumberFormat="1" applyFont="1" applyFill="1" applyBorder="1" applyAlignment="1">
      <alignment horizontal="center"/>
    </xf>
    <xf numFmtId="0" fontId="6" fillId="3" borderId="11" xfId="0" quotePrefix="1" applyFont="1" applyFill="1" applyBorder="1" applyAlignment="1">
      <alignment horizontal="left" vertical="center"/>
    </xf>
    <xf numFmtId="184" fontId="6" fillId="5" borderId="11" xfId="0" applyNumberFormat="1" applyFont="1" applyFill="1" applyBorder="1" applyAlignment="1">
      <alignment horizontal="center" vertical="center"/>
    </xf>
    <xf numFmtId="3" fontId="6" fillId="3" borderId="11" xfId="0" applyNumberFormat="1" applyFont="1" applyFill="1" applyBorder="1" applyAlignment="1">
      <alignment horizontal="right" vertical="center"/>
    </xf>
    <xf numFmtId="3" fontId="5" fillId="0" borderId="0" xfId="0" applyNumberFormat="1" applyFont="1" applyAlignment="1">
      <alignment vertical="center"/>
    </xf>
    <xf numFmtId="0" fontId="19" fillId="5" borderId="1" xfId="0" applyFont="1" applyFill="1" applyBorder="1" applyAlignment="1">
      <alignment horizontal="left"/>
    </xf>
    <xf numFmtId="0" fontId="19" fillId="3" borderId="1" xfId="0" applyFont="1" applyFill="1" applyBorder="1" applyAlignment="1">
      <alignment horizontal="right"/>
    </xf>
    <xf numFmtId="0" fontId="19" fillId="5" borderId="1" xfId="0" applyFont="1" applyFill="1" applyBorder="1" applyAlignment="1">
      <alignment horizontal="center"/>
    </xf>
    <xf numFmtId="184" fontId="19" fillId="5" borderId="1" xfId="0" applyNumberFormat="1" applyFont="1" applyFill="1" applyBorder="1" applyAlignment="1">
      <alignment horizontal="center"/>
    </xf>
    <xf numFmtId="0" fontId="19" fillId="5" borderId="0" xfId="0" applyFont="1" applyFill="1" applyBorder="1" applyAlignment="1">
      <alignment horizontal="center"/>
    </xf>
    <xf numFmtId="0" fontId="19" fillId="3" borderId="0" xfId="0" applyFont="1" applyFill="1" applyBorder="1" applyAlignment="1">
      <alignment horizontal="center"/>
    </xf>
    <xf numFmtId="184" fontId="19" fillId="5" borderId="0" xfId="0" applyNumberFormat="1" applyFont="1" applyFill="1" applyBorder="1" applyAlignment="1">
      <alignment horizontal="center"/>
    </xf>
    <xf numFmtId="0" fontId="19" fillId="5" borderId="0" xfId="0" applyFont="1" applyFill="1" applyBorder="1" applyAlignment="1">
      <alignment horizontal="left"/>
    </xf>
    <xf numFmtId="0" fontId="19" fillId="3" borderId="0" xfId="0" applyFont="1" applyFill="1" applyBorder="1" applyAlignment="1">
      <alignment horizontal="right"/>
    </xf>
    <xf numFmtId="0" fontId="19" fillId="5" borderId="0" xfId="0" applyFont="1" applyFill="1" applyBorder="1" applyAlignment="1">
      <alignment horizontal="right"/>
    </xf>
    <xf numFmtId="0" fontId="4" fillId="5" borderId="2" xfId="0" applyFont="1" applyFill="1" applyBorder="1" applyAlignment="1">
      <alignment horizontal="left" vertical="top"/>
    </xf>
    <xf numFmtId="3" fontId="4" fillId="5" borderId="3" xfId="0" quotePrefix="1" applyNumberFormat="1" applyFont="1" applyFill="1" applyBorder="1" applyAlignment="1">
      <alignment horizontal="right"/>
    </xf>
    <xf numFmtId="3" fontId="4" fillId="5" borderId="11" xfId="0" quotePrefix="1" applyNumberFormat="1" applyFont="1" applyFill="1" applyBorder="1" applyAlignment="1">
      <alignment horizontal="right"/>
    </xf>
    <xf numFmtId="3" fontId="6" fillId="5" borderId="11" xfId="0" quotePrefix="1" applyNumberFormat="1" applyFont="1" applyFill="1" applyBorder="1" applyAlignment="1">
      <alignment horizontal="right" vertical="center"/>
    </xf>
    <xf numFmtId="0" fontId="4" fillId="5" borderId="1" xfId="0" applyFont="1" applyFill="1" applyBorder="1" applyAlignment="1">
      <alignment horizontal="center"/>
    </xf>
    <xf numFmtId="0" fontId="4" fillId="5" borderId="1" xfId="0" applyFont="1" applyFill="1" applyBorder="1" applyAlignment="1">
      <alignment horizontal="left"/>
    </xf>
    <xf numFmtId="0" fontId="4" fillId="5" borderId="0" xfId="0" applyFont="1" applyFill="1" applyBorder="1" applyAlignment="1">
      <alignment horizontal="left"/>
    </xf>
    <xf numFmtId="3" fontId="6" fillId="3" borderId="3" xfId="0" applyNumberFormat="1" applyFont="1" applyFill="1" applyBorder="1" applyAlignment="1">
      <alignment horizontal="right" vertical="center"/>
    </xf>
    <xf numFmtId="0" fontId="5" fillId="7" borderId="0" xfId="0" applyFont="1" applyFill="1"/>
    <xf numFmtId="0" fontId="4" fillId="8" borderId="1" xfId="0" applyFont="1" applyFill="1" applyBorder="1" applyAlignment="1">
      <alignment horizontal="left"/>
    </xf>
    <xf numFmtId="0" fontId="4" fillId="9" borderId="1" xfId="0" applyFont="1" applyFill="1" applyBorder="1" applyAlignment="1">
      <alignment horizontal="right"/>
    </xf>
    <xf numFmtId="0" fontId="4" fillId="8" borderId="1" xfId="0" applyFont="1" applyFill="1" applyBorder="1" applyAlignment="1">
      <alignment horizontal="right"/>
    </xf>
    <xf numFmtId="0" fontId="4" fillId="8" borderId="0" xfId="0" applyFont="1" applyFill="1" applyBorder="1" applyAlignment="1">
      <alignment horizontal="left"/>
    </xf>
    <xf numFmtId="0" fontId="4" fillId="9" borderId="0" xfId="0" applyFont="1" applyFill="1" applyBorder="1" applyAlignment="1">
      <alignment horizontal="right"/>
    </xf>
    <xf numFmtId="3" fontId="4" fillId="8" borderId="0" xfId="0" applyNumberFormat="1" applyFont="1" applyFill="1" applyBorder="1" applyAlignment="1">
      <alignment horizontal="right"/>
    </xf>
    <xf numFmtId="0" fontId="4" fillId="8" borderId="0" xfId="0" applyFont="1" applyFill="1" applyBorder="1" applyAlignment="1">
      <alignment horizontal="right"/>
    </xf>
    <xf numFmtId="0" fontId="4" fillId="8" borderId="2" xfId="0" applyFont="1" applyFill="1" applyBorder="1" applyAlignment="1">
      <alignment horizontal="left" vertical="top"/>
    </xf>
    <xf numFmtId="0" fontId="4" fillId="9" borderId="2" xfId="0" applyFont="1" applyFill="1" applyBorder="1" applyAlignment="1">
      <alignment horizontal="right" vertical="top"/>
    </xf>
    <xf numFmtId="0" fontId="4" fillId="8" borderId="2" xfId="0" applyFont="1" applyFill="1" applyBorder="1" applyAlignment="1">
      <alignment horizontal="right" vertical="top"/>
    </xf>
    <xf numFmtId="0" fontId="4" fillId="8" borderId="3" xfId="0" quotePrefix="1" applyFont="1" applyFill="1" applyBorder="1" applyAlignment="1">
      <alignment horizontal="left"/>
    </xf>
    <xf numFmtId="3" fontId="4" fillId="9" borderId="3" xfId="0" applyNumberFormat="1" applyFont="1" applyFill="1" applyBorder="1" applyAlignment="1">
      <alignment horizontal="right"/>
    </xf>
    <xf numFmtId="0" fontId="4" fillId="8" borderId="3" xfId="0" quotePrefix="1" applyFont="1" applyFill="1" applyBorder="1" applyAlignment="1">
      <alignment horizontal="right"/>
    </xf>
    <xf numFmtId="184" fontId="4" fillId="8" borderId="3" xfId="0" quotePrefix="1" applyNumberFormat="1" applyFont="1" applyFill="1" applyBorder="1" applyAlignment="1">
      <alignment horizontal="right"/>
    </xf>
    <xf numFmtId="0" fontId="4" fillId="8" borderId="11" xfId="0" quotePrefix="1" applyFont="1" applyFill="1" applyBorder="1" applyAlignment="1">
      <alignment horizontal="left"/>
    </xf>
    <xf numFmtId="3" fontId="4" fillId="9" borderId="11" xfId="0" applyNumberFormat="1" applyFont="1" applyFill="1" applyBorder="1" applyAlignment="1">
      <alignment horizontal="right"/>
    </xf>
    <xf numFmtId="0" fontId="4" fillId="8" borderId="11" xfId="0" quotePrefix="1" applyFont="1" applyFill="1" applyBorder="1" applyAlignment="1">
      <alignment horizontal="right"/>
    </xf>
    <xf numFmtId="184" fontId="4" fillId="8" borderId="11" xfId="0" quotePrefix="1" applyNumberFormat="1" applyFont="1" applyFill="1" applyBorder="1" applyAlignment="1">
      <alignment horizontal="right"/>
    </xf>
    <xf numFmtId="0" fontId="6" fillId="8" borderId="0" xfId="0" quotePrefix="1" applyFont="1" applyFill="1" applyBorder="1" applyAlignment="1">
      <alignment horizontal="left" vertical="center"/>
    </xf>
    <xf numFmtId="3" fontId="6" fillId="9" borderId="0" xfId="0" applyNumberFormat="1" applyFont="1" applyFill="1" applyBorder="1" applyAlignment="1">
      <alignment horizontal="right" vertical="center"/>
    </xf>
    <xf numFmtId="0" fontId="6" fillId="8" borderId="0" xfId="0" quotePrefix="1" applyFont="1" applyFill="1" applyBorder="1" applyAlignment="1">
      <alignment horizontal="right" vertical="center"/>
    </xf>
    <xf numFmtId="184" fontId="6" fillId="8" borderId="11" xfId="0" quotePrefix="1" applyNumberFormat="1" applyFont="1" applyFill="1" applyBorder="1" applyAlignment="1">
      <alignment horizontal="right" vertical="center"/>
    </xf>
    <xf numFmtId="0" fontId="2" fillId="0" borderId="0" xfId="0" applyNumberFormat="1" applyFont="1" applyAlignment="1">
      <alignment horizontal="center"/>
    </xf>
    <xf numFmtId="0" fontId="3" fillId="0" borderId="0" xfId="0" applyNumberFormat="1" applyFont="1" applyAlignment="1">
      <alignment horizontal="right"/>
    </xf>
    <xf numFmtId="0" fontId="2" fillId="0" borderId="2" xfId="0" applyNumberFormat="1" applyFont="1" applyBorder="1" applyAlignment="1">
      <alignment horizontal="center"/>
    </xf>
    <xf numFmtId="0" fontId="5" fillId="3" borderId="3" xfId="0" applyFont="1" applyFill="1" applyBorder="1" applyAlignment="1">
      <alignment horizontal="left" vertical="center"/>
    </xf>
    <xf numFmtId="3" fontId="5" fillId="5" borderId="3" xfId="0" applyNumberFormat="1" applyFont="1" applyFill="1" applyBorder="1" applyAlignment="1">
      <alignment vertical="center"/>
    </xf>
    <xf numFmtId="183" fontId="5" fillId="3" borderId="3" xfId="0" applyNumberFormat="1" applyFont="1" applyFill="1" applyBorder="1" applyAlignment="1">
      <alignment horizontal="right" vertical="center"/>
    </xf>
    <xf numFmtId="183" fontId="5" fillId="5" borderId="3" xfId="0" applyNumberFormat="1" applyFont="1" applyFill="1" applyBorder="1" applyAlignment="1">
      <alignment horizontal="right" vertical="center"/>
    </xf>
    <xf numFmtId="3" fontId="5" fillId="3" borderId="3" xfId="0" applyNumberFormat="1" applyFont="1" applyFill="1" applyBorder="1" applyAlignment="1">
      <alignment horizontal="right" vertical="center"/>
    </xf>
    <xf numFmtId="184" fontId="5" fillId="3" borderId="3" xfId="0" applyNumberFormat="1" applyFont="1" applyFill="1" applyBorder="1" applyAlignment="1">
      <alignment horizontal="right" vertical="center"/>
    </xf>
    <xf numFmtId="3" fontId="5" fillId="5" borderId="3" xfId="0" applyNumberFormat="1" applyFont="1" applyFill="1" applyBorder="1" applyAlignment="1">
      <alignment horizontal="center" vertical="center"/>
    </xf>
    <xf numFmtId="1" fontId="5" fillId="3" borderId="11" xfId="0" applyNumberFormat="1" applyFont="1" applyFill="1" applyBorder="1" applyAlignment="1">
      <alignment horizontal="center" vertical="center"/>
    </xf>
    <xf numFmtId="0" fontId="5" fillId="3" borderId="11" xfId="0" applyFont="1" applyFill="1" applyBorder="1" applyAlignment="1">
      <alignment horizontal="left" vertical="center"/>
    </xf>
    <xf numFmtId="183" fontId="5" fillId="3" borderId="11" xfId="0" applyNumberFormat="1" applyFont="1" applyFill="1" applyBorder="1" applyAlignment="1">
      <alignment horizontal="right" vertical="center"/>
    </xf>
    <xf numFmtId="1" fontId="5" fillId="3" borderId="15" xfId="0" applyNumberFormat="1" applyFont="1" applyFill="1" applyBorder="1" applyAlignment="1">
      <alignment horizontal="center" vertical="center"/>
    </xf>
    <xf numFmtId="0" fontId="5" fillId="3" borderId="15" xfId="0" applyFont="1" applyFill="1" applyBorder="1" applyAlignment="1">
      <alignment horizontal="left" vertical="center"/>
    </xf>
    <xf numFmtId="183" fontId="5" fillId="3" borderId="15" xfId="0" applyNumberFormat="1" applyFont="1" applyFill="1" applyBorder="1" applyAlignment="1">
      <alignment horizontal="right" vertical="center"/>
    </xf>
    <xf numFmtId="1" fontId="9" fillId="3" borderId="4" xfId="0" applyNumberFormat="1" applyFont="1" applyFill="1" applyBorder="1" applyAlignment="1">
      <alignment horizontal="center" vertical="center"/>
    </xf>
    <xf numFmtId="0" fontId="9" fillId="3" borderId="4" xfId="0" applyFont="1" applyFill="1" applyBorder="1" applyAlignment="1">
      <alignment horizontal="left" vertical="center"/>
    </xf>
    <xf numFmtId="3" fontId="9" fillId="5" borderId="4" xfId="0" applyNumberFormat="1" applyFont="1" applyFill="1" applyBorder="1" applyAlignment="1">
      <alignment vertical="center"/>
    </xf>
    <xf numFmtId="183" fontId="9" fillId="3" borderId="4" xfId="0" applyNumberFormat="1" applyFont="1" applyFill="1" applyBorder="1" applyAlignment="1">
      <alignment horizontal="right" vertical="center"/>
    </xf>
    <xf numFmtId="183" fontId="9" fillId="5" borderId="4" xfId="0" applyNumberFormat="1" applyFont="1" applyFill="1" applyBorder="1" applyAlignment="1">
      <alignment horizontal="right" vertical="center"/>
    </xf>
    <xf numFmtId="3" fontId="9" fillId="3" borderId="4" xfId="0" applyNumberFormat="1" applyFont="1" applyFill="1" applyBorder="1" applyAlignment="1">
      <alignment horizontal="right" vertical="center"/>
    </xf>
    <xf numFmtId="184" fontId="9" fillId="3" borderId="4" xfId="0" quotePrefix="1" applyNumberFormat="1" applyFont="1" applyFill="1" applyBorder="1" applyAlignment="1">
      <alignment horizontal="right" vertical="center"/>
    </xf>
    <xf numFmtId="183" fontId="9" fillId="5" borderId="4" xfId="0" applyNumberFormat="1" applyFont="1" applyFill="1" applyBorder="1" applyAlignment="1">
      <alignment vertical="center"/>
    </xf>
    <xf numFmtId="3" fontId="9" fillId="5" borderId="4" xfId="0" applyNumberFormat="1" applyFont="1" applyFill="1" applyBorder="1" applyAlignment="1">
      <alignment horizontal="right" vertical="center"/>
    </xf>
    <xf numFmtId="184" fontId="9" fillId="3" borderId="4" xfId="0" applyNumberFormat="1" applyFont="1" applyFill="1" applyBorder="1" applyAlignment="1">
      <alignment vertical="center"/>
    </xf>
    <xf numFmtId="184" fontId="9" fillId="3" borderId="4" xfId="0" applyNumberFormat="1" applyFont="1" applyFill="1" applyBorder="1" applyAlignment="1">
      <alignment horizontal="right" vertical="center"/>
    </xf>
    <xf numFmtId="3" fontId="9" fillId="5" borderId="4" xfId="0" applyNumberFormat="1" applyFont="1" applyFill="1" applyBorder="1" applyAlignment="1">
      <alignment horizontal="center" vertical="center"/>
    </xf>
    <xf numFmtId="3" fontId="5" fillId="0" borderId="11" xfId="0" applyNumberFormat="1" applyFont="1" applyFill="1" applyBorder="1" applyAlignment="1"/>
    <xf numFmtId="183" fontId="5" fillId="0" borderId="11" xfId="0" applyNumberFormat="1" applyFont="1" applyFill="1" applyBorder="1" applyAlignment="1">
      <alignment horizontal="right"/>
    </xf>
    <xf numFmtId="184" fontId="5" fillId="0" borderId="11" xfId="0" applyNumberFormat="1" applyFont="1" applyFill="1" applyBorder="1" applyAlignment="1">
      <alignment horizontal="right"/>
    </xf>
    <xf numFmtId="3" fontId="5" fillId="0" borderId="11" xfId="0" applyNumberFormat="1" applyFont="1" applyFill="1" applyBorder="1" applyAlignment="1">
      <alignment horizontal="left"/>
    </xf>
    <xf numFmtId="184" fontId="5" fillId="0" borderId="11" xfId="0" applyNumberFormat="1" applyFont="1" applyFill="1" applyBorder="1" applyAlignment="1"/>
    <xf numFmtId="3" fontId="5" fillId="0" borderId="11" xfId="0" applyNumberFormat="1" applyFont="1" applyFill="1" applyBorder="1" applyAlignment="1">
      <alignment horizontal="right"/>
    </xf>
    <xf numFmtId="0" fontId="5" fillId="0" borderId="0" xfId="0" applyNumberFormat="1" applyFont="1" applyAlignment="1">
      <alignment horizontal="center"/>
    </xf>
    <xf numFmtId="0" fontId="3" fillId="0" borderId="0" xfId="0" applyFont="1" applyFill="1" applyAlignment="1">
      <alignment vertical="top"/>
    </xf>
    <xf numFmtId="1" fontId="5" fillId="3" borderId="10" xfId="0" applyNumberFormat="1" applyFont="1" applyFill="1" applyBorder="1" applyAlignment="1">
      <alignment horizontal="center" vertical="center"/>
    </xf>
    <xf numFmtId="0" fontId="5" fillId="3" borderId="10" xfId="0" applyFont="1" applyFill="1" applyBorder="1" applyAlignment="1">
      <alignment horizontal="left" vertical="center"/>
    </xf>
    <xf numFmtId="183" fontId="5" fillId="3" borderId="10" xfId="0" applyNumberFormat="1" applyFont="1" applyFill="1" applyBorder="1" applyAlignment="1">
      <alignment horizontal="right" vertical="center"/>
    </xf>
    <xf numFmtId="183" fontId="5" fillId="5" borderId="10" xfId="0" applyNumberFormat="1" applyFont="1" applyFill="1" applyBorder="1" applyAlignment="1">
      <alignment horizontal="right" vertical="center"/>
    </xf>
    <xf numFmtId="183" fontId="5" fillId="5" borderId="10" xfId="0" applyNumberFormat="1" applyFont="1" applyFill="1" applyBorder="1" applyAlignment="1">
      <alignment vertical="center"/>
    </xf>
    <xf numFmtId="3" fontId="5" fillId="5" borderId="11" xfId="0" applyNumberFormat="1" applyFont="1" applyFill="1" applyBorder="1" applyAlignment="1">
      <alignment horizontal="center" vertical="center"/>
    </xf>
    <xf numFmtId="183" fontId="5" fillId="5" borderId="11" xfId="0" applyNumberFormat="1" applyFont="1" applyFill="1" applyBorder="1" applyAlignment="1">
      <alignment horizontal="right" vertical="center"/>
    </xf>
    <xf numFmtId="183" fontId="5" fillId="5" borderId="11" xfId="0" applyNumberFormat="1" applyFont="1" applyFill="1" applyBorder="1" applyAlignment="1">
      <alignment vertical="center"/>
    </xf>
    <xf numFmtId="1" fontId="9" fillId="3" borderId="4" xfId="0" applyNumberFormat="1" applyFont="1" applyFill="1" applyBorder="1" applyAlignment="1">
      <alignment horizontal="right" vertical="center"/>
    </xf>
    <xf numFmtId="3" fontId="5" fillId="0" borderId="11" xfId="0" applyNumberFormat="1" applyFont="1" applyFill="1" applyBorder="1" applyAlignment="1">
      <alignment horizontal="center"/>
    </xf>
    <xf numFmtId="0" fontId="24" fillId="0" borderId="0" xfId="8" applyFont="1"/>
    <xf numFmtId="0" fontId="37" fillId="0" borderId="0" xfId="8"/>
    <xf numFmtId="0" fontId="3" fillId="0" borderId="0" xfId="8" applyFont="1"/>
    <xf numFmtId="0" fontId="5" fillId="0" borderId="0" xfId="8" applyFont="1" applyAlignment="1"/>
    <xf numFmtId="0" fontId="19" fillId="0" borderId="0" xfId="8" applyFont="1"/>
    <xf numFmtId="0" fontId="24" fillId="0" borderId="0" xfId="9" applyFont="1"/>
    <xf numFmtId="0" fontId="37" fillId="0" borderId="0" xfId="9"/>
    <xf numFmtId="0" fontId="3" fillId="0" borderId="0" xfId="9" applyFont="1"/>
    <xf numFmtId="0" fontId="5" fillId="0" borderId="0" xfId="9" applyFont="1"/>
    <xf numFmtId="0" fontId="5" fillId="0" borderId="0" xfId="9" applyFont="1" applyAlignment="1"/>
    <xf numFmtId="0" fontId="19" fillId="0" borderId="0" xfId="9" applyFont="1"/>
    <xf numFmtId="0" fontId="6" fillId="5" borderId="0" xfId="0" applyFont="1" applyFill="1" applyBorder="1" applyAlignment="1">
      <alignment horizontal="right"/>
    </xf>
    <xf numFmtId="0" fontId="6" fillId="5" borderId="2" xfId="0" applyFont="1" applyFill="1" applyBorder="1" applyAlignment="1">
      <alignment horizontal="right" vertical="top"/>
    </xf>
    <xf numFmtId="0" fontId="4" fillId="0" borderId="0" xfId="0" applyFont="1" applyAlignment="1">
      <alignment horizontal="right"/>
    </xf>
    <xf numFmtId="0" fontId="6" fillId="3" borderId="10" xfId="0" quotePrefix="1" applyFont="1" applyFill="1" applyBorder="1" applyAlignment="1"/>
    <xf numFmtId="0" fontId="6" fillId="3" borderId="11" xfId="0" quotePrefix="1" applyFont="1" applyFill="1" applyBorder="1" applyAlignment="1"/>
    <xf numFmtId="3" fontId="4" fillId="3" borderId="11" xfId="0" applyNumberFormat="1" applyFont="1" applyFill="1" applyBorder="1" applyAlignment="1"/>
    <xf numFmtId="0" fontId="6" fillId="3" borderId="11" xfId="0" quotePrefix="1" applyFont="1" applyFill="1" applyBorder="1" applyAlignment="1">
      <alignment wrapText="1"/>
    </xf>
    <xf numFmtId="0" fontId="4" fillId="3" borderId="0" xfId="0" quotePrefix="1" applyFont="1" applyFill="1" applyBorder="1" applyAlignment="1">
      <alignment vertical="center"/>
    </xf>
    <xf numFmtId="3" fontId="4" fillId="5" borderId="0" xfId="0" applyNumberFormat="1" applyFont="1" applyFill="1" applyBorder="1" applyAlignment="1">
      <alignment horizontal="right" vertical="center"/>
    </xf>
    <xf numFmtId="0" fontId="9" fillId="0" borderId="12" xfId="0" applyFont="1" applyBorder="1"/>
    <xf numFmtId="0" fontId="9" fillId="0" borderId="0" xfId="0" applyFont="1" applyBorder="1"/>
    <xf numFmtId="3" fontId="3" fillId="0" borderId="0" xfId="0" applyNumberFormat="1" applyFont="1"/>
    <xf numFmtId="0" fontId="4" fillId="3" borderId="10" xfId="0" applyFont="1" applyFill="1" applyBorder="1" applyAlignment="1">
      <alignment horizontal="left" vertical="center"/>
    </xf>
    <xf numFmtId="3" fontId="9" fillId="0" borderId="0" xfId="0" applyNumberFormat="1" applyFont="1" applyBorder="1"/>
    <xf numFmtId="183" fontId="4" fillId="5" borderId="3" xfId="0" applyNumberFormat="1" applyFont="1" applyFill="1" applyBorder="1" applyAlignment="1"/>
    <xf numFmtId="3" fontId="4" fillId="3" borderId="3" xfId="0" applyNumberFormat="1" applyFont="1" applyFill="1" applyBorder="1" applyAlignment="1"/>
    <xf numFmtId="3" fontId="4" fillId="5" borderId="3" xfId="0" applyNumberFormat="1" applyFont="1" applyFill="1" applyBorder="1" applyAlignment="1"/>
    <xf numFmtId="0" fontId="4" fillId="3" borderId="3" xfId="0" applyNumberFormat="1" applyFont="1" applyFill="1" applyBorder="1" applyAlignment="1">
      <alignment horizontal="center"/>
    </xf>
    <xf numFmtId="183" fontId="4" fillId="5" borderId="11" xfId="0" applyNumberFormat="1" applyFont="1" applyFill="1" applyBorder="1" applyAlignment="1"/>
    <xf numFmtId="3" fontId="4" fillId="5" borderId="11" xfId="0" applyNumberFormat="1" applyFont="1" applyFill="1" applyBorder="1" applyAlignment="1"/>
    <xf numFmtId="0" fontId="4" fillId="3" borderId="11" xfId="0" applyNumberFormat="1" applyFont="1" applyFill="1" applyBorder="1" applyAlignment="1">
      <alignment horizontal="center"/>
    </xf>
    <xf numFmtId="183" fontId="6" fillId="5" borderId="11" xfId="0" applyNumberFormat="1" applyFont="1" applyFill="1" applyBorder="1" applyAlignment="1">
      <alignment vertical="center"/>
    </xf>
    <xf numFmtId="3" fontId="6" fillId="3" borderId="11" xfId="0" applyNumberFormat="1" applyFont="1" applyFill="1" applyBorder="1" applyAlignment="1">
      <alignment vertical="center"/>
    </xf>
    <xf numFmtId="3" fontId="6" fillId="5" borderId="11" xfId="0" applyNumberFormat="1" applyFont="1" applyFill="1" applyBorder="1" applyAlignment="1">
      <alignment vertical="center"/>
    </xf>
    <xf numFmtId="0" fontId="6" fillId="3" borderId="11" xfId="0" applyNumberFormat="1" applyFont="1" applyFill="1" applyBorder="1" applyAlignment="1">
      <alignment horizontal="center" vertical="center"/>
    </xf>
    <xf numFmtId="3" fontId="5" fillId="0" borderId="0" xfId="0" applyNumberFormat="1" applyFont="1" applyFill="1" applyAlignment="1">
      <alignment horizontal="center"/>
    </xf>
    <xf numFmtId="0" fontId="5" fillId="0" borderId="0" xfId="0" quotePrefix="1" applyFont="1" applyFill="1" applyAlignment="1">
      <alignment horizontal="center"/>
    </xf>
    <xf numFmtId="0" fontId="6" fillId="3" borderId="0" xfId="0" applyFont="1" applyFill="1" applyBorder="1" applyAlignment="1">
      <alignment horizontal="right"/>
    </xf>
    <xf numFmtId="0" fontId="50" fillId="5" borderId="0" xfId="0" applyFont="1" applyFill="1" applyBorder="1" applyAlignment="1">
      <alignment horizontal="center"/>
    </xf>
    <xf numFmtId="0" fontId="6" fillId="3" borderId="2" xfId="0" applyFont="1" applyFill="1" applyBorder="1" applyAlignment="1">
      <alignment horizontal="right" vertical="top"/>
    </xf>
    <xf numFmtId="0" fontId="4" fillId="3" borderId="10" xfId="0" quotePrefix="1" applyFont="1" applyFill="1" applyBorder="1" applyAlignment="1">
      <alignment horizontal="left" vertical="center"/>
    </xf>
    <xf numFmtId="184" fontId="4" fillId="5" borderId="3" xfId="0" applyNumberFormat="1" applyFont="1" applyFill="1" applyBorder="1" applyAlignment="1">
      <alignment horizontal="center" vertical="center"/>
    </xf>
    <xf numFmtId="184" fontId="4" fillId="5" borderId="11" xfId="0" applyNumberFormat="1" applyFont="1" applyFill="1" applyBorder="1" applyAlignment="1">
      <alignment horizontal="center" vertical="center"/>
    </xf>
    <xf numFmtId="0" fontId="4" fillId="3" borderId="0" xfId="0" quotePrefix="1" applyFont="1" applyFill="1" applyBorder="1" applyAlignment="1">
      <alignment horizontal="left" vertical="center"/>
    </xf>
    <xf numFmtId="0" fontId="37" fillId="0" borderId="0" xfId="2"/>
    <xf numFmtId="0" fontId="3" fillId="0" borderId="0" xfId="2" applyFont="1"/>
    <xf numFmtId="0" fontId="19" fillId="0" borderId="0" xfId="2" quotePrefix="1" applyFont="1" applyAlignment="1"/>
    <xf numFmtId="0" fontId="19" fillId="0" borderId="0" xfId="2" applyFont="1" applyAlignment="1"/>
    <xf numFmtId="0" fontId="37" fillId="0" borderId="0" xfId="2" applyAlignment="1"/>
    <xf numFmtId="2" fontId="19" fillId="0" borderId="0" xfId="2" quotePrefix="1" applyNumberFormat="1" applyFont="1"/>
    <xf numFmtId="0" fontId="19" fillId="0" borderId="0" xfId="2" applyFont="1"/>
    <xf numFmtId="0" fontId="29" fillId="0" borderId="0" xfId="2" applyFont="1"/>
    <xf numFmtId="0" fontId="3" fillId="0" borderId="0" xfId="0" applyFont="1" applyAlignment="1">
      <alignment horizontal="right" vertical="top"/>
    </xf>
    <xf numFmtId="0" fontId="6" fillId="3" borderId="11" xfId="0" quotePrefix="1" applyFont="1" applyFill="1" applyBorder="1" applyAlignment="1">
      <alignment horizontal="left"/>
    </xf>
    <xf numFmtId="3" fontId="6" fillId="5" borderId="11" xfId="0" applyNumberFormat="1" applyFont="1" applyFill="1" applyBorder="1"/>
    <xf numFmtId="184" fontId="6" fillId="3" borderId="11" xfId="0" applyNumberFormat="1" applyFont="1" applyFill="1" applyBorder="1" applyAlignment="1">
      <alignment horizontal="right"/>
    </xf>
    <xf numFmtId="183" fontId="4" fillId="3" borderId="3" xfId="0" applyNumberFormat="1" applyFont="1" applyFill="1" applyBorder="1" applyAlignment="1">
      <alignment horizontal="right"/>
    </xf>
    <xf numFmtId="0" fontId="2" fillId="0" borderId="0" xfId="0" applyFont="1" applyAlignment="1">
      <alignment horizontal="right" vertical="center"/>
    </xf>
    <xf numFmtId="3" fontId="2" fillId="0" borderId="0" xfId="0" applyNumberFormat="1" applyFont="1" applyAlignment="1">
      <alignment horizontal="right" vertical="center"/>
    </xf>
    <xf numFmtId="2" fontId="5" fillId="0" borderId="0" xfId="0" applyNumberFormat="1" applyFont="1"/>
    <xf numFmtId="0" fontId="5" fillId="0" borderId="0" xfId="0" applyFont="1" applyBorder="1" applyAlignment="1">
      <alignment vertical="top"/>
    </xf>
    <xf numFmtId="3" fontId="4" fillId="3" borderId="0" xfId="0" applyNumberFormat="1" applyFont="1" applyFill="1" applyBorder="1" applyAlignment="1">
      <alignment horizontal="center"/>
    </xf>
    <xf numFmtId="3" fontId="4" fillId="5" borderId="0" xfId="0" applyNumberFormat="1" applyFont="1" applyFill="1" applyBorder="1" applyAlignment="1">
      <alignment horizontal="center"/>
    </xf>
    <xf numFmtId="0" fontId="5" fillId="0" borderId="0" xfId="0" applyFont="1" applyFill="1" applyBorder="1" applyAlignment="1">
      <alignment vertical="top"/>
    </xf>
    <xf numFmtId="3" fontId="6" fillId="5" borderId="3" xfId="0" applyNumberFormat="1" applyFont="1" applyFill="1" applyBorder="1" applyAlignment="1">
      <alignment vertical="center"/>
    </xf>
    <xf numFmtId="3" fontId="6" fillId="3" borderId="3" xfId="0" applyNumberFormat="1" applyFont="1" applyFill="1" applyBorder="1" applyAlignment="1">
      <alignment vertical="center"/>
    </xf>
    <xf numFmtId="3" fontId="6" fillId="0" borderId="0" xfId="0" applyNumberFormat="1" applyFont="1" applyAlignment="1">
      <alignment vertical="center"/>
    </xf>
    <xf numFmtId="0" fontId="9" fillId="0" borderId="0" xfId="0" applyFont="1" applyAlignment="1">
      <alignment horizontal="center"/>
    </xf>
    <xf numFmtId="0" fontId="60" fillId="0" borderId="0" xfId="0" applyFont="1" applyBorder="1"/>
    <xf numFmtId="0" fontId="3" fillId="0" borderId="0" xfId="6" applyFont="1"/>
    <xf numFmtId="3" fontId="5" fillId="0" borderId="0" xfId="0" applyNumberFormat="1" applyFont="1" applyFill="1" applyBorder="1" applyAlignment="1">
      <alignment horizontal="right"/>
    </xf>
    <xf numFmtId="0" fontId="2" fillId="0" borderId="0" xfId="0" applyFont="1" applyAlignment="1">
      <alignment vertical="center"/>
    </xf>
    <xf numFmtId="0" fontId="37" fillId="0" borderId="0" xfId="6"/>
    <xf numFmtId="0" fontId="19" fillId="0" borderId="0" xfId="6" applyFont="1" applyAlignment="1"/>
    <xf numFmtId="2" fontId="37" fillId="0" borderId="0" xfId="6" applyNumberFormat="1"/>
    <xf numFmtId="0" fontId="29" fillId="0" borderId="0" xfId="6" applyFont="1"/>
    <xf numFmtId="0" fontId="0" fillId="3" borderId="1" xfId="0" applyFill="1" applyBorder="1" applyAlignment="1">
      <alignment horizontal="right"/>
    </xf>
    <xf numFmtId="182" fontId="4" fillId="3" borderId="10" xfId="0" applyNumberFormat="1" applyFont="1" applyFill="1" applyBorder="1" applyAlignment="1">
      <alignment horizontal="left"/>
    </xf>
    <xf numFmtId="182" fontId="4" fillId="3" borderId="11" xfId="0" applyNumberFormat="1" applyFont="1" applyFill="1" applyBorder="1" applyAlignment="1">
      <alignment horizontal="left"/>
    </xf>
    <xf numFmtId="182" fontId="6" fillId="3" borderId="0" xfId="0" applyNumberFormat="1" applyFont="1" applyFill="1" applyBorder="1" applyAlignment="1">
      <alignment horizontal="left" vertical="center"/>
    </xf>
    <xf numFmtId="184" fontId="6" fillId="3" borderId="10" xfId="0" applyNumberFormat="1" applyFont="1" applyFill="1" applyBorder="1" applyAlignment="1">
      <alignment vertical="center"/>
    </xf>
    <xf numFmtId="3" fontId="6" fillId="5" borderId="10" xfId="0" applyNumberFormat="1" applyFont="1" applyFill="1" applyBorder="1" applyAlignment="1">
      <alignment horizontal="right" vertical="center"/>
    </xf>
    <xf numFmtId="3" fontId="6" fillId="3" borderId="10" xfId="0" applyNumberFormat="1" applyFont="1" applyFill="1" applyBorder="1" applyAlignment="1">
      <alignment horizontal="right" vertical="center"/>
    </xf>
    <xf numFmtId="2" fontId="5" fillId="0" borderId="12" xfId="0" applyNumberFormat="1" applyFont="1" applyBorder="1"/>
    <xf numFmtId="2" fontId="5" fillId="0" borderId="0" xfId="0" applyNumberFormat="1" applyFont="1" applyBorder="1"/>
    <xf numFmtId="3" fontId="6" fillId="3" borderId="10" xfId="0" applyNumberFormat="1" applyFont="1" applyFill="1" applyBorder="1"/>
    <xf numFmtId="3" fontId="6" fillId="3" borderId="11" xfId="0" applyNumberFormat="1" applyFont="1" applyFill="1" applyBorder="1"/>
    <xf numFmtId="3" fontId="4" fillId="5" borderId="0" xfId="0" applyNumberFormat="1" applyFont="1" applyFill="1" applyBorder="1" applyAlignment="1">
      <alignment horizontal="left"/>
    </xf>
    <xf numFmtId="182" fontId="4" fillId="3" borderId="3" xfId="0" applyNumberFormat="1" applyFont="1" applyFill="1" applyBorder="1" applyAlignment="1">
      <alignment horizontal="left"/>
    </xf>
    <xf numFmtId="3" fontId="4" fillId="5" borderId="17" xfId="0" applyNumberFormat="1" applyFont="1" applyFill="1" applyBorder="1"/>
    <xf numFmtId="3" fontId="4" fillId="5" borderId="18" xfId="0" applyNumberFormat="1" applyFont="1" applyFill="1" applyBorder="1"/>
    <xf numFmtId="3" fontId="4" fillId="5" borderId="18" xfId="0" applyNumberFormat="1" applyFont="1" applyFill="1" applyBorder="1" applyAlignment="1">
      <alignment horizontal="right"/>
    </xf>
    <xf numFmtId="182" fontId="4" fillId="3" borderId="4" xfId="0" applyNumberFormat="1" applyFont="1" applyFill="1" applyBorder="1" applyAlignment="1">
      <alignment horizontal="left"/>
    </xf>
    <xf numFmtId="3" fontId="4" fillId="5" borderId="4" xfId="0" applyNumberFormat="1" applyFont="1" applyFill="1" applyBorder="1"/>
    <xf numFmtId="3" fontId="4" fillId="3" borderId="4" xfId="0" applyNumberFormat="1" applyFont="1" applyFill="1" applyBorder="1"/>
    <xf numFmtId="3" fontId="4" fillId="5" borderId="19" xfId="0" applyNumberFormat="1" applyFont="1" applyFill="1" applyBorder="1"/>
    <xf numFmtId="0" fontId="4" fillId="5" borderId="0" xfId="0" applyFont="1" applyFill="1" applyAlignment="1">
      <alignment horizontal="center"/>
    </xf>
    <xf numFmtId="0" fontId="4" fillId="3" borderId="0" xfId="0" applyFont="1" applyFill="1" applyAlignment="1">
      <alignment horizontal="center"/>
    </xf>
    <xf numFmtId="1" fontId="4" fillId="5" borderId="0" xfId="0" applyNumberFormat="1" applyFont="1" applyFill="1" applyBorder="1" applyAlignment="1">
      <alignment horizontal="center"/>
    </xf>
    <xf numFmtId="0" fontId="5" fillId="0" borderId="0" xfId="0" applyFont="1" applyFill="1" applyBorder="1" applyAlignment="1">
      <alignment horizontal="center"/>
    </xf>
    <xf numFmtId="0" fontId="2" fillId="0" borderId="2" xfId="0" applyFont="1" applyBorder="1"/>
    <xf numFmtId="9" fontId="4" fillId="3" borderId="10" xfId="0" applyNumberFormat="1" applyFont="1" applyFill="1" applyBorder="1" applyAlignment="1">
      <alignment horizontal="center"/>
    </xf>
    <xf numFmtId="184" fontId="6" fillId="5" borderId="10" xfId="0" applyNumberFormat="1" applyFont="1" applyFill="1" applyBorder="1" applyAlignment="1">
      <alignment vertical="center"/>
    </xf>
    <xf numFmtId="9" fontId="6" fillId="3" borderId="4" xfId="0" applyNumberFormat="1" applyFont="1" applyFill="1" applyBorder="1" applyAlignment="1">
      <alignment horizontal="center" vertical="center"/>
    </xf>
    <xf numFmtId="0" fontId="5" fillId="0" borderId="0" xfId="0" quotePrefix="1" applyFont="1"/>
    <xf numFmtId="0" fontId="24" fillId="0" borderId="0" xfId="11" applyFont="1"/>
    <xf numFmtId="0" fontId="37" fillId="0" borderId="0" xfId="11"/>
    <xf numFmtId="0" fontId="3" fillId="0" borderId="0" xfId="11" applyFont="1"/>
    <xf numFmtId="2" fontId="46" fillId="0" borderId="0" xfId="11" applyNumberFormat="1" applyFont="1"/>
    <xf numFmtId="0" fontId="46" fillId="0" borderId="0" xfId="11" applyFont="1" applyAlignment="1"/>
    <xf numFmtId="0" fontId="46" fillId="0" borderId="0" xfId="11" applyFont="1"/>
    <xf numFmtId="0" fontId="29" fillId="0" borderId="0" xfId="11" applyFont="1"/>
    <xf numFmtId="0" fontId="19" fillId="0" borderId="0" xfId="11" applyFont="1" applyAlignment="1"/>
    <xf numFmtId="0" fontId="2" fillId="7" borderId="0" xfId="0" applyFont="1" applyFill="1" applyAlignment="1">
      <alignment horizontal="right"/>
    </xf>
    <xf numFmtId="0" fontId="2" fillId="7" borderId="0" xfId="0" applyFont="1" applyFill="1" applyAlignment="1">
      <alignment horizontal="center"/>
    </xf>
    <xf numFmtId="0" fontId="4" fillId="3" borderId="0" xfId="0" applyFont="1" applyFill="1" applyBorder="1" applyAlignment="1">
      <alignment horizontal="right" vertical="top"/>
    </xf>
    <xf numFmtId="3" fontId="6" fillId="5" borderId="0" xfId="0" applyNumberFormat="1" applyFont="1" applyFill="1" applyBorder="1" applyAlignment="1">
      <alignment horizontal="right"/>
    </xf>
    <xf numFmtId="0" fontId="4" fillId="3" borderId="0" xfId="0" applyFont="1" applyFill="1" applyBorder="1" applyAlignment="1">
      <alignment horizontal="center" vertical="top"/>
    </xf>
    <xf numFmtId="1" fontId="4" fillId="3" borderId="10" xfId="0" applyNumberFormat="1" applyFont="1" applyFill="1" applyBorder="1" applyAlignment="1">
      <alignment horizontal="left"/>
    </xf>
    <xf numFmtId="4" fontId="4" fillId="5" borderId="10" xfId="0" applyNumberFormat="1" applyFont="1" applyFill="1" applyBorder="1" applyAlignment="1">
      <alignment horizontal="right"/>
    </xf>
    <xf numFmtId="0" fontId="4" fillId="3" borderId="10" xfId="0" applyNumberFormat="1" applyFont="1" applyFill="1" applyBorder="1" applyAlignment="1">
      <alignment horizontal="center"/>
    </xf>
    <xf numFmtId="183" fontId="4" fillId="5" borderId="10" xfId="0" applyNumberFormat="1" applyFont="1" applyFill="1" applyBorder="1" applyAlignment="1">
      <alignment horizontal="right"/>
    </xf>
    <xf numFmtId="183" fontId="4" fillId="3" borderId="10" xfId="0" applyNumberFormat="1" applyFont="1" applyFill="1" applyBorder="1" applyAlignment="1">
      <alignment horizontal="right"/>
    </xf>
    <xf numFmtId="183" fontId="4" fillId="5" borderId="11" xfId="0" applyNumberFormat="1" applyFont="1" applyFill="1" applyBorder="1" applyAlignment="1">
      <alignment horizontal="right"/>
    </xf>
    <xf numFmtId="183" fontId="4" fillId="3" borderId="11" xfId="0" applyNumberFormat="1" applyFont="1" applyFill="1" applyBorder="1" applyAlignment="1">
      <alignment horizontal="right"/>
    </xf>
    <xf numFmtId="4" fontId="6" fillId="5" borderId="10" xfId="0" applyNumberFormat="1" applyFont="1" applyFill="1" applyBorder="1" applyAlignment="1">
      <alignment horizontal="right" vertical="center"/>
    </xf>
    <xf numFmtId="0" fontId="6" fillId="3" borderId="10" xfId="0" applyNumberFormat="1" applyFont="1" applyFill="1" applyBorder="1" applyAlignment="1">
      <alignment horizontal="center" vertical="center"/>
    </xf>
    <xf numFmtId="1" fontId="4" fillId="3" borderId="0" xfId="0" applyNumberFormat="1" applyFont="1" applyFill="1" applyBorder="1" applyAlignment="1">
      <alignment horizontal="left" vertical="center"/>
    </xf>
    <xf numFmtId="3" fontId="4" fillId="3" borderId="0" xfId="0" applyNumberFormat="1" applyFont="1" applyFill="1" applyBorder="1" applyAlignment="1">
      <alignment horizontal="right" vertical="center"/>
    </xf>
    <xf numFmtId="183" fontId="4" fillId="5" borderId="0" xfId="0" applyNumberFormat="1" applyFont="1" applyFill="1" applyBorder="1" applyAlignment="1">
      <alignment horizontal="right" vertical="center"/>
    </xf>
    <xf numFmtId="183" fontId="4" fillId="3" borderId="0" xfId="0" applyNumberFormat="1" applyFont="1" applyFill="1" applyBorder="1" applyAlignment="1">
      <alignment horizontal="right" vertical="center"/>
    </xf>
    <xf numFmtId="1" fontId="5" fillId="7" borderId="12" xfId="0" applyNumberFormat="1" applyFont="1" applyFill="1" applyBorder="1" applyAlignment="1">
      <alignment horizontal="left"/>
    </xf>
    <xf numFmtId="183" fontId="4" fillId="7" borderId="12" xfId="0" applyNumberFormat="1" applyFont="1" applyFill="1" applyBorder="1" applyAlignment="1">
      <alignment horizontal="right"/>
    </xf>
    <xf numFmtId="183" fontId="4" fillId="7" borderId="12" xfId="0" applyNumberFormat="1" applyFont="1" applyFill="1" applyBorder="1" applyAlignment="1">
      <alignment horizontal="center"/>
    </xf>
    <xf numFmtId="1" fontId="5" fillId="0" borderId="12" xfId="0" applyNumberFormat="1" applyFont="1" applyBorder="1" applyAlignment="1">
      <alignment horizontal="left"/>
    </xf>
    <xf numFmtId="183" fontId="4" fillId="0" borderId="12" xfId="0" applyNumberFormat="1" applyFont="1" applyBorder="1" applyAlignment="1">
      <alignment horizontal="right"/>
    </xf>
    <xf numFmtId="1" fontId="5" fillId="7" borderId="0" xfId="0" applyNumberFormat="1" applyFont="1" applyFill="1" applyBorder="1" applyAlignment="1">
      <alignment horizontal="left"/>
    </xf>
    <xf numFmtId="183" fontId="4" fillId="7" borderId="0" xfId="0" applyNumberFormat="1" applyFont="1" applyFill="1" applyBorder="1" applyAlignment="1">
      <alignment horizontal="right"/>
    </xf>
    <xf numFmtId="183" fontId="4" fillId="7" borderId="0" xfId="0" applyNumberFormat="1" applyFont="1" applyFill="1" applyBorder="1" applyAlignment="1">
      <alignment horizontal="center"/>
    </xf>
    <xf numFmtId="183" fontId="4" fillId="0" borderId="0" xfId="0" applyNumberFormat="1" applyFont="1" applyBorder="1" applyAlignment="1">
      <alignment horizontal="right"/>
    </xf>
    <xf numFmtId="1" fontId="5" fillId="0" borderId="0" xfId="0" applyNumberFormat="1" applyFont="1" applyFill="1" applyBorder="1" applyAlignment="1">
      <alignment horizontal="left"/>
    </xf>
    <xf numFmtId="183" fontId="4" fillId="0" borderId="0" xfId="0" applyNumberFormat="1" applyFont="1" applyFill="1" applyBorder="1" applyAlignment="1">
      <alignment horizontal="right"/>
    </xf>
    <xf numFmtId="183" fontId="4" fillId="0" borderId="0" xfId="0" applyNumberFormat="1" applyFont="1" applyFill="1" applyBorder="1" applyAlignment="1">
      <alignment horizontal="center"/>
    </xf>
    <xf numFmtId="0" fontId="5" fillId="0" borderId="0" xfId="0" applyFont="1" applyFill="1" applyBorder="1" applyAlignment="1">
      <alignment horizontal="right"/>
    </xf>
    <xf numFmtId="4" fontId="4" fillId="3" borderId="3" xfId="0" applyNumberFormat="1" applyFont="1" applyFill="1" applyBorder="1" applyAlignment="1">
      <alignment horizontal="right"/>
    </xf>
    <xf numFmtId="4" fontId="4" fillId="5" borderId="3" xfId="0" applyNumberFormat="1" applyFont="1" applyFill="1" applyBorder="1" applyAlignment="1">
      <alignment horizontal="right"/>
    </xf>
    <xf numFmtId="4" fontId="4" fillId="3" borderId="11" xfId="0" applyNumberFormat="1" applyFont="1" applyFill="1" applyBorder="1" applyAlignment="1">
      <alignment horizontal="right"/>
    </xf>
    <xf numFmtId="2" fontId="6" fillId="3" borderId="0" xfId="0" applyNumberFormat="1" applyFont="1" applyFill="1" applyBorder="1" applyAlignment="1">
      <alignment horizontal="right" vertical="center"/>
    </xf>
    <xf numFmtId="2" fontId="6" fillId="5" borderId="0" xfId="0" applyNumberFormat="1" applyFont="1" applyFill="1" applyBorder="1" applyAlignment="1">
      <alignment horizontal="right" vertical="center"/>
    </xf>
    <xf numFmtId="0" fontId="5" fillId="7" borderId="0" xfId="0" applyFont="1" applyFill="1" applyAlignment="1">
      <alignment horizontal="right"/>
    </xf>
    <xf numFmtId="0" fontId="5" fillId="0" borderId="0" xfId="0" applyFont="1" applyFill="1" applyAlignment="1">
      <alignment horizontal="right"/>
    </xf>
    <xf numFmtId="0" fontId="3" fillId="0" borderId="0" xfId="0" applyFont="1" applyFill="1" applyAlignment="1">
      <alignment vertical="center"/>
    </xf>
    <xf numFmtId="0" fontId="4" fillId="3" borderId="1" xfId="0" applyFont="1" applyFill="1" applyBorder="1"/>
    <xf numFmtId="0" fontId="4" fillId="3" borderId="0" xfId="0" applyFont="1" applyFill="1" applyBorder="1"/>
    <xf numFmtId="0" fontId="4" fillId="3" borderId="2" xfId="0" applyFont="1" applyFill="1" applyBorder="1"/>
    <xf numFmtId="3" fontId="4" fillId="5" borderId="2" xfId="0" applyNumberFormat="1" applyFont="1" applyFill="1" applyBorder="1" applyAlignment="1">
      <alignment horizontal="right"/>
    </xf>
    <xf numFmtId="3" fontId="4" fillId="3" borderId="2" xfId="0" applyNumberFormat="1" applyFont="1" applyFill="1" applyBorder="1" applyAlignment="1">
      <alignment horizontal="right"/>
    </xf>
    <xf numFmtId="0" fontId="4" fillId="3" borderId="10" xfId="0" applyFont="1" applyFill="1" applyBorder="1"/>
    <xf numFmtId="0" fontId="4" fillId="3" borderId="11" xfId="0" applyFont="1" applyFill="1" applyBorder="1"/>
    <xf numFmtId="183" fontId="6" fillId="5" borderId="11" xfId="0" applyNumberFormat="1" applyFont="1" applyFill="1" applyBorder="1" applyAlignment="1">
      <alignment horizontal="right"/>
    </xf>
    <xf numFmtId="0" fontId="5" fillId="3" borderId="11" xfId="0" applyFont="1" applyFill="1" applyBorder="1"/>
    <xf numFmtId="182" fontId="4" fillId="5" borderId="11" xfId="0" applyNumberFormat="1" applyFont="1" applyFill="1" applyBorder="1" applyAlignment="1">
      <alignment horizontal="right"/>
    </xf>
    <xf numFmtId="183" fontId="6" fillId="5" borderId="0" xfId="0" applyNumberFormat="1" applyFont="1" applyFill="1" applyBorder="1" applyAlignment="1">
      <alignment horizontal="right" vertical="center"/>
    </xf>
    <xf numFmtId="0" fontId="5" fillId="7" borderId="0" xfId="0" applyFont="1" applyFill="1" applyBorder="1" applyAlignment="1" applyProtection="1">
      <alignment vertical="center"/>
    </xf>
    <xf numFmtId="3" fontId="4" fillId="5" borderId="10" xfId="0" applyNumberFormat="1" applyFont="1" applyFill="1" applyBorder="1" applyAlignment="1">
      <alignment horizontal="center"/>
    </xf>
    <xf numFmtId="3" fontId="6" fillId="5" borderId="10" xfId="0" applyNumberFormat="1" applyFont="1" applyFill="1" applyBorder="1"/>
    <xf numFmtId="3" fontId="4" fillId="5" borderId="11" xfId="0" applyNumberFormat="1" applyFont="1" applyFill="1" applyBorder="1" applyAlignment="1">
      <alignment horizontal="center"/>
    </xf>
    <xf numFmtId="3" fontId="6" fillId="5" borderId="0" xfId="0" applyNumberFormat="1" applyFont="1" applyFill="1" applyBorder="1" applyAlignment="1">
      <alignment horizontal="center" vertical="center"/>
    </xf>
    <xf numFmtId="184" fontId="6" fillId="3" borderId="0" xfId="0" applyNumberFormat="1" applyFont="1" applyFill="1" applyBorder="1" applyAlignment="1">
      <alignment horizontal="center" vertical="center"/>
    </xf>
    <xf numFmtId="3" fontId="4" fillId="0" borderId="12" xfId="0" applyNumberFormat="1" applyFont="1" applyBorder="1" applyAlignment="1">
      <alignment horizontal="center" vertical="top"/>
    </xf>
    <xf numFmtId="3" fontId="4" fillId="0" borderId="0" xfId="0" applyNumberFormat="1" applyFont="1" applyBorder="1" applyAlignment="1">
      <alignment horizontal="center" vertical="top"/>
    </xf>
    <xf numFmtId="182" fontId="5" fillId="0" borderId="0" xfId="0" applyNumberFormat="1" applyFont="1" applyBorder="1"/>
    <xf numFmtId="184" fontId="6" fillId="5" borderId="0" xfId="0" applyNumberFormat="1" applyFont="1" applyFill="1" applyBorder="1" applyAlignment="1">
      <alignment horizontal="center" vertical="center"/>
    </xf>
    <xf numFmtId="184" fontId="6" fillId="5" borderId="4" xfId="0" applyNumberFormat="1" applyFont="1" applyFill="1" applyBorder="1" applyAlignment="1">
      <alignment horizontal="center" vertical="center"/>
    </xf>
    <xf numFmtId="184" fontId="6" fillId="3" borderId="4" xfId="0" applyNumberFormat="1" applyFont="1" applyFill="1" applyBorder="1" applyAlignment="1">
      <alignment horizontal="center" vertical="center"/>
    </xf>
    <xf numFmtId="0" fontId="9" fillId="0" borderId="0" xfId="0" applyFont="1" applyBorder="1" applyAlignment="1">
      <alignment vertical="center"/>
    </xf>
    <xf numFmtId="0" fontId="55" fillId="0" borderId="0" xfId="0" applyFont="1" applyAlignment="1">
      <alignment horizontal="center"/>
    </xf>
    <xf numFmtId="0" fontId="52" fillId="5" borderId="1" xfId="0" applyFont="1" applyFill="1" applyBorder="1" applyAlignment="1">
      <alignment horizontal="center"/>
    </xf>
    <xf numFmtId="3" fontId="52" fillId="5" borderId="0" xfId="0" applyNumberFormat="1" applyFont="1" applyFill="1" applyBorder="1" applyAlignment="1">
      <alignment horizontal="center"/>
    </xf>
    <xf numFmtId="3" fontId="52" fillId="5" borderId="2" xfId="0" applyNumberFormat="1" applyFont="1" applyFill="1" applyBorder="1" applyAlignment="1">
      <alignment horizontal="center" vertical="top"/>
    </xf>
    <xf numFmtId="184" fontId="52" fillId="5" borderId="10" xfId="0" applyNumberFormat="1" applyFont="1" applyFill="1" applyBorder="1" applyAlignment="1">
      <alignment horizontal="center"/>
    </xf>
    <xf numFmtId="184" fontId="52" fillId="5" borderId="11" xfId="0" applyNumberFormat="1" applyFont="1" applyFill="1" applyBorder="1" applyAlignment="1">
      <alignment horizontal="center"/>
    </xf>
    <xf numFmtId="3" fontId="4" fillId="3" borderId="11" xfId="0" applyNumberFormat="1" applyFont="1" applyFill="1" applyBorder="1" applyAlignment="1">
      <alignment horizontal="center"/>
    </xf>
    <xf numFmtId="184" fontId="53" fillId="5" borderId="0" xfId="0" applyNumberFormat="1" applyFont="1" applyFill="1" applyBorder="1" applyAlignment="1">
      <alignment horizontal="center" vertical="center"/>
    </xf>
    <xf numFmtId="3" fontId="6" fillId="3" borderId="0" xfId="0" applyNumberFormat="1" applyFont="1" applyFill="1" applyBorder="1" applyAlignment="1">
      <alignment horizontal="center" vertical="center"/>
    </xf>
    <xf numFmtId="3" fontId="6" fillId="5" borderId="10" xfId="0" applyNumberFormat="1" applyFont="1" applyFill="1" applyBorder="1" applyAlignment="1">
      <alignment horizontal="center" vertical="center"/>
    </xf>
    <xf numFmtId="3" fontId="52" fillId="0" borderId="12" xfId="0" applyNumberFormat="1" applyFont="1" applyBorder="1" applyAlignment="1">
      <alignment horizontal="center" vertical="top"/>
    </xf>
    <xf numFmtId="3" fontId="52" fillId="0" borderId="0" xfId="0" applyNumberFormat="1" applyFont="1" applyBorder="1" applyAlignment="1">
      <alignment horizontal="center" vertical="top"/>
    </xf>
    <xf numFmtId="0" fontId="33" fillId="0" borderId="0" xfId="0" applyFont="1" applyAlignment="1">
      <alignment horizontal="center"/>
    </xf>
    <xf numFmtId="183" fontId="4" fillId="5" borderId="10" xfId="0" quotePrefix="1" applyNumberFormat="1" applyFont="1" applyFill="1" applyBorder="1" applyAlignment="1">
      <alignment horizontal="right"/>
    </xf>
    <xf numFmtId="183" fontId="4" fillId="5" borderId="11" xfId="0" quotePrefix="1" applyNumberFormat="1" applyFont="1" applyFill="1" applyBorder="1" applyAlignment="1">
      <alignment horizontal="right"/>
    </xf>
    <xf numFmtId="183" fontId="6" fillId="5" borderId="11" xfId="0" quotePrefix="1" applyNumberFormat="1" applyFont="1" applyFill="1" applyBorder="1" applyAlignment="1">
      <alignment horizontal="right"/>
    </xf>
    <xf numFmtId="184" fontId="6" fillId="5" borderId="11" xfId="0" applyNumberFormat="1" applyFont="1" applyFill="1" applyBorder="1" applyAlignment="1">
      <alignment horizontal="right"/>
    </xf>
    <xf numFmtId="183" fontId="6" fillId="3" borderId="11" xfId="0" applyNumberFormat="1" applyFont="1" applyFill="1" applyBorder="1" applyAlignment="1">
      <alignment horizontal="right"/>
    </xf>
    <xf numFmtId="183" fontId="4" fillId="5" borderId="0" xfId="0" quotePrefix="1" applyNumberFormat="1" applyFont="1" applyFill="1" applyBorder="1" applyAlignment="1">
      <alignment horizontal="right" vertical="center"/>
    </xf>
    <xf numFmtId="184" fontId="4" fillId="3" borderId="11" xfId="0" applyNumberFormat="1" applyFont="1" applyFill="1" applyBorder="1" applyAlignment="1">
      <alignment horizontal="right" vertical="center"/>
    </xf>
    <xf numFmtId="184" fontId="4" fillId="5" borderId="0" xfId="0" applyNumberFormat="1" applyFont="1" applyFill="1" applyBorder="1" applyAlignment="1">
      <alignment horizontal="right" vertical="center"/>
    </xf>
    <xf numFmtId="184" fontId="4" fillId="5" borderId="0" xfId="19" applyNumberFormat="1" applyFont="1" applyFill="1" applyBorder="1" applyAlignment="1">
      <alignment horizontal="right" vertical="center"/>
    </xf>
    <xf numFmtId="182" fontId="5" fillId="0" borderId="12" xfId="0" applyNumberFormat="1" applyFont="1" applyBorder="1"/>
    <xf numFmtId="0" fontId="4" fillId="3" borderId="11" xfId="0" quotePrefix="1" applyFont="1" applyFill="1" applyBorder="1" applyAlignment="1">
      <alignment horizontal="left" vertical="center"/>
    </xf>
    <xf numFmtId="184" fontId="6" fillId="3" borderId="3" xfId="0" applyNumberFormat="1" applyFont="1" applyFill="1" applyBorder="1" applyAlignment="1">
      <alignment horizontal="right" vertical="center"/>
    </xf>
    <xf numFmtId="184" fontId="6" fillId="5" borderId="3" xfId="0" applyNumberFormat="1" applyFont="1" applyFill="1" applyBorder="1" applyAlignment="1">
      <alignment horizontal="right" vertical="center"/>
    </xf>
    <xf numFmtId="0" fontId="2" fillId="0" borderId="0" xfId="0" applyFont="1" applyAlignment="1"/>
    <xf numFmtId="14" fontId="62" fillId="5" borderId="3" xfId="0" quotePrefix="1" applyNumberFormat="1" applyFont="1" applyFill="1" applyBorder="1" applyAlignment="1">
      <alignment horizontal="center" vertical="center"/>
    </xf>
    <xf numFmtId="0" fontId="64" fillId="5" borderId="1" xfId="0" applyFont="1" applyFill="1" applyBorder="1" applyAlignment="1">
      <alignment horizontal="right"/>
    </xf>
    <xf numFmtId="3" fontId="62" fillId="5" borderId="0" xfId="0" applyNumberFormat="1" applyFont="1" applyFill="1" applyBorder="1" applyAlignment="1">
      <alignment horizontal="right"/>
    </xf>
    <xf numFmtId="3" fontId="64" fillId="5" borderId="0" xfId="0" applyNumberFormat="1" applyFont="1" applyFill="1" applyBorder="1" applyAlignment="1">
      <alignment horizontal="right"/>
    </xf>
    <xf numFmtId="3" fontId="64" fillId="5" borderId="10" xfId="0" applyNumberFormat="1" applyFont="1" applyFill="1" applyBorder="1" applyAlignment="1">
      <alignment horizontal="right"/>
    </xf>
    <xf numFmtId="3" fontId="65" fillId="5" borderId="4" xfId="0" applyNumberFormat="1" applyFont="1" applyFill="1" applyBorder="1" applyAlignment="1">
      <alignment horizontal="right" vertical="center"/>
    </xf>
    <xf numFmtId="0" fontId="66" fillId="0" borderId="0" xfId="6" applyFont="1"/>
    <xf numFmtId="0" fontId="60" fillId="0" borderId="0" xfId="6" applyFont="1"/>
    <xf numFmtId="0" fontId="3" fillId="7" borderId="0" xfId="0" applyFont="1" applyFill="1"/>
    <xf numFmtId="0" fontId="3" fillId="7" borderId="0" xfId="0" applyFont="1" applyFill="1" applyAlignment="1">
      <alignment horizontal="center"/>
    </xf>
    <xf numFmtId="0" fontId="3" fillId="7" borderId="2" xfId="0" applyFont="1" applyFill="1" applyBorder="1"/>
    <xf numFmtId="0" fontId="3" fillId="7" borderId="2" xfId="0" applyFont="1" applyFill="1" applyBorder="1" applyAlignment="1">
      <alignment horizontal="center"/>
    </xf>
    <xf numFmtId="0" fontId="6" fillId="5" borderId="2" xfId="0" applyFont="1" applyFill="1" applyBorder="1" applyAlignment="1">
      <alignment horizontal="center" vertical="top"/>
    </xf>
    <xf numFmtId="184" fontId="6" fillId="5" borderId="10" xfId="0" applyNumberFormat="1" applyFont="1" applyFill="1" applyBorder="1" applyAlignment="1">
      <alignment horizontal="right"/>
    </xf>
    <xf numFmtId="184" fontId="6" fillId="3" borderId="10" xfId="0" applyNumberFormat="1" applyFont="1" applyFill="1" applyBorder="1" applyAlignment="1">
      <alignment horizontal="right"/>
    </xf>
    <xf numFmtId="184" fontId="6" fillId="5" borderId="10" xfId="0" applyNumberFormat="1" applyFont="1" applyFill="1" applyBorder="1" applyAlignment="1">
      <alignment horizontal="right" vertical="center"/>
    </xf>
    <xf numFmtId="184" fontId="4" fillId="3" borderId="4" xfId="0" applyNumberFormat="1" applyFont="1" applyFill="1" applyBorder="1" applyAlignment="1">
      <alignment horizontal="right" vertical="center"/>
    </xf>
    <xf numFmtId="0" fontId="9" fillId="7" borderId="12" xfId="0" applyFont="1" applyFill="1" applyBorder="1"/>
    <xf numFmtId="0" fontId="9" fillId="7" borderId="12" xfId="0" applyFont="1" applyFill="1" applyBorder="1" applyAlignment="1">
      <alignment horizontal="center"/>
    </xf>
    <xf numFmtId="0" fontId="9" fillId="7" borderId="0" xfId="0" applyFont="1" applyFill="1"/>
    <xf numFmtId="0" fontId="9" fillId="7" borderId="0" xfId="0" applyFont="1" applyFill="1" applyAlignment="1">
      <alignment horizontal="center"/>
    </xf>
    <xf numFmtId="0" fontId="3" fillId="0" borderId="0" xfId="0" applyFont="1" applyAlignment="1">
      <alignment horizontal="center"/>
    </xf>
    <xf numFmtId="0" fontId="6" fillId="5" borderId="0" xfId="0" applyFont="1" applyFill="1" applyBorder="1" applyAlignment="1">
      <alignment horizontal="center"/>
    </xf>
    <xf numFmtId="184" fontId="6" fillId="3" borderId="4" xfId="0" applyNumberFormat="1" applyFont="1" applyFill="1" applyBorder="1" applyAlignment="1">
      <alignment horizontal="right" vertical="center"/>
    </xf>
    <xf numFmtId="0" fontId="9" fillId="0" borderId="12" xfId="0" applyFont="1" applyBorder="1" applyAlignment="1">
      <alignment horizontal="center"/>
    </xf>
    <xf numFmtId="0" fontId="9" fillId="10" borderId="0" xfId="0" applyFont="1" applyFill="1"/>
    <xf numFmtId="0" fontId="5" fillId="10" borderId="0" xfId="0" applyFont="1" applyFill="1"/>
    <xf numFmtId="0" fontId="6" fillId="3" borderId="0" xfId="0" applyFont="1" applyFill="1" applyBorder="1" applyAlignment="1">
      <alignment horizontal="left"/>
    </xf>
    <xf numFmtId="0" fontId="6" fillId="5" borderId="1" xfId="0" applyFont="1" applyFill="1" applyBorder="1" applyAlignment="1">
      <alignment horizontal="right" wrapText="1"/>
    </xf>
    <xf numFmtId="0" fontId="6" fillId="3" borderId="1" xfId="0" applyFont="1" applyFill="1" applyBorder="1" applyAlignment="1">
      <alignment horizontal="right" wrapText="1"/>
    </xf>
    <xf numFmtId="0" fontId="4" fillId="3" borderId="4" xfId="0" applyFont="1" applyFill="1" applyBorder="1" applyAlignment="1">
      <alignment vertical="center" wrapText="1"/>
    </xf>
    <xf numFmtId="3" fontId="4" fillId="5" borderId="4" xfId="0" applyNumberFormat="1" applyFont="1" applyFill="1" applyBorder="1" applyAlignment="1">
      <alignment vertical="center"/>
    </xf>
    <xf numFmtId="3" fontId="4" fillId="3" borderId="4" xfId="0" applyNumberFormat="1" applyFont="1" applyFill="1" applyBorder="1" applyAlignment="1">
      <alignment vertical="center"/>
    </xf>
    <xf numFmtId="0" fontId="67" fillId="0" borderId="0" xfId="0" applyFont="1"/>
    <xf numFmtId="2" fontId="46" fillId="0" borderId="0" xfId="0" applyNumberFormat="1" applyFont="1"/>
    <xf numFmtId="0" fontId="19" fillId="0" borderId="0" xfId="0" applyFont="1" applyAlignment="1"/>
    <xf numFmtId="0" fontId="3" fillId="0" borderId="0" xfId="0" applyFont="1" applyFill="1" applyBorder="1" applyAlignment="1">
      <alignment vertical="center"/>
    </xf>
    <xf numFmtId="0" fontId="6" fillId="3" borderId="4" xfId="0" quotePrefix="1" applyFont="1" applyFill="1" applyBorder="1" applyAlignment="1">
      <alignment horizontal="left" vertical="center"/>
    </xf>
    <xf numFmtId="0" fontId="33" fillId="5" borderId="0" xfId="0" applyFont="1" applyFill="1" applyBorder="1" applyAlignment="1">
      <alignment horizontal="right" vertical="top"/>
    </xf>
    <xf numFmtId="184" fontId="33" fillId="3" borderId="0" xfId="0" applyNumberFormat="1" applyFont="1" applyFill="1" applyBorder="1" applyAlignment="1">
      <alignment horizontal="right" vertical="top"/>
    </xf>
    <xf numFmtId="0" fontId="5" fillId="0" borderId="0" xfId="0" applyFont="1" applyFill="1" applyAlignment="1">
      <alignment vertical="center"/>
    </xf>
    <xf numFmtId="0" fontId="9" fillId="0" borderId="0" xfId="0" applyFont="1" applyFill="1" applyAlignment="1">
      <alignment vertical="center"/>
    </xf>
    <xf numFmtId="3" fontId="4" fillId="0" borderId="0" xfId="0" applyNumberFormat="1" applyFont="1" applyFill="1" applyBorder="1" applyAlignment="1">
      <alignment horizontal="right" vertical="top"/>
    </xf>
    <xf numFmtId="184" fontId="2" fillId="7" borderId="0" xfId="0" applyNumberFormat="1" applyFont="1" applyFill="1"/>
    <xf numFmtId="0" fontId="29" fillId="0" borderId="0" xfId="0" applyFont="1" applyAlignment="1">
      <alignment horizontal="left" wrapText="1"/>
    </xf>
    <xf numFmtId="0" fontId="33" fillId="5" borderId="0" xfId="0" applyFont="1" applyFill="1" applyBorder="1" applyAlignment="1">
      <alignment horizontal="right"/>
    </xf>
    <xf numFmtId="184" fontId="33" fillId="3" borderId="0" xfId="0" applyNumberFormat="1" applyFont="1" applyFill="1" applyBorder="1" applyAlignment="1">
      <alignment horizontal="right"/>
    </xf>
    <xf numFmtId="0" fontId="4" fillId="3" borderId="0" xfId="0" applyFont="1" applyFill="1" applyBorder="1" applyAlignment="1">
      <alignment horizontal="left" vertical="top"/>
    </xf>
    <xf numFmtId="184" fontId="4" fillId="3" borderId="0" xfId="0" applyNumberFormat="1" applyFont="1" applyFill="1" applyBorder="1" applyAlignment="1">
      <alignment horizontal="right" vertical="top"/>
    </xf>
    <xf numFmtId="184" fontId="4" fillId="0" borderId="0" xfId="0" applyNumberFormat="1" applyFont="1" applyFill="1" applyBorder="1" applyAlignment="1">
      <alignment horizontal="right" vertical="top"/>
    </xf>
    <xf numFmtId="0" fontId="19" fillId="3" borderId="4" xfId="0" applyFont="1" applyFill="1" applyBorder="1" applyAlignment="1">
      <alignment horizontal="left" vertical="center" wrapText="1"/>
    </xf>
    <xf numFmtId="3" fontId="4" fillId="0" borderId="2" xfId="0" applyNumberFormat="1" applyFont="1" applyFill="1" applyBorder="1" applyAlignment="1">
      <alignment horizontal="right" vertical="top"/>
    </xf>
    <xf numFmtId="0" fontId="33" fillId="5" borderId="0" xfId="0" applyFont="1" applyFill="1" applyBorder="1" applyAlignment="1">
      <alignment horizontal="right" vertical="center"/>
    </xf>
    <xf numFmtId="184" fontId="33" fillId="3" borderId="0" xfId="0" applyNumberFormat="1" applyFont="1" applyFill="1" applyBorder="1" applyAlignment="1">
      <alignment horizontal="right" vertical="center"/>
    </xf>
    <xf numFmtId="0" fontId="68" fillId="5" borderId="0" xfId="0" applyFont="1" applyFill="1" applyBorder="1" applyAlignment="1">
      <alignment horizontal="right" vertical="top"/>
    </xf>
    <xf numFmtId="184" fontId="68" fillId="3" borderId="0" xfId="0" applyNumberFormat="1" applyFont="1" applyFill="1" applyBorder="1" applyAlignment="1">
      <alignment horizontal="right" vertical="top"/>
    </xf>
    <xf numFmtId="0" fontId="63" fillId="0" borderId="0" xfId="0" applyFont="1"/>
    <xf numFmtId="184" fontId="5" fillId="0" borderId="0" xfId="0" applyNumberFormat="1" applyFont="1" applyFill="1"/>
    <xf numFmtId="184" fontId="6" fillId="3" borderId="15" xfId="0" applyNumberFormat="1" applyFont="1" applyFill="1" applyBorder="1" applyAlignment="1">
      <alignment horizontal="right" vertical="center"/>
    </xf>
    <xf numFmtId="184" fontId="4" fillId="5" borderId="14" xfId="0" applyNumberFormat="1" applyFont="1" applyFill="1" applyBorder="1" applyAlignment="1">
      <alignment horizontal="right" vertical="center"/>
    </xf>
    <xf numFmtId="0" fontId="64" fillId="3" borderId="1" xfId="0" applyFont="1" applyFill="1" applyBorder="1" applyAlignment="1">
      <alignment horizontal="center"/>
    </xf>
    <xf numFmtId="0" fontId="64" fillId="3" borderId="0" xfId="0" applyFont="1" applyFill="1" applyBorder="1" applyAlignment="1">
      <alignment horizontal="center"/>
    </xf>
    <xf numFmtId="3" fontId="64" fillId="3" borderId="2" xfId="0" applyNumberFormat="1" applyFont="1" applyFill="1" applyBorder="1" applyAlignment="1">
      <alignment horizontal="center" vertical="top"/>
    </xf>
    <xf numFmtId="184" fontId="64" fillId="3" borderId="3" xfId="0" applyNumberFormat="1" applyFont="1" applyFill="1" applyBorder="1" applyAlignment="1">
      <alignment horizontal="center"/>
    </xf>
    <xf numFmtId="184" fontId="64" fillId="3" borderId="11" xfId="0" applyNumberFormat="1" applyFont="1" applyFill="1" applyBorder="1" applyAlignment="1">
      <alignment horizontal="center"/>
    </xf>
    <xf numFmtId="184" fontId="65" fillId="3" borderId="4" xfId="0" applyNumberFormat="1" applyFont="1" applyFill="1" applyBorder="1" applyAlignment="1">
      <alignment horizontal="center" vertical="center"/>
    </xf>
    <xf numFmtId="184" fontId="62" fillId="0" borderId="0" xfId="0" applyNumberFormat="1" applyFont="1" applyBorder="1" applyAlignment="1">
      <alignment horizontal="center"/>
    </xf>
    <xf numFmtId="184" fontId="62" fillId="0" borderId="0" xfId="0" applyNumberFormat="1" applyFont="1" applyAlignment="1">
      <alignment horizontal="center"/>
    </xf>
    <xf numFmtId="9" fontId="6" fillId="3" borderId="1" xfId="0" applyNumberFormat="1" applyFont="1" applyFill="1" applyBorder="1" applyAlignment="1">
      <alignment horizontal="right" wrapText="1"/>
    </xf>
    <xf numFmtId="9" fontId="4" fillId="5" borderId="0" xfId="0" applyNumberFormat="1" applyFont="1" applyFill="1" applyBorder="1" applyAlignment="1">
      <alignment horizontal="right" wrapText="1"/>
    </xf>
    <xf numFmtId="9" fontId="4" fillId="3" borderId="0" xfId="0" applyNumberFormat="1" applyFont="1" applyFill="1" applyBorder="1" applyAlignment="1">
      <alignment horizontal="right" wrapText="1"/>
    </xf>
    <xf numFmtId="3" fontId="4" fillId="7" borderId="12" xfId="0" applyNumberFormat="1" applyFont="1" applyFill="1" applyBorder="1" applyAlignment="1">
      <alignment horizontal="right" vertical="top"/>
    </xf>
    <xf numFmtId="3" fontId="4" fillId="7" borderId="0" xfId="0" applyNumberFormat="1" applyFont="1" applyFill="1" applyBorder="1" applyAlignment="1">
      <alignment horizontal="right" vertical="top"/>
    </xf>
    <xf numFmtId="184" fontId="64" fillId="3" borderId="1" xfId="0" applyNumberFormat="1" applyFont="1" applyFill="1" applyBorder="1" applyAlignment="1">
      <alignment horizontal="center"/>
    </xf>
    <xf numFmtId="184" fontId="64" fillId="3" borderId="0" xfId="0" applyNumberFormat="1" applyFont="1" applyFill="1" applyBorder="1" applyAlignment="1">
      <alignment horizontal="center"/>
    </xf>
    <xf numFmtId="184" fontId="64" fillId="3" borderId="2" xfId="0" applyNumberFormat="1" applyFont="1" applyFill="1" applyBorder="1" applyAlignment="1">
      <alignment horizontal="center" vertical="top"/>
    </xf>
    <xf numFmtId="9" fontId="6" fillId="5" borderId="1" xfId="0" applyNumberFormat="1" applyFont="1" applyFill="1" applyBorder="1" applyAlignment="1">
      <alignment horizontal="right" wrapText="1"/>
    </xf>
    <xf numFmtId="0" fontId="69" fillId="7" borderId="0" xfId="0" applyFont="1" applyFill="1" applyAlignment="1">
      <alignment vertical="top"/>
    </xf>
    <xf numFmtId="0" fontId="19" fillId="7" borderId="0" xfId="0" applyFont="1" applyFill="1"/>
    <xf numFmtId="0" fontId="69" fillId="7" borderId="2" xfId="0" applyFont="1" applyFill="1" applyBorder="1" applyAlignment="1">
      <alignment vertical="top"/>
    </xf>
    <xf numFmtId="0" fontId="19" fillId="7" borderId="2" xfId="0" applyFont="1" applyFill="1" applyBorder="1" applyAlignment="1">
      <alignment vertical="center"/>
    </xf>
    <xf numFmtId="0" fontId="5" fillId="7" borderId="2" xfId="0" applyFont="1" applyFill="1" applyBorder="1" applyAlignment="1">
      <alignment vertical="center"/>
    </xf>
    <xf numFmtId="0" fontId="9" fillId="7" borderId="2" xfId="0" applyFont="1" applyFill="1" applyBorder="1" applyAlignment="1">
      <alignment vertical="center"/>
    </xf>
    <xf numFmtId="0" fontId="5" fillId="0" borderId="2" xfId="0" applyFont="1" applyBorder="1"/>
    <xf numFmtId="0" fontId="70" fillId="0" borderId="2" xfId="0" applyFont="1" applyBorder="1" applyAlignment="1">
      <alignment vertical="top"/>
    </xf>
    <xf numFmtId="0" fontId="39" fillId="5" borderId="0" xfId="0" applyFont="1" applyFill="1" applyBorder="1" applyAlignment="1">
      <alignment horizontal="center"/>
    </xf>
    <xf numFmtId="0" fontId="6" fillId="5" borderId="0" xfId="0" applyFont="1" applyFill="1" applyBorder="1"/>
    <xf numFmtId="0" fontId="6" fillId="3" borderId="0" xfId="0" applyFont="1" applyFill="1" applyBorder="1"/>
    <xf numFmtId="0" fontId="6" fillId="0" borderId="0" xfId="0" applyFont="1" applyFill="1" applyBorder="1" applyAlignment="1">
      <alignment horizontal="right"/>
    </xf>
    <xf numFmtId="0" fontId="19" fillId="5" borderId="0" xfId="0" applyFont="1" applyFill="1" applyBorder="1" applyAlignment="1">
      <alignment horizontal="right" wrapText="1"/>
    </xf>
    <xf numFmtId="0" fontId="19" fillId="3" borderId="0" xfId="0" applyFont="1" applyFill="1" applyBorder="1" applyAlignment="1">
      <alignment horizontal="right" wrapText="1"/>
    </xf>
    <xf numFmtId="0" fontId="19" fillId="0" borderId="0" xfId="0" applyFont="1" applyFill="1" applyBorder="1" applyAlignment="1">
      <alignment horizontal="right" wrapText="1"/>
    </xf>
    <xf numFmtId="0" fontId="72" fillId="5" borderId="0" xfId="0" applyFont="1" applyFill="1" applyBorder="1" applyAlignment="1">
      <alignment horizontal="center" wrapText="1"/>
    </xf>
    <xf numFmtId="0" fontId="72" fillId="3" borderId="0" xfId="0" applyFont="1" applyFill="1" applyBorder="1" applyAlignment="1">
      <alignment horizontal="center" wrapText="1"/>
    </xf>
    <xf numFmtId="0" fontId="68" fillId="5" borderId="0" xfId="0" applyFont="1" applyFill="1" applyBorder="1" applyAlignment="1">
      <alignment horizontal="center" wrapText="1"/>
    </xf>
    <xf numFmtId="0" fontId="68" fillId="3" borderId="0" xfId="0" applyFont="1" applyFill="1" applyBorder="1" applyAlignment="1">
      <alignment horizontal="center" wrapText="1"/>
    </xf>
    <xf numFmtId="0" fontId="74" fillId="3" borderId="0" xfId="0" applyFont="1" applyFill="1" applyBorder="1"/>
    <xf numFmtId="0" fontId="6" fillId="0" borderId="0" xfId="0" applyFont="1" applyFill="1" applyBorder="1"/>
    <xf numFmtId="0" fontId="53" fillId="5" borderId="0" xfId="0" applyFont="1" applyFill="1" applyBorder="1"/>
    <xf numFmtId="0" fontId="53" fillId="3" borderId="0" xfId="0" applyFont="1" applyFill="1" applyBorder="1"/>
    <xf numFmtId="0" fontId="39" fillId="5" borderId="2" xfId="0" applyFont="1" applyFill="1" applyBorder="1" applyAlignment="1">
      <alignment horizontal="center"/>
    </xf>
    <xf numFmtId="0" fontId="6" fillId="5" borderId="2" xfId="0" applyFont="1" applyFill="1" applyBorder="1" applyAlignment="1">
      <alignment vertical="top"/>
    </xf>
    <xf numFmtId="0" fontId="6" fillId="3" borderId="2" xfId="0" applyFont="1" applyFill="1" applyBorder="1" applyAlignment="1">
      <alignment vertical="top"/>
    </xf>
    <xf numFmtId="0" fontId="6" fillId="3" borderId="2" xfId="0" applyFont="1" applyFill="1" applyBorder="1"/>
    <xf numFmtId="0" fontId="6" fillId="0" borderId="2" xfId="0" applyFont="1" applyFill="1" applyBorder="1" applyAlignment="1">
      <alignment horizontal="right" vertical="top"/>
    </xf>
    <xf numFmtId="0" fontId="6" fillId="5" borderId="2" xfId="0" applyFont="1" applyFill="1" applyBorder="1"/>
    <xf numFmtId="0" fontId="6" fillId="0" borderId="2" xfId="0" applyFont="1" applyFill="1" applyBorder="1"/>
    <xf numFmtId="0" fontId="53" fillId="5" borderId="2" xfId="0" applyFont="1" applyFill="1" applyBorder="1"/>
    <xf numFmtId="0" fontId="53" fillId="3" borderId="2" xfId="0" applyFont="1" applyFill="1" applyBorder="1"/>
    <xf numFmtId="0" fontId="29" fillId="5" borderId="3" xfId="0" applyFont="1" applyFill="1" applyBorder="1" applyAlignment="1">
      <alignment horizontal="center"/>
    </xf>
    <xf numFmtId="0" fontId="4" fillId="5" borderId="3" xfId="0" applyFont="1" applyFill="1" applyBorder="1" applyAlignment="1"/>
    <xf numFmtId="3" fontId="6" fillId="5" borderId="3" xfId="0" applyNumberFormat="1" applyFont="1" applyFill="1" applyBorder="1" applyAlignment="1"/>
    <xf numFmtId="3" fontId="4" fillId="0" borderId="3" xfId="0" applyNumberFormat="1" applyFont="1" applyFill="1" applyBorder="1" applyAlignment="1"/>
    <xf numFmtId="184" fontId="5" fillId="5" borderId="3" xfId="0" applyNumberFormat="1" applyFont="1" applyFill="1" applyBorder="1" applyAlignment="1">
      <alignment horizontal="center"/>
    </xf>
    <xf numFmtId="184" fontId="5" fillId="3" borderId="3" xfId="0" applyNumberFormat="1" applyFont="1" applyFill="1" applyBorder="1" applyAlignment="1">
      <alignment horizontal="center"/>
    </xf>
    <xf numFmtId="184" fontId="5" fillId="0" borderId="3" xfId="0" applyNumberFormat="1" applyFont="1" applyFill="1" applyBorder="1" applyAlignment="1">
      <alignment horizontal="center"/>
    </xf>
    <xf numFmtId="3" fontId="52" fillId="3" borderId="3" xfId="0" applyNumberFormat="1" applyFont="1" applyFill="1" applyBorder="1" applyAlignment="1">
      <alignment horizontal="right"/>
    </xf>
    <xf numFmtId="184" fontId="33" fillId="5" borderId="3" xfId="0" applyNumberFormat="1" applyFont="1" applyFill="1" applyBorder="1" applyAlignment="1">
      <alignment horizontal="center"/>
    </xf>
    <xf numFmtId="184" fontId="33" fillId="3" borderId="3" xfId="0" applyNumberFormat="1" applyFont="1" applyFill="1" applyBorder="1" applyAlignment="1">
      <alignment horizontal="center"/>
    </xf>
    <xf numFmtId="0" fontId="29" fillId="5" borderId="11" xfId="0" applyFont="1" applyFill="1" applyBorder="1" applyAlignment="1">
      <alignment horizontal="center"/>
    </xf>
    <xf numFmtId="0" fontId="4" fillId="5" borderId="11" xfId="0" applyFont="1" applyFill="1" applyBorder="1" applyAlignment="1"/>
    <xf numFmtId="3" fontId="6" fillId="5" borderId="11" xfId="0" applyNumberFormat="1" applyFont="1" applyFill="1" applyBorder="1" applyAlignment="1"/>
    <xf numFmtId="3" fontId="52" fillId="5" borderId="11" xfId="0" applyNumberFormat="1" applyFont="1" applyFill="1" applyBorder="1" applyAlignment="1"/>
    <xf numFmtId="3" fontId="52" fillId="3" borderId="11" xfId="0" applyNumberFormat="1" applyFont="1" applyFill="1" applyBorder="1" applyAlignment="1"/>
    <xf numFmtId="3" fontId="52" fillId="5" borderId="11" xfId="0" applyNumberFormat="1" applyFont="1" applyFill="1" applyBorder="1" applyAlignment="1">
      <alignment horizontal="right"/>
    </xf>
    <xf numFmtId="3" fontId="52" fillId="3" borderId="11" xfId="0" applyNumberFormat="1" applyFont="1" applyFill="1" applyBorder="1" applyAlignment="1">
      <alignment horizontal="right"/>
    </xf>
    <xf numFmtId="183" fontId="4" fillId="3" borderId="11" xfId="0" applyNumberFormat="1" applyFont="1" applyFill="1" applyBorder="1" applyAlignment="1"/>
    <xf numFmtId="182" fontId="4" fillId="3" borderId="11" xfId="0" applyNumberFormat="1" applyFont="1" applyFill="1" applyBorder="1" applyAlignment="1">
      <alignment horizontal="right"/>
    </xf>
    <xf numFmtId="183" fontId="6" fillId="5" borderId="11" xfId="0" applyNumberFormat="1" applyFont="1" applyFill="1" applyBorder="1" applyAlignment="1"/>
    <xf numFmtId="183" fontId="4" fillId="0" borderId="3" xfId="0" applyNumberFormat="1" applyFont="1" applyFill="1" applyBorder="1" applyAlignment="1"/>
    <xf numFmtId="182" fontId="52" fillId="5" borderId="11" xfId="0" applyNumberFormat="1" applyFont="1" applyFill="1" applyBorder="1" applyAlignment="1">
      <alignment horizontal="right"/>
    </xf>
    <xf numFmtId="183" fontId="52" fillId="3" borderId="11" xfId="0" applyNumberFormat="1" applyFont="1" applyFill="1" applyBorder="1" applyAlignment="1">
      <alignment horizontal="right"/>
    </xf>
    <xf numFmtId="0" fontId="5" fillId="5" borderId="11" xfId="0" applyFont="1" applyFill="1" applyBorder="1" applyAlignment="1"/>
    <xf numFmtId="184" fontId="4" fillId="3" borderId="11" xfId="0" applyNumberFormat="1" applyFont="1" applyFill="1" applyBorder="1" applyAlignment="1"/>
    <xf numFmtId="184" fontId="4" fillId="5" borderId="11" xfId="0" applyNumberFormat="1" applyFont="1" applyFill="1" applyBorder="1" applyAlignment="1"/>
    <xf numFmtId="184" fontId="6" fillId="5" borderId="11" xfId="0" applyNumberFormat="1" applyFont="1" applyFill="1" applyBorder="1" applyAlignment="1"/>
    <xf numFmtId="184" fontId="52" fillId="5" borderId="11" xfId="0" applyNumberFormat="1" applyFont="1" applyFill="1" applyBorder="1" applyAlignment="1"/>
    <xf numFmtId="184" fontId="52" fillId="3" borderId="11" xfId="0" applyNumberFormat="1" applyFont="1" applyFill="1" applyBorder="1" applyAlignment="1"/>
    <xf numFmtId="0" fontId="29" fillId="5" borderId="4" xfId="0" applyFont="1" applyFill="1" applyBorder="1" applyAlignment="1">
      <alignment horizontal="center" vertical="center"/>
    </xf>
    <xf numFmtId="0" fontId="4" fillId="5" borderId="4" xfId="0" applyFont="1" applyFill="1" applyBorder="1" applyAlignment="1">
      <alignment vertical="center"/>
    </xf>
    <xf numFmtId="184" fontId="4" fillId="3" borderId="4" xfId="0" applyNumberFormat="1" applyFont="1" applyFill="1" applyBorder="1" applyAlignment="1">
      <alignment vertical="center"/>
    </xf>
    <xf numFmtId="184" fontId="4" fillId="5" borderId="4" xfId="0" applyNumberFormat="1" applyFont="1" applyFill="1" applyBorder="1" applyAlignment="1">
      <alignment vertical="center"/>
    </xf>
    <xf numFmtId="184" fontId="4" fillId="0" borderId="4" xfId="0" applyNumberFormat="1" applyFont="1" applyFill="1" applyBorder="1" applyAlignment="1">
      <alignment vertical="center"/>
    </xf>
    <xf numFmtId="184" fontId="5" fillId="5" borderId="4" xfId="0" applyNumberFormat="1" applyFont="1" applyFill="1" applyBorder="1" applyAlignment="1">
      <alignment horizontal="center" vertical="center"/>
    </xf>
    <xf numFmtId="184" fontId="5" fillId="3" borderId="4" xfId="0" applyNumberFormat="1" applyFont="1" applyFill="1" applyBorder="1" applyAlignment="1">
      <alignment horizontal="center" vertical="center"/>
    </xf>
    <xf numFmtId="184" fontId="5" fillId="0" borderId="4" xfId="0" applyNumberFormat="1" applyFont="1" applyFill="1" applyBorder="1" applyAlignment="1">
      <alignment horizontal="center" vertical="center"/>
    </xf>
    <xf numFmtId="184" fontId="52" fillId="5" borderId="4" xfId="0" applyNumberFormat="1" applyFont="1" applyFill="1" applyBorder="1" applyAlignment="1">
      <alignment vertical="center"/>
    </xf>
    <xf numFmtId="184" fontId="52" fillId="3" borderId="4" xfId="0" applyNumberFormat="1" applyFont="1" applyFill="1" applyBorder="1" applyAlignment="1">
      <alignment vertical="center"/>
    </xf>
    <xf numFmtId="184" fontId="33" fillId="5" borderId="4" xfId="0" applyNumberFormat="1" applyFont="1" applyFill="1" applyBorder="1" applyAlignment="1">
      <alignment horizontal="center" vertical="center"/>
    </xf>
    <xf numFmtId="184" fontId="33" fillId="3" borderId="4" xfId="0" applyNumberFormat="1" applyFont="1" applyFill="1" applyBorder="1" applyAlignment="1">
      <alignment horizontal="center" vertical="center"/>
    </xf>
    <xf numFmtId="0" fontId="5" fillId="0" borderId="12" xfId="0" applyFont="1" applyFill="1" applyBorder="1" applyAlignment="1"/>
    <xf numFmtId="184" fontId="4" fillId="0" borderId="12" xfId="0" applyNumberFormat="1" applyFont="1" applyFill="1" applyBorder="1" applyAlignment="1"/>
    <xf numFmtId="184" fontId="6" fillId="0" borderId="12" xfId="0" applyNumberFormat="1" applyFont="1" applyFill="1" applyBorder="1" applyAlignment="1"/>
    <xf numFmtId="184" fontId="6" fillId="0" borderId="0" xfId="0" applyNumberFormat="1" applyFont="1" applyFill="1" applyBorder="1" applyAlignment="1"/>
    <xf numFmtId="0" fontId="5" fillId="0" borderId="0" xfId="0" applyFont="1" applyFill="1" applyAlignment="1"/>
    <xf numFmtId="0" fontId="4" fillId="0" borderId="0" xfId="0" applyFont="1" applyFill="1" applyBorder="1"/>
    <xf numFmtId="3" fontId="2" fillId="0" borderId="0" xfId="0" applyNumberFormat="1" applyFont="1" applyFill="1" applyBorder="1"/>
    <xf numFmtId="0" fontId="3" fillId="0" borderId="0" xfId="0" applyFont="1" applyBorder="1"/>
    <xf numFmtId="0" fontId="5" fillId="0" borderId="20" xfId="0" applyFont="1" applyBorder="1" applyAlignment="1">
      <alignment horizontal="center"/>
    </xf>
    <xf numFmtId="0" fontId="5" fillId="0" borderId="20" xfId="0" applyFont="1" applyFill="1" applyBorder="1"/>
    <xf numFmtId="0" fontId="19" fillId="0" borderId="20" xfId="0" applyFont="1" applyFill="1" applyBorder="1"/>
    <xf numFmtId="0" fontId="5" fillId="0" borderId="20" xfId="0" applyFont="1" applyFill="1" applyBorder="1" applyAlignment="1">
      <alignment horizontal="right"/>
    </xf>
    <xf numFmtId="0" fontId="5" fillId="0" borderId="20" xfId="0" quotePrefix="1" applyFont="1" applyBorder="1"/>
    <xf numFmtId="0" fontId="5" fillId="0" borderId="20" xfId="0" applyFont="1" applyBorder="1"/>
    <xf numFmtId="0" fontId="9" fillId="0" borderId="20" xfId="0" applyFont="1" applyBorder="1"/>
    <xf numFmtId="0" fontId="5" fillId="0" borderId="21" xfId="14" applyFont="1" applyFill="1" applyBorder="1"/>
    <xf numFmtId="0" fontId="5" fillId="0" borderId="20" xfId="0" applyFont="1" applyBorder="1" applyAlignment="1">
      <alignment horizontal="right"/>
    </xf>
    <xf numFmtId="0" fontId="19" fillId="0" borderId="20" xfId="0" applyFont="1" applyBorder="1"/>
    <xf numFmtId="0" fontId="19" fillId="0" borderId="0" xfId="0" applyFont="1"/>
    <xf numFmtId="182" fontId="4" fillId="5" borderId="3" xfId="0" applyNumberFormat="1" applyFont="1" applyFill="1" applyBorder="1" applyAlignment="1">
      <alignment horizontal="right"/>
    </xf>
    <xf numFmtId="182" fontId="6" fillId="5" borderId="0" xfId="0" applyNumberFormat="1" applyFont="1" applyFill="1" applyBorder="1" applyAlignment="1">
      <alignment horizontal="right" vertical="center"/>
    </xf>
    <xf numFmtId="182" fontId="36" fillId="0" borderId="0" xfId="0" applyNumberFormat="1" applyFont="1"/>
    <xf numFmtId="9" fontId="4" fillId="3" borderId="1" xfId="0" applyNumberFormat="1" applyFont="1" applyFill="1" applyBorder="1" applyAlignment="1">
      <alignment horizontal="center" vertical="center" wrapText="1"/>
    </xf>
    <xf numFmtId="9" fontId="4" fillId="5" borderId="1" xfId="0" applyNumberFormat="1" applyFont="1" applyFill="1" applyBorder="1" applyAlignment="1">
      <alignment horizontal="center" vertical="center" wrapText="1"/>
    </xf>
    <xf numFmtId="9" fontId="4" fillId="3" borderId="0" xfId="0" applyNumberFormat="1" applyFont="1" applyFill="1" applyBorder="1" applyAlignment="1">
      <alignment horizontal="center" vertical="center" wrapText="1"/>
    </xf>
    <xf numFmtId="9" fontId="4" fillId="5" borderId="0" xfId="0" applyNumberFormat="1" applyFont="1" applyFill="1" applyBorder="1" applyAlignment="1">
      <alignment horizontal="center" vertical="center" wrapText="1"/>
    </xf>
    <xf numFmtId="3" fontId="4" fillId="5" borderId="0" xfId="0" applyNumberFormat="1" applyFont="1" applyFill="1" applyBorder="1" applyAlignment="1">
      <alignment horizontal="right" vertical="top"/>
    </xf>
    <xf numFmtId="0" fontId="4" fillId="3" borderId="0" xfId="0" applyFont="1" applyFill="1" applyBorder="1" applyAlignment="1">
      <alignment horizontal="center" vertical="center"/>
    </xf>
    <xf numFmtId="3" fontId="4" fillId="5" borderId="0" xfId="0" applyNumberFormat="1" applyFont="1" applyFill="1" applyBorder="1" applyAlignment="1">
      <alignment horizontal="center" vertical="center"/>
    </xf>
    <xf numFmtId="0" fontId="4" fillId="3" borderId="2" xfId="0" applyFont="1" applyFill="1" applyBorder="1" applyAlignment="1">
      <alignment horizontal="center" vertical="center"/>
    </xf>
    <xf numFmtId="3" fontId="4" fillId="5" borderId="2" xfId="0" applyNumberFormat="1" applyFont="1" applyFill="1" applyBorder="1" applyAlignment="1">
      <alignment horizontal="center" vertical="center"/>
    </xf>
    <xf numFmtId="183" fontId="4" fillId="5" borderId="3" xfId="0" applyNumberFormat="1" applyFont="1" applyFill="1" applyBorder="1" applyAlignment="1">
      <alignment horizontal="right"/>
    </xf>
    <xf numFmtId="183" fontId="6" fillId="5" borderId="3" xfId="0" applyNumberFormat="1" applyFont="1" applyFill="1" applyBorder="1" applyAlignment="1">
      <alignment horizontal="right"/>
    </xf>
    <xf numFmtId="183" fontId="6" fillId="5" borderId="11" xfId="0" applyNumberFormat="1" applyFont="1" applyFill="1" applyBorder="1" applyAlignment="1">
      <alignment horizontal="right" vertical="center"/>
    </xf>
    <xf numFmtId="183" fontId="6" fillId="3" borderId="11" xfId="0" applyNumberFormat="1" applyFont="1" applyFill="1" applyBorder="1" applyAlignment="1">
      <alignment horizontal="right" vertical="center"/>
    </xf>
    <xf numFmtId="184" fontId="4" fillId="3" borderId="4" xfId="0" applyNumberFormat="1" applyFont="1" applyFill="1" applyBorder="1" applyAlignment="1">
      <alignment horizontal="center" vertical="center"/>
    </xf>
    <xf numFmtId="184" fontId="4" fillId="5" borderId="4" xfId="0" applyNumberFormat="1" applyFont="1" applyFill="1" applyBorder="1" applyAlignment="1">
      <alignment horizontal="center" vertical="center"/>
    </xf>
    <xf numFmtId="0" fontId="5" fillId="0" borderId="0" xfId="12" quotePrefix="1" applyFont="1" applyFill="1" applyBorder="1" applyAlignment="1">
      <alignment horizontal="center"/>
    </xf>
    <xf numFmtId="0" fontId="5" fillId="0" borderId="0" xfId="0" applyFont="1" applyAlignment="1">
      <alignment vertical="top" wrapText="1"/>
    </xf>
    <xf numFmtId="0" fontId="4" fillId="3" borderId="2" xfId="0" applyFont="1" applyFill="1" applyBorder="1" applyAlignment="1">
      <alignment horizontal="right" vertical="top" wrapText="1"/>
    </xf>
    <xf numFmtId="1" fontId="6" fillId="3" borderId="11" xfId="0" applyNumberFormat="1" applyFont="1" applyFill="1" applyBorder="1" applyAlignment="1">
      <alignment horizontal="left"/>
    </xf>
    <xf numFmtId="1" fontId="52" fillId="3" borderId="11" xfId="0" applyNumberFormat="1" applyFont="1" applyFill="1" applyBorder="1" applyAlignment="1">
      <alignment horizontal="left"/>
    </xf>
    <xf numFmtId="183" fontId="52" fillId="5" borderId="11" xfId="0" applyNumberFormat="1" applyFont="1" applyFill="1" applyBorder="1" applyAlignment="1">
      <alignment horizontal="right"/>
    </xf>
    <xf numFmtId="184" fontId="52" fillId="5" borderId="11" xfId="0" applyNumberFormat="1" applyFont="1" applyFill="1" applyBorder="1" applyAlignment="1">
      <alignment horizontal="right"/>
    </xf>
    <xf numFmtId="183" fontId="52" fillId="3" borderId="4" xfId="0" applyNumberFormat="1" applyFont="1" applyFill="1" applyBorder="1" applyAlignment="1">
      <alignment horizontal="right"/>
    </xf>
    <xf numFmtId="184" fontId="52" fillId="5" borderId="4" xfId="0" applyNumberFormat="1" applyFont="1" applyFill="1" applyBorder="1" applyAlignment="1">
      <alignment horizontal="right"/>
    </xf>
    <xf numFmtId="0" fontId="4" fillId="0" borderId="0" xfId="0" applyFont="1" applyFill="1" applyBorder="1" applyAlignment="1">
      <alignment horizontal="right" vertical="top"/>
    </xf>
    <xf numFmtId="1" fontId="52" fillId="3" borderId="0" xfId="0" applyNumberFormat="1" applyFont="1" applyFill="1" applyBorder="1" applyAlignment="1">
      <alignment horizontal="left" vertical="center"/>
    </xf>
    <xf numFmtId="3" fontId="52" fillId="5" borderId="11" xfId="0" applyNumberFormat="1" applyFont="1" applyFill="1" applyBorder="1" applyAlignment="1">
      <alignment horizontal="right" vertical="center"/>
    </xf>
    <xf numFmtId="3" fontId="52" fillId="3" borderId="11" xfId="0" applyNumberFormat="1" applyFont="1" applyFill="1" applyBorder="1" applyAlignment="1">
      <alignment horizontal="right" vertical="center"/>
    </xf>
    <xf numFmtId="0" fontId="72" fillId="0" borderId="0" xfId="0" applyFont="1" applyAlignment="1">
      <alignment vertical="center"/>
    </xf>
    <xf numFmtId="0" fontId="4" fillId="3" borderId="3" xfId="0" applyNumberFormat="1" applyFont="1" applyFill="1" applyBorder="1" applyAlignment="1">
      <alignment horizontal="left"/>
    </xf>
    <xf numFmtId="0" fontId="4" fillId="3" borderId="1" xfId="0" applyFont="1" applyFill="1" applyBorder="1" applyAlignment="1">
      <alignment horizontal="left" vertical="top" wrapText="1"/>
    </xf>
    <xf numFmtId="0" fontId="4" fillId="5" borderId="1" xfId="0" applyFont="1" applyFill="1" applyBorder="1" applyAlignment="1">
      <alignment horizontal="right" vertical="top" wrapText="1"/>
    </xf>
    <xf numFmtId="0" fontId="4" fillId="3" borderId="1" xfId="0" applyFont="1" applyFill="1" applyBorder="1" applyAlignment="1">
      <alignment horizontal="right" vertical="top" wrapText="1"/>
    </xf>
    <xf numFmtId="0" fontId="4" fillId="3" borderId="11" xfId="0" applyNumberFormat="1" applyFont="1" applyFill="1" applyBorder="1" applyAlignment="1">
      <alignment horizontal="left"/>
    </xf>
    <xf numFmtId="0" fontId="6" fillId="3" borderId="11" xfId="0" applyNumberFormat="1" applyFont="1" applyFill="1" applyBorder="1" applyAlignment="1">
      <alignment horizontal="left"/>
    </xf>
    <xf numFmtId="3" fontId="52" fillId="5" borderId="0" xfId="0" applyNumberFormat="1" applyFont="1" applyFill="1" applyBorder="1" applyAlignment="1">
      <alignment horizontal="right" vertical="center"/>
    </xf>
    <xf numFmtId="3" fontId="52" fillId="3" borderId="0" xfId="0" applyNumberFormat="1" applyFont="1" applyFill="1" applyBorder="1" applyAlignment="1">
      <alignment horizontal="right" vertical="center"/>
    </xf>
    <xf numFmtId="1" fontId="5" fillId="0" borderId="12" xfId="0" applyNumberFormat="1" applyFont="1" applyFill="1" applyBorder="1" applyAlignment="1">
      <alignment horizontal="left"/>
    </xf>
    <xf numFmtId="183" fontId="4" fillId="0" borderId="12" xfId="0" applyNumberFormat="1" applyFont="1" applyFill="1" applyBorder="1" applyAlignment="1">
      <alignment horizontal="right"/>
    </xf>
    <xf numFmtId="183" fontId="6" fillId="3" borderId="0" xfId="0" applyNumberFormat="1" applyFont="1" applyFill="1" applyBorder="1" applyAlignment="1">
      <alignment horizontal="right" vertical="center"/>
    </xf>
    <xf numFmtId="1" fontId="3" fillId="7" borderId="0" xfId="0" applyNumberFormat="1" applyFont="1" applyFill="1" applyBorder="1" applyAlignment="1">
      <alignment horizontal="left" vertical="center"/>
    </xf>
    <xf numFmtId="1" fontId="4" fillId="3" borderId="22" xfId="0" applyNumberFormat="1" applyFont="1" applyFill="1" applyBorder="1" applyAlignment="1">
      <alignment horizontal="left"/>
    </xf>
    <xf numFmtId="1" fontId="6" fillId="3" borderId="4" xfId="0" applyNumberFormat="1" applyFont="1" applyFill="1" applyBorder="1" applyAlignment="1">
      <alignment horizontal="left" vertical="center"/>
    </xf>
    <xf numFmtId="0" fontId="4" fillId="3" borderId="13" xfId="0" applyFont="1" applyFill="1" applyBorder="1" applyAlignment="1">
      <alignment horizontal="left" vertical="center"/>
    </xf>
    <xf numFmtId="0" fontId="4" fillId="5" borderId="13" xfId="0" applyFont="1" applyFill="1" applyBorder="1" applyAlignment="1">
      <alignment horizontal="right" vertical="center"/>
    </xf>
    <xf numFmtId="0" fontId="4" fillId="3" borderId="13" xfId="0" applyFont="1" applyFill="1" applyBorder="1" applyAlignment="1">
      <alignment vertical="center"/>
    </xf>
    <xf numFmtId="0" fontId="4" fillId="5" borderId="13" xfId="0" applyFont="1" applyFill="1" applyBorder="1" applyAlignment="1">
      <alignment vertical="center"/>
    </xf>
    <xf numFmtId="1" fontId="4" fillId="0" borderId="0" xfId="0" applyNumberFormat="1" applyFont="1" applyFill="1" applyBorder="1" applyAlignment="1">
      <alignment horizontal="left"/>
    </xf>
    <xf numFmtId="0" fontId="2" fillId="0" borderId="0" xfId="0" applyFont="1" applyFill="1" applyBorder="1"/>
    <xf numFmtId="0" fontId="4" fillId="5" borderId="13" xfId="0" applyFont="1" applyFill="1" applyBorder="1" applyAlignment="1">
      <alignment horizontal="left" vertical="center"/>
    </xf>
    <xf numFmtId="1" fontId="4" fillId="5" borderId="10" xfId="0" applyNumberFormat="1" applyFont="1" applyFill="1" applyBorder="1" applyAlignment="1">
      <alignment horizontal="left"/>
    </xf>
    <xf numFmtId="1" fontId="4" fillId="5" borderId="11" xfId="0" applyNumberFormat="1" applyFont="1" applyFill="1" applyBorder="1" applyAlignment="1">
      <alignment horizontal="left"/>
    </xf>
    <xf numFmtId="1" fontId="6" fillId="5" borderId="4" xfId="0" applyNumberFormat="1" applyFont="1" applyFill="1" applyBorder="1" applyAlignment="1">
      <alignment horizontal="left" vertical="center"/>
    </xf>
    <xf numFmtId="1" fontId="4" fillId="7" borderId="0" xfId="0" applyNumberFormat="1" applyFont="1" applyFill="1" applyBorder="1" applyAlignment="1">
      <alignment horizontal="left"/>
    </xf>
    <xf numFmtId="0" fontId="6" fillId="5" borderId="23" xfId="0" applyFont="1" applyFill="1" applyBorder="1" applyAlignment="1">
      <alignment horizontal="left"/>
    </xf>
    <xf numFmtId="0" fontId="6" fillId="5" borderId="2" xfId="0" applyFont="1" applyFill="1" applyBorder="1" applyAlignment="1">
      <alignment horizontal="left"/>
    </xf>
    <xf numFmtId="0" fontId="6" fillId="5" borderId="24" xfId="0" applyFont="1" applyFill="1" applyBorder="1" applyAlignment="1">
      <alignment horizontal="left"/>
    </xf>
    <xf numFmtId="0" fontId="4" fillId="5" borderId="25" xfId="0" applyFont="1" applyFill="1" applyBorder="1" applyAlignment="1">
      <alignment horizontal="right"/>
    </xf>
    <xf numFmtId="0" fontId="4" fillId="5" borderId="24" xfId="0" applyFont="1" applyFill="1" applyBorder="1" applyAlignment="1">
      <alignment horizontal="right" vertical="top"/>
    </xf>
    <xf numFmtId="183" fontId="4" fillId="5" borderId="26" xfId="0" applyNumberFormat="1" applyFont="1" applyFill="1" applyBorder="1" applyAlignment="1">
      <alignment horizontal="right"/>
    </xf>
    <xf numFmtId="183" fontId="4" fillId="5" borderId="27" xfId="0" applyNumberFormat="1" applyFont="1" applyFill="1" applyBorder="1" applyAlignment="1">
      <alignment horizontal="right"/>
    </xf>
    <xf numFmtId="183" fontId="6" fillId="5" borderId="28" xfId="0" applyNumberFormat="1" applyFont="1" applyFill="1" applyBorder="1" applyAlignment="1">
      <alignment horizontal="right" vertical="center"/>
    </xf>
    <xf numFmtId="0" fontId="33" fillId="7" borderId="0" xfId="0" applyFont="1" applyFill="1"/>
    <xf numFmtId="0" fontId="3" fillId="7" borderId="2" xfId="0" applyFont="1" applyFill="1" applyBorder="1" applyAlignment="1">
      <alignment vertical="top"/>
    </xf>
    <xf numFmtId="0" fontId="2" fillId="7" borderId="2" xfId="0" applyFont="1" applyFill="1" applyBorder="1" applyAlignment="1">
      <alignment horizontal="right"/>
    </xf>
    <xf numFmtId="0" fontId="6" fillId="5" borderId="0" xfId="0" applyFont="1" applyFill="1" applyBorder="1" applyAlignment="1">
      <alignment horizontal="left"/>
    </xf>
    <xf numFmtId="0" fontId="6" fillId="3" borderId="23" xfId="0" applyFont="1" applyFill="1" applyBorder="1" applyAlignment="1">
      <alignment horizontal="left"/>
    </xf>
    <xf numFmtId="0" fontId="6" fillId="3" borderId="0" xfId="0" applyFont="1" applyFill="1" applyBorder="1" applyAlignment="1">
      <alignment horizontal="center"/>
    </xf>
    <xf numFmtId="0" fontId="6" fillId="3" borderId="2" xfId="0" applyFont="1" applyFill="1" applyBorder="1" applyAlignment="1">
      <alignment horizontal="right"/>
    </xf>
    <xf numFmtId="0" fontId="6" fillId="5" borderId="2" xfId="0" applyFont="1" applyFill="1" applyBorder="1" applyAlignment="1">
      <alignment horizontal="right"/>
    </xf>
    <xf numFmtId="0" fontId="6" fillId="3" borderId="0" xfId="0" applyFont="1" applyFill="1" applyBorder="1" applyAlignment="1">
      <alignment horizontal="right" wrapText="1"/>
    </xf>
    <xf numFmtId="0" fontId="6" fillId="3" borderId="24" xfId="0" applyFont="1" applyFill="1" applyBorder="1" applyAlignment="1">
      <alignment horizontal="left"/>
    </xf>
    <xf numFmtId="0" fontId="6" fillId="5" borderId="0" xfId="0" applyFont="1" applyFill="1" applyBorder="1" applyAlignment="1">
      <alignment horizontal="right" wrapText="1"/>
    </xf>
    <xf numFmtId="0" fontId="4" fillId="3" borderId="25" xfId="0" applyFont="1" applyFill="1" applyBorder="1" applyAlignment="1">
      <alignment horizontal="right"/>
    </xf>
    <xf numFmtId="0" fontId="4" fillId="3" borderId="25" xfId="0" applyFont="1" applyFill="1" applyBorder="1" applyAlignment="1">
      <alignment horizontal="right" vertical="top"/>
    </xf>
    <xf numFmtId="0" fontId="4" fillId="3" borderId="24" xfId="0" applyFont="1" applyFill="1" applyBorder="1" applyAlignment="1">
      <alignment horizontal="right" vertical="top"/>
    </xf>
    <xf numFmtId="183" fontId="4" fillId="5" borderId="3" xfId="0" quotePrefix="1" applyNumberFormat="1" applyFont="1" applyFill="1" applyBorder="1" applyAlignment="1">
      <alignment horizontal="right"/>
    </xf>
    <xf numFmtId="183" fontId="4" fillId="3" borderId="3" xfId="0" quotePrefix="1" applyNumberFormat="1" applyFont="1" applyFill="1" applyBorder="1" applyAlignment="1">
      <alignment horizontal="right"/>
    </xf>
    <xf numFmtId="183" fontId="4" fillId="3" borderId="29" xfId="0" quotePrefix="1" applyNumberFormat="1" applyFont="1" applyFill="1" applyBorder="1" applyAlignment="1">
      <alignment horizontal="right"/>
    </xf>
    <xf numFmtId="183" fontId="52" fillId="3" borderId="10" xfId="0" quotePrefix="1" applyNumberFormat="1" applyFont="1" applyFill="1" applyBorder="1" applyAlignment="1">
      <alignment horizontal="right"/>
    </xf>
    <xf numFmtId="183" fontId="52" fillId="5" borderId="3" xfId="0" quotePrefix="1" applyNumberFormat="1" applyFont="1" applyFill="1" applyBorder="1" applyAlignment="1">
      <alignment horizontal="right"/>
    </xf>
    <xf numFmtId="183" fontId="4" fillId="3" borderId="26" xfId="0" quotePrefix="1" applyNumberFormat="1" applyFont="1" applyFill="1" applyBorder="1" applyAlignment="1">
      <alignment horizontal="right"/>
    </xf>
    <xf numFmtId="183" fontId="52" fillId="3" borderId="3" xfId="0" applyNumberFormat="1" applyFont="1" applyFill="1" applyBorder="1" applyAlignment="1">
      <alignment horizontal="right"/>
    </xf>
    <xf numFmtId="183" fontId="52" fillId="5" borderId="10" xfId="0" quotePrefix="1" applyNumberFormat="1" applyFont="1" applyFill="1" applyBorder="1" applyAlignment="1">
      <alignment horizontal="right"/>
    </xf>
    <xf numFmtId="183" fontId="52" fillId="3" borderId="3" xfId="0" quotePrefix="1" applyNumberFormat="1" applyFont="1" applyFill="1" applyBorder="1" applyAlignment="1">
      <alignment horizontal="right"/>
    </xf>
    <xf numFmtId="183" fontId="6" fillId="5" borderId="10" xfId="0" quotePrefix="1" applyNumberFormat="1" applyFont="1" applyFill="1" applyBorder="1" applyAlignment="1">
      <alignment horizontal="right" vertical="center"/>
    </xf>
    <xf numFmtId="183" fontId="6" fillId="5" borderId="3" xfId="0" quotePrefix="1" applyNumberFormat="1" applyFont="1" applyFill="1" applyBorder="1" applyAlignment="1">
      <alignment horizontal="right" vertical="center"/>
    </xf>
    <xf numFmtId="183" fontId="6" fillId="3" borderId="30" xfId="0" quotePrefix="1" applyNumberFormat="1" applyFont="1" applyFill="1" applyBorder="1" applyAlignment="1">
      <alignment horizontal="right" vertical="center"/>
    </xf>
    <xf numFmtId="183" fontId="6" fillId="3" borderId="3" xfId="0" quotePrefix="1" applyNumberFormat="1" applyFont="1" applyFill="1" applyBorder="1" applyAlignment="1">
      <alignment horizontal="right" vertical="center"/>
    </xf>
    <xf numFmtId="183" fontId="6" fillId="3" borderId="3" xfId="0" applyNumberFormat="1" applyFont="1" applyFill="1" applyBorder="1" applyAlignment="1">
      <alignment horizontal="right" vertical="center"/>
    </xf>
    <xf numFmtId="0" fontId="14" fillId="0" borderId="0" xfId="0" applyFont="1" applyAlignment="1">
      <alignment vertical="center"/>
    </xf>
    <xf numFmtId="1" fontId="75" fillId="0" borderId="0" xfId="0" applyNumberFormat="1" applyFont="1" applyFill="1" applyBorder="1" applyAlignment="1">
      <alignment horizontal="left"/>
    </xf>
    <xf numFmtId="0" fontId="6" fillId="5" borderId="25" xfId="0" applyFont="1" applyFill="1" applyBorder="1" applyAlignment="1">
      <alignment horizontal="left"/>
    </xf>
    <xf numFmtId="0" fontId="6" fillId="3" borderId="2" xfId="0" applyFont="1" applyFill="1" applyBorder="1" applyAlignment="1">
      <alignment horizontal="left"/>
    </xf>
    <xf numFmtId="0" fontId="5" fillId="5" borderId="0" xfId="0" applyFont="1" applyFill="1" applyBorder="1" applyAlignment="1">
      <alignment horizontal="right" vertical="top"/>
    </xf>
    <xf numFmtId="0" fontId="5" fillId="5" borderId="25" xfId="0" applyFont="1" applyFill="1" applyBorder="1" applyAlignment="1">
      <alignment horizontal="right" vertical="top"/>
    </xf>
    <xf numFmtId="183" fontId="4" fillId="5" borderId="29" xfId="0" quotePrefix="1" applyNumberFormat="1" applyFont="1" applyFill="1" applyBorder="1" applyAlignment="1">
      <alignment horizontal="right"/>
    </xf>
    <xf numFmtId="183" fontId="4" fillId="5" borderId="26" xfId="0" quotePrefix="1" applyNumberFormat="1" applyFont="1" applyFill="1" applyBorder="1" applyAlignment="1">
      <alignment horizontal="right"/>
    </xf>
    <xf numFmtId="0" fontId="2" fillId="7" borderId="2" xfId="0" applyFont="1" applyFill="1" applyBorder="1"/>
    <xf numFmtId="0" fontId="2" fillId="0" borderId="2" xfId="0" applyFont="1" applyFill="1" applyBorder="1"/>
    <xf numFmtId="0" fontId="0" fillId="0" borderId="2" xfId="0" applyBorder="1"/>
    <xf numFmtId="0" fontId="6" fillId="3" borderId="25" xfId="0" applyFont="1" applyFill="1" applyBorder="1" applyAlignment="1">
      <alignment horizontal="left"/>
    </xf>
    <xf numFmtId="0" fontId="6" fillId="3" borderId="25" xfId="0" applyFont="1" applyFill="1" applyBorder="1" applyAlignment="1">
      <alignment horizontal="left" vertical="top"/>
    </xf>
    <xf numFmtId="0" fontId="6" fillId="5" borderId="0" xfId="0" applyFont="1" applyFill="1" applyBorder="1" applyAlignment="1">
      <alignment horizontal="left" vertical="top"/>
    </xf>
    <xf numFmtId="0" fontId="4" fillId="3" borderId="25" xfId="0" applyFont="1" applyFill="1" applyBorder="1" applyAlignment="1">
      <alignment horizontal="left" vertical="center"/>
    </xf>
    <xf numFmtId="0" fontId="4" fillId="5" borderId="0" xfId="0" quotePrefix="1" applyFont="1" applyFill="1" applyBorder="1" applyAlignment="1">
      <alignment horizontal="right" vertical="center"/>
    </xf>
    <xf numFmtId="0" fontId="4" fillId="3" borderId="25" xfId="0" applyFont="1" applyFill="1" applyBorder="1" applyAlignment="1">
      <alignment horizontal="right" vertical="center"/>
    </xf>
    <xf numFmtId="3" fontId="4" fillId="5" borderId="22" xfId="0" applyNumberFormat="1" applyFont="1" applyFill="1" applyBorder="1" applyAlignment="1">
      <alignment horizontal="right"/>
    </xf>
    <xf numFmtId="184" fontId="4" fillId="3" borderId="31" xfId="0" applyNumberFormat="1" applyFont="1" applyFill="1" applyBorder="1" applyAlignment="1">
      <alignment horizontal="right"/>
    </xf>
    <xf numFmtId="184" fontId="4" fillId="5" borderId="22" xfId="0" applyNumberFormat="1" applyFont="1" applyFill="1" applyBorder="1" applyAlignment="1">
      <alignment horizontal="right"/>
    </xf>
    <xf numFmtId="184" fontId="4" fillId="3" borderId="22" xfId="0" applyNumberFormat="1" applyFont="1" applyFill="1" applyBorder="1" applyAlignment="1">
      <alignment horizontal="right"/>
    </xf>
    <xf numFmtId="184" fontId="6" fillId="3" borderId="32" xfId="0" applyNumberFormat="1" applyFont="1" applyFill="1" applyBorder="1" applyAlignment="1">
      <alignment horizontal="right" vertical="center"/>
    </xf>
    <xf numFmtId="184" fontId="6" fillId="5" borderId="22" xfId="0" applyNumberFormat="1" applyFont="1" applyFill="1" applyBorder="1" applyAlignment="1">
      <alignment horizontal="right" vertical="center"/>
    </xf>
    <xf numFmtId="184" fontId="6" fillId="3" borderId="22" xfId="0" applyNumberFormat="1" applyFont="1" applyFill="1" applyBorder="1" applyAlignment="1">
      <alignment horizontal="right" vertical="center"/>
    </xf>
    <xf numFmtId="3" fontId="6" fillId="5" borderId="22" xfId="0" applyNumberFormat="1" applyFont="1" applyFill="1" applyBorder="1" applyAlignment="1">
      <alignment horizontal="right" vertical="center"/>
    </xf>
    <xf numFmtId="184" fontId="6" fillId="3" borderId="33" xfId="0" applyNumberFormat="1" applyFont="1" applyFill="1" applyBorder="1" applyAlignment="1">
      <alignment horizontal="right" vertical="center"/>
    </xf>
    <xf numFmtId="0" fontId="5" fillId="0" borderId="0" xfId="0" quotePrefix="1" applyFont="1" applyAlignment="1"/>
    <xf numFmtId="0" fontId="34" fillId="2" borderId="0" xfId="0" applyFont="1" applyFill="1"/>
    <xf numFmtId="183" fontId="53" fillId="5" borderId="0" xfId="0" applyNumberFormat="1" applyFont="1" applyFill="1" applyBorder="1" applyAlignment="1">
      <alignment horizontal="right" vertical="center"/>
    </xf>
    <xf numFmtId="184" fontId="53" fillId="3" borderId="0" xfId="0" applyNumberFormat="1" applyFont="1" applyFill="1" applyBorder="1" applyAlignment="1">
      <alignment horizontal="right" vertical="center"/>
    </xf>
    <xf numFmtId="183" fontId="6" fillId="5" borderId="4" xfId="0" applyNumberFormat="1" applyFont="1" applyFill="1" applyBorder="1" applyAlignment="1">
      <alignment horizontal="right" vertical="center"/>
    </xf>
    <xf numFmtId="184" fontId="64" fillId="5" borderId="11" xfId="0" applyNumberFormat="1" applyFont="1" applyFill="1" applyBorder="1" applyAlignment="1">
      <alignment horizontal="right"/>
    </xf>
    <xf numFmtId="183" fontId="64" fillId="3" borderId="11" xfId="0" applyNumberFormat="1" applyFont="1" applyFill="1" applyBorder="1" applyAlignment="1">
      <alignment horizontal="right"/>
    </xf>
    <xf numFmtId="0" fontId="5" fillId="0" borderId="2" xfId="0" quotePrefix="1" applyFont="1" applyFill="1" applyBorder="1" applyAlignment="1">
      <alignment horizontal="center"/>
    </xf>
    <xf numFmtId="0" fontId="9" fillId="0" borderId="2" xfId="0" quotePrefix="1" applyFont="1" applyFill="1" applyBorder="1" applyAlignment="1">
      <alignment horizontal="center"/>
    </xf>
    <xf numFmtId="2" fontId="0" fillId="0" borderId="13" xfId="0" applyNumberFormat="1" applyBorder="1" applyAlignment="1">
      <alignment horizontal="center"/>
    </xf>
    <xf numFmtId="0" fontId="5" fillId="0" borderId="13" xfId="0" applyFont="1" applyFill="1" applyBorder="1" applyAlignment="1">
      <alignment horizontal="center"/>
    </xf>
    <xf numFmtId="2" fontId="9" fillId="0" borderId="2" xfId="0" applyNumberFormat="1" applyFont="1" applyBorder="1" applyAlignment="1">
      <alignment horizontal="center"/>
    </xf>
    <xf numFmtId="2" fontId="0" fillId="0" borderId="2" xfId="0" applyNumberFormat="1" applyFill="1" applyBorder="1" applyAlignment="1">
      <alignment horizontal="center"/>
    </xf>
    <xf numFmtId="2" fontId="0" fillId="0" borderId="2" xfId="0" applyNumberFormat="1" applyBorder="1" applyAlignment="1">
      <alignment horizontal="center"/>
    </xf>
    <xf numFmtId="0" fontId="0" fillId="0" borderId="2" xfId="0" applyFill="1" applyBorder="1" applyAlignment="1">
      <alignment horizontal="center"/>
    </xf>
    <xf numFmtId="0" fontId="9" fillId="0" borderId="13" xfId="0" quotePrefix="1" applyFont="1" applyFill="1" applyBorder="1" applyAlignment="1">
      <alignment horizontal="center"/>
    </xf>
    <xf numFmtId="2" fontId="9" fillId="0" borderId="13" xfId="0" applyNumberFormat="1" applyFont="1" applyBorder="1" applyAlignment="1">
      <alignment horizontal="center"/>
    </xf>
    <xf numFmtId="0" fontId="5" fillId="0" borderId="13" xfId="0" quotePrefix="1" applyFont="1" applyFill="1" applyBorder="1" applyAlignment="1">
      <alignment horizontal="center"/>
    </xf>
    <xf numFmtId="0" fontId="5" fillId="0" borderId="2" xfId="0" applyFont="1" applyFill="1" applyBorder="1" applyAlignment="1">
      <alignment horizontal="center"/>
    </xf>
    <xf numFmtId="0" fontId="9" fillId="0" borderId="2" xfId="0" applyFont="1" applyFill="1" applyBorder="1" applyAlignment="1">
      <alignment horizontal="center"/>
    </xf>
    <xf numFmtId="0" fontId="9" fillId="0" borderId="13" xfId="0" applyFont="1" applyFill="1" applyBorder="1" applyAlignment="1">
      <alignment horizontal="center"/>
    </xf>
    <xf numFmtId="2" fontId="9" fillId="0" borderId="13" xfId="0" applyNumberFormat="1" applyFont="1" applyFill="1" applyBorder="1" applyAlignment="1">
      <alignment horizontal="center"/>
    </xf>
    <xf numFmtId="2" fontId="5" fillId="0" borderId="2" xfId="0" applyNumberFormat="1" applyFont="1" applyFill="1" applyBorder="1" applyAlignment="1">
      <alignment horizontal="center"/>
    </xf>
    <xf numFmtId="2" fontId="0" fillId="0" borderId="2" xfId="0" quotePrefix="1" applyNumberFormat="1" applyFill="1" applyBorder="1" applyAlignment="1">
      <alignment horizontal="center"/>
    </xf>
    <xf numFmtId="0" fontId="9" fillId="2" borderId="13" xfId="0" applyFont="1" applyFill="1" applyBorder="1" applyAlignment="1">
      <alignment horizontal="center"/>
    </xf>
    <xf numFmtId="0" fontId="0" fillId="0" borderId="2" xfId="0" applyBorder="1" applyAlignment="1">
      <alignment horizontal="center"/>
    </xf>
    <xf numFmtId="2" fontId="0" fillId="0" borderId="2" xfId="0" quotePrefix="1" applyNumberFormat="1" applyBorder="1" applyAlignment="1">
      <alignment horizontal="center"/>
    </xf>
    <xf numFmtId="2" fontId="5" fillId="0" borderId="13" xfId="0" applyNumberFormat="1" applyFont="1" applyFill="1" applyBorder="1" applyAlignment="1">
      <alignment horizontal="center"/>
    </xf>
    <xf numFmtId="0" fontId="9" fillId="2" borderId="13" xfId="0" quotePrefix="1" applyFont="1" applyFill="1" applyBorder="1" applyAlignment="1">
      <alignment horizontal="center"/>
    </xf>
    <xf numFmtId="2" fontId="0" fillId="0" borderId="13" xfId="0" applyNumberFormat="1" applyFill="1" applyBorder="1" applyAlignment="1">
      <alignment horizontal="center"/>
    </xf>
    <xf numFmtId="2" fontId="0" fillId="0" borderId="0" xfId="0" quotePrefix="1" applyNumberFormat="1" applyFill="1" applyBorder="1" applyAlignment="1">
      <alignment horizontal="center"/>
    </xf>
    <xf numFmtId="0" fontId="48" fillId="0" borderId="0" xfId="0" applyFont="1"/>
    <xf numFmtId="0" fontId="0" fillId="0" borderId="13" xfId="0" applyFill="1" applyBorder="1" applyAlignment="1">
      <alignment horizontal="center"/>
    </xf>
    <xf numFmtId="0" fontId="5" fillId="0" borderId="0" xfId="17" applyFont="1"/>
    <xf numFmtId="0" fontId="3" fillId="0" borderId="0" xfId="17" applyFont="1"/>
    <xf numFmtId="0" fontId="76" fillId="0" borderId="0" xfId="17"/>
    <xf numFmtId="0" fontId="5" fillId="0" borderId="14" xfId="17" applyFont="1" applyBorder="1"/>
    <xf numFmtId="0" fontId="5" fillId="5" borderId="12" xfId="17" applyFont="1" applyFill="1" applyBorder="1" applyAlignment="1">
      <alignment horizontal="right"/>
    </xf>
    <xf numFmtId="0" fontId="5" fillId="3" borderId="12" xfId="17" applyFont="1" applyFill="1" applyBorder="1" applyAlignment="1">
      <alignment horizontal="right"/>
    </xf>
    <xf numFmtId="184" fontId="29" fillId="5" borderId="0" xfId="17" applyNumberFormat="1" applyFont="1" applyFill="1" applyBorder="1" applyAlignment="1">
      <alignment horizontal="center"/>
    </xf>
    <xf numFmtId="184" fontId="29" fillId="3" borderId="0" xfId="17" applyNumberFormat="1" applyFont="1" applyFill="1" applyBorder="1" applyAlignment="1">
      <alignment horizontal="center"/>
    </xf>
    <xf numFmtId="184" fontId="29" fillId="0" borderId="0" xfId="17" applyNumberFormat="1" applyFont="1" applyFill="1" applyBorder="1" applyAlignment="1">
      <alignment horizontal="center"/>
    </xf>
    <xf numFmtId="0" fontId="29" fillId="5" borderId="12" xfId="17" applyFont="1" applyFill="1" applyBorder="1" applyAlignment="1">
      <alignment horizontal="center"/>
    </xf>
    <xf numFmtId="0" fontId="29" fillId="0" borderId="12" xfId="17" applyFont="1" applyFill="1" applyBorder="1" applyAlignment="1">
      <alignment horizontal="center"/>
    </xf>
    <xf numFmtId="0" fontId="72" fillId="3" borderId="12" xfId="17" applyFont="1" applyFill="1" applyBorder="1" applyAlignment="1">
      <alignment horizontal="center"/>
    </xf>
    <xf numFmtId="0" fontId="72" fillId="5" borderId="0" xfId="17" applyFont="1" applyFill="1" applyBorder="1" applyAlignment="1">
      <alignment horizontal="left"/>
    </xf>
    <xf numFmtId="0" fontId="5" fillId="5" borderId="0" xfId="17" applyFont="1" applyFill="1" applyBorder="1" applyAlignment="1">
      <alignment horizontal="right"/>
    </xf>
    <xf numFmtId="0" fontId="9" fillId="3" borderId="0" xfId="17" applyFont="1" applyFill="1" applyBorder="1" applyAlignment="1">
      <alignment horizontal="center"/>
    </xf>
    <xf numFmtId="0" fontId="9" fillId="5" borderId="0" xfId="17" applyFont="1" applyFill="1" applyBorder="1" applyAlignment="1">
      <alignment horizontal="center"/>
    </xf>
    <xf numFmtId="0" fontId="9" fillId="0" borderId="0" xfId="17" applyFont="1" applyFill="1" applyBorder="1" applyAlignment="1">
      <alignment horizontal="center"/>
    </xf>
    <xf numFmtId="0" fontId="29" fillId="5" borderId="0" xfId="17" applyFont="1" applyFill="1" applyBorder="1" applyAlignment="1">
      <alignment horizontal="center"/>
    </xf>
    <xf numFmtId="0" fontId="29" fillId="0" borderId="0" xfId="17" applyFont="1" applyFill="1" applyBorder="1" applyAlignment="1">
      <alignment horizontal="center"/>
    </xf>
    <xf numFmtId="0" fontId="72" fillId="3" borderId="0" xfId="17" applyFont="1" applyFill="1" applyBorder="1" applyAlignment="1">
      <alignment horizontal="center"/>
    </xf>
    <xf numFmtId="0" fontId="5" fillId="3" borderId="0" xfId="17" applyFont="1" applyFill="1" applyBorder="1" applyAlignment="1">
      <alignment horizontal="center"/>
    </xf>
    <xf numFmtId="0" fontId="5" fillId="5" borderId="0" xfId="17" applyFont="1" applyFill="1" applyBorder="1" applyAlignment="1">
      <alignment horizontal="center"/>
    </xf>
    <xf numFmtId="184" fontId="29" fillId="5" borderId="0" xfId="17" applyNumberFormat="1" applyFont="1" applyFill="1" applyBorder="1" applyAlignment="1">
      <alignment horizontal="center" vertical="top"/>
    </xf>
    <xf numFmtId="184" fontId="29" fillId="3" borderId="0" xfId="17" applyNumberFormat="1" applyFont="1" applyFill="1" applyBorder="1" applyAlignment="1">
      <alignment horizontal="center" vertical="top"/>
    </xf>
    <xf numFmtId="184" fontId="29" fillId="0" borderId="0" xfId="17" applyNumberFormat="1" applyFont="1" applyFill="1" applyBorder="1" applyAlignment="1">
      <alignment horizontal="center" vertical="top"/>
    </xf>
    <xf numFmtId="0" fontId="72" fillId="5" borderId="2" xfId="17" applyFont="1" applyFill="1" applyBorder="1" applyAlignment="1">
      <alignment horizontal="left"/>
    </xf>
    <xf numFmtId="0" fontId="5" fillId="5" borderId="2" xfId="17" applyFont="1" applyFill="1" applyBorder="1"/>
    <xf numFmtId="0" fontId="5" fillId="3" borderId="2" xfId="17" applyFont="1" applyFill="1" applyBorder="1" applyAlignment="1">
      <alignment horizontal="center"/>
    </xf>
    <xf numFmtId="0" fontId="5" fillId="5" borderId="2" xfId="17" applyFont="1" applyFill="1" applyBorder="1" applyAlignment="1">
      <alignment horizontal="center"/>
    </xf>
    <xf numFmtId="184" fontId="29" fillId="5" borderId="2" xfId="17" applyNumberFormat="1" applyFont="1" applyFill="1" applyBorder="1" applyAlignment="1">
      <alignment horizontal="center" vertical="top"/>
    </xf>
    <xf numFmtId="184" fontId="29" fillId="3" borderId="2" xfId="17" applyNumberFormat="1" applyFont="1" applyFill="1" applyBorder="1" applyAlignment="1">
      <alignment horizontal="center" vertical="top"/>
    </xf>
    <xf numFmtId="184" fontId="29" fillId="0" borderId="2" xfId="17" applyNumberFormat="1" applyFont="1" applyFill="1" applyBorder="1" applyAlignment="1">
      <alignment horizontal="center" vertical="top"/>
    </xf>
    <xf numFmtId="0" fontId="29" fillId="5" borderId="2" xfId="17" applyFont="1" applyFill="1" applyBorder="1" applyAlignment="1">
      <alignment horizontal="center"/>
    </xf>
    <xf numFmtId="0" fontId="29" fillId="0" borderId="2" xfId="17" applyFont="1" applyFill="1" applyBorder="1" applyAlignment="1">
      <alignment horizontal="center"/>
    </xf>
    <xf numFmtId="0" fontId="9" fillId="5" borderId="3" xfId="17" applyFont="1" applyFill="1" applyBorder="1"/>
    <xf numFmtId="0" fontId="5" fillId="5" borderId="3" xfId="17" applyFont="1" applyFill="1" applyBorder="1"/>
    <xf numFmtId="183" fontId="5" fillId="3" borderId="3" xfId="17" applyNumberFormat="1" applyFont="1" applyFill="1" applyBorder="1" applyAlignment="1">
      <alignment horizontal="center"/>
    </xf>
    <xf numFmtId="183" fontId="5" fillId="5" borderId="3" xfId="17" applyNumberFormat="1" applyFont="1" applyFill="1" applyBorder="1" applyAlignment="1">
      <alignment horizontal="center"/>
    </xf>
    <xf numFmtId="183" fontId="5" fillId="0" borderId="3" xfId="17" applyNumberFormat="1" applyFont="1" applyFill="1" applyBorder="1" applyAlignment="1">
      <alignment horizontal="center"/>
    </xf>
    <xf numFmtId="184" fontId="5" fillId="3" borderId="3" xfId="17" applyNumberFormat="1" applyFont="1" applyFill="1" applyBorder="1" applyAlignment="1">
      <alignment horizontal="center"/>
    </xf>
    <xf numFmtId="184" fontId="5" fillId="5" borderId="3" xfId="17" applyNumberFormat="1" applyFont="1" applyFill="1" applyBorder="1" applyAlignment="1">
      <alignment horizontal="center"/>
    </xf>
    <xf numFmtId="184" fontId="5" fillId="0" borderId="3" xfId="17" applyNumberFormat="1" applyFont="1" applyFill="1" applyBorder="1" applyAlignment="1">
      <alignment horizontal="center"/>
    </xf>
    <xf numFmtId="0" fontId="5" fillId="5" borderId="11" xfId="17" applyFont="1" applyFill="1" applyBorder="1"/>
    <xf numFmtId="0" fontId="29" fillId="5" borderId="11" xfId="17" applyFont="1" applyFill="1" applyBorder="1"/>
    <xf numFmtId="183" fontId="29" fillId="3" borderId="11" xfId="17" applyNumberFormat="1" applyFont="1" applyFill="1" applyBorder="1" applyAlignment="1">
      <alignment horizontal="right"/>
    </xf>
    <xf numFmtId="183" fontId="29" fillId="5" borderId="11" xfId="17" applyNumberFormat="1" applyFont="1" applyFill="1" applyBorder="1" applyAlignment="1">
      <alignment horizontal="right"/>
    </xf>
    <xf numFmtId="183" fontId="29" fillId="0" borderId="11" xfId="17" applyNumberFormat="1" applyFont="1" applyFill="1" applyBorder="1" applyAlignment="1">
      <alignment horizontal="right"/>
    </xf>
    <xf numFmtId="184" fontId="29" fillId="3" borderId="11" xfId="17" applyNumberFormat="1" applyFont="1" applyFill="1" applyBorder="1" applyAlignment="1">
      <alignment horizontal="right"/>
    </xf>
    <xf numFmtId="184" fontId="29" fillId="5" borderId="11" xfId="17" applyNumberFormat="1" applyFont="1" applyFill="1" applyBorder="1" applyAlignment="1">
      <alignment horizontal="right"/>
    </xf>
    <xf numFmtId="184" fontId="29" fillId="0" borderId="11" xfId="17" applyNumberFormat="1" applyFont="1" applyFill="1" applyBorder="1" applyAlignment="1">
      <alignment horizontal="right"/>
    </xf>
    <xf numFmtId="183" fontId="5" fillId="3" borderId="11" xfId="17" applyNumberFormat="1" applyFont="1" applyFill="1" applyBorder="1"/>
    <xf numFmtId="183" fontId="5" fillId="5" borderId="11" xfId="17" applyNumberFormat="1" applyFont="1" applyFill="1" applyBorder="1"/>
    <xf numFmtId="183" fontId="5" fillId="0" borderId="11" xfId="17" applyNumberFormat="1" applyFont="1" applyFill="1" applyBorder="1"/>
    <xf numFmtId="184" fontId="5" fillId="3" borderId="11" xfId="17" applyNumberFormat="1" applyFont="1" applyFill="1" applyBorder="1"/>
    <xf numFmtId="184" fontId="5" fillId="5" borderId="11" xfId="17" applyNumberFormat="1" applyFont="1" applyFill="1" applyBorder="1"/>
    <xf numFmtId="184" fontId="5" fillId="0" borderId="11" xfId="17" applyNumberFormat="1" applyFont="1" applyFill="1" applyBorder="1"/>
    <xf numFmtId="3" fontId="33" fillId="3" borderId="11" xfId="17" applyNumberFormat="1" applyFont="1" applyFill="1" applyBorder="1"/>
    <xf numFmtId="0" fontId="9" fillId="5" borderId="11" xfId="17" applyFont="1" applyFill="1" applyBorder="1"/>
    <xf numFmtId="183" fontId="5" fillId="3" borderId="11" xfId="17" applyNumberFormat="1" applyFont="1" applyFill="1" applyBorder="1" applyAlignment="1">
      <alignment horizontal="center"/>
    </xf>
    <xf numFmtId="183" fontId="5" fillId="5" borderId="11" xfId="17" applyNumberFormat="1" applyFont="1" applyFill="1" applyBorder="1" applyAlignment="1">
      <alignment horizontal="center"/>
    </xf>
    <xf numFmtId="184" fontId="5" fillId="0" borderId="11" xfId="17" applyNumberFormat="1" applyFont="1" applyFill="1" applyBorder="1" applyAlignment="1">
      <alignment horizontal="center"/>
    </xf>
    <xf numFmtId="184" fontId="5" fillId="3" borderId="11" xfId="17" applyNumberFormat="1" applyFont="1" applyFill="1" applyBorder="1" applyAlignment="1">
      <alignment horizontal="center"/>
    </xf>
    <xf numFmtId="184" fontId="5" fillId="5" borderId="11" xfId="17" applyNumberFormat="1" applyFont="1" applyFill="1" applyBorder="1" applyAlignment="1">
      <alignment horizontal="center"/>
    </xf>
    <xf numFmtId="3" fontId="33" fillId="0" borderId="11" xfId="17" applyNumberFormat="1" applyFont="1" applyFill="1" applyBorder="1" applyAlignment="1">
      <alignment horizontal="center"/>
    </xf>
    <xf numFmtId="0" fontId="76" fillId="0" borderId="0" xfId="17" applyFill="1"/>
    <xf numFmtId="0" fontId="5" fillId="3" borderId="11" xfId="17" applyFont="1" applyFill="1" applyBorder="1"/>
    <xf numFmtId="0" fontId="5" fillId="0" borderId="11" xfId="17" applyFont="1" applyFill="1" applyBorder="1"/>
    <xf numFmtId="183" fontId="5" fillId="0" borderId="11" xfId="17" applyNumberFormat="1" applyFont="1" applyFill="1" applyBorder="1" applyAlignment="1">
      <alignment horizontal="center"/>
    </xf>
    <xf numFmtId="3" fontId="33" fillId="3" borderId="11" xfId="17" applyNumberFormat="1" applyFont="1" applyFill="1" applyBorder="1" applyAlignment="1">
      <alignment horizontal="center"/>
    </xf>
    <xf numFmtId="3" fontId="48" fillId="3" borderId="11" xfId="17" applyNumberFormat="1" applyFont="1" applyFill="1" applyBorder="1" applyAlignment="1">
      <alignment horizontal="right"/>
    </xf>
    <xf numFmtId="183" fontId="9" fillId="3" borderId="11" xfId="17" applyNumberFormat="1" applyFont="1" applyFill="1" applyBorder="1"/>
    <xf numFmtId="183" fontId="9" fillId="5" borderId="11" xfId="17" applyNumberFormat="1" applyFont="1" applyFill="1" applyBorder="1"/>
    <xf numFmtId="183" fontId="9" fillId="0" borderId="11" xfId="17" applyNumberFormat="1" applyFont="1" applyFill="1" applyBorder="1"/>
    <xf numFmtId="184" fontId="9" fillId="3" borderId="11" xfId="17" applyNumberFormat="1" applyFont="1" applyFill="1" applyBorder="1"/>
    <xf numFmtId="184" fontId="9" fillId="5" borderId="11" xfId="17" applyNumberFormat="1" applyFont="1" applyFill="1" applyBorder="1"/>
    <xf numFmtId="184" fontId="9" fillId="0" borderId="11" xfId="17" applyNumberFormat="1" applyFont="1" applyFill="1" applyBorder="1"/>
    <xf numFmtId="3" fontId="72" fillId="3" borderId="11" xfId="17" applyNumberFormat="1" applyFont="1" applyFill="1" applyBorder="1"/>
    <xf numFmtId="183" fontId="9" fillId="3" borderId="11" xfId="17" applyNumberFormat="1" applyFont="1" applyFill="1" applyBorder="1" applyAlignment="1">
      <alignment horizontal="left"/>
    </xf>
    <xf numFmtId="183" fontId="9" fillId="5" borderId="11" xfId="17" applyNumberFormat="1" applyFont="1" applyFill="1" applyBorder="1" applyAlignment="1">
      <alignment horizontal="left"/>
    </xf>
    <xf numFmtId="183" fontId="9" fillId="0" borderId="11" xfId="17" applyNumberFormat="1" applyFont="1" applyFill="1" applyBorder="1" applyAlignment="1">
      <alignment horizontal="left"/>
    </xf>
    <xf numFmtId="184" fontId="9" fillId="3" borderId="11" xfId="17" applyNumberFormat="1" applyFont="1" applyFill="1" applyBorder="1" applyAlignment="1">
      <alignment horizontal="left"/>
    </xf>
    <xf numFmtId="184" fontId="9" fillId="5" borderId="11" xfId="17" applyNumberFormat="1" applyFont="1" applyFill="1" applyBorder="1" applyAlignment="1">
      <alignment horizontal="left"/>
    </xf>
    <xf numFmtId="184" fontId="9" fillId="0" borderId="11" xfId="17" applyNumberFormat="1" applyFont="1" applyFill="1" applyBorder="1" applyAlignment="1">
      <alignment horizontal="left"/>
    </xf>
    <xf numFmtId="3" fontId="72" fillId="3" borderId="11" xfId="17" applyNumberFormat="1" applyFont="1" applyFill="1" applyBorder="1" applyAlignment="1">
      <alignment horizontal="left"/>
    </xf>
    <xf numFmtId="183" fontId="39" fillId="3" borderId="11" xfId="17" applyNumberFormat="1" applyFont="1" applyFill="1" applyBorder="1" applyAlignment="1">
      <alignment horizontal="center"/>
    </xf>
    <xf numFmtId="183" fontId="39" fillId="5" borderId="11" xfId="17" applyNumberFormat="1" applyFont="1" applyFill="1" applyBorder="1" applyAlignment="1">
      <alignment horizontal="center"/>
    </xf>
    <xf numFmtId="183" fontId="39" fillId="0" borderId="11" xfId="17" applyNumberFormat="1" applyFont="1" applyFill="1" applyBorder="1" applyAlignment="1">
      <alignment horizontal="center"/>
    </xf>
    <xf numFmtId="184" fontId="39" fillId="3" borderId="11" xfId="17" applyNumberFormat="1" applyFont="1" applyFill="1" applyBorder="1" applyAlignment="1">
      <alignment horizontal="center"/>
    </xf>
    <xf numFmtId="184" fontId="39" fillId="5" borderId="11" xfId="17" applyNumberFormat="1" applyFont="1" applyFill="1" applyBorder="1" applyAlignment="1">
      <alignment horizontal="center"/>
    </xf>
    <xf numFmtId="184" fontId="39" fillId="0" borderId="11" xfId="17" applyNumberFormat="1" applyFont="1" applyFill="1" applyBorder="1" applyAlignment="1">
      <alignment horizontal="center"/>
    </xf>
    <xf numFmtId="3" fontId="49" fillId="3" borderId="11" xfId="17" applyNumberFormat="1" applyFont="1" applyFill="1" applyBorder="1" applyAlignment="1">
      <alignment horizontal="center"/>
    </xf>
    <xf numFmtId="0" fontId="5" fillId="5" borderId="15" xfId="17" applyFont="1" applyFill="1" applyBorder="1"/>
    <xf numFmtId="0" fontId="29" fillId="5" borderId="15" xfId="17" applyFont="1" applyFill="1" applyBorder="1"/>
    <xf numFmtId="183" fontId="39" fillId="3" borderId="15" xfId="17" applyNumberFormat="1" applyFont="1" applyFill="1" applyBorder="1" applyAlignment="1">
      <alignment horizontal="center"/>
    </xf>
    <xf numFmtId="183" fontId="39" fillId="5" borderId="15" xfId="17" applyNumberFormat="1" applyFont="1" applyFill="1" applyBorder="1" applyAlignment="1">
      <alignment horizontal="center"/>
    </xf>
    <xf numFmtId="183" fontId="39" fillId="0" borderId="15" xfId="17" applyNumberFormat="1" applyFont="1" applyFill="1" applyBorder="1" applyAlignment="1">
      <alignment horizontal="center"/>
    </xf>
    <xf numFmtId="184" fontId="39" fillId="3" borderId="15" xfId="17" applyNumberFormat="1" applyFont="1" applyFill="1" applyBorder="1" applyAlignment="1">
      <alignment horizontal="center"/>
    </xf>
    <xf numFmtId="184" fontId="39" fillId="5" borderId="15" xfId="17" applyNumberFormat="1" applyFont="1" applyFill="1" applyBorder="1" applyAlignment="1">
      <alignment horizontal="center"/>
    </xf>
    <xf numFmtId="184" fontId="39" fillId="0" borderId="15" xfId="17" applyNumberFormat="1" applyFont="1" applyFill="1" applyBorder="1" applyAlignment="1">
      <alignment horizontal="center"/>
    </xf>
    <xf numFmtId="3" fontId="49" fillId="3" borderId="15" xfId="17" applyNumberFormat="1" applyFont="1" applyFill="1" applyBorder="1" applyAlignment="1">
      <alignment horizontal="center"/>
    </xf>
    <xf numFmtId="0" fontId="5" fillId="0" borderId="2" xfId="17" applyFont="1" applyBorder="1"/>
    <xf numFmtId="0" fontId="29" fillId="0" borderId="2" xfId="17" applyFont="1" applyBorder="1"/>
    <xf numFmtId="183" fontId="29" fillId="0" borderId="2" xfId="17" applyNumberFormat="1" applyFont="1" applyBorder="1" applyAlignment="1">
      <alignment horizontal="right"/>
    </xf>
    <xf numFmtId="183" fontId="29" fillId="0" borderId="2" xfId="17" applyNumberFormat="1" applyFont="1" applyFill="1" applyBorder="1" applyAlignment="1">
      <alignment horizontal="right"/>
    </xf>
    <xf numFmtId="184" fontId="29" fillId="0" borderId="2" xfId="17" applyNumberFormat="1" applyFont="1" applyFill="1" applyBorder="1" applyAlignment="1">
      <alignment horizontal="right"/>
    </xf>
    <xf numFmtId="184" fontId="29" fillId="0" borderId="2" xfId="17" applyNumberFormat="1" applyFont="1" applyBorder="1" applyAlignment="1">
      <alignment horizontal="right"/>
    </xf>
    <xf numFmtId="3" fontId="48" fillId="0" borderId="2" xfId="17" applyNumberFormat="1" applyFont="1" applyBorder="1" applyAlignment="1">
      <alignment horizontal="right"/>
    </xf>
    <xf numFmtId="0" fontId="5" fillId="0" borderId="0" xfId="17" applyFont="1" applyBorder="1"/>
    <xf numFmtId="0" fontId="29" fillId="0" borderId="0" xfId="17" applyFont="1" applyBorder="1"/>
    <xf numFmtId="183" fontId="29" fillId="0" borderId="0" xfId="17" applyNumberFormat="1" applyFont="1" applyBorder="1" applyAlignment="1">
      <alignment horizontal="right"/>
    </xf>
    <xf numFmtId="183" fontId="29" fillId="0" borderId="0" xfId="17" applyNumberFormat="1" applyFont="1" applyFill="1" applyBorder="1" applyAlignment="1">
      <alignment horizontal="right"/>
    </xf>
    <xf numFmtId="184" fontId="29" fillId="0" borderId="0" xfId="17" applyNumberFormat="1" applyFont="1" applyFill="1" applyBorder="1" applyAlignment="1">
      <alignment horizontal="right"/>
    </xf>
    <xf numFmtId="184" fontId="29" fillId="0" borderId="0" xfId="17" applyNumberFormat="1" applyFont="1" applyBorder="1" applyAlignment="1">
      <alignment horizontal="right"/>
    </xf>
    <xf numFmtId="3" fontId="48" fillId="0" borderId="0" xfId="17" applyNumberFormat="1" applyFont="1" applyBorder="1" applyAlignment="1">
      <alignment horizontal="right"/>
    </xf>
    <xf numFmtId="3" fontId="29" fillId="3" borderId="11" xfId="17" applyNumberFormat="1" applyFont="1" applyFill="1" applyBorder="1" applyAlignment="1">
      <alignment horizontal="right"/>
    </xf>
    <xf numFmtId="0" fontId="5" fillId="6" borderId="0" xfId="17" applyFont="1" applyFill="1"/>
    <xf numFmtId="3" fontId="5" fillId="3" borderId="11" xfId="17" applyNumberFormat="1" applyFont="1" applyFill="1" applyBorder="1"/>
    <xf numFmtId="183" fontId="5" fillId="3" borderId="11" xfId="17" applyNumberFormat="1" applyFont="1" applyFill="1" applyBorder="1" applyAlignment="1">
      <alignment horizontal="left"/>
    </xf>
    <xf numFmtId="183" fontId="29" fillId="3" borderId="11" xfId="17" applyNumberFormat="1" applyFont="1" applyFill="1" applyBorder="1" applyAlignment="1">
      <alignment horizontal="center"/>
    </xf>
    <xf numFmtId="183" fontId="29" fillId="3" borderId="15" xfId="17" applyNumberFormat="1" applyFont="1" applyFill="1" applyBorder="1" applyAlignment="1">
      <alignment horizontal="center"/>
    </xf>
    <xf numFmtId="0" fontId="5" fillId="0" borderId="0" xfId="17" applyFont="1" applyFill="1"/>
    <xf numFmtId="3" fontId="48" fillId="0" borderId="2" xfId="17" applyNumberFormat="1" applyFont="1" applyFill="1" applyBorder="1" applyAlignment="1">
      <alignment horizontal="right"/>
    </xf>
    <xf numFmtId="183" fontId="5" fillId="0" borderId="0" xfId="17" applyNumberFormat="1" applyFont="1" applyBorder="1"/>
    <xf numFmtId="183" fontId="5" fillId="0" borderId="0" xfId="17" applyNumberFormat="1" applyFont="1" applyFill="1" applyBorder="1"/>
    <xf numFmtId="184" fontId="5" fillId="0" borderId="0" xfId="17" applyNumberFormat="1" applyFont="1" applyFill="1" applyBorder="1"/>
    <xf numFmtId="184" fontId="5" fillId="0" borderId="0" xfId="17" applyNumberFormat="1" applyFont="1" applyBorder="1"/>
    <xf numFmtId="3" fontId="33" fillId="0" borderId="0" xfId="17" applyNumberFormat="1" applyFont="1" applyBorder="1"/>
    <xf numFmtId="183" fontId="9" fillId="3" borderId="3" xfId="17" applyNumberFormat="1" applyFont="1" applyFill="1" applyBorder="1" applyAlignment="1">
      <alignment horizontal="left"/>
    </xf>
    <xf numFmtId="183" fontId="9" fillId="5" borderId="3" xfId="17" applyNumberFormat="1" applyFont="1" applyFill="1" applyBorder="1" applyAlignment="1">
      <alignment horizontal="left"/>
    </xf>
    <xf numFmtId="183" fontId="9" fillId="0" borderId="3" xfId="17" applyNumberFormat="1" applyFont="1" applyFill="1" applyBorder="1" applyAlignment="1">
      <alignment horizontal="left"/>
    </xf>
    <xf numFmtId="184" fontId="9" fillId="3" borderId="3" xfId="17" applyNumberFormat="1" applyFont="1" applyFill="1" applyBorder="1" applyAlignment="1">
      <alignment horizontal="left"/>
    </xf>
    <xf numFmtId="184" fontId="9" fillId="5" borderId="3" xfId="17" applyNumberFormat="1" applyFont="1" applyFill="1" applyBorder="1" applyAlignment="1">
      <alignment horizontal="left"/>
    </xf>
    <xf numFmtId="184" fontId="9" fillId="0" borderId="3" xfId="17" applyNumberFormat="1" applyFont="1" applyFill="1" applyBorder="1" applyAlignment="1">
      <alignment horizontal="left"/>
    </xf>
    <xf numFmtId="3" fontId="72" fillId="3" borderId="3" xfId="17" applyNumberFormat="1" applyFont="1" applyFill="1" applyBorder="1" applyAlignment="1">
      <alignment horizontal="left"/>
    </xf>
    <xf numFmtId="183" fontId="5" fillId="3" borderId="15" xfId="17" applyNumberFormat="1" applyFont="1" applyFill="1" applyBorder="1" applyAlignment="1">
      <alignment horizontal="center"/>
    </xf>
    <xf numFmtId="183" fontId="5" fillId="5" borderId="15" xfId="17" applyNumberFormat="1" applyFont="1" applyFill="1" applyBorder="1" applyAlignment="1">
      <alignment horizontal="center"/>
    </xf>
    <xf numFmtId="183" fontId="5" fillId="0" borderId="15" xfId="17" applyNumberFormat="1" applyFont="1" applyFill="1" applyBorder="1" applyAlignment="1">
      <alignment horizontal="center"/>
    </xf>
    <xf numFmtId="184" fontId="5" fillId="3" borderId="15" xfId="17" applyNumberFormat="1" applyFont="1" applyFill="1" applyBorder="1" applyAlignment="1">
      <alignment horizontal="center"/>
    </xf>
    <xf numFmtId="184" fontId="5" fillId="5" borderId="15" xfId="17" applyNumberFormat="1" applyFont="1" applyFill="1" applyBorder="1" applyAlignment="1">
      <alignment horizontal="center"/>
    </xf>
    <xf numFmtId="184" fontId="5" fillId="0" borderId="15" xfId="17" applyNumberFormat="1" applyFont="1" applyFill="1" applyBorder="1" applyAlignment="1">
      <alignment horizontal="center"/>
    </xf>
    <xf numFmtId="3" fontId="33" fillId="3" borderId="15" xfId="17" applyNumberFormat="1" applyFont="1" applyFill="1" applyBorder="1" applyAlignment="1">
      <alignment horizontal="center"/>
    </xf>
    <xf numFmtId="183" fontId="5" fillId="0" borderId="14" xfId="17" applyNumberFormat="1" applyFont="1" applyBorder="1"/>
    <xf numFmtId="183" fontId="5" fillId="0" borderId="14" xfId="17" applyNumberFormat="1" applyFont="1" applyFill="1" applyBorder="1"/>
    <xf numFmtId="0" fontId="19" fillId="0" borderId="0" xfId="17" applyFont="1" applyBorder="1"/>
    <xf numFmtId="0" fontId="80" fillId="0" borderId="0" xfId="17" applyFont="1"/>
    <xf numFmtId="0" fontId="81" fillId="0" borderId="0" xfId="17" applyFont="1" applyFill="1"/>
    <xf numFmtId="49" fontId="5" fillId="0" borderId="0" xfId="17" applyNumberFormat="1" applyFont="1" applyBorder="1"/>
    <xf numFmtId="0" fontId="19" fillId="0" borderId="0" xfId="17" applyFont="1"/>
    <xf numFmtId="0" fontId="5" fillId="0" borderId="0" xfId="17" applyFont="1" applyFill="1" applyBorder="1"/>
    <xf numFmtId="0" fontId="80" fillId="0" borderId="0" xfId="17" applyFont="1" applyFill="1"/>
    <xf numFmtId="0" fontId="62" fillId="0" borderId="0" xfId="17" applyFont="1"/>
    <xf numFmtId="0" fontId="3" fillId="0" borderId="0" xfId="16" applyFont="1"/>
    <xf numFmtId="0" fontId="5" fillId="0" borderId="0" xfId="16" applyFont="1"/>
    <xf numFmtId="0" fontId="76" fillId="0" borderId="0" xfId="16"/>
    <xf numFmtId="0" fontId="82" fillId="0" borderId="0" xfId="16" applyFont="1"/>
    <xf numFmtId="0" fontId="5" fillId="0" borderId="14" xfId="16" applyFont="1" applyBorder="1"/>
    <xf numFmtId="0" fontId="5" fillId="5" borderId="0" xfId="16" applyFont="1" applyFill="1" applyAlignment="1">
      <alignment horizontal="right"/>
    </xf>
    <xf numFmtId="0" fontId="5" fillId="3" borderId="0" xfId="16" applyFont="1" applyFill="1" applyAlignment="1">
      <alignment horizontal="right"/>
    </xf>
    <xf numFmtId="0" fontId="5" fillId="0" borderId="0" xfId="16" applyFont="1" applyFill="1" applyAlignment="1">
      <alignment horizontal="right"/>
    </xf>
    <xf numFmtId="184" fontId="29" fillId="3" borderId="0" xfId="16" applyNumberFormat="1" applyFont="1" applyFill="1" applyBorder="1" applyAlignment="1">
      <alignment horizontal="center"/>
    </xf>
    <xf numFmtId="184" fontId="29" fillId="5" borderId="0" xfId="16" applyNumberFormat="1" applyFont="1" applyFill="1" applyBorder="1" applyAlignment="1">
      <alignment horizontal="center"/>
    </xf>
    <xf numFmtId="184" fontId="29" fillId="0" borderId="0" xfId="16" applyNumberFormat="1" applyFont="1" applyFill="1" applyBorder="1" applyAlignment="1">
      <alignment horizontal="center"/>
    </xf>
    <xf numFmtId="2" fontId="76" fillId="0" borderId="0" xfId="16" applyNumberFormat="1"/>
    <xf numFmtId="183" fontId="76" fillId="0" borderId="0" xfId="16" applyNumberFormat="1" applyAlignment="1">
      <alignment horizontal="right"/>
    </xf>
    <xf numFmtId="0" fontId="76" fillId="0" borderId="0" xfId="16" applyAlignment="1">
      <alignment horizontal="right"/>
    </xf>
    <xf numFmtId="2" fontId="76" fillId="0" borderId="0" xfId="16" applyNumberFormat="1" applyAlignment="1">
      <alignment horizontal="right"/>
    </xf>
    <xf numFmtId="0" fontId="72" fillId="5" borderId="0" xfId="16" applyFont="1" applyFill="1" applyBorder="1" applyAlignment="1">
      <alignment horizontal="left"/>
    </xf>
    <xf numFmtId="0" fontId="5" fillId="5" borderId="0" xfId="16" applyFont="1" applyFill="1" applyBorder="1" applyAlignment="1">
      <alignment horizontal="right"/>
    </xf>
    <xf numFmtId="0" fontId="9" fillId="3" borderId="0" xfId="16" applyFont="1" applyFill="1" applyAlignment="1">
      <alignment horizontal="center"/>
    </xf>
    <xf numFmtId="0" fontId="9" fillId="5" borderId="0" xfId="16" applyFont="1" applyFill="1" applyAlignment="1">
      <alignment horizontal="center"/>
    </xf>
    <xf numFmtId="0" fontId="9" fillId="0" borderId="0" xfId="16" applyFont="1" applyFill="1" applyAlignment="1">
      <alignment horizontal="center"/>
    </xf>
    <xf numFmtId="0" fontId="72" fillId="3" borderId="0" xfId="16" applyFont="1" applyFill="1" applyAlignment="1">
      <alignment horizontal="center"/>
    </xf>
    <xf numFmtId="183" fontId="76" fillId="0" borderId="0" xfId="16" applyNumberFormat="1"/>
    <xf numFmtId="0" fontId="5" fillId="5" borderId="0" xfId="16" applyFont="1" applyFill="1" applyBorder="1"/>
    <xf numFmtId="0" fontId="5" fillId="3" borderId="0" xfId="16" applyFont="1" applyFill="1" applyAlignment="1">
      <alignment horizontal="center"/>
    </xf>
    <xf numFmtId="0" fontId="5" fillId="5" borderId="0" xfId="16" applyFont="1" applyFill="1" applyAlignment="1">
      <alignment horizontal="center"/>
    </xf>
    <xf numFmtId="0" fontId="5" fillId="0" borderId="0" xfId="16" applyFont="1" applyFill="1" applyAlignment="1">
      <alignment horizontal="center"/>
    </xf>
    <xf numFmtId="0" fontId="9" fillId="5" borderId="0" xfId="16" applyFont="1" applyFill="1" applyBorder="1"/>
    <xf numFmtId="0" fontId="5" fillId="3" borderId="0" xfId="16" applyFont="1" applyFill="1" applyBorder="1" applyAlignment="1">
      <alignment horizontal="center"/>
    </xf>
    <xf numFmtId="0" fontId="5" fillId="5" borderId="0" xfId="16" applyFont="1" applyFill="1" applyBorder="1" applyAlignment="1">
      <alignment horizontal="center"/>
    </xf>
    <xf numFmtId="0" fontId="5" fillId="0" borderId="0" xfId="16" applyFont="1" applyFill="1" applyBorder="1" applyAlignment="1">
      <alignment horizontal="center"/>
    </xf>
    <xf numFmtId="184" fontId="29" fillId="3" borderId="0" xfId="16" applyNumberFormat="1" applyFont="1" applyFill="1" applyBorder="1" applyAlignment="1">
      <alignment horizontal="center" vertical="top"/>
    </xf>
    <xf numFmtId="184" fontId="29" fillId="5" borderId="0" xfId="16" applyNumberFormat="1" applyFont="1" applyFill="1" applyBorder="1" applyAlignment="1">
      <alignment horizontal="center" vertical="top"/>
    </xf>
    <xf numFmtId="184" fontId="29" fillId="0" borderId="0" xfId="16" applyNumberFormat="1" applyFont="1" applyFill="1" applyBorder="1" applyAlignment="1">
      <alignment horizontal="center" vertical="top"/>
    </xf>
    <xf numFmtId="183" fontId="82" fillId="0" borderId="0" xfId="16" applyNumberFormat="1" applyFont="1"/>
    <xf numFmtId="0" fontId="9" fillId="5" borderId="2" xfId="16" applyFont="1" applyFill="1" applyBorder="1"/>
    <xf numFmtId="0" fontId="5" fillId="5" borderId="2" xfId="16" applyFont="1" applyFill="1" applyBorder="1"/>
    <xf numFmtId="0" fontId="5" fillId="3" borderId="2" xfId="16" applyFont="1" applyFill="1" applyBorder="1"/>
    <xf numFmtId="0" fontId="5" fillId="0" borderId="2" xfId="16" applyFont="1" applyFill="1" applyBorder="1"/>
    <xf numFmtId="0" fontId="29" fillId="5" borderId="2" xfId="16" applyFont="1" applyFill="1" applyBorder="1" applyAlignment="1">
      <alignment horizontal="center"/>
    </xf>
    <xf numFmtId="0" fontId="29" fillId="0" borderId="2" xfId="16" applyFont="1" applyFill="1" applyBorder="1" applyAlignment="1">
      <alignment horizontal="center"/>
    </xf>
    <xf numFmtId="0" fontId="9" fillId="5" borderId="10" xfId="16" applyFont="1" applyFill="1" applyBorder="1"/>
    <xf numFmtId="0" fontId="5" fillId="5" borderId="10" xfId="16" applyFont="1" applyFill="1" applyBorder="1"/>
    <xf numFmtId="183" fontId="9" fillId="3" borderId="3" xfId="16" applyNumberFormat="1" applyFont="1" applyFill="1" applyBorder="1" applyAlignment="1">
      <alignment horizontal="left"/>
    </xf>
    <xf numFmtId="183" fontId="9" fillId="5" borderId="3" xfId="16" applyNumberFormat="1" applyFont="1" applyFill="1" applyBorder="1" applyAlignment="1">
      <alignment horizontal="left"/>
    </xf>
    <xf numFmtId="183" fontId="9" fillId="0" borderId="3" xfId="16" applyNumberFormat="1" applyFont="1" applyFill="1" applyBorder="1" applyAlignment="1">
      <alignment horizontal="left"/>
    </xf>
    <xf numFmtId="184" fontId="9" fillId="3" borderId="3" xfId="16" applyNumberFormat="1" applyFont="1" applyFill="1" applyBorder="1" applyAlignment="1">
      <alignment horizontal="left"/>
    </xf>
    <xf numFmtId="184" fontId="9" fillId="5" borderId="3" xfId="16" applyNumberFormat="1" applyFont="1" applyFill="1" applyBorder="1" applyAlignment="1">
      <alignment horizontal="left"/>
    </xf>
    <xf numFmtId="184" fontId="9" fillId="0" borderId="3" xfId="16" applyNumberFormat="1" applyFont="1" applyFill="1" applyBorder="1" applyAlignment="1">
      <alignment horizontal="left"/>
    </xf>
    <xf numFmtId="3" fontId="72" fillId="3" borderId="3" xfId="16" applyNumberFormat="1" applyFont="1" applyFill="1" applyBorder="1" applyAlignment="1">
      <alignment horizontal="left"/>
    </xf>
    <xf numFmtId="0" fontId="5" fillId="5" borderId="11" xfId="16" applyFont="1" applyFill="1" applyBorder="1"/>
    <xf numFmtId="0" fontId="84" fillId="5" borderId="11" xfId="16" applyFont="1" applyFill="1" applyBorder="1"/>
    <xf numFmtId="183" fontId="5" fillId="3" borderId="11" xfId="16" applyNumberFormat="1" applyFont="1" applyFill="1" applyBorder="1"/>
    <xf numFmtId="183" fontId="5" fillId="5" borderId="11" xfId="16" applyNumberFormat="1" applyFont="1" applyFill="1" applyBorder="1"/>
    <xf numFmtId="183" fontId="5" fillId="0" borderId="11" xfId="16" applyNumberFormat="1" applyFont="1" applyFill="1" applyBorder="1"/>
    <xf numFmtId="184" fontId="5" fillId="3" borderId="11" xfId="16" applyNumberFormat="1" applyFont="1" applyFill="1" applyBorder="1"/>
    <xf numFmtId="184" fontId="5" fillId="5" borderId="11" xfId="16" applyNumberFormat="1" applyFont="1" applyFill="1" applyBorder="1"/>
    <xf numFmtId="184" fontId="5" fillId="0" borderId="11" xfId="16" applyNumberFormat="1" applyFont="1" applyFill="1" applyBorder="1"/>
    <xf numFmtId="3" fontId="33" fillId="3" borderId="11" xfId="16" applyNumberFormat="1" applyFont="1" applyFill="1" applyBorder="1"/>
    <xf numFmtId="0" fontId="77" fillId="0" borderId="0" xfId="16" applyFont="1"/>
    <xf numFmtId="0" fontId="9" fillId="5" borderId="11" xfId="16" applyFont="1" applyFill="1" applyBorder="1"/>
    <xf numFmtId="183" fontId="9" fillId="3" borderId="11" xfId="16" applyNumberFormat="1" applyFont="1" applyFill="1" applyBorder="1" applyAlignment="1">
      <alignment horizontal="left"/>
    </xf>
    <xf numFmtId="183" fontId="9" fillId="5" borderId="11" xfId="16" applyNumberFormat="1" applyFont="1" applyFill="1" applyBorder="1" applyAlignment="1">
      <alignment horizontal="left"/>
    </xf>
    <xf numFmtId="183" fontId="9" fillId="0" borderId="11" xfId="16" applyNumberFormat="1" applyFont="1" applyFill="1" applyBorder="1" applyAlignment="1">
      <alignment horizontal="left"/>
    </xf>
    <xf numFmtId="184" fontId="9" fillId="3" borderId="11" xfId="16" applyNumberFormat="1" applyFont="1" applyFill="1" applyBorder="1" applyAlignment="1">
      <alignment horizontal="left"/>
    </xf>
    <xf numFmtId="184" fontId="9" fillId="5" borderId="11" xfId="16" applyNumberFormat="1" applyFont="1" applyFill="1" applyBorder="1" applyAlignment="1">
      <alignment horizontal="left"/>
    </xf>
    <xf numFmtId="184" fontId="9" fillId="0" borderId="11" xfId="16" applyNumberFormat="1" applyFont="1" applyFill="1" applyBorder="1" applyAlignment="1">
      <alignment horizontal="left"/>
    </xf>
    <xf numFmtId="3" fontId="72" fillId="3" borderId="11" xfId="16" applyNumberFormat="1" applyFont="1" applyFill="1" applyBorder="1" applyAlignment="1">
      <alignment horizontal="left"/>
    </xf>
    <xf numFmtId="0" fontId="29" fillId="5" borderId="11" xfId="16" applyFont="1" applyFill="1" applyBorder="1"/>
    <xf numFmtId="0" fontId="19" fillId="5" borderId="11" xfId="16" applyFont="1" applyFill="1" applyBorder="1"/>
    <xf numFmtId="183" fontId="19" fillId="3" borderId="11" xfId="16" applyNumberFormat="1" applyFont="1" applyFill="1" applyBorder="1" applyAlignment="1">
      <alignment horizontal="center"/>
    </xf>
    <xf numFmtId="183" fontId="19" fillId="5" borderId="11" xfId="16" applyNumberFormat="1" applyFont="1" applyFill="1" applyBorder="1" applyAlignment="1">
      <alignment horizontal="center"/>
    </xf>
    <xf numFmtId="183" fontId="19" fillId="0" borderId="11" xfId="16" applyNumberFormat="1" applyFont="1" applyFill="1" applyBorder="1" applyAlignment="1">
      <alignment horizontal="center"/>
    </xf>
    <xf numFmtId="184" fontId="19" fillId="3" borderId="11" xfId="16" applyNumberFormat="1" applyFont="1" applyFill="1" applyBorder="1" applyAlignment="1">
      <alignment horizontal="center"/>
    </xf>
    <xf numFmtId="184" fontId="19" fillId="5" borderId="11" xfId="16" applyNumberFormat="1" applyFont="1" applyFill="1" applyBorder="1" applyAlignment="1">
      <alignment horizontal="center"/>
    </xf>
    <xf numFmtId="184" fontId="19" fillId="0" borderId="11" xfId="16" applyNumberFormat="1" applyFont="1" applyFill="1" applyBorder="1" applyAlignment="1">
      <alignment horizontal="center"/>
    </xf>
    <xf numFmtId="3" fontId="68" fillId="3" borderId="11" xfId="16" applyNumberFormat="1" applyFont="1" applyFill="1" applyBorder="1" applyAlignment="1">
      <alignment horizontal="center"/>
    </xf>
    <xf numFmtId="0" fontId="86" fillId="0" borderId="0" xfId="16" applyFont="1"/>
    <xf numFmtId="0" fontId="5" fillId="5" borderId="3" xfId="16" applyFont="1" applyFill="1" applyBorder="1"/>
    <xf numFmtId="183" fontId="5" fillId="3" borderId="3" xfId="16" applyNumberFormat="1" applyFont="1" applyFill="1" applyBorder="1"/>
    <xf numFmtId="183" fontId="5" fillId="5" borderId="3" xfId="16" applyNumberFormat="1" applyFont="1" applyFill="1" applyBorder="1"/>
    <xf numFmtId="183" fontId="5" fillId="0" borderId="3" xfId="16" applyNumberFormat="1" applyFont="1" applyFill="1" applyBorder="1"/>
    <xf numFmtId="184" fontId="5" fillId="3" borderId="3" xfId="16" applyNumberFormat="1" applyFont="1" applyFill="1" applyBorder="1"/>
    <xf numFmtId="184" fontId="5" fillId="5" borderId="3" xfId="16" applyNumberFormat="1" applyFont="1" applyFill="1" applyBorder="1"/>
    <xf numFmtId="184" fontId="5" fillId="0" borderId="3" xfId="16" applyNumberFormat="1" applyFont="1" applyFill="1" applyBorder="1"/>
    <xf numFmtId="3" fontId="33" fillId="3" borderId="3" xfId="16" applyNumberFormat="1" applyFont="1" applyFill="1" applyBorder="1"/>
    <xf numFmtId="0" fontId="9" fillId="5" borderId="11" xfId="16" applyFont="1" applyFill="1" applyBorder="1" applyAlignment="1">
      <alignment horizontal="left"/>
    </xf>
    <xf numFmtId="0" fontId="82" fillId="0" borderId="0" xfId="16" applyFont="1" applyAlignment="1">
      <alignment horizontal="left"/>
    </xf>
    <xf numFmtId="183" fontId="29" fillId="3" borderId="11" xfId="16" applyNumberFormat="1" applyFont="1" applyFill="1" applyBorder="1"/>
    <xf numFmtId="183" fontId="29" fillId="5" borderId="11" xfId="16" applyNumberFormat="1" applyFont="1" applyFill="1" applyBorder="1"/>
    <xf numFmtId="183" fontId="29" fillId="0" borderId="11" xfId="16" applyNumberFormat="1" applyFont="1" applyFill="1" applyBorder="1"/>
    <xf numFmtId="184" fontId="29" fillId="3" borderId="11" xfId="16" applyNumberFormat="1" applyFont="1" applyFill="1" applyBorder="1"/>
    <xf numFmtId="184" fontId="29" fillId="5" borderId="11" xfId="16" applyNumberFormat="1" applyFont="1" applyFill="1" applyBorder="1"/>
    <xf numFmtId="184" fontId="29" fillId="0" borderId="11" xfId="16" applyNumberFormat="1" applyFont="1" applyFill="1" applyBorder="1"/>
    <xf numFmtId="183" fontId="29" fillId="3" borderId="11" xfId="16" applyNumberFormat="1" applyFont="1" applyFill="1" applyBorder="1" applyAlignment="1">
      <alignment horizontal="right"/>
    </xf>
    <xf numFmtId="183" fontId="29" fillId="5" borderId="11" xfId="16" applyNumberFormat="1" applyFont="1" applyFill="1" applyBorder="1" applyAlignment="1">
      <alignment horizontal="right"/>
    </xf>
    <xf numFmtId="183" fontId="29" fillId="0" borderId="11" xfId="16" applyNumberFormat="1" applyFont="1" applyFill="1" applyBorder="1" applyAlignment="1">
      <alignment horizontal="right"/>
    </xf>
    <xf numFmtId="184" fontId="29" fillId="3" borderId="11" xfId="16" applyNumberFormat="1" applyFont="1" applyFill="1" applyBorder="1" applyAlignment="1">
      <alignment horizontal="right"/>
    </xf>
    <xf numFmtId="184" fontId="29" fillId="5" borderId="11" xfId="16" applyNumberFormat="1" applyFont="1" applyFill="1" applyBorder="1" applyAlignment="1">
      <alignment horizontal="right"/>
    </xf>
    <xf numFmtId="184" fontId="29" fillId="0" borderId="11" xfId="16" applyNumberFormat="1" applyFont="1" applyFill="1" applyBorder="1" applyAlignment="1">
      <alignment horizontal="right"/>
    </xf>
    <xf numFmtId="183" fontId="19" fillId="0" borderId="11" xfId="16" applyNumberFormat="1" applyFont="1" applyFill="1" applyBorder="1" applyAlignment="1">
      <alignment horizontal="right"/>
    </xf>
    <xf numFmtId="184" fontId="19" fillId="3" borderId="11" xfId="16" applyNumberFormat="1" applyFont="1" applyFill="1" applyBorder="1" applyAlignment="1">
      <alignment horizontal="right"/>
    </xf>
    <xf numFmtId="184" fontId="19" fillId="5" borderId="11" xfId="16" applyNumberFormat="1" applyFont="1" applyFill="1" applyBorder="1" applyAlignment="1">
      <alignment horizontal="right"/>
    </xf>
    <xf numFmtId="184" fontId="19" fillId="0" borderId="11" xfId="16" applyNumberFormat="1" applyFont="1" applyFill="1" applyBorder="1" applyAlignment="1">
      <alignment horizontal="right"/>
    </xf>
    <xf numFmtId="183" fontId="5" fillId="0" borderId="11" xfId="16" applyNumberFormat="1" applyFont="1" applyFill="1" applyBorder="1" applyAlignment="1">
      <alignment horizontal="center"/>
    </xf>
    <xf numFmtId="184" fontId="5" fillId="0" borderId="11" xfId="16" applyNumberFormat="1" applyFont="1" applyFill="1" applyBorder="1" applyAlignment="1">
      <alignment horizontal="center"/>
    </xf>
    <xf numFmtId="183" fontId="9" fillId="3" borderId="11" xfId="16" applyNumberFormat="1" applyFont="1" applyFill="1" applyBorder="1"/>
    <xf numFmtId="183" fontId="9" fillId="5" borderId="11" xfId="16" applyNumberFormat="1" applyFont="1" applyFill="1" applyBorder="1"/>
    <xf numFmtId="183" fontId="33" fillId="3" borderId="11" xfId="16" applyNumberFormat="1" applyFont="1" applyFill="1" applyBorder="1"/>
    <xf numFmtId="0" fontId="9" fillId="5" borderId="4" xfId="16" applyFont="1" applyFill="1" applyBorder="1"/>
    <xf numFmtId="0" fontId="29" fillId="5" borderId="4" xfId="16" applyFont="1" applyFill="1" applyBorder="1"/>
    <xf numFmtId="183" fontId="9" fillId="3" borderId="4" xfId="16" applyNumberFormat="1" applyFont="1" applyFill="1" applyBorder="1" applyAlignment="1">
      <alignment horizontal="left"/>
    </xf>
    <xf numFmtId="183" fontId="9" fillId="5" borderId="4" xfId="16" applyNumberFormat="1" applyFont="1" applyFill="1" applyBorder="1" applyAlignment="1">
      <alignment horizontal="left"/>
    </xf>
    <xf numFmtId="183" fontId="9" fillId="0" borderId="4" xfId="16" applyNumberFormat="1" applyFont="1" applyFill="1" applyBorder="1" applyAlignment="1">
      <alignment horizontal="left"/>
    </xf>
    <xf numFmtId="184" fontId="9" fillId="3" borderId="4" xfId="16" applyNumberFormat="1" applyFont="1" applyFill="1" applyBorder="1" applyAlignment="1">
      <alignment horizontal="left"/>
    </xf>
    <xf numFmtId="184" fontId="9" fillId="5" borderId="4" xfId="16" applyNumberFormat="1" applyFont="1" applyFill="1" applyBorder="1" applyAlignment="1">
      <alignment horizontal="left"/>
    </xf>
    <xf numFmtId="184" fontId="9" fillId="0" borderId="4" xfId="16" applyNumberFormat="1" applyFont="1" applyFill="1" applyBorder="1" applyAlignment="1">
      <alignment horizontal="left"/>
    </xf>
    <xf numFmtId="3" fontId="72" fillId="3" borderId="4" xfId="16" applyNumberFormat="1" applyFont="1" applyFill="1" applyBorder="1" applyAlignment="1">
      <alignment horizontal="left"/>
    </xf>
    <xf numFmtId="0" fontId="19" fillId="0" borderId="0" xfId="16" applyFont="1" applyBorder="1"/>
    <xf numFmtId="0" fontId="5" fillId="0" borderId="0" xfId="16" applyFont="1" applyBorder="1"/>
    <xf numFmtId="0" fontId="19" fillId="0" borderId="0" xfId="16" applyFont="1"/>
    <xf numFmtId="10" fontId="76" fillId="0" borderId="0" xfId="16" applyNumberFormat="1"/>
    <xf numFmtId="0" fontId="76" fillId="0" borderId="0" xfId="16" applyBorder="1"/>
    <xf numFmtId="0" fontId="88" fillId="0" borderId="0" xfId="16" applyFont="1"/>
    <xf numFmtId="0" fontId="3" fillId="0" borderId="0" xfId="15" applyFont="1"/>
    <xf numFmtId="0" fontId="5" fillId="0" borderId="0" xfId="15" applyFont="1"/>
    <xf numFmtId="0" fontId="76" fillId="0" borderId="0" xfId="15"/>
    <xf numFmtId="0" fontId="82" fillId="0" borderId="0" xfId="15" applyFont="1"/>
    <xf numFmtId="0" fontId="5" fillId="0" borderId="14" xfId="15" applyFont="1" applyBorder="1"/>
    <xf numFmtId="0" fontId="5" fillId="5" borderId="0" xfId="15" applyFont="1" applyFill="1" applyAlignment="1">
      <alignment horizontal="right"/>
    </xf>
    <xf numFmtId="0" fontId="5" fillId="3" borderId="0" xfId="15" applyFont="1" applyFill="1" applyAlignment="1">
      <alignment horizontal="right"/>
    </xf>
    <xf numFmtId="0" fontId="5" fillId="0" borderId="0" xfId="15" applyFont="1" applyFill="1" applyAlignment="1">
      <alignment horizontal="right"/>
    </xf>
    <xf numFmtId="184" fontId="29" fillId="3" borderId="0" xfId="15" applyNumberFormat="1" applyFont="1" applyFill="1" applyBorder="1" applyAlignment="1">
      <alignment horizontal="center"/>
    </xf>
    <xf numFmtId="184" fontId="29" fillId="5" borderId="0" xfId="15" applyNumberFormat="1" applyFont="1" applyFill="1" applyBorder="1" applyAlignment="1">
      <alignment horizontal="center"/>
    </xf>
    <xf numFmtId="184" fontId="29" fillId="0" borderId="0" xfId="15" applyNumberFormat="1" applyFont="1" applyFill="1" applyBorder="1" applyAlignment="1">
      <alignment horizontal="center"/>
    </xf>
    <xf numFmtId="0" fontId="76" fillId="0" borderId="0" xfId="15" applyAlignment="1">
      <alignment horizontal="right"/>
    </xf>
    <xf numFmtId="2" fontId="76" fillId="0" borderId="0" xfId="15" applyNumberFormat="1"/>
    <xf numFmtId="183" fontId="76" fillId="0" borderId="0" xfId="15" applyNumberFormat="1" applyAlignment="1">
      <alignment horizontal="right"/>
    </xf>
    <xf numFmtId="2" fontId="76" fillId="0" borderId="0" xfId="15" applyNumberFormat="1" applyAlignment="1">
      <alignment horizontal="right"/>
    </xf>
    <xf numFmtId="0" fontId="72" fillId="5" borderId="0" xfId="15" applyFont="1" applyFill="1" applyBorder="1" applyAlignment="1">
      <alignment horizontal="left"/>
    </xf>
    <xf numFmtId="0" fontId="5" fillId="5" borderId="0" xfId="15" applyFont="1" applyFill="1" applyBorder="1" applyAlignment="1">
      <alignment horizontal="right"/>
    </xf>
    <xf numFmtId="0" fontId="9" fillId="3" borderId="0" xfId="15" applyFont="1" applyFill="1" applyAlignment="1">
      <alignment horizontal="center"/>
    </xf>
    <xf numFmtId="0" fontId="9" fillId="5" borderId="0" xfId="15" applyFont="1" applyFill="1" applyAlignment="1">
      <alignment horizontal="center"/>
    </xf>
    <xf numFmtId="0" fontId="9" fillId="0" borderId="0" xfId="15" applyFont="1" applyFill="1" applyAlignment="1">
      <alignment horizontal="center"/>
    </xf>
    <xf numFmtId="0" fontId="72" fillId="3" borderId="0" xfId="15" applyFont="1" applyFill="1" applyAlignment="1">
      <alignment horizontal="center"/>
    </xf>
    <xf numFmtId="183" fontId="76" fillId="0" borderId="0" xfId="15" applyNumberFormat="1"/>
    <xf numFmtId="0" fontId="5" fillId="5" borderId="0" xfId="15" applyFont="1" applyFill="1" applyBorder="1"/>
    <xf numFmtId="0" fontId="5" fillId="3" borderId="0" xfId="15" applyFont="1" applyFill="1" applyAlignment="1">
      <alignment horizontal="center"/>
    </xf>
    <xf numFmtId="0" fontId="5" fillId="5" borderId="0" xfId="15" applyFont="1" applyFill="1" applyAlignment="1">
      <alignment horizontal="center"/>
    </xf>
    <xf numFmtId="0" fontId="5" fillId="0" borderId="0" xfId="15" applyFont="1" applyFill="1" applyAlignment="1">
      <alignment horizontal="center"/>
    </xf>
    <xf numFmtId="0" fontId="9" fillId="5" borderId="0" xfId="15" applyFont="1" applyFill="1" applyBorder="1"/>
    <xf numFmtId="0" fontId="5" fillId="3" borderId="0" xfId="15" applyFont="1" applyFill="1" applyBorder="1" applyAlignment="1">
      <alignment horizontal="center"/>
    </xf>
    <xf numFmtId="0" fontId="5" fillId="5" borderId="0" xfId="15" applyFont="1" applyFill="1" applyBorder="1" applyAlignment="1">
      <alignment horizontal="center"/>
    </xf>
    <xf numFmtId="0" fontId="5" fillId="0" borderId="0" xfId="15" applyFont="1" applyFill="1" applyBorder="1" applyAlignment="1">
      <alignment horizontal="center"/>
    </xf>
    <xf numFmtId="184" fontId="29" fillId="3" borderId="0" xfId="15" applyNumberFormat="1" applyFont="1" applyFill="1" applyBorder="1" applyAlignment="1">
      <alignment horizontal="center" vertical="top"/>
    </xf>
    <xf numFmtId="184" fontId="29" fillId="5" borderId="0" xfId="15" applyNumberFormat="1" applyFont="1" applyFill="1" applyBorder="1" applyAlignment="1">
      <alignment horizontal="center" vertical="top"/>
    </xf>
    <xf numFmtId="184" fontId="29" fillId="0" borderId="0" xfId="15" applyNumberFormat="1" applyFont="1" applyFill="1" applyBorder="1" applyAlignment="1">
      <alignment horizontal="center" vertical="top"/>
    </xf>
    <xf numFmtId="183" fontId="82" fillId="0" borderId="0" xfId="15" applyNumberFormat="1" applyFont="1"/>
    <xf numFmtId="0" fontId="9" fillId="5" borderId="2" xfId="15" applyFont="1" applyFill="1" applyBorder="1"/>
    <xf numFmtId="0" fontId="5" fillId="5" borderId="2" xfId="15" applyFont="1" applyFill="1" applyBorder="1"/>
    <xf numFmtId="0" fontId="5" fillId="3" borderId="2" xfId="15" applyFont="1" applyFill="1" applyBorder="1"/>
    <xf numFmtId="0" fontId="5" fillId="0" borderId="2" xfId="15" applyFont="1" applyFill="1" applyBorder="1"/>
    <xf numFmtId="0" fontId="29" fillId="5" borderId="2" xfId="15" applyFont="1" applyFill="1" applyBorder="1" applyAlignment="1">
      <alignment horizontal="center"/>
    </xf>
    <xf numFmtId="0" fontId="29" fillId="0" borderId="2" xfId="15" applyFont="1" applyFill="1" applyBorder="1" applyAlignment="1">
      <alignment horizontal="center"/>
    </xf>
    <xf numFmtId="0" fontId="9" fillId="5" borderId="10" xfId="15" applyFont="1" applyFill="1" applyBorder="1"/>
    <xf numFmtId="0" fontId="5" fillId="5" borderId="10" xfId="15" applyFont="1" applyFill="1" applyBorder="1"/>
    <xf numFmtId="183" fontId="9" fillId="3" borderId="10" xfId="15" applyNumberFormat="1" applyFont="1" applyFill="1" applyBorder="1" applyAlignment="1">
      <alignment horizontal="left"/>
    </xf>
    <xf numFmtId="183" fontId="9" fillId="5" borderId="10" xfId="15" applyNumberFormat="1" applyFont="1" applyFill="1" applyBorder="1" applyAlignment="1">
      <alignment horizontal="left"/>
    </xf>
    <xf numFmtId="183" fontId="9" fillId="0" borderId="10" xfId="15" applyNumberFormat="1" applyFont="1" applyFill="1" applyBorder="1" applyAlignment="1">
      <alignment horizontal="left"/>
    </xf>
    <xf numFmtId="184" fontId="9" fillId="3" borderId="10" xfId="15" applyNumberFormat="1" applyFont="1" applyFill="1" applyBorder="1" applyAlignment="1">
      <alignment horizontal="left"/>
    </xf>
    <xf numFmtId="184" fontId="9" fillId="5" borderId="10" xfId="15" applyNumberFormat="1" applyFont="1" applyFill="1" applyBorder="1" applyAlignment="1">
      <alignment horizontal="left"/>
    </xf>
    <xf numFmtId="184" fontId="9" fillId="0" borderId="10" xfId="15" applyNumberFormat="1" applyFont="1" applyFill="1" applyBorder="1" applyAlignment="1">
      <alignment horizontal="left"/>
    </xf>
    <xf numFmtId="3" fontId="72" fillId="3" borderId="10" xfId="15" applyNumberFormat="1" applyFont="1" applyFill="1" applyBorder="1" applyAlignment="1">
      <alignment horizontal="left"/>
    </xf>
    <xf numFmtId="0" fontId="9" fillId="5" borderId="11" xfId="15" applyFont="1" applyFill="1" applyBorder="1"/>
    <xf numFmtId="0" fontId="5" fillId="5" borderId="11" xfId="15" applyFont="1" applyFill="1" applyBorder="1"/>
    <xf numFmtId="183" fontId="19" fillId="3" borderId="11" xfId="15" applyNumberFormat="1" applyFont="1" applyFill="1" applyBorder="1" applyAlignment="1">
      <alignment horizontal="center"/>
    </xf>
    <xf numFmtId="183" fontId="19" fillId="5" borderId="11" xfId="15" applyNumberFormat="1" applyFont="1" applyFill="1" applyBorder="1" applyAlignment="1">
      <alignment horizontal="center"/>
    </xf>
    <xf numFmtId="183" fontId="19" fillId="0" borderId="11" xfId="15" applyNumberFormat="1" applyFont="1" applyFill="1" applyBorder="1" applyAlignment="1">
      <alignment horizontal="center"/>
    </xf>
    <xf numFmtId="184" fontId="19" fillId="3" borderId="11" xfId="15" applyNumberFormat="1" applyFont="1" applyFill="1" applyBorder="1" applyAlignment="1">
      <alignment horizontal="center"/>
    </xf>
    <xf numFmtId="184" fontId="19" fillId="5" borderId="11" xfId="15" applyNumberFormat="1" applyFont="1" applyFill="1" applyBorder="1" applyAlignment="1">
      <alignment horizontal="center"/>
    </xf>
    <xf numFmtId="184" fontId="19" fillId="0" borderId="11" xfId="15" applyNumberFormat="1" applyFont="1" applyFill="1" applyBorder="1" applyAlignment="1">
      <alignment horizontal="center"/>
    </xf>
    <xf numFmtId="3" fontId="68" fillId="3" borderId="11" xfId="15" applyNumberFormat="1" applyFont="1" applyFill="1" applyBorder="1" applyAlignment="1">
      <alignment horizontal="center"/>
    </xf>
    <xf numFmtId="0" fontId="84" fillId="5" borderId="11" xfId="15" applyFont="1" applyFill="1" applyBorder="1"/>
    <xf numFmtId="183" fontId="5" fillId="3" borderId="11" xfId="15" applyNumberFormat="1" applyFont="1" applyFill="1" applyBorder="1"/>
    <xf numFmtId="183" fontId="5" fillId="5" borderId="11" xfId="15" applyNumberFormat="1" applyFont="1" applyFill="1" applyBorder="1"/>
    <xf numFmtId="183" fontId="5" fillId="0" borderId="11" xfId="15" applyNumberFormat="1" applyFont="1" applyFill="1" applyBorder="1"/>
    <xf numFmtId="184" fontId="5" fillId="3" borderId="11" xfId="15" applyNumberFormat="1" applyFont="1" applyFill="1" applyBorder="1"/>
    <xf numFmtId="184" fontId="5" fillId="5" borderId="11" xfId="15" applyNumberFormat="1" applyFont="1" applyFill="1" applyBorder="1"/>
    <xf numFmtId="184" fontId="5" fillId="0" borderId="11" xfId="15" applyNumberFormat="1" applyFont="1" applyFill="1" applyBorder="1"/>
    <xf numFmtId="3" fontId="33" fillId="3" borderId="11" xfId="15" applyNumberFormat="1" applyFont="1" applyFill="1" applyBorder="1"/>
    <xf numFmtId="2" fontId="77" fillId="0" borderId="0" xfId="15" applyNumberFormat="1" applyFont="1"/>
    <xf numFmtId="0" fontId="77" fillId="0" borderId="0" xfId="15" applyFont="1"/>
    <xf numFmtId="183" fontId="9" fillId="3" borderId="11" xfId="15" applyNumberFormat="1" applyFont="1" applyFill="1" applyBorder="1" applyAlignment="1">
      <alignment horizontal="left"/>
    </xf>
    <xf numFmtId="183" fontId="9" fillId="5" borderId="11" xfId="15" applyNumberFormat="1" applyFont="1" applyFill="1" applyBorder="1" applyAlignment="1">
      <alignment horizontal="left"/>
    </xf>
    <xf numFmtId="183" fontId="9" fillId="0" borderId="11" xfId="15" applyNumberFormat="1" applyFont="1" applyFill="1" applyBorder="1" applyAlignment="1">
      <alignment horizontal="left"/>
    </xf>
    <xf numFmtId="184" fontId="9" fillId="3" borderId="11" xfId="15" applyNumberFormat="1" applyFont="1" applyFill="1" applyBorder="1" applyAlignment="1">
      <alignment horizontal="left"/>
    </xf>
    <xf numFmtId="184" fontId="9" fillId="5" borderId="11" xfId="15" applyNumberFormat="1" applyFont="1" applyFill="1" applyBorder="1" applyAlignment="1">
      <alignment horizontal="left"/>
    </xf>
    <xf numFmtId="184" fontId="9" fillId="0" borderId="11" xfId="15" applyNumberFormat="1" applyFont="1" applyFill="1" applyBorder="1" applyAlignment="1">
      <alignment horizontal="left"/>
    </xf>
    <xf numFmtId="3" fontId="72" fillId="3" borderId="11" xfId="15" applyNumberFormat="1" applyFont="1" applyFill="1" applyBorder="1" applyAlignment="1">
      <alignment horizontal="left"/>
    </xf>
    <xf numFmtId="0" fontId="29" fillId="5" borderId="11" xfId="15" applyFont="1" applyFill="1" applyBorder="1"/>
    <xf numFmtId="183" fontId="29" fillId="3" borderId="11" xfId="15" applyNumberFormat="1" applyFont="1" applyFill="1" applyBorder="1" applyAlignment="1">
      <alignment horizontal="right"/>
    </xf>
    <xf numFmtId="183" fontId="29" fillId="5" borderId="11" xfId="15" applyNumberFormat="1" applyFont="1" applyFill="1" applyBorder="1" applyAlignment="1">
      <alignment horizontal="right"/>
    </xf>
    <xf numFmtId="183" fontId="29" fillId="0" borderId="11" xfId="15" applyNumberFormat="1" applyFont="1" applyFill="1" applyBorder="1" applyAlignment="1">
      <alignment horizontal="right"/>
    </xf>
    <xf numFmtId="184" fontId="29" fillId="3" borderId="11" xfId="15" applyNumberFormat="1" applyFont="1" applyFill="1" applyBorder="1" applyAlignment="1">
      <alignment horizontal="right"/>
    </xf>
    <xf numFmtId="184" fontId="29" fillId="5" borderId="11" xfId="15" applyNumberFormat="1" applyFont="1" applyFill="1" applyBorder="1" applyAlignment="1">
      <alignment horizontal="right"/>
    </xf>
    <xf numFmtId="184" fontId="29" fillId="0" borderId="11" xfId="15" applyNumberFormat="1" applyFont="1" applyFill="1" applyBorder="1" applyAlignment="1">
      <alignment horizontal="right"/>
    </xf>
    <xf numFmtId="183" fontId="5" fillId="3" borderId="11" xfId="15" applyNumberFormat="1" applyFont="1" applyFill="1" applyBorder="1" applyAlignment="1">
      <alignment horizontal="center"/>
    </xf>
    <xf numFmtId="183" fontId="5" fillId="5" borderId="11" xfId="15" applyNumberFormat="1" applyFont="1" applyFill="1" applyBorder="1" applyAlignment="1">
      <alignment horizontal="center"/>
    </xf>
    <xf numFmtId="183" fontId="5" fillId="0" borderId="11" xfId="15" applyNumberFormat="1" applyFont="1" applyFill="1" applyBorder="1" applyAlignment="1">
      <alignment horizontal="center"/>
    </xf>
    <xf numFmtId="184" fontId="5" fillId="3" borderId="11" xfId="15" applyNumberFormat="1" applyFont="1" applyFill="1" applyBorder="1" applyAlignment="1">
      <alignment horizontal="center"/>
    </xf>
    <xf numFmtId="184" fontId="5" fillId="5" borderId="11" xfId="15" applyNumberFormat="1" applyFont="1" applyFill="1" applyBorder="1" applyAlignment="1">
      <alignment horizontal="center"/>
    </xf>
    <xf numFmtId="184" fontId="5" fillId="0" borderId="11" xfId="15" applyNumberFormat="1" applyFont="1" applyFill="1" applyBorder="1" applyAlignment="1">
      <alignment horizontal="center"/>
    </xf>
    <xf numFmtId="3" fontId="33" fillId="3" borderId="11" xfId="15" applyNumberFormat="1" applyFont="1" applyFill="1" applyBorder="1" applyAlignment="1">
      <alignment horizontal="center"/>
    </xf>
    <xf numFmtId="0" fontId="5" fillId="5" borderId="3" xfId="15" applyFont="1" applyFill="1" applyBorder="1"/>
    <xf numFmtId="183" fontId="5" fillId="3" borderId="3" xfId="15" applyNumberFormat="1" applyFont="1" applyFill="1" applyBorder="1"/>
    <xf numFmtId="183" fontId="5" fillId="5" borderId="3" xfId="15" applyNumberFormat="1" applyFont="1" applyFill="1" applyBorder="1"/>
    <xf numFmtId="183" fontId="5" fillId="0" borderId="3" xfId="15" applyNumberFormat="1" applyFont="1" applyFill="1" applyBorder="1"/>
    <xf numFmtId="184" fontId="5" fillId="3" borderId="3" xfId="15" applyNumberFormat="1" applyFont="1" applyFill="1" applyBorder="1"/>
    <xf numFmtId="184" fontId="5" fillId="5" borderId="3" xfId="15" applyNumberFormat="1" applyFont="1" applyFill="1" applyBorder="1"/>
    <xf numFmtId="184" fontId="5" fillId="0" borderId="3" xfId="15" applyNumberFormat="1" applyFont="1" applyFill="1" applyBorder="1"/>
    <xf numFmtId="3" fontId="33" fillId="3" borderId="3" xfId="15" applyNumberFormat="1" applyFont="1" applyFill="1" applyBorder="1"/>
    <xf numFmtId="183" fontId="29" fillId="3" borderId="11" xfId="15" applyNumberFormat="1" applyFont="1" applyFill="1" applyBorder="1"/>
    <xf numFmtId="183" fontId="29" fillId="5" borderId="11" xfId="15" applyNumberFormat="1" applyFont="1" applyFill="1" applyBorder="1"/>
    <xf numFmtId="183" fontId="29" fillId="0" borderId="11" xfId="15" applyNumberFormat="1" applyFont="1" applyFill="1" applyBorder="1"/>
    <xf numFmtId="184" fontId="29" fillId="3" borderId="11" xfId="15" applyNumberFormat="1" applyFont="1" applyFill="1" applyBorder="1"/>
    <xf numFmtId="184" fontId="29" fillId="5" borderId="11" xfId="15" applyNumberFormat="1" applyFont="1" applyFill="1" applyBorder="1"/>
    <xf numFmtId="184" fontId="29" fillId="0" borderId="11" xfId="15" applyNumberFormat="1" applyFont="1" applyFill="1" applyBorder="1"/>
    <xf numFmtId="0" fontId="76" fillId="0" borderId="0" xfId="15" applyFill="1"/>
    <xf numFmtId="183" fontId="9" fillId="3" borderId="11" xfId="15" applyNumberFormat="1" applyFont="1" applyFill="1" applyBorder="1"/>
    <xf numFmtId="183" fontId="9" fillId="5" borderId="11" xfId="15" applyNumberFormat="1" applyFont="1" applyFill="1" applyBorder="1"/>
    <xf numFmtId="3" fontId="72" fillId="3" borderId="11" xfId="15" applyNumberFormat="1" applyFont="1" applyFill="1" applyBorder="1"/>
    <xf numFmtId="0" fontId="9" fillId="5" borderId="4" xfId="15" applyFont="1" applyFill="1" applyBorder="1"/>
    <xf numFmtId="0" fontId="29" fillId="5" borderId="4" xfId="15" applyFont="1" applyFill="1" applyBorder="1"/>
    <xf numFmtId="183" fontId="9" fillId="3" borderId="4" xfId="15" applyNumberFormat="1" applyFont="1" applyFill="1" applyBorder="1" applyAlignment="1">
      <alignment horizontal="left"/>
    </xf>
    <xf numFmtId="183" fontId="9" fillId="5" borderId="4" xfId="15" applyNumberFormat="1" applyFont="1" applyFill="1" applyBorder="1" applyAlignment="1">
      <alignment horizontal="left"/>
    </xf>
    <xf numFmtId="183" fontId="9" fillId="0" borderId="4" xfId="15" applyNumberFormat="1" applyFont="1" applyFill="1" applyBorder="1" applyAlignment="1">
      <alignment horizontal="left"/>
    </xf>
    <xf numFmtId="184" fontId="9" fillId="3" borderId="4" xfId="15" applyNumberFormat="1" applyFont="1" applyFill="1" applyBorder="1" applyAlignment="1">
      <alignment horizontal="left"/>
    </xf>
    <xf numFmtId="184" fontId="9" fillId="5" borderId="4" xfId="15" applyNumberFormat="1" applyFont="1" applyFill="1" applyBorder="1" applyAlignment="1">
      <alignment horizontal="left"/>
    </xf>
    <xf numFmtId="184" fontId="9" fillId="0" borderId="4" xfId="15" applyNumberFormat="1" applyFont="1" applyFill="1" applyBorder="1" applyAlignment="1">
      <alignment horizontal="left"/>
    </xf>
    <xf numFmtId="3" fontId="72" fillId="3" borderId="4" xfId="15" applyNumberFormat="1" applyFont="1" applyFill="1" applyBorder="1" applyAlignment="1">
      <alignment horizontal="left"/>
    </xf>
    <xf numFmtId="0" fontId="19" fillId="0" borderId="0" xfId="15" applyFont="1" applyBorder="1"/>
    <xf numFmtId="0" fontId="5" fillId="0" borderId="0" xfId="15" applyFont="1" applyBorder="1"/>
    <xf numFmtId="10" fontId="76" fillId="0" borderId="0" xfId="15" applyNumberFormat="1"/>
    <xf numFmtId="183" fontId="5" fillId="0" borderId="0" xfId="15" applyNumberFormat="1" applyFont="1"/>
    <xf numFmtId="0" fontId="89" fillId="0" borderId="0" xfId="12" applyFont="1"/>
    <xf numFmtId="0" fontId="90" fillId="2" borderId="0" xfId="0" applyFont="1" applyFill="1"/>
    <xf numFmtId="0" fontId="3" fillId="0" borderId="0" xfId="0" applyFont="1" applyFill="1" applyBorder="1" applyAlignment="1">
      <alignment vertical="top"/>
    </xf>
    <xf numFmtId="0" fontId="6" fillId="5" borderId="1" xfId="0" applyFont="1" applyFill="1" applyBorder="1" applyAlignment="1">
      <alignment horizontal="left"/>
    </xf>
    <xf numFmtId="0" fontId="4" fillId="3" borderId="1" xfId="0" applyFont="1" applyFill="1" applyBorder="1" applyAlignment="1"/>
    <xf numFmtId="0" fontId="5" fillId="5" borderId="0" xfId="0" applyFont="1" applyFill="1"/>
    <xf numFmtId="0" fontId="5" fillId="5" borderId="0" xfId="0" applyFont="1" applyFill="1" applyAlignment="1">
      <alignment horizontal="right"/>
    </xf>
    <xf numFmtId="0" fontId="4" fillId="5" borderId="25" xfId="0" applyFont="1" applyFill="1" applyBorder="1" applyAlignment="1">
      <alignment horizontal="center"/>
    </xf>
    <xf numFmtId="0" fontId="4" fillId="0" borderId="0" xfId="0" applyFont="1" applyFill="1" applyBorder="1" applyAlignment="1">
      <alignment horizontal="right" vertical="center"/>
    </xf>
    <xf numFmtId="0" fontId="5" fillId="5" borderId="0" xfId="0" applyFont="1" applyFill="1" applyBorder="1" applyAlignment="1">
      <alignment horizontal="right" vertical="center"/>
    </xf>
    <xf numFmtId="0" fontId="4" fillId="5" borderId="25" xfId="0" applyFont="1" applyFill="1" applyBorder="1" applyAlignment="1">
      <alignment horizontal="right" vertical="top"/>
    </xf>
    <xf numFmtId="0" fontId="5" fillId="5" borderId="2" xfId="0" applyFont="1" applyFill="1" applyBorder="1" applyAlignment="1">
      <alignment horizontal="right" vertical="top"/>
    </xf>
    <xf numFmtId="1" fontId="4" fillId="3" borderId="15" xfId="0" applyNumberFormat="1" applyFont="1" applyFill="1" applyBorder="1" applyAlignment="1">
      <alignment horizontal="left"/>
    </xf>
    <xf numFmtId="183" fontId="4" fillId="3" borderId="15" xfId="0" applyNumberFormat="1" applyFont="1" applyFill="1" applyBorder="1" applyAlignment="1">
      <alignment horizontal="right"/>
    </xf>
    <xf numFmtId="183" fontId="4" fillId="5" borderId="15" xfId="0" applyNumberFormat="1" applyFont="1" applyFill="1" applyBorder="1" applyAlignment="1">
      <alignment horizontal="right"/>
    </xf>
    <xf numFmtId="183" fontId="4" fillId="5" borderId="29" xfId="0" applyNumberFormat="1" applyFont="1" applyFill="1" applyBorder="1" applyAlignment="1">
      <alignment horizontal="right"/>
    </xf>
    <xf numFmtId="183" fontId="4" fillId="5" borderId="34" xfId="0" applyNumberFormat="1" applyFont="1" applyFill="1" applyBorder="1" applyAlignment="1">
      <alignment horizontal="right"/>
    </xf>
    <xf numFmtId="184" fontId="4" fillId="5" borderId="15" xfId="0" applyNumberFormat="1" applyFont="1" applyFill="1" applyBorder="1" applyAlignment="1">
      <alignment horizontal="right"/>
    </xf>
    <xf numFmtId="1" fontId="6" fillId="3" borderId="15" xfId="0" applyNumberFormat="1" applyFont="1" applyFill="1" applyBorder="1" applyAlignment="1">
      <alignment horizontal="left"/>
    </xf>
    <xf numFmtId="183" fontId="6" fillId="5" borderId="15" xfId="0" applyNumberFormat="1" applyFont="1" applyFill="1" applyBorder="1" applyAlignment="1">
      <alignment horizontal="right"/>
    </xf>
    <xf numFmtId="183" fontId="6" fillId="3" borderId="15" xfId="0" applyNumberFormat="1" applyFont="1" applyFill="1" applyBorder="1" applyAlignment="1">
      <alignment horizontal="right"/>
    </xf>
    <xf numFmtId="183" fontId="6" fillId="5" borderId="34" xfId="0" applyNumberFormat="1" applyFont="1" applyFill="1" applyBorder="1" applyAlignment="1">
      <alignment horizontal="right"/>
    </xf>
    <xf numFmtId="183" fontId="6" fillId="0" borderId="0" xfId="0" applyNumberFormat="1" applyFont="1" applyFill="1" applyBorder="1" applyAlignment="1">
      <alignment horizontal="right"/>
    </xf>
    <xf numFmtId="1" fontId="4" fillId="3" borderId="4" xfId="0" applyNumberFormat="1" applyFont="1" applyFill="1" applyBorder="1" applyAlignment="1">
      <alignment horizontal="left" vertical="center"/>
    </xf>
    <xf numFmtId="183" fontId="52" fillId="5" borderId="4" xfId="0" applyNumberFormat="1" applyFont="1" applyFill="1" applyBorder="1" applyAlignment="1">
      <alignment horizontal="right" vertical="center"/>
    </xf>
    <xf numFmtId="183" fontId="4" fillId="3" borderId="4" xfId="0" applyNumberFormat="1" applyFont="1" applyFill="1" applyBorder="1" applyAlignment="1">
      <alignment horizontal="right" vertical="center"/>
    </xf>
    <xf numFmtId="183" fontId="4" fillId="5" borderId="4" xfId="0" applyNumberFormat="1" applyFont="1" applyFill="1" applyBorder="1" applyAlignment="1">
      <alignment horizontal="right" vertical="center"/>
    </xf>
    <xf numFmtId="183" fontId="4" fillId="5" borderId="33" xfId="0" applyNumberFormat="1" applyFont="1" applyFill="1" applyBorder="1" applyAlignment="1">
      <alignment horizontal="right" vertical="center"/>
    </xf>
    <xf numFmtId="183" fontId="4" fillId="0" borderId="0" xfId="0" applyNumberFormat="1" applyFont="1" applyFill="1" applyBorder="1" applyAlignment="1">
      <alignment horizontal="right" vertical="center"/>
    </xf>
    <xf numFmtId="184" fontId="4" fillId="0" borderId="0" xfId="0" applyNumberFormat="1" applyFont="1" applyFill="1" applyBorder="1" applyAlignment="1">
      <alignment horizontal="right"/>
    </xf>
    <xf numFmtId="1" fontId="3" fillId="0" borderId="0" xfId="0" applyNumberFormat="1" applyFont="1" applyFill="1" applyBorder="1" applyAlignment="1">
      <alignment horizontal="left"/>
    </xf>
    <xf numFmtId="1" fontId="4" fillId="0" borderId="2" xfId="0" applyNumberFormat="1" applyFont="1" applyFill="1" applyBorder="1" applyAlignment="1">
      <alignment horizontal="left"/>
    </xf>
    <xf numFmtId="183" fontId="4" fillId="0" borderId="2" xfId="0" applyNumberFormat="1" applyFont="1" applyFill="1" applyBorder="1" applyAlignment="1">
      <alignment horizontal="right"/>
    </xf>
    <xf numFmtId="184" fontId="4" fillId="0" borderId="2" xfId="0" applyNumberFormat="1" applyFont="1" applyFill="1" applyBorder="1" applyAlignment="1">
      <alignment horizontal="right"/>
    </xf>
    <xf numFmtId="184" fontId="4" fillId="5" borderId="29" xfId="0" applyNumberFormat="1" applyFont="1" applyFill="1" applyBorder="1" applyAlignment="1">
      <alignment horizontal="right"/>
    </xf>
    <xf numFmtId="184" fontId="4" fillId="5" borderId="27" xfId="0" applyNumberFormat="1" applyFont="1" applyFill="1" applyBorder="1" applyAlignment="1">
      <alignment horizontal="right"/>
    </xf>
    <xf numFmtId="0" fontId="63" fillId="0" borderId="0" xfId="0" applyFont="1" applyBorder="1"/>
    <xf numFmtId="184" fontId="6" fillId="5" borderId="3" xfId="0" applyNumberFormat="1" applyFont="1" applyFill="1" applyBorder="1" applyAlignment="1">
      <alignment horizontal="right"/>
    </xf>
    <xf numFmtId="184" fontId="6" fillId="5" borderId="27" xfId="0" applyNumberFormat="1" applyFont="1" applyFill="1" applyBorder="1" applyAlignment="1">
      <alignment horizontal="right"/>
    </xf>
    <xf numFmtId="184" fontId="4" fillId="5" borderId="27" xfId="0" applyNumberFormat="1" applyFont="1" applyFill="1" applyBorder="1" applyAlignment="1">
      <alignment horizontal="right" vertical="center"/>
    </xf>
    <xf numFmtId="0" fontId="0" fillId="0" borderId="0" xfId="0" applyBorder="1" applyAlignment="1">
      <alignment vertical="center"/>
    </xf>
    <xf numFmtId="182" fontId="0" fillId="0" borderId="0" xfId="0" applyNumberFormat="1" applyFill="1"/>
    <xf numFmtId="0" fontId="40" fillId="2" borderId="0" xfId="0" applyFont="1" applyFill="1"/>
    <xf numFmtId="0" fontId="91" fillId="2" borderId="0" xfId="0" applyFont="1" applyFill="1"/>
    <xf numFmtId="184" fontId="6" fillId="5" borderId="15" xfId="0" applyNumberFormat="1" applyFont="1" applyFill="1" applyBorder="1" applyAlignment="1">
      <alignment horizontal="right"/>
    </xf>
    <xf numFmtId="0" fontId="60" fillId="7" borderId="0" xfId="0" applyFont="1" applyFill="1" applyBorder="1" applyProtection="1"/>
    <xf numFmtId="0" fontId="3" fillId="0" borderId="0" xfId="13" applyFont="1" applyAlignment="1">
      <alignment horizontal="left"/>
    </xf>
    <xf numFmtId="0" fontId="42" fillId="0" borderId="0" xfId="13" applyFont="1" applyAlignment="1">
      <alignment horizontal="center"/>
    </xf>
    <xf numFmtId="0" fontId="42" fillId="0" borderId="0" xfId="13" applyFont="1"/>
    <xf numFmtId="0" fontId="41" fillId="0" borderId="0" xfId="13" applyFont="1" applyAlignment="1">
      <alignment horizontal="center"/>
    </xf>
    <xf numFmtId="0" fontId="43" fillId="0" borderId="0" xfId="13" applyFont="1" applyFill="1" applyAlignment="1">
      <alignment horizontal="center"/>
    </xf>
    <xf numFmtId="0" fontId="43" fillId="0" borderId="0" xfId="13" applyFont="1" applyAlignment="1">
      <alignment horizontal="center"/>
    </xf>
    <xf numFmtId="0" fontId="39" fillId="6" borderId="0" xfId="13" applyFont="1" applyFill="1" applyAlignment="1">
      <alignment horizontal="center" wrapText="1" shrinkToFit="1"/>
    </xf>
    <xf numFmtId="0" fontId="29" fillId="0" borderId="0" xfId="13" applyFont="1"/>
    <xf numFmtId="0" fontId="39" fillId="0" borderId="0" xfId="13" applyFont="1" applyFill="1" applyAlignment="1">
      <alignment horizontal="left" wrapText="1" shrinkToFit="1"/>
    </xf>
    <xf numFmtId="0" fontId="42" fillId="0" borderId="2" xfId="13" applyFont="1" applyBorder="1"/>
    <xf numFmtId="0" fontId="41" fillId="0" borderId="2" xfId="13" applyFont="1" applyBorder="1" applyAlignment="1">
      <alignment horizontal="center" wrapText="1" shrinkToFit="1"/>
    </xf>
    <xf numFmtId="2" fontId="42" fillId="0" borderId="2" xfId="13" applyNumberFormat="1" applyFont="1" applyFill="1" applyBorder="1" applyAlignment="1">
      <alignment horizontal="center"/>
    </xf>
    <xf numFmtId="2" fontId="42" fillId="0" borderId="2" xfId="13" applyNumberFormat="1" applyFont="1" applyBorder="1" applyAlignment="1">
      <alignment horizontal="center"/>
    </xf>
    <xf numFmtId="0" fontId="42" fillId="0" borderId="2" xfId="13" quotePrefix="1" applyFont="1" applyBorder="1" applyAlignment="1">
      <alignment horizontal="center"/>
    </xf>
    <xf numFmtId="0" fontId="42" fillId="0" borderId="2" xfId="13" applyFont="1" applyBorder="1" applyAlignment="1">
      <alignment horizontal="center"/>
    </xf>
    <xf numFmtId="2" fontId="42" fillId="0" borderId="13" xfId="13" applyNumberFormat="1" applyFont="1" applyFill="1" applyBorder="1" applyAlignment="1">
      <alignment horizontal="center"/>
    </xf>
    <xf numFmtId="2" fontId="42" fillId="0" borderId="13" xfId="13" applyNumberFormat="1" applyFont="1" applyBorder="1" applyAlignment="1">
      <alignment horizontal="center"/>
    </xf>
    <xf numFmtId="0" fontId="42" fillId="0" borderId="13" xfId="13" applyFont="1" applyBorder="1" applyAlignment="1">
      <alignment horizontal="center"/>
    </xf>
    <xf numFmtId="0" fontId="42" fillId="0" borderId="13" xfId="13" quotePrefix="1" applyFont="1" applyFill="1" applyBorder="1" applyAlignment="1">
      <alignment horizontal="center"/>
    </xf>
    <xf numFmtId="0" fontId="42" fillId="0" borderId="13" xfId="13" applyFont="1" applyFill="1" applyBorder="1" applyAlignment="1">
      <alignment horizontal="center"/>
    </xf>
    <xf numFmtId="0" fontId="42" fillId="0" borderId="13" xfId="13" quotePrefix="1" applyFont="1" applyBorder="1" applyAlignment="1">
      <alignment horizontal="center"/>
    </xf>
    <xf numFmtId="2" fontId="42" fillId="0" borderId="13" xfId="13" quotePrefix="1" applyNumberFormat="1" applyFont="1" applyFill="1" applyBorder="1" applyAlignment="1">
      <alignment horizontal="center"/>
    </xf>
    <xf numFmtId="2" fontId="42" fillId="0" borderId="1" xfId="13" applyNumberFormat="1" applyFont="1" applyFill="1" applyBorder="1" applyAlignment="1">
      <alignment horizontal="center"/>
    </xf>
    <xf numFmtId="0" fontId="42" fillId="0" borderId="2" xfId="13" applyFont="1" applyFill="1" applyBorder="1" applyAlignment="1">
      <alignment horizontal="center"/>
    </xf>
    <xf numFmtId="2" fontId="42" fillId="0" borderId="13" xfId="13" quotePrefix="1" applyNumberFormat="1" applyFont="1" applyBorder="1" applyAlignment="1">
      <alignment horizontal="center"/>
    </xf>
    <xf numFmtId="2" fontId="42" fillId="0" borderId="0" xfId="13" applyNumberFormat="1" applyFont="1" applyFill="1" applyAlignment="1">
      <alignment horizontal="center"/>
    </xf>
    <xf numFmtId="0" fontId="42" fillId="0" borderId="2" xfId="13" quotePrefix="1" applyFont="1" applyFill="1" applyBorder="1" applyAlignment="1">
      <alignment horizontal="center"/>
    </xf>
    <xf numFmtId="0" fontId="92" fillId="0" borderId="0" xfId="13" applyFont="1" applyFill="1" applyAlignment="1">
      <alignment horizontal="center"/>
    </xf>
    <xf numFmtId="0" fontId="37" fillId="0" borderId="0" xfId="13"/>
    <xf numFmtId="0" fontId="42" fillId="0" borderId="0" xfId="13" applyFont="1" applyFill="1"/>
    <xf numFmtId="0" fontId="42" fillId="0" borderId="0" xfId="13" applyFont="1" applyFill="1" applyAlignment="1">
      <alignment horizontal="center"/>
    </xf>
    <xf numFmtId="0" fontId="19" fillId="3" borderId="0" xfId="0" applyFont="1" applyFill="1" applyBorder="1" applyAlignment="1">
      <alignment horizontal="right" vertical="center"/>
    </xf>
    <xf numFmtId="0" fontId="19" fillId="5" borderId="0" xfId="0" applyFont="1" applyFill="1" applyBorder="1" applyAlignment="1">
      <alignment horizontal="right" vertical="center"/>
    </xf>
    <xf numFmtId="0" fontId="19" fillId="3" borderId="25" xfId="0" applyFont="1" applyFill="1" applyBorder="1" applyAlignment="1">
      <alignment horizontal="right" vertical="center"/>
    </xf>
    <xf numFmtId="1" fontId="62" fillId="0" borderId="0" xfId="0" applyNumberFormat="1" applyFont="1" applyFill="1" applyBorder="1" applyAlignment="1">
      <alignment horizontal="left"/>
    </xf>
    <xf numFmtId="1" fontId="62" fillId="7" borderId="0" xfId="0" applyNumberFormat="1" applyFont="1" applyFill="1" applyBorder="1" applyAlignment="1">
      <alignment horizontal="left"/>
    </xf>
    <xf numFmtId="0" fontId="14" fillId="2" borderId="0" xfId="0" applyFont="1" applyFill="1"/>
    <xf numFmtId="1" fontId="64" fillId="0" borderId="0" xfId="0" applyNumberFormat="1" applyFont="1" applyFill="1" applyBorder="1" applyAlignment="1">
      <alignment horizontal="left"/>
    </xf>
    <xf numFmtId="0" fontId="64" fillId="5" borderId="0" xfId="0" applyFont="1" applyFill="1" applyBorder="1" applyAlignment="1">
      <alignment horizontal="center"/>
    </xf>
    <xf numFmtId="183" fontId="65" fillId="3" borderId="15" xfId="0" applyNumberFormat="1" applyFont="1" applyFill="1" applyBorder="1" applyAlignment="1">
      <alignment horizontal="right"/>
    </xf>
    <xf numFmtId="184" fontId="65" fillId="3" borderId="11" xfId="0" applyNumberFormat="1" applyFont="1" applyFill="1" applyBorder="1" applyAlignment="1">
      <alignment horizontal="right"/>
    </xf>
    <xf numFmtId="0" fontId="64" fillId="3" borderId="2" xfId="0" applyFont="1" applyFill="1" applyBorder="1" applyAlignment="1">
      <alignment horizontal="center" vertical="top"/>
    </xf>
    <xf numFmtId="0" fontId="62" fillId="0" borderId="0" xfId="0" applyFont="1"/>
    <xf numFmtId="0" fontId="64" fillId="5" borderId="2" xfId="0" applyFont="1" applyFill="1" applyBorder="1" applyAlignment="1">
      <alignment horizontal="left" vertical="top"/>
    </xf>
    <xf numFmtId="14" fontId="36" fillId="2" borderId="0" xfId="0" applyNumberFormat="1" applyFont="1" applyFill="1"/>
    <xf numFmtId="0" fontId="74" fillId="2" borderId="0" xfId="0" applyFont="1" applyFill="1"/>
    <xf numFmtId="2" fontId="29" fillId="6" borderId="0" xfId="0" applyNumberFormat="1" applyFont="1" applyFill="1" applyAlignment="1">
      <alignment horizontal="left"/>
    </xf>
    <xf numFmtId="0" fontId="74" fillId="0" borderId="0" xfId="0" applyFont="1" applyFill="1"/>
    <xf numFmtId="0" fontId="63" fillId="2" borderId="0" xfId="0" applyFont="1" applyFill="1"/>
    <xf numFmtId="0" fontId="38" fillId="2" borderId="0" xfId="0" applyFont="1" applyFill="1" applyAlignment="1">
      <alignment horizontal="left"/>
    </xf>
    <xf numFmtId="2" fontId="16" fillId="2" borderId="0" xfId="0" applyNumberFormat="1" applyFont="1" applyFill="1" applyAlignment="1">
      <alignment horizontal="center"/>
    </xf>
    <xf numFmtId="0" fontId="17" fillId="2" borderId="0" xfId="0" applyFont="1" applyFill="1" applyAlignment="1"/>
    <xf numFmtId="0" fontId="16" fillId="2" borderId="0" xfId="0" applyNumberFormat="1" applyFont="1" applyFill="1" applyAlignment="1">
      <alignment horizontal="center"/>
    </xf>
    <xf numFmtId="0" fontId="4" fillId="2" borderId="0" xfId="0" applyFont="1" applyFill="1" applyAlignment="1">
      <alignment horizontal="left"/>
    </xf>
    <xf numFmtId="0" fontId="4" fillId="2" borderId="0" xfId="0" applyFont="1" applyFill="1"/>
    <xf numFmtId="0" fontId="94" fillId="6" borderId="0" xfId="0" applyFont="1" applyFill="1"/>
    <xf numFmtId="0" fontId="6" fillId="11" borderId="0" xfId="0" applyFont="1" applyFill="1" applyAlignment="1">
      <alignment horizontal="left"/>
    </xf>
    <xf numFmtId="0" fontId="6" fillId="11" borderId="0" xfId="0" applyFont="1" applyFill="1"/>
    <xf numFmtId="0" fontId="9" fillId="11" borderId="0" xfId="0" applyFont="1" applyFill="1"/>
    <xf numFmtId="3" fontId="96" fillId="5" borderId="0" xfId="0" applyNumberFormat="1" applyFont="1" applyFill="1" applyBorder="1" applyAlignment="1">
      <alignment horizontal="center"/>
    </xf>
    <xf numFmtId="3" fontId="96" fillId="5" borderId="0" xfId="0" applyNumberFormat="1" applyFont="1" applyFill="1" applyBorder="1" applyAlignment="1">
      <alignment horizontal="center" vertical="top"/>
    </xf>
    <xf numFmtId="184" fontId="64" fillId="5" borderId="3" xfId="0" applyNumberFormat="1" applyFont="1" applyFill="1" applyBorder="1" applyAlignment="1">
      <alignment horizontal="center"/>
    </xf>
    <xf numFmtId="184" fontId="64" fillId="5" borderId="11" xfId="0" applyNumberFormat="1" applyFont="1" applyFill="1" applyBorder="1" applyAlignment="1">
      <alignment horizontal="center"/>
    </xf>
    <xf numFmtId="184" fontId="64" fillId="3" borderId="4" xfId="0" applyNumberFormat="1" applyFont="1" applyFill="1" applyBorder="1" applyAlignment="1">
      <alignment horizontal="center" vertical="center"/>
    </xf>
    <xf numFmtId="184" fontId="64" fillId="5" borderId="4" xfId="0" applyNumberFormat="1" applyFont="1" applyFill="1" applyBorder="1" applyAlignment="1">
      <alignment horizontal="center" vertical="center"/>
    </xf>
    <xf numFmtId="0" fontId="3" fillId="0" borderId="2" xfId="0" applyFont="1" applyBorder="1" applyAlignment="1">
      <alignment vertical="top" wrapText="1"/>
    </xf>
    <xf numFmtId="0" fontId="2" fillId="0" borderId="2" xfId="0" applyFont="1" applyBorder="1" applyAlignment="1">
      <alignment wrapText="1"/>
    </xf>
    <xf numFmtId="0" fontId="3" fillId="0" borderId="0" xfId="0" applyFont="1" applyBorder="1" applyAlignment="1">
      <alignment vertical="top" wrapText="1"/>
    </xf>
    <xf numFmtId="0" fontId="0" fillId="0" borderId="0" xfId="0" applyAlignment="1">
      <alignment wrapText="1"/>
    </xf>
    <xf numFmtId="0" fontId="0" fillId="0" borderId="2" xfId="0" applyBorder="1" applyAlignment="1">
      <alignment wrapText="1"/>
    </xf>
    <xf numFmtId="0" fontId="3" fillId="7" borderId="2" xfId="0" applyFont="1" applyFill="1" applyBorder="1" applyAlignment="1">
      <alignment vertical="top" wrapText="1"/>
    </xf>
    <xf numFmtId="3" fontId="3" fillId="0" borderId="2" xfId="0" applyNumberFormat="1" applyFont="1" applyBorder="1" applyAlignment="1">
      <alignment horizontal="left" vertical="top" wrapText="1"/>
    </xf>
    <xf numFmtId="0" fontId="0" fillId="0" borderId="2" xfId="0" applyBorder="1" applyAlignment="1">
      <alignment vertical="top" wrapText="1"/>
    </xf>
    <xf numFmtId="0" fontId="4" fillId="5" borderId="1" xfId="0" applyFont="1" applyFill="1" applyBorder="1" applyAlignment="1">
      <alignment horizontal="center"/>
    </xf>
    <xf numFmtId="0" fontId="0" fillId="0" borderId="1" xfId="0" applyBorder="1" applyAlignment="1">
      <alignment horizontal="center"/>
    </xf>
    <xf numFmtId="0" fontId="4" fillId="5" borderId="1" xfId="0" applyFont="1" applyFill="1" applyBorder="1" applyAlignment="1">
      <alignment horizontal="center" wrapText="1"/>
    </xf>
    <xf numFmtId="0" fontId="5" fillId="0" borderId="0" xfId="0" applyFont="1" applyAlignment="1">
      <alignment horizontal="left" wrapText="1"/>
    </xf>
    <xf numFmtId="0" fontId="3" fillId="0" borderId="0" xfId="0" applyFont="1" applyBorder="1" applyAlignment="1">
      <alignment horizontal="left" vertical="top" wrapText="1"/>
    </xf>
    <xf numFmtId="0" fontId="26" fillId="0" borderId="0" xfId="0" applyFont="1" applyAlignment="1">
      <alignment wrapText="1"/>
    </xf>
    <xf numFmtId="0" fontId="23" fillId="0" borderId="0" xfId="0" applyFont="1" applyAlignment="1">
      <alignment horizontal="left" vertical="top" wrapText="1"/>
    </xf>
    <xf numFmtId="0" fontId="0" fillId="0" borderId="0" xfId="0" applyAlignment="1">
      <alignment vertical="top" wrapText="1"/>
    </xf>
    <xf numFmtId="0" fontId="3" fillId="7" borderId="0" xfId="0" applyFont="1" applyFill="1" applyAlignment="1">
      <alignment vertical="top" wrapText="1"/>
    </xf>
    <xf numFmtId="0" fontId="9" fillId="6" borderId="0" xfId="17" applyFont="1" applyFill="1" applyAlignment="1">
      <alignment horizontal="center" textRotation="180" wrapText="1"/>
    </xf>
    <xf numFmtId="0" fontId="5" fillId="6" borderId="0" xfId="17" applyFont="1" applyFill="1" applyAlignment="1">
      <alignment horizontal="center"/>
    </xf>
    <xf numFmtId="0" fontId="9" fillId="2" borderId="0" xfId="17" applyFont="1" applyFill="1" applyAlignment="1">
      <alignment horizontal="center" vertical="center" textRotation="180"/>
    </xf>
    <xf numFmtId="0" fontId="76" fillId="0" borderId="0" xfId="17" applyAlignment="1">
      <alignment vertical="center"/>
    </xf>
    <xf numFmtId="0" fontId="3" fillId="0" borderId="2" xfId="0" applyFont="1" applyFill="1" applyBorder="1" applyAlignment="1">
      <alignment vertical="top" wrapText="1"/>
    </xf>
    <xf numFmtId="0" fontId="4" fillId="3" borderId="1" xfId="0" applyFont="1" applyFill="1" applyBorder="1" applyAlignment="1">
      <alignment horizontal="center"/>
    </xf>
    <xf numFmtId="0" fontId="6" fillId="3" borderId="1" xfId="0" applyFont="1" applyFill="1" applyBorder="1" applyAlignment="1">
      <alignment horizontal="center"/>
    </xf>
    <xf numFmtId="0" fontId="14" fillId="0" borderId="1" xfId="0" applyFont="1" applyBorder="1" applyAlignment="1">
      <alignment horizontal="center"/>
    </xf>
    <xf numFmtId="0" fontId="0" fillId="0" borderId="1" xfId="0" applyBorder="1" applyAlignment="1"/>
    <xf numFmtId="0" fontId="24" fillId="0" borderId="0" xfId="0" applyFont="1" applyBorder="1" applyAlignment="1">
      <alignment wrapText="1"/>
    </xf>
    <xf numFmtId="0" fontId="3" fillId="0" borderId="0" xfId="0" applyFont="1" applyAlignment="1">
      <alignment wrapText="1"/>
    </xf>
    <xf numFmtId="0" fontId="24" fillId="0" borderId="0" xfId="0" applyFont="1" applyBorder="1" applyAlignment="1">
      <alignment vertical="top" wrapText="1"/>
    </xf>
    <xf numFmtId="3" fontId="3" fillId="7" borderId="2" xfId="0" applyNumberFormat="1" applyFont="1" applyFill="1" applyBorder="1" applyAlignment="1">
      <alignment horizontal="left" vertical="top" wrapText="1"/>
    </xf>
  </cellXfs>
  <cellStyles count="20">
    <cellStyle name="Normal_KV_liste T1" xfId="1" xr:uid="{F9BE6DC3-6FF0-0A40-BAC1-979EA1922A56}"/>
    <cellStyle name="Normal_KV_liste T10" xfId="2" xr:uid="{17158E47-8596-A647-8CC0-DA85638BF0C1}"/>
    <cellStyle name="Normal_KV_liste T11" xfId="3" xr:uid="{5933C47F-DFDF-984B-A63B-7B4CCD1B2C80}"/>
    <cellStyle name="Normal_KV_liste T2" xfId="4" xr:uid="{DDB38018-774E-3942-B14E-822A291FA75D}"/>
    <cellStyle name="Normal_KV_liste T3" xfId="5" xr:uid="{01B6C0EF-D846-EF46-B2BF-C8F9A5F5B521}"/>
    <cellStyle name="Normal_KV_liste T4" xfId="6" xr:uid="{0C6B4664-412D-A84D-8618-66A12CA8F168}"/>
    <cellStyle name="Normal_KV_liste T5" xfId="7" xr:uid="{09D902DB-BBCE-044F-9132-178F3A4AE0FE}"/>
    <cellStyle name="Normal_KV_liste T6" xfId="8" xr:uid="{8816F251-E505-264C-A585-741900037CF3}"/>
    <cellStyle name="Normal_KV_liste T7" xfId="9" xr:uid="{7B5A0138-DE37-7A43-A2CA-340499A58B5B}"/>
    <cellStyle name="Normal_KV_liste T8" xfId="10" xr:uid="{17EA92D0-F8CE-A04F-A9E3-C189FF560ECB}"/>
    <cellStyle name="Normal_KV_liste T9" xfId="11" xr:uid="{96AC66C2-D32E-874B-9909-0EAB6601E11A}"/>
    <cellStyle name="Normal_KV0_6 annexe B_fd" xfId="12" xr:uid="{D5D22D57-3FF8-B84F-835C-3D3031392CCD}"/>
    <cellStyle name="Normal_KV0_6 annexe Bwww_fd" xfId="13" xr:uid="{AE0E522C-258E-AE42-9984-1BF6AA955802}"/>
    <cellStyle name="Normal_KV5_Aufsichtsdaten_2004_formate_310505" xfId="14" xr:uid="{0595A1B9-E098-654E-A709-163B5C04FC68}"/>
    <cellStyle name="Normal_KV906" xfId="15" xr:uid="{23DAB461-5A9C-6B4D-BEF1-49B8BF992EEF}"/>
    <cellStyle name="Normal_KV907" xfId="16" xr:uid="{8BBB6A3F-8288-1E43-9BA0-9F982DF15C8E}"/>
    <cellStyle name="Normal_KV908" xfId="17" xr:uid="{9E99C276-C93F-2742-B246-1F19479ADC1D}"/>
    <cellStyle name="Normal_modif EF1_112_d_241104" xfId="18" xr:uid="{C177B3FB-1DC7-B34C-866A-4A77F8058732}"/>
    <cellStyle name="Prozent" xfId="19" builtinId="5"/>
    <cellStyle name="Standard"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de-DE"/>
              <a:t>Anzahl Ärzte mit Praxistätigkeit und Apotheken 1985 – 2000 (Daten 1999)</a:t>
            </a:r>
          </a:p>
        </c:rich>
      </c:tx>
      <c:overlay val="0"/>
      <c:spPr>
        <a:noFill/>
        <a:ln w="25400">
          <a:noFill/>
        </a:ln>
      </c:spPr>
    </c:title>
    <c:autoTitleDeleted val="0"/>
    <c:plotArea>
      <c:layout/>
      <c:lineChart>
        <c:grouping val="standard"/>
        <c:varyColors val="0"/>
        <c:ser>
          <c:idx val="1"/>
          <c:order val="0"/>
          <c:tx>
            <c:strRef>
              <c:f>'909d'!$D$5</c:f>
              <c:strCache>
                <c:ptCount val="1"/>
              </c:strCache>
            </c:strRef>
          </c:tx>
          <c:spPr>
            <a:ln w="12700">
              <a:solidFill>
                <a:srgbClr val="000000"/>
              </a:solidFill>
              <a:prstDash val="solid"/>
            </a:ln>
          </c:spPr>
          <c:marker>
            <c:symbol val="circle"/>
            <c:size val="6"/>
            <c:spPr>
              <a:solidFill>
                <a:srgbClr val="FFFFFF"/>
              </a:solidFill>
              <a:ln>
                <a:solidFill>
                  <a:srgbClr val="000000"/>
                </a:solidFill>
                <a:prstDash val="solid"/>
              </a:ln>
            </c:spPr>
          </c:marker>
          <c:cat>
            <c:strRef>
              <c:f>'909d'!$A$8:$A$34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'909d'!$D$8:$D$34</c:f>
              <c:numCache>
                <c:formatCode>#,##0</c:formatCode>
                <c:ptCount val="27"/>
                <c:pt idx="0">
                  <c:v>2091</c:v>
                </c:pt>
                <c:pt idx="1">
                  <c:v>1412</c:v>
                </c:pt>
                <c:pt idx="2">
                  <c:v>334</c:v>
                </c:pt>
                <c:pt idx="3">
                  <c:v>24</c:v>
                </c:pt>
                <c:pt idx="4">
                  <c:v>103</c:v>
                </c:pt>
                <c:pt idx="5">
                  <c:v>16</c:v>
                </c:pt>
                <c:pt idx="6">
                  <c:v>29</c:v>
                </c:pt>
                <c:pt idx="7">
                  <c:v>29</c:v>
                </c:pt>
                <c:pt idx="8">
                  <c:v>126</c:v>
                </c:pt>
                <c:pt idx="9">
                  <c:v>265</c:v>
                </c:pt>
                <c:pt idx="10">
                  <c:v>244</c:v>
                </c:pt>
                <c:pt idx="11">
                  <c:v>583</c:v>
                </c:pt>
                <c:pt idx="12">
                  <c:v>356</c:v>
                </c:pt>
                <c:pt idx="13">
                  <c:v>86</c:v>
                </c:pt>
                <c:pt idx="14">
                  <c:v>53</c:v>
                </c:pt>
                <c:pt idx="15">
                  <c:v>12</c:v>
                </c:pt>
                <c:pt idx="16">
                  <c:v>455</c:v>
                </c:pt>
                <c:pt idx="17">
                  <c:v>201</c:v>
                </c:pt>
                <c:pt idx="18">
                  <c:v>573</c:v>
                </c:pt>
                <c:pt idx="19">
                  <c:v>172</c:v>
                </c:pt>
                <c:pt idx="20">
                  <c:v>473</c:v>
                </c:pt>
                <c:pt idx="21">
                  <c:v>1193</c:v>
                </c:pt>
                <c:pt idx="22">
                  <c:v>333</c:v>
                </c:pt>
                <c:pt idx="23">
                  <c:v>258</c:v>
                </c:pt>
                <c:pt idx="24">
                  <c:v>1188</c:v>
                </c:pt>
                <c:pt idx="25">
                  <c:v>70</c:v>
                </c:pt>
                <c:pt idx="26">
                  <c:v>10679</c:v>
                </c:pt>
              </c:numCache>
            </c:numRef>
          </c:val>
          <c:smooth val="0"/>
          <c:extLst>
            <c:ext xmlns:c16="http://schemas.microsoft.com/office/drawing/2014/chart" uri="{C3380CC4-5D6E-409C-BE32-E72D297353CC}">
              <c16:uniqueId val="{00000000-C72D-A944-888C-F105C2DBFFF5}"/>
            </c:ext>
          </c:extLst>
        </c:ser>
        <c:dLbls>
          <c:showLegendKey val="0"/>
          <c:showVal val="0"/>
          <c:showCatName val="0"/>
          <c:showSerName val="0"/>
          <c:showPercent val="0"/>
          <c:showBubbleSize val="0"/>
        </c:dLbls>
        <c:marker val="1"/>
        <c:smooth val="0"/>
        <c:axId val="1621700624"/>
        <c:axId val="1"/>
      </c:lineChart>
      <c:lineChart>
        <c:grouping val="standard"/>
        <c:varyColors val="0"/>
        <c:ser>
          <c:idx val="0"/>
          <c:order val="1"/>
          <c:tx>
            <c:strRef>
              <c:f>'909d'!$H$5</c:f>
              <c:strCache>
                <c:ptCount val="1"/>
                <c:pt idx="0">
                  <c:v>Anzahl Apotheken (rechte Skala)</c:v>
                </c:pt>
              </c:strCache>
            </c:strRef>
          </c:tx>
          <c:spPr>
            <a:ln w="12700">
              <a:solidFill>
                <a:srgbClr val="000000"/>
              </a:solidFill>
              <a:prstDash val="solid"/>
            </a:ln>
          </c:spPr>
          <c:marker>
            <c:symbol val="diamond"/>
            <c:size val="6"/>
            <c:spPr>
              <a:solidFill>
                <a:srgbClr val="000000"/>
              </a:solidFill>
              <a:ln>
                <a:solidFill>
                  <a:srgbClr val="000000"/>
                </a:solidFill>
                <a:prstDash val="solid"/>
              </a:ln>
            </c:spPr>
          </c:marker>
          <c:cat>
            <c:strRef>
              <c:f>'909d'!$A$8:$A$34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'909d'!$H$8:$H$34</c:f>
              <c:numCache>
                <c:formatCode>#,##0</c:formatCode>
                <c:ptCount val="27"/>
                <c:pt idx="0">
                  <c:v>218</c:v>
                </c:pt>
                <c:pt idx="1">
                  <c:v>181</c:v>
                </c:pt>
                <c:pt idx="2">
                  <c:v>32</c:v>
                </c:pt>
                <c:pt idx="3">
                  <c:v>2</c:v>
                </c:pt>
                <c:pt idx="4">
                  <c:v>12</c:v>
                </c:pt>
                <c:pt idx="5">
                  <c:v>3</c:v>
                </c:pt>
                <c:pt idx="6">
                  <c:v>2</c:v>
                </c:pt>
                <c:pt idx="7">
                  <c:v>2</c:v>
                </c:pt>
                <c:pt idx="8">
                  <c:v>14</c:v>
                </c:pt>
                <c:pt idx="9">
                  <c:v>64</c:v>
                </c:pt>
                <c:pt idx="10">
                  <c:v>26</c:v>
                </c:pt>
                <c:pt idx="11">
                  <c:v>70</c:v>
                </c:pt>
                <c:pt idx="12">
                  <c:v>39</c:v>
                </c:pt>
                <c:pt idx="13">
                  <c:v>13</c:v>
                </c:pt>
                <c:pt idx="14">
                  <c:v>5</c:v>
                </c:pt>
                <c:pt idx="15">
                  <c:v>1</c:v>
                </c:pt>
                <c:pt idx="16">
                  <c:v>48</c:v>
                </c:pt>
                <c:pt idx="17">
                  <c:v>37</c:v>
                </c:pt>
                <c:pt idx="18">
                  <c:v>109</c:v>
                </c:pt>
                <c:pt idx="19">
                  <c:v>22</c:v>
                </c:pt>
                <c:pt idx="20">
                  <c:v>175</c:v>
                </c:pt>
                <c:pt idx="21">
                  <c:v>241</c:v>
                </c:pt>
                <c:pt idx="22">
                  <c:v>110</c:v>
                </c:pt>
                <c:pt idx="23">
                  <c:v>57</c:v>
                </c:pt>
                <c:pt idx="24">
                  <c:v>170</c:v>
                </c:pt>
                <c:pt idx="25">
                  <c:v>19</c:v>
                </c:pt>
                <c:pt idx="26">
                  <c:v>1672</c:v>
                </c:pt>
              </c:numCache>
            </c:numRef>
          </c:val>
          <c:smooth val="0"/>
          <c:extLst>
            <c:ext xmlns:c16="http://schemas.microsoft.com/office/drawing/2014/chart" uri="{C3380CC4-5D6E-409C-BE32-E72D297353CC}">
              <c16:uniqueId val="{00000001-C72D-A944-888C-F105C2DBFFF5}"/>
            </c:ext>
          </c:extLst>
        </c:ser>
        <c:dLbls>
          <c:showLegendKey val="0"/>
          <c:showVal val="0"/>
          <c:showCatName val="0"/>
          <c:showSerName val="0"/>
          <c:showPercent val="0"/>
          <c:showBubbleSize val="0"/>
        </c:dLbls>
        <c:marker val="1"/>
        <c:smooth val="0"/>
        <c:axId val="3"/>
        <c:axId val="4"/>
      </c:lineChart>
      <c:catAx>
        <c:axId val="1621700624"/>
        <c:scaling>
          <c:orientation val="minMax"/>
        </c:scaling>
        <c:delete val="0"/>
        <c:axPos val="b"/>
        <c:numFmt formatCode="General" sourceLinked="1"/>
        <c:majorTickMark val="cross"/>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55 Helvetica Roman"/>
                <a:ea typeface="55 Helvetica Roman"/>
                <a:cs typeface="55 Helvetica Roman"/>
              </a:defRPr>
            </a:pPr>
            <a:endParaRPr lang="de-DE"/>
          </a:p>
        </c:txPr>
        <c:crossAx val="1"/>
        <c:crosses val="autoZero"/>
        <c:auto val="0"/>
        <c:lblAlgn val="ctr"/>
        <c:lblOffset val="100"/>
        <c:tickLblSkip val="2"/>
        <c:tickMarkSkip val="1"/>
        <c:noMultiLvlLbl val="0"/>
      </c:catAx>
      <c:valAx>
        <c:axId val="1"/>
        <c:scaling>
          <c:orientation val="minMax"/>
          <c:max val="18000"/>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1621700624"/>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in val="0"/>
        </c:scaling>
        <c:delete val="0"/>
        <c:axPos val="r"/>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3"/>
        <c:crosses val="max"/>
        <c:crossBetween val="between"/>
      </c:valAx>
      <c:spPr>
        <a:solidFill>
          <a:srgbClr val="FFFFFF"/>
        </a:solidFill>
        <a:ln w="12700">
          <a:solidFill>
            <a:srgbClr val="000000"/>
          </a:solidFill>
          <a:prstDash val="solid"/>
        </a:ln>
      </c:spPr>
    </c:plotArea>
    <c:legend>
      <c:legendPos val="r"/>
      <c:overlay val="0"/>
      <c:spPr>
        <a:solidFill>
          <a:srgbClr val="FFFFFF"/>
        </a:solidFill>
        <a:ln w="12700">
          <a:solidFill>
            <a:srgbClr val="000000"/>
          </a:solidFill>
          <a:prstDash val="solid"/>
        </a:ln>
      </c:spPr>
      <c:txPr>
        <a:bodyPr/>
        <a:lstStyle/>
        <a:p>
          <a:pPr>
            <a:defRPr sz="920" b="0" i="0" u="none" strike="noStrike" baseline="0">
              <a:solidFill>
                <a:srgbClr val="000000"/>
              </a:solidFill>
              <a:latin typeface="55 Helvetica Roman"/>
              <a:ea typeface="55 Helvetica Roman"/>
              <a:cs typeface="55 Helvetica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de-DE"/>
              <a:t>Anzahl Ärzte mit Praxistätigkeit und Apotheken 1985 – 2000 (Daten 1999)</a:t>
            </a:r>
          </a:p>
        </c:rich>
      </c:tx>
      <c:overlay val="0"/>
      <c:spPr>
        <a:noFill/>
        <a:ln w="25400">
          <a:noFill/>
        </a:ln>
      </c:spPr>
    </c:title>
    <c:autoTitleDeleted val="0"/>
    <c:plotArea>
      <c:layout/>
      <c:lineChart>
        <c:grouping val="standard"/>
        <c:varyColors val="0"/>
        <c:ser>
          <c:idx val="1"/>
          <c:order val="0"/>
          <c:tx>
            <c:strRef>
              <c:f>'909d'!$D$5</c:f>
              <c:strCache>
                <c:ptCount val="1"/>
              </c:strCache>
            </c:strRef>
          </c:tx>
          <c:spPr>
            <a:ln w="12700">
              <a:solidFill>
                <a:srgbClr val="000000"/>
              </a:solidFill>
              <a:prstDash val="solid"/>
            </a:ln>
          </c:spPr>
          <c:marker>
            <c:symbol val="circle"/>
            <c:size val="6"/>
            <c:spPr>
              <a:solidFill>
                <a:srgbClr val="FFFFFF"/>
              </a:solidFill>
              <a:ln>
                <a:solidFill>
                  <a:srgbClr val="000000"/>
                </a:solidFill>
                <a:prstDash val="solid"/>
              </a:ln>
            </c:spPr>
          </c:marker>
          <c:cat>
            <c:strRef>
              <c:f>'909d'!$A$8:$A$34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'909d'!$D$8:$D$34</c:f>
              <c:numCache>
                <c:formatCode>#,##0</c:formatCode>
                <c:ptCount val="27"/>
                <c:pt idx="0">
                  <c:v>2091</c:v>
                </c:pt>
                <c:pt idx="1">
                  <c:v>1412</c:v>
                </c:pt>
                <c:pt idx="2">
                  <c:v>334</c:v>
                </c:pt>
                <c:pt idx="3">
                  <c:v>24</c:v>
                </c:pt>
                <c:pt idx="4">
                  <c:v>103</c:v>
                </c:pt>
                <c:pt idx="5">
                  <c:v>16</c:v>
                </c:pt>
                <c:pt idx="6">
                  <c:v>29</c:v>
                </c:pt>
                <c:pt idx="7">
                  <c:v>29</c:v>
                </c:pt>
                <c:pt idx="8">
                  <c:v>126</c:v>
                </c:pt>
                <c:pt idx="9">
                  <c:v>265</c:v>
                </c:pt>
                <c:pt idx="10">
                  <c:v>244</c:v>
                </c:pt>
                <c:pt idx="11">
                  <c:v>583</c:v>
                </c:pt>
                <c:pt idx="12">
                  <c:v>356</c:v>
                </c:pt>
                <c:pt idx="13">
                  <c:v>86</c:v>
                </c:pt>
                <c:pt idx="14">
                  <c:v>53</c:v>
                </c:pt>
                <c:pt idx="15">
                  <c:v>12</c:v>
                </c:pt>
                <c:pt idx="16">
                  <c:v>455</c:v>
                </c:pt>
                <c:pt idx="17">
                  <c:v>201</c:v>
                </c:pt>
                <c:pt idx="18">
                  <c:v>573</c:v>
                </c:pt>
                <c:pt idx="19">
                  <c:v>172</c:v>
                </c:pt>
                <c:pt idx="20">
                  <c:v>473</c:v>
                </c:pt>
                <c:pt idx="21">
                  <c:v>1193</c:v>
                </c:pt>
                <c:pt idx="22">
                  <c:v>333</c:v>
                </c:pt>
                <c:pt idx="23">
                  <c:v>258</c:v>
                </c:pt>
                <c:pt idx="24">
                  <c:v>1188</c:v>
                </c:pt>
                <c:pt idx="25">
                  <c:v>70</c:v>
                </c:pt>
                <c:pt idx="26">
                  <c:v>10679</c:v>
                </c:pt>
              </c:numCache>
            </c:numRef>
          </c:val>
          <c:smooth val="0"/>
          <c:extLst>
            <c:ext xmlns:c16="http://schemas.microsoft.com/office/drawing/2014/chart" uri="{C3380CC4-5D6E-409C-BE32-E72D297353CC}">
              <c16:uniqueId val="{00000000-962F-0641-BAE1-E3DFD7CAECAF}"/>
            </c:ext>
          </c:extLst>
        </c:ser>
        <c:dLbls>
          <c:showLegendKey val="0"/>
          <c:showVal val="0"/>
          <c:showCatName val="0"/>
          <c:showSerName val="0"/>
          <c:showPercent val="0"/>
          <c:showBubbleSize val="0"/>
        </c:dLbls>
        <c:marker val="1"/>
        <c:smooth val="0"/>
        <c:axId val="1621934576"/>
        <c:axId val="1"/>
      </c:lineChart>
      <c:lineChart>
        <c:grouping val="standard"/>
        <c:varyColors val="0"/>
        <c:ser>
          <c:idx val="0"/>
          <c:order val="1"/>
          <c:tx>
            <c:strRef>
              <c:f>'909d'!$H$5</c:f>
              <c:strCache>
                <c:ptCount val="1"/>
                <c:pt idx="0">
                  <c:v>Anzahl Apotheken (rechte Skala)</c:v>
                </c:pt>
              </c:strCache>
            </c:strRef>
          </c:tx>
          <c:spPr>
            <a:ln w="12700">
              <a:solidFill>
                <a:srgbClr val="000000"/>
              </a:solidFill>
              <a:prstDash val="solid"/>
            </a:ln>
          </c:spPr>
          <c:marker>
            <c:symbol val="diamond"/>
            <c:size val="6"/>
            <c:spPr>
              <a:solidFill>
                <a:srgbClr val="000000"/>
              </a:solidFill>
              <a:ln>
                <a:solidFill>
                  <a:srgbClr val="000000"/>
                </a:solidFill>
                <a:prstDash val="solid"/>
              </a:ln>
            </c:spPr>
          </c:marker>
          <c:cat>
            <c:strRef>
              <c:f>'909d'!$A$8:$A$34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'909d'!$H$8:$H$34</c:f>
              <c:numCache>
                <c:formatCode>#,##0</c:formatCode>
                <c:ptCount val="27"/>
                <c:pt idx="0">
                  <c:v>218</c:v>
                </c:pt>
                <c:pt idx="1">
                  <c:v>181</c:v>
                </c:pt>
                <c:pt idx="2">
                  <c:v>32</c:v>
                </c:pt>
                <c:pt idx="3">
                  <c:v>2</c:v>
                </c:pt>
                <c:pt idx="4">
                  <c:v>12</c:v>
                </c:pt>
                <c:pt idx="5">
                  <c:v>3</c:v>
                </c:pt>
                <c:pt idx="6">
                  <c:v>2</c:v>
                </c:pt>
                <c:pt idx="7">
                  <c:v>2</c:v>
                </c:pt>
                <c:pt idx="8">
                  <c:v>14</c:v>
                </c:pt>
                <c:pt idx="9">
                  <c:v>64</c:v>
                </c:pt>
                <c:pt idx="10">
                  <c:v>26</c:v>
                </c:pt>
                <c:pt idx="11">
                  <c:v>70</c:v>
                </c:pt>
                <c:pt idx="12">
                  <c:v>39</c:v>
                </c:pt>
                <c:pt idx="13">
                  <c:v>13</c:v>
                </c:pt>
                <c:pt idx="14">
                  <c:v>5</c:v>
                </c:pt>
                <c:pt idx="15">
                  <c:v>1</c:v>
                </c:pt>
                <c:pt idx="16">
                  <c:v>48</c:v>
                </c:pt>
                <c:pt idx="17">
                  <c:v>37</c:v>
                </c:pt>
                <c:pt idx="18">
                  <c:v>109</c:v>
                </c:pt>
                <c:pt idx="19">
                  <c:v>22</c:v>
                </c:pt>
                <c:pt idx="20">
                  <c:v>175</c:v>
                </c:pt>
                <c:pt idx="21">
                  <c:v>241</c:v>
                </c:pt>
                <c:pt idx="22">
                  <c:v>110</c:v>
                </c:pt>
                <c:pt idx="23">
                  <c:v>57</c:v>
                </c:pt>
                <c:pt idx="24">
                  <c:v>170</c:v>
                </c:pt>
                <c:pt idx="25">
                  <c:v>19</c:v>
                </c:pt>
                <c:pt idx="26">
                  <c:v>1672</c:v>
                </c:pt>
              </c:numCache>
            </c:numRef>
          </c:val>
          <c:smooth val="0"/>
          <c:extLst>
            <c:ext xmlns:c16="http://schemas.microsoft.com/office/drawing/2014/chart" uri="{C3380CC4-5D6E-409C-BE32-E72D297353CC}">
              <c16:uniqueId val="{00000001-962F-0641-BAE1-E3DFD7CAECAF}"/>
            </c:ext>
          </c:extLst>
        </c:ser>
        <c:dLbls>
          <c:showLegendKey val="0"/>
          <c:showVal val="0"/>
          <c:showCatName val="0"/>
          <c:showSerName val="0"/>
          <c:showPercent val="0"/>
          <c:showBubbleSize val="0"/>
        </c:dLbls>
        <c:marker val="1"/>
        <c:smooth val="0"/>
        <c:axId val="3"/>
        <c:axId val="4"/>
      </c:lineChart>
      <c:catAx>
        <c:axId val="162193457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55 Helvetica Roman"/>
                <a:ea typeface="55 Helvetica Roman"/>
                <a:cs typeface="55 Helvetica Roman"/>
              </a:defRPr>
            </a:pPr>
            <a:endParaRPr lang="de-DE"/>
          </a:p>
        </c:txPr>
        <c:crossAx val="1"/>
        <c:crosses val="autoZero"/>
        <c:auto val="0"/>
        <c:lblAlgn val="ctr"/>
        <c:lblOffset val="100"/>
        <c:tickLblSkip val="25"/>
        <c:tickMarkSkip val="1"/>
        <c:noMultiLvlLbl val="0"/>
      </c:catAx>
      <c:valAx>
        <c:axId val="1"/>
        <c:scaling>
          <c:orientation val="minMax"/>
          <c:max val="18000"/>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1621934576"/>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in val="0"/>
        </c:scaling>
        <c:delete val="0"/>
        <c:axPos val="r"/>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3"/>
        <c:crosses val="max"/>
        <c:crossBetween val="between"/>
      </c:valAx>
      <c:spPr>
        <a:solidFill>
          <a:srgbClr val="FFFFFF"/>
        </a:solidFill>
        <a:ln w="12700">
          <a:solidFill>
            <a:srgbClr val="000000"/>
          </a:solidFill>
          <a:prstDash val="solid"/>
        </a:ln>
      </c:spPr>
    </c:plotArea>
    <c:legend>
      <c:legendPos val="r"/>
      <c:overlay val="0"/>
      <c:spPr>
        <a:solidFill>
          <a:srgbClr val="FFFFFF"/>
        </a:solidFill>
        <a:ln w="12700">
          <a:solidFill>
            <a:srgbClr val="000000"/>
          </a:solidFill>
          <a:prstDash val="solid"/>
        </a:ln>
      </c:spPr>
      <c:txPr>
        <a:bodyPr/>
        <a:lstStyle/>
        <a:p>
          <a:pPr>
            <a:defRPr sz="920" b="0" i="0" u="none" strike="noStrike" baseline="0">
              <a:solidFill>
                <a:srgbClr val="000000"/>
              </a:solidFill>
              <a:latin typeface="55 Helvetica Roman"/>
              <a:ea typeface="55 Helvetica Roman"/>
              <a:cs typeface="55 Helvetica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4921259845" footer="0.4921259845"/>
    <c:pageSetup/>
  </c:printSettings>
</c:chartSpac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76200</xdr:colOff>
      <xdr:row>2</xdr:row>
      <xdr:rowOff>317500</xdr:rowOff>
    </xdr:from>
    <xdr:to>
      <xdr:col>8</xdr:col>
      <xdr:colOff>317500</xdr:colOff>
      <xdr:row>8</xdr:row>
      <xdr:rowOff>63500</xdr:rowOff>
    </xdr:to>
    <xdr:sp macro="" textlink="">
      <xdr:nvSpPr>
        <xdr:cNvPr id="6145" name="AutoShape 1">
          <a:extLst>
            <a:ext uri="{FF2B5EF4-FFF2-40B4-BE49-F238E27FC236}">
              <a16:creationId xmlns:a16="http://schemas.microsoft.com/office/drawing/2014/main" id="{879401C5-7B36-C3F3-7080-CFA9E0E03757}"/>
            </a:ext>
          </a:extLst>
        </xdr:cNvPr>
        <xdr:cNvSpPr>
          <a:spLocks noChangeArrowheads="1"/>
        </xdr:cNvSpPr>
      </xdr:nvSpPr>
      <xdr:spPr bwMode="auto">
        <a:xfrm>
          <a:off x="3924300" y="850900"/>
          <a:ext cx="2616200" cy="1193800"/>
        </a:xfrm>
        <a:prstGeom prst="wedgeRectCallout">
          <a:avLst>
            <a:gd name="adj1" fmla="val -103625"/>
            <a:gd name="adj2" fmla="val 132171"/>
          </a:avLst>
        </a:prstGeom>
        <a:solidFill>
          <a:srgbClr xmlns:mc="http://schemas.openxmlformats.org/markup-compatibility/2006" xmlns:a14="http://schemas.microsoft.com/office/drawing/2010/main" val="E3E3E3" mc:Ignorable="a14" a14:legacySpreadsheetColorIndex="47"/>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de-DE" sz="1000" b="0" i="0" u="none" strike="noStrike" baseline="0">
              <a:solidFill>
                <a:srgbClr val="000000"/>
              </a:solidFill>
              <a:latin typeface="55 Helvetica Roman" charset="0"/>
            </a:rPr>
            <a:t>La partie tableaux sous forme Excel n'est disponible qu'en allemand.</a:t>
          </a:r>
        </a:p>
        <a:p>
          <a:pPr algn="l" rtl="0">
            <a:defRPr sz="1000"/>
          </a:pPr>
          <a:r>
            <a:rPr lang="de-DE" sz="1000" b="0" i="0" u="none" strike="noStrike" baseline="0">
              <a:solidFill>
                <a:srgbClr val="000000"/>
              </a:solidFill>
              <a:latin typeface="55 Helvetica Roman" charset="0"/>
            </a:rPr>
            <a:t>La version </a:t>
          </a:r>
          <a:r>
            <a:rPr lang="de-DE" sz="1000" b="1" i="0" u="none" strike="noStrike" baseline="0">
              <a:solidFill>
                <a:srgbClr val="000000"/>
              </a:solidFill>
              <a:latin typeface="55 Helvetica Roman" charset="0"/>
            </a:rPr>
            <a:t>française</a:t>
          </a:r>
          <a:r>
            <a:rPr lang="de-DE" sz="1000" b="0" i="0" u="none" strike="noStrike" baseline="0">
              <a:solidFill>
                <a:srgbClr val="000000"/>
              </a:solidFill>
              <a:latin typeface="55 Helvetica Roman" charset="0"/>
            </a:rPr>
            <a:t> est disponible dans la version complète 2005 sous forme PDF publiée ultérieurement (~janvier 2007). Il est aussi possible de se référer à la publication PDF 2004 contenant tous les tableaux en français .</a:t>
          </a:r>
        </a:p>
      </xdr:txBody>
    </xdr:sp>
    <xdr:clientData/>
  </xdr:twoCellAnchor>
  <xdr:twoCellAnchor>
    <xdr:from>
      <xdr:col>8</xdr:col>
      <xdr:colOff>457200</xdr:colOff>
      <xdr:row>37</xdr:row>
      <xdr:rowOff>139700</xdr:rowOff>
    </xdr:from>
    <xdr:to>
      <xdr:col>10</xdr:col>
      <xdr:colOff>609600</xdr:colOff>
      <xdr:row>43</xdr:row>
      <xdr:rowOff>76200</xdr:rowOff>
    </xdr:to>
    <xdr:sp macro="" textlink="">
      <xdr:nvSpPr>
        <xdr:cNvPr id="6146" name="AutoShape 2">
          <a:extLst>
            <a:ext uri="{FF2B5EF4-FFF2-40B4-BE49-F238E27FC236}">
              <a16:creationId xmlns:a16="http://schemas.microsoft.com/office/drawing/2014/main" id="{703FCAB0-8BA3-85DC-6B3B-A5BA065DF8BD}"/>
            </a:ext>
          </a:extLst>
        </xdr:cNvPr>
        <xdr:cNvSpPr>
          <a:spLocks noChangeArrowheads="1"/>
        </xdr:cNvSpPr>
      </xdr:nvSpPr>
      <xdr:spPr bwMode="auto">
        <a:xfrm>
          <a:off x="6680200" y="7581900"/>
          <a:ext cx="1524000" cy="1155700"/>
        </a:xfrm>
        <a:prstGeom prst="wedgeRectCallout">
          <a:avLst>
            <a:gd name="adj1" fmla="val -66569"/>
            <a:gd name="adj2" fmla="val 178319"/>
          </a:avLst>
        </a:prstGeom>
        <a:solidFill>
          <a:srgbClr xmlns:mc="http://schemas.openxmlformats.org/markup-compatibility/2006" xmlns:a14="http://schemas.microsoft.com/office/drawing/2010/main" val="1FB714" mc:Ignorable="a14" a14:legacySpreadsheetColorIndex="1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18288" rIns="0" bIns="0" anchor="t" upright="1"/>
        <a:lstStyle/>
        <a:p>
          <a:pPr algn="l" rtl="0">
            <a:defRPr sz="1000"/>
          </a:pPr>
          <a:r>
            <a:rPr lang="de-DE" sz="1000" b="1" i="0" u="none" strike="noStrike" baseline="0">
              <a:solidFill>
                <a:srgbClr val="000000"/>
              </a:solidFill>
              <a:latin typeface="55 Helvetica Roman" charset="0"/>
            </a:rPr>
            <a:t>Achtung !</a:t>
          </a:r>
        </a:p>
        <a:p>
          <a:pPr algn="l" rtl="0">
            <a:defRPr sz="1000"/>
          </a:pPr>
          <a:r>
            <a:rPr lang="de-DE" sz="1000" b="1" i="0" u="none" strike="noStrike" baseline="0">
              <a:solidFill>
                <a:srgbClr val="000000"/>
              </a:solidFill>
              <a:latin typeface="55 Helvetica Roman" charset="0"/>
            </a:rPr>
            <a:t>Neue Numerierung</a:t>
          </a:r>
        </a:p>
        <a:p>
          <a:pPr algn="l" rtl="0">
            <a:defRPr sz="1000"/>
          </a:pPr>
          <a:endParaRPr lang="de-DE" sz="1000" b="1" i="0" u="none" strike="noStrike" baseline="0">
            <a:solidFill>
              <a:srgbClr val="000000"/>
            </a:solidFill>
            <a:latin typeface="55 Helvetica Roman" charset="0"/>
          </a:endParaRPr>
        </a:p>
        <a:p>
          <a:pPr algn="l" rtl="0">
            <a:defRPr sz="1000"/>
          </a:pPr>
          <a:r>
            <a:rPr lang="de-DE" sz="1000" b="1" i="0" u="none" strike="noStrike" baseline="0">
              <a:solidFill>
                <a:srgbClr val="000000"/>
              </a:solidFill>
              <a:latin typeface="55 Helvetica Roman" charset="0"/>
            </a:rPr>
            <a:t>Attention !</a:t>
          </a:r>
        </a:p>
        <a:p>
          <a:pPr algn="l" rtl="0">
            <a:defRPr sz="1000"/>
          </a:pPr>
          <a:r>
            <a:rPr lang="de-DE" sz="1000" b="1" i="0" u="none" strike="noStrike" baseline="0">
              <a:solidFill>
                <a:srgbClr val="000000"/>
              </a:solidFill>
              <a:latin typeface="55 Helvetica Roman" charset="0"/>
            </a:rPr>
            <a:t>Nouvelle numérotation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51</xdr:row>
      <xdr:rowOff>0</xdr:rowOff>
    </xdr:from>
    <xdr:to>
      <xdr:col>11</xdr:col>
      <xdr:colOff>0</xdr:colOff>
      <xdr:row>51</xdr:row>
      <xdr:rowOff>0</xdr:rowOff>
    </xdr:to>
    <xdr:graphicFrame macro="">
      <xdr:nvGraphicFramePr>
        <xdr:cNvPr id="8193" name="Diagramm 1">
          <a:extLst>
            <a:ext uri="{FF2B5EF4-FFF2-40B4-BE49-F238E27FC236}">
              <a16:creationId xmlns:a16="http://schemas.microsoft.com/office/drawing/2014/main" id="{AA8A06EF-7294-46D9-806C-EAF3BCAC1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12700</xdr:colOff>
      <xdr:row>51</xdr:row>
      <xdr:rowOff>0</xdr:rowOff>
    </xdr:from>
    <xdr:to>
      <xdr:col>22</xdr:col>
      <xdr:colOff>0</xdr:colOff>
      <xdr:row>51</xdr:row>
      <xdr:rowOff>0</xdr:rowOff>
    </xdr:to>
    <xdr:graphicFrame macro="">
      <xdr:nvGraphicFramePr>
        <xdr:cNvPr id="8194" name="Diagramm 2">
          <a:extLst>
            <a:ext uri="{FF2B5EF4-FFF2-40B4-BE49-F238E27FC236}">
              <a16:creationId xmlns:a16="http://schemas.microsoft.com/office/drawing/2014/main" id="{D11BBADC-133E-F892-19BC-69B5578243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DD5DB-A025-E441-98AA-A1399B617D4E}">
  <sheetPr>
    <pageSetUpPr fitToPage="1"/>
  </sheetPr>
  <dimension ref="A1:M68"/>
  <sheetViews>
    <sheetView tabSelected="1" zoomScale="75" workbookViewId="0"/>
  </sheetViews>
  <sheetFormatPr baseColWidth="10" defaultColWidth="11.3984375" defaultRowHeight="13"/>
  <cols>
    <col min="1" max="1" width="12.796875" style="2" customWidth="1"/>
    <col min="2" max="2" width="11.796875" style="2" customWidth="1"/>
    <col min="3" max="3" width="12.3984375" style="2" customWidth="1"/>
    <col min="4" max="6" width="11.796875" style="2" customWidth="1"/>
    <col min="7" max="7" width="13.796875" style="2" customWidth="1"/>
    <col min="8" max="9" width="11.796875" style="2" customWidth="1"/>
    <col min="10" max="10" width="9.796875" style="2" customWidth="1"/>
    <col min="11" max="16384" width="11.3984375" style="2"/>
  </cols>
  <sheetData>
    <row r="1" spans="1:13" s="1" customFormat="1" ht="12" customHeight="1">
      <c r="A1"/>
      <c r="B1"/>
      <c r="C1"/>
      <c r="D1"/>
      <c r="E1"/>
      <c r="F1"/>
      <c r="G1"/>
      <c r="H1"/>
      <c r="I1"/>
    </row>
    <row r="2" spans="1:13" ht="30.75" customHeight="1">
      <c r="A2" s="6" t="s">
        <v>105</v>
      </c>
      <c r="B2"/>
      <c r="C2"/>
      <c r="D2"/>
      <c r="E2"/>
      <c r="F2"/>
      <c r="G2"/>
      <c r="H2"/>
      <c r="I2"/>
    </row>
    <row r="3" spans="1:13" ht="27" customHeight="1">
      <c r="A3" s="7"/>
      <c r="B3"/>
      <c r="C3"/>
      <c r="D3"/>
      <c r="E3"/>
      <c r="F3"/>
      <c r="G3"/>
      <c r="H3"/>
      <c r="I3"/>
    </row>
    <row r="4" spans="1:13" ht="15" customHeight="1">
      <c r="A4" s="8" t="s">
        <v>44</v>
      </c>
      <c r="B4"/>
      <c r="C4"/>
      <c r="D4"/>
      <c r="E4"/>
      <c r="F4"/>
      <c r="G4"/>
      <c r="H4"/>
      <c r="I4"/>
    </row>
    <row r="5" spans="1:13" ht="17.25" customHeight="1">
      <c r="A5"/>
      <c r="B5"/>
      <c r="C5"/>
      <c r="D5"/>
      <c r="E5"/>
      <c r="F5"/>
      <c r="G5"/>
      <c r="H5"/>
      <c r="I5"/>
    </row>
    <row r="6" spans="1:13" ht="15.75" customHeight="1">
      <c r="B6"/>
      <c r="C6"/>
      <c r="D6"/>
      <c r="E6"/>
      <c r="F6"/>
      <c r="G6"/>
      <c r="H6"/>
      <c r="I6"/>
      <c r="J6" s="9"/>
    </row>
    <row r="7" spans="1:13" ht="9.75" customHeight="1">
      <c r="A7"/>
      <c r="B7"/>
      <c r="C7"/>
      <c r="D7"/>
      <c r="E7"/>
      <c r="F7"/>
      <c r="G7"/>
      <c r="H7"/>
      <c r="I7"/>
      <c r="J7" s="9"/>
    </row>
    <row r="8" spans="1:13" ht="31.5" customHeight="1">
      <c r="A8" s="65" t="s">
        <v>1574</v>
      </c>
      <c r="B8"/>
      <c r="C8"/>
      <c r="D8"/>
      <c r="E8"/>
      <c r="F8"/>
      <c r="G8"/>
      <c r="H8"/>
      <c r="I8"/>
    </row>
    <row r="9" spans="1:13" ht="11.25" customHeight="1">
      <c r="B9"/>
      <c r="C9"/>
      <c r="D9"/>
      <c r="E9"/>
      <c r="F9"/>
      <c r="G9"/>
      <c r="H9"/>
      <c r="I9"/>
      <c r="K9" s="10"/>
      <c r="L9" s="10"/>
      <c r="M9" s="10"/>
    </row>
    <row r="10" spans="1:13" ht="20" customHeight="1">
      <c r="A10"/>
      <c r="B10"/>
      <c r="C10"/>
      <c r="D10"/>
      <c r="E10"/>
      <c r="F10"/>
      <c r="G10"/>
      <c r="H10"/>
      <c r="I10"/>
    </row>
    <row r="11" spans="1:13" ht="20" customHeight="1">
      <c r="A11" s="8" t="s">
        <v>1551</v>
      </c>
      <c r="B11"/>
      <c r="C11"/>
      <c r="D11"/>
      <c r="E11"/>
      <c r="F11"/>
      <c r="G11" s="24" t="s">
        <v>1557</v>
      </c>
      <c r="H11" s="23"/>
      <c r="I11"/>
    </row>
    <row r="12" spans="1:13" ht="20" customHeight="1">
      <c r="A12"/>
      <c r="B12"/>
      <c r="C12"/>
      <c r="D12"/>
      <c r="E12"/>
      <c r="F12"/>
      <c r="G12"/>
      <c r="H12"/>
      <c r="I12"/>
    </row>
    <row r="13" spans="1:13" ht="20.25" customHeight="1">
      <c r="A13"/>
      <c r="B13"/>
      <c r="C13"/>
      <c r="D13"/>
      <c r="E13"/>
      <c r="I13"/>
    </row>
    <row r="14" spans="1:13" ht="26.25" customHeight="1">
      <c r="A14" s="11" t="s">
        <v>1582</v>
      </c>
      <c r="B14" s="12"/>
      <c r="C14" s="12"/>
      <c r="D14" s="13"/>
      <c r="E14" s="13"/>
      <c r="G14" s="1577" t="s">
        <v>676</v>
      </c>
      <c r="H14" s="12"/>
      <c r="I14"/>
    </row>
    <row r="15" spans="1:13" s="5" customFormat="1" ht="8.25" customHeight="1">
      <c r="A15" s="93"/>
      <c r="B15" s="90"/>
      <c r="C15" s="90"/>
      <c r="G15" s="94"/>
      <c r="H15" s="90"/>
      <c r="I15" s="90"/>
    </row>
    <row r="16" spans="1:13" ht="15" customHeight="1">
      <c r="A16" s="95" t="s">
        <v>42</v>
      </c>
      <c r="B16"/>
      <c r="C16"/>
      <c r="D16"/>
      <c r="E16"/>
      <c r="F16"/>
      <c r="G16"/>
      <c r="H16"/>
      <c r="I16"/>
    </row>
    <row r="17" spans="1:13" s="5" customFormat="1" ht="5.25" customHeight="1">
      <c r="A17" s="90"/>
      <c r="B17" s="90"/>
      <c r="C17" s="90"/>
      <c r="D17" s="90"/>
      <c r="E17" s="90"/>
      <c r="F17" s="90"/>
      <c r="G17" s="90"/>
      <c r="H17" s="90"/>
      <c r="I17" s="90"/>
    </row>
    <row r="18" spans="1:13" ht="17.25" customHeight="1">
      <c r="A18" s="1585" t="s">
        <v>106</v>
      </c>
      <c r="B18" s="96"/>
      <c r="C18" s="1586"/>
      <c r="D18" s="1588"/>
      <c r="E18" s="1585" t="s">
        <v>1280</v>
      </c>
      <c r="F18" s="96"/>
      <c r="G18" s="96"/>
      <c r="H18" s="5"/>
      <c r="I18" s="1589" t="s">
        <v>1547</v>
      </c>
      <c r="J18" s="13"/>
      <c r="K18" s="13"/>
    </row>
    <row r="19" spans="1:13" ht="15" customHeight="1">
      <c r="A19" s="1585" t="s">
        <v>2090</v>
      </c>
      <c r="B19" s="96"/>
      <c r="C19" s="96"/>
      <c r="D19" s="111"/>
      <c r="E19" s="1585" t="s">
        <v>2199</v>
      </c>
      <c r="F19" s="96"/>
      <c r="G19" s="96"/>
      <c r="H19" s="5"/>
      <c r="I19" s="1069"/>
      <c r="J19" s="13"/>
      <c r="K19" s="13"/>
    </row>
    <row r="20" spans="1:13" ht="15" customHeight="1">
      <c r="A20" s="1585" t="s">
        <v>2089</v>
      </c>
      <c r="B20" s="97"/>
      <c r="C20" s="97"/>
      <c r="D20" s="112"/>
      <c r="E20" s="1585" t="s">
        <v>1600</v>
      </c>
      <c r="F20" s="96"/>
      <c r="G20" s="96"/>
      <c r="H20" s="5"/>
      <c r="I20" s="1069"/>
      <c r="J20" s="13"/>
      <c r="K20" s="13"/>
    </row>
    <row r="21" spans="1:13">
      <c r="A21" s="1585" t="s">
        <v>597</v>
      </c>
      <c r="B21" s="96"/>
      <c r="C21" s="97"/>
      <c r="D21" s="112"/>
      <c r="E21" s="1585" t="s">
        <v>2013</v>
      </c>
      <c r="F21" s="97"/>
      <c r="G21" s="97"/>
      <c r="H21" s="5"/>
      <c r="I21" s="1069"/>
      <c r="J21" s="13"/>
      <c r="K21" s="13"/>
    </row>
    <row r="22" spans="1:13">
      <c r="A22" s="1585" t="s">
        <v>733</v>
      </c>
      <c r="B22" s="96"/>
      <c r="C22" s="97"/>
      <c r="D22" s="112"/>
      <c r="E22" s="1585" t="s">
        <v>2236</v>
      </c>
      <c r="F22" s="97"/>
      <c r="G22" s="97"/>
      <c r="H22" s="5"/>
    </row>
    <row r="23" spans="1:13">
      <c r="A23" s="1585" t="s">
        <v>97</v>
      </c>
      <c r="B23" s="96"/>
      <c r="C23" s="97"/>
      <c r="D23" s="112"/>
      <c r="E23" s="1585" t="s">
        <v>1669</v>
      </c>
      <c r="F23" s="97"/>
      <c r="G23" s="97"/>
      <c r="H23" s="5"/>
    </row>
    <row r="24" spans="1:13">
      <c r="A24" s="1585" t="s">
        <v>1035</v>
      </c>
      <c r="B24" s="96"/>
      <c r="C24" s="97"/>
      <c r="D24" s="112"/>
      <c r="E24" s="1585" t="s">
        <v>578</v>
      </c>
      <c r="F24" s="1585"/>
      <c r="G24" s="97"/>
      <c r="H24" s="5"/>
    </row>
    <row r="25" spans="1:13">
      <c r="A25" s="1585" t="s">
        <v>689</v>
      </c>
      <c r="B25" s="96"/>
      <c r="C25" s="97"/>
      <c r="D25" s="112"/>
      <c r="E25" s="1585" t="s">
        <v>397</v>
      </c>
      <c r="F25" s="97"/>
      <c r="G25" s="97"/>
      <c r="H25" s="5"/>
    </row>
    <row r="26" spans="1:13">
      <c r="A26" s="1585" t="s">
        <v>404</v>
      </c>
      <c r="B26" s="96"/>
      <c r="C26" s="97"/>
      <c r="D26" s="112"/>
      <c r="E26" s="1585" t="s">
        <v>480</v>
      </c>
      <c r="F26" s="97"/>
      <c r="G26" s="97"/>
      <c r="H26" s="5"/>
    </row>
    <row r="27" spans="1:13">
      <c r="A27" s="1585" t="s">
        <v>1152</v>
      </c>
      <c r="B27" s="96"/>
      <c r="C27" s="1585"/>
      <c r="D27" s="112"/>
      <c r="E27" s="1585" t="s">
        <v>479</v>
      </c>
      <c r="F27" s="97"/>
      <c r="G27" s="97"/>
      <c r="H27" s="5"/>
    </row>
    <row r="28" spans="1:13" ht="16">
      <c r="A28" s="15"/>
      <c r="B28" s="67"/>
      <c r="C28" s="14"/>
      <c r="I28" s="1496" t="s">
        <v>1548</v>
      </c>
      <c r="J28" s="1537"/>
      <c r="K28" s="1537"/>
    </row>
    <row r="29" spans="1:13" ht="16">
      <c r="A29" s="15"/>
      <c r="I29" s="1496" t="s">
        <v>1577</v>
      </c>
      <c r="J29" s="1538"/>
      <c r="K29" s="1537"/>
      <c r="L29" s="5"/>
      <c r="M29" s="5"/>
    </row>
    <row r="30" spans="1:13" ht="16">
      <c r="A30" s="15"/>
      <c r="B30" s="14"/>
      <c r="C30" s="14"/>
      <c r="F30" s="5"/>
    </row>
    <row r="31" spans="1:13" ht="16">
      <c r="A31" s="15"/>
      <c r="I31" s="22" t="s">
        <v>1542</v>
      </c>
      <c r="J31" s="13"/>
      <c r="K31" s="13"/>
    </row>
    <row r="32" spans="1:13" ht="15">
      <c r="A32" s="1596" t="s">
        <v>548</v>
      </c>
      <c r="B32" s="66"/>
      <c r="C32" s="5"/>
      <c r="D32" s="5"/>
      <c r="E32" s="5"/>
      <c r="F32" s="5"/>
      <c r="G32" s="5"/>
    </row>
    <row r="33" spans="1:11">
      <c r="A33" s="92" t="s">
        <v>776</v>
      </c>
      <c r="B33" s="68"/>
      <c r="D33" s="92" t="s">
        <v>679</v>
      </c>
      <c r="E33" s="92"/>
      <c r="G33" s="92" t="s">
        <v>1350</v>
      </c>
      <c r="H33" s="68"/>
      <c r="I33" s="5"/>
      <c r="J33" s="1587" t="s">
        <v>2014</v>
      </c>
      <c r="K33" s="68"/>
    </row>
    <row r="34" spans="1:11">
      <c r="A34" s="92" t="s">
        <v>681</v>
      </c>
      <c r="B34" s="68"/>
      <c r="D34" s="92" t="s">
        <v>579</v>
      </c>
      <c r="E34" s="68"/>
      <c r="G34" s="92" t="s">
        <v>296</v>
      </c>
      <c r="H34" s="68"/>
      <c r="I34" s="5"/>
      <c r="J34" s="66" t="s">
        <v>598</v>
      </c>
      <c r="K34" s="66"/>
    </row>
    <row r="35" spans="1:11">
      <c r="A35" s="92" t="s">
        <v>2208</v>
      </c>
      <c r="B35" s="68"/>
      <c r="D35" s="92" t="s">
        <v>1351</v>
      </c>
      <c r="E35" s="68"/>
      <c r="G35" s="92" t="s">
        <v>1939</v>
      </c>
      <c r="H35" s="68"/>
      <c r="I35" s="5"/>
      <c r="J35" s="66" t="s">
        <v>677</v>
      </c>
      <c r="K35" s="66"/>
    </row>
    <row r="36" spans="1:11">
      <c r="A36" s="99"/>
      <c r="B36" s="98"/>
      <c r="C36" s="5"/>
      <c r="D36" s="99"/>
      <c r="E36" s="98"/>
      <c r="G36" s="99"/>
      <c r="H36" s="98"/>
      <c r="I36" s="5"/>
      <c r="J36" s="5"/>
      <c r="K36" s="5"/>
    </row>
    <row r="37" spans="1:11" ht="16">
      <c r="A37" s="15"/>
    </row>
    <row r="38" spans="1:11" ht="16">
      <c r="A38" s="15"/>
      <c r="B38" s="110" t="s">
        <v>45</v>
      </c>
      <c r="C38" s="113" t="s">
        <v>1558</v>
      </c>
      <c r="J38" s="91"/>
    </row>
    <row r="39" spans="1:11" ht="16">
      <c r="A39" s="16"/>
      <c r="B39" s="14"/>
      <c r="C39" s="14"/>
    </row>
    <row r="40" spans="1:11" ht="16">
      <c r="A40" s="1590" t="s">
        <v>46</v>
      </c>
      <c r="B40" s="1591" t="s">
        <v>1771</v>
      </c>
      <c r="C40" s="1592" t="s">
        <v>380</v>
      </c>
      <c r="D40" s="13"/>
      <c r="E40" s="13"/>
      <c r="F40" s="13"/>
      <c r="G40" s="13"/>
      <c r="H40" s="13"/>
      <c r="I40" s="13"/>
      <c r="J40" s="13"/>
      <c r="K40" s="109"/>
    </row>
    <row r="41" spans="1:11" ht="16">
      <c r="A41" s="1590" t="s">
        <v>47</v>
      </c>
      <c r="B41" s="1591" t="s">
        <v>680</v>
      </c>
      <c r="C41" s="1592" t="s">
        <v>48</v>
      </c>
      <c r="D41" s="13"/>
      <c r="E41" s="13"/>
      <c r="F41" s="13"/>
      <c r="G41" s="13"/>
      <c r="H41" s="13"/>
      <c r="I41" s="13"/>
      <c r="J41" s="13"/>
      <c r="K41" s="109"/>
    </row>
    <row r="42" spans="1:11" ht="16">
      <c r="A42" s="1590" t="s">
        <v>49</v>
      </c>
      <c r="B42" s="1591" t="s">
        <v>1725</v>
      </c>
      <c r="C42" s="1592" t="s">
        <v>50</v>
      </c>
      <c r="D42" s="13"/>
      <c r="E42" s="13"/>
      <c r="F42" s="13"/>
      <c r="G42" s="13"/>
      <c r="H42" s="13"/>
      <c r="I42" s="13"/>
      <c r="J42" s="13"/>
      <c r="K42" s="109"/>
    </row>
    <row r="43" spans="1:11" ht="16">
      <c r="A43" s="1590" t="s">
        <v>51</v>
      </c>
      <c r="B43" s="1591" t="s">
        <v>119</v>
      </c>
      <c r="C43" s="1592" t="s">
        <v>52</v>
      </c>
      <c r="D43" s="13"/>
      <c r="E43" s="13"/>
      <c r="F43" s="13"/>
      <c r="G43" s="13"/>
      <c r="H43" s="13"/>
      <c r="I43" s="13"/>
      <c r="J43" s="13"/>
      <c r="K43" s="109"/>
    </row>
    <row r="44" spans="1:11" ht="16">
      <c r="A44" s="1590" t="s">
        <v>53</v>
      </c>
      <c r="B44" s="1593" t="s">
        <v>1578</v>
      </c>
      <c r="C44" s="1592" t="s">
        <v>54</v>
      </c>
      <c r="D44" s="13"/>
      <c r="E44" s="13"/>
      <c r="F44" s="13"/>
      <c r="G44" s="13"/>
      <c r="H44" s="13"/>
      <c r="I44" s="13"/>
      <c r="J44" s="13"/>
      <c r="K44" s="109"/>
    </row>
    <row r="45" spans="1:11" ht="16">
      <c r="A45" s="1590" t="s">
        <v>55</v>
      </c>
      <c r="B45" s="1591" t="s">
        <v>56</v>
      </c>
      <c r="C45" s="1592" t="s">
        <v>57</v>
      </c>
      <c r="D45" s="13"/>
      <c r="E45" s="13"/>
      <c r="F45" s="13"/>
      <c r="G45" s="13"/>
      <c r="H45" s="13"/>
      <c r="I45" s="13"/>
      <c r="J45" s="13"/>
      <c r="K45" s="109"/>
    </row>
    <row r="46" spans="1:11" ht="16">
      <c r="A46" s="1590" t="s">
        <v>58</v>
      </c>
      <c r="B46" s="1591" t="s">
        <v>1652</v>
      </c>
      <c r="C46" s="1592" t="s">
        <v>87</v>
      </c>
      <c r="D46" s="13"/>
      <c r="E46" s="13"/>
      <c r="F46" s="13"/>
      <c r="G46" s="13"/>
      <c r="H46" s="13"/>
      <c r="I46" s="13"/>
      <c r="J46" s="13"/>
      <c r="K46" s="109"/>
    </row>
    <row r="47" spans="1:11" ht="16">
      <c r="A47" s="1590" t="s">
        <v>59</v>
      </c>
      <c r="B47" s="1591" t="s">
        <v>1770</v>
      </c>
      <c r="C47" s="1592" t="s">
        <v>1559</v>
      </c>
      <c r="D47" s="13"/>
      <c r="E47" s="13"/>
      <c r="F47" s="13"/>
      <c r="G47" s="13"/>
      <c r="H47" s="13"/>
      <c r="I47" s="13"/>
      <c r="J47" s="13"/>
      <c r="K47" s="109"/>
    </row>
    <row r="48" spans="1:11" ht="16">
      <c r="A48" s="1590" t="s">
        <v>60</v>
      </c>
      <c r="B48" s="1591" t="s">
        <v>1541</v>
      </c>
      <c r="C48" s="1592" t="s">
        <v>61</v>
      </c>
      <c r="D48" s="13"/>
      <c r="E48" s="13"/>
      <c r="F48" s="13"/>
      <c r="G48" s="13"/>
      <c r="H48" s="13"/>
      <c r="I48" s="13"/>
      <c r="J48" s="1537"/>
      <c r="K48" s="109"/>
    </row>
    <row r="49" spans="1:11" ht="16">
      <c r="A49" s="1590" t="s">
        <v>1579</v>
      </c>
      <c r="B49" s="1591" t="s">
        <v>1580</v>
      </c>
      <c r="C49" s="1592" t="s">
        <v>1581</v>
      </c>
      <c r="D49" s="13"/>
      <c r="E49" s="13"/>
      <c r="F49" s="13"/>
      <c r="G49" s="13"/>
      <c r="H49" s="13"/>
      <c r="I49" s="13"/>
      <c r="J49" s="13"/>
      <c r="K49" s="109"/>
    </row>
    <row r="50" spans="1:11" ht="16">
      <c r="A50" s="1590" t="s">
        <v>1768</v>
      </c>
      <c r="B50" s="1591" t="s">
        <v>1976</v>
      </c>
      <c r="C50" s="1592" t="s">
        <v>1769</v>
      </c>
      <c r="D50" s="13"/>
      <c r="E50" s="13"/>
      <c r="F50" s="13"/>
      <c r="G50" s="13"/>
      <c r="H50" s="13"/>
      <c r="I50" s="13"/>
      <c r="J50" s="13"/>
      <c r="K50" s="109"/>
    </row>
    <row r="51" spans="1:11" ht="14">
      <c r="A51" s="1597" t="s">
        <v>89</v>
      </c>
      <c r="B51" s="1598" t="s">
        <v>107</v>
      </c>
      <c r="C51" s="1599"/>
      <c r="D51" s="1599"/>
      <c r="E51" s="1599"/>
      <c r="F51" s="1599"/>
      <c r="G51" s="1599"/>
      <c r="H51" s="1599"/>
      <c r="I51" s="1599"/>
      <c r="J51" s="1599"/>
      <c r="K51" s="109"/>
    </row>
    <row r="52" spans="1:11" ht="14">
      <c r="A52" s="1594" t="s">
        <v>1716</v>
      </c>
      <c r="B52" s="1595" t="s">
        <v>1717</v>
      </c>
      <c r="C52" s="13"/>
      <c r="D52" s="13"/>
      <c r="E52" s="13"/>
      <c r="F52" s="13"/>
      <c r="G52" s="13"/>
      <c r="H52" s="13"/>
      <c r="I52" s="13"/>
      <c r="J52" s="13"/>
      <c r="K52" s="109"/>
    </row>
    <row r="53" spans="1:11">
      <c r="K53" s="4"/>
    </row>
    <row r="55" spans="1:11">
      <c r="A55" s="17"/>
      <c r="B55" s="17"/>
      <c r="C55" s="17"/>
      <c r="D55" s="17"/>
      <c r="E55" s="17"/>
      <c r="F55" s="17"/>
      <c r="G55" s="17"/>
      <c r="H55" s="17"/>
      <c r="I55" s="17"/>
      <c r="J55" s="17"/>
    </row>
    <row r="57" spans="1:11" ht="14.25" customHeight="1">
      <c r="A57" s="14" t="s">
        <v>1718</v>
      </c>
      <c r="B57"/>
      <c r="C57"/>
      <c r="D57"/>
      <c r="E57"/>
      <c r="F57"/>
      <c r="G57"/>
      <c r="H57"/>
      <c r="I57"/>
    </row>
    <row r="58" spans="1:11" ht="14.25" customHeight="1">
      <c r="A58" s="14"/>
      <c r="B58"/>
      <c r="C58"/>
      <c r="D58"/>
      <c r="E58"/>
      <c r="F58"/>
      <c r="G58"/>
      <c r="H58"/>
      <c r="I58"/>
    </row>
    <row r="59" spans="1:11" ht="18" customHeight="1">
      <c r="A59" s="1" t="s">
        <v>1772</v>
      </c>
      <c r="B59"/>
      <c r="C59"/>
      <c r="D59"/>
      <c r="E59"/>
      <c r="F59"/>
      <c r="G59"/>
      <c r="H59"/>
      <c r="I59"/>
    </row>
    <row r="60" spans="1:11" ht="12.75" customHeight="1">
      <c r="A60" s="1"/>
      <c r="B60"/>
      <c r="C60"/>
      <c r="D60"/>
      <c r="E60"/>
      <c r="F60"/>
      <c r="G60"/>
      <c r="H60"/>
      <c r="I60"/>
    </row>
    <row r="61" spans="1:11">
      <c r="A61" s="17"/>
      <c r="B61" s="17"/>
      <c r="C61" s="17"/>
      <c r="D61" s="17"/>
      <c r="E61" s="17"/>
      <c r="F61" s="17"/>
      <c r="G61" s="17"/>
      <c r="H61" s="17"/>
      <c r="I61" s="17"/>
      <c r="J61" s="17"/>
    </row>
    <row r="64" spans="1:11" ht="16">
      <c r="A64" s="18" t="s">
        <v>1552</v>
      </c>
    </row>
    <row r="65" spans="1:1" ht="16">
      <c r="A65" s="18"/>
    </row>
    <row r="66" spans="1:1" ht="16">
      <c r="A66" s="114" t="s">
        <v>1556</v>
      </c>
    </row>
    <row r="67" spans="1:1" ht="16">
      <c r="A67" s="114" t="s">
        <v>1664</v>
      </c>
    </row>
    <row r="68" spans="1:1" ht="16">
      <c r="A68" s="114" t="s">
        <v>41</v>
      </c>
    </row>
  </sheetData>
  <phoneticPr fontId="0" type="noConversion"/>
  <pageMargins left="0.46" right="0.36" top="0.42" bottom="0.49" header="0.35" footer="0.4921259845"/>
  <pageSetup paperSize="9" scale="7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F526B-78EA-F644-9F9A-9E29BF62CA64}">
  <sheetPr>
    <pageSetUpPr fitToPage="1"/>
  </sheetPr>
  <dimension ref="A1:M80"/>
  <sheetViews>
    <sheetView workbookViewId="0">
      <selection activeCell="A2" sqref="A2"/>
    </sheetView>
  </sheetViews>
  <sheetFormatPr baseColWidth="10" defaultColWidth="11.3984375" defaultRowHeight="13"/>
  <cols>
    <col min="1" max="1" width="11.3984375" style="176"/>
    <col min="2" max="2" width="10.19921875" style="175" customWidth="1"/>
    <col min="3" max="3" width="4.3984375" style="176" customWidth="1"/>
    <col min="4" max="4" width="11.3984375" style="176"/>
    <col min="5" max="5" width="11.3984375" style="175"/>
    <col min="6" max="7" width="11.3984375" style="176"/>
    <col min="8" max="8" width="3.59765625" style="176" customWidth="1"/>
    <col min="9" max="9" width="11.3984375" style="176"/>
    <col min="10" max="10" width="3.796875" style="176" customWidth="1"/>
    <col min="11" max="11" width="11.3984375" style="176"/>
    <col min="12" max="12" width="3.796875" style="176" customWidth="1"/>
    <col min="13" max="16384" width="11.3984375" style="176"/>
  </cols>
  <sheetData>
    <row r="1" spans="1:13" ht="16">
      <c r="A1" s="174" t="s">
        <v>1773</v>
      </c>
    </row>
    <row r="2" spans="1:13" ht="18" customHeight="1"/>
    <row r="3" spans="1:13" ht="30" customHeight="1">
      <c r="A3" s="177" t="s">
        <v>1864</v>
      </c>
      <c r="B3" s="177" t="s">
        <v>1774</v>
      </c>
      <c r="C3" s="175"/>
      <c r="D3" s="177" t="str">
        <f>A3</f>
        <v>Publikation 2004</v>
      </c>
      <c r="E3" s="177" t="str">
        <f>B3</f>
        <v>Publikation 2005</v>
      </c>
      <c r="G3" s="177" t="str">
        <f>E3</f>
        <v>Publikation 2005</v>
      </c>
      <c r="H3" s="177"/>
      <c r="I3" s="177" t="str">
        <f>D3</f>
        <v>Publikation 2004</v>
      </c>
      <c r="K3" s="177" t="str">
        <f>G3</f>
        <v>Publikation 2005</v>
      </c>
      <c r="L3" s="177"/>
      <c r="M3" s="177" t="str">
        <f>I3</f>
        <v>Publikation 2004</v>
      </c>
    </row>
    <row r="4" spans="1:13" ht="13.5" customHeight="1">
      <c r="A4" s="178"/>
      <c r="B4" s="178"/>
      <c r="D4" s="179"/>
      <c r="E4" s="179"/>
      <c r="G4" s="180"/>
      <c r="H4" s="180"/>
      <c r="I4" s="180"/>
      <c r="K4" s="180"/>
      <c r="L4" s="180"/>
      <c r="M4" s="180"/>
    </row>
    <row r="5" spans="1:13">
      <c r="A5" s="1075">
        <v>1.01</v>
      </c>
      <c r="B5" s="1076">
        <v>8.02</v>
      </c>
      <c r="C5" s="90"/>
      <c r="D5" s="1077">
        <v>3.07</v>
      </c>
      <c r="E5" s="1078">
        <v>3.05</v>
      </c>
      <c r="F5"/>
      <c r="G5" s="1079">
        <v>1.01</v>
      </c>
      <c r="H5" s="1080"/>
      <c r="I5" s="1081">
        <v>1.43</v>
      </c>
      <c r="J5"/>
      <c r="K5" s="1078">
        <v>7.01</v>
      </c>
      <c r="L5" s="1082"/>
      <c r="M5" s="1075">
        <v>7.01</v>
      </c>
    </row>
    <row r="6" spans="1:13">
      <c r="A6" s="1075">
        <v>1.02</v>
      </c>
      <c r="B6" s="1083">
        <v>11.02</v>
      </c>
      <c r="C6" s="90"/>
      <c r="D6" s="1077">
        <v>3.08</v>
      </c>
      <c r="E6" s="1078">
        <v>3.06</v>
      </c>
      <c r="F6"/>
      <c r="G6" s="1084">
        <v>1.02</v>
      </c>
      <c r="H6" s="1080"/>
      <c r="I6" s="1081">
        <v>1.27</v>
      </c>
      <c r="J6"/>
      <c r="K6" s="1078">
        <v>7.02</v>
      </c>
      <c r="L6" s="1082"/>
      <c r="M6" s="1075">
        <v>7.02</v>
      </c>
    </row>
    <row r="7" spans="1:13">
      <c r="A7" s="1075">
        <v>1.03</v>
      </c>
      <c r="B7" s="1083">
        <v>11.03</v>
      </c>
      <c r="C7" s="90"/>
      <c r="D7" s="1081">
        <v>3.09</v>
      </c>
      <c r="E7" s="1078">
        <v>3.07</v>
      </c>
      <c r="F7"/>
      <c r="G7" s="1084">
        <v>1.03</v>
      </c>
      <c r="H7" s="1080"/>
      <c r="I7" s="1081">
        <v>1.28</v>
      </c>
      <c r="J7"/>
      <c r="K7" s="1078">
        <v>7.03</v>
      </c>
      <c r="L7" s="1082"/>
      <c r="M7" s="1075">
        <v>7.03</v>
      </c>
    </row>
    <row r="8" spans="1:13">
      <c r="A8" s="1075">
        <v>1.04</v>
      </c>
      <c r="B8" s="1083">
        <v>11.04</v>
      </c>
      <c r="C8" s="90"/>
      <c r="D8" s="1075" t="s">
        <v>104</v>
      </c>
      <c r="E8" s="1085" t="s">
        <v>580</v>
      </c>
      <c r="F8"/>
      <c r="G8" s="1084">
        <v>1.04</v>
      </c>
      <c r="H8" s="1080"/>
      <c r="I8" s="1081">
        <v>1.29</v>
      </c>
      <c r="J8"/>
      <c r="K8" s="1078">
        <v>7.04</v>
      </c>
      <c r="L8" s="1082"/>
      <c r="M8" s="1075">
        <v>7.04</v>
      </c>
    </row>
    <row r="9" spans="1:13">
      <c r="A9" s="1075">
        <v>1.05</v>
      </c>
      <c r="B9" s="1083">
        <v>11.05</v>
      </c>
      <c r="C9" s="90"/>
      <c r="D9" s="1086">
        <v>3.11</v>
      </c>
      <c r="E9" s="1078">
        <v>3.02</v>
      </c>
      <c r="F9"/>
      <c r="G9" s="1084">
        <v>1.05</v>
      </c>
      <c r="H9" s="1080"/>
      <c r="I9" s="1081">
        <v>1.3</v>
      </c>
      <c r="J9"/>
      <c r="K9" s="1078">
        <v>7.05</v>
      </c>
      <c r="L9" s="1087"/>
      <c r="M9" s="1075">
        <v>7.05</v>
      </c>
    </row>
    <row r="10" spans="1:13">
      <c r="A10" s="1075">
        <v>1.06</v>
      </c>
      <c r="B10" s="1083">
        <v>11.06</v>
      </c>
      <c r="C10" s="90"/>
      <c r="D10" s="1086">
        <v>3.12</v>
      </c>
      <c r="E10" s="1078">
        <v>3.03</v>
      </c>
      <c r="F10"/>
      <c r="G10" s="1084">
        <v>1.06</v>
      </c>
      <c r="H10" s="1080"/>
      <c r="I10" s="1081">
        <v>1.31</v>
      </c>
      <c r="J10"/>
      <c r="K10" s="1075">
        <v>8.01</v>
      </c>
      <c r="L10" s="1080"/>
      <c r="M10" s="1075">
        <v>8.01</v>
      </c>
    </row>
    <row r="11" spans="1:13">
      <c r="A11" s="1075">
        <v>1.07</v>
      </c>
      <c r="B11" s="1083" t="s">
        <v>1781</v>
      </c>
      <c r="C11" s="90"/>
      <c r="D11" s="1086">
        <v>3.13</v>
      </c>
      <c r="E11" s="1078">
        <v>3.04</v>
      </c>
      <c r="F11"/>
      <c r="G11" s="1084">
        <v>1.07</v>
      </c>
      <c r="H11" s="1080"/>
      <c r="I11" s="1081">
        <v>1.5</v>
      </c>
      <c r="J11"/>
      <c r="K11" s="1076">
        <v>8.02</v>
      </c>
      <c r="L11" s="1080"/>
      <c r="M11" s="1075">
        <v>1.01</v>
      </c>
    </row>
    <row r="12" spans="1:13">
      <c r="A12" s="1075">
        <v>1.08</v>
      </c>
      <c r="B12" s="1083" t="s">
        <v>1352</v>
      </c>
      <c r="C12" s="90"/>
      <c r="D12" s="1075">
        <v>4.01</v>
      </c>
      <c r="E12" s="1078">
        <v>4.01</v>
      </c>
      <c r="F12"/>
      <c r="G12" s="1084">
        <v>1.08</v>
      </c>
      <c r="H12" s="1080"/>
      <c r="I12" s="1081">
        <v>1.25</v>
      </c>
      <c r="J12"/>
      <c r="K12" s="1075">
        <v>8.0299999999999994</v>
      </c>
      <c r="L12" s="1080"/>
      <c r="M12" s="1075">
        <v>8.0299999999999994</v>
      </c>
    </row>
    <row r="13" spans="1:13">
      <c r="A13" s="1081">
        <v>1.0900000000000001</v>
      </c>
      <c r="B13" s="1088">
        <v>3.09</v>
      </c>
      <c r="C13" s="90"/>
      <c r="D13" s="1075">
        <v>4.0199999999999996</v>
      </c>
      <c r="E13" s="1078">
        <v>4.0199999999999996</v>
      </c>
      <c r="F13"/>
      <c r="G13" s="1089">
        <v>1.0900000000000001</v>
      </c>
      <c r="H13" s="1080"/>
      <c r="I13" s="1081">
        <v>1.26</v>
      </c>
      <c r="J13"/>
      <c r="K13" s="1075">
        <v>8.0399999999999991</v>
      </c>
      <c r="L13" s="1080"/>
      <c r="M13" s="1075">
        <v>8.0399999999999991</v>
      </c>
    </row>
    <row r="14" spans="1:13">
      <c r="A14" s="1081">
        <v>1.1000000000000001</v>
      </c>
      <c r="B14" s="1088">
        <v>3.12</v>
      </c>
      <c r="C14" s="90"/>
      <c r="D14" s="1075">
        <v>4.03</v>
      </c>
      <c r="E14" s="1078">
        <v>4.03</v>
      </c>
      <c r="F14"/>
      <c r="G14" s="1089">
        <v>1.1000000000000001</v>
      </c>
      <c r="H14" s="1080"/>
      <c r="I14" s="1081">
        <v>1.23</v>
      </c>
      <c r="J14"/>
      <c r="K14" s="1075">
        <v>8.0500000000000007</v>
      </c>
      <c r="L14" s="1080"/>
      <c r="M14" s="1075">
        <v>8.0500000000000007</v>
      </c>
    </row>
    <row r="15" spans="1:13">
      <c r="A15" s="1081">
        <v>1.1100000000000001</v>
      </c>
      <c r="B15" s="1083" t="s">
        <v>104</v>
      </c>
      <c r="C15" s="90"/>
      <c r="D15" s="1075">
        <v>4.04</v>
      </c>
      <c r="E15" s="1078">
        <v>4.04</v>
      </c>
      <c r="F15"/>
      <c r="G15" s="1089">
        <v>1.1100000000000001</v>
      </c>
      <c r="H15" s="1080"/>
      <c r="I15" s="1081">
        <v>1.24</v>
      </c>
      <c r="J15"/>
      <c r="K15" s="1075">
        <v>8.06</v>
      </c>
      <c r="L15" s="1080"/>
      <c r="M15" s="1075">
        <v>8.06</v>
      </c>
    </row>
    <row r="16" spans="1:13">
      <c r="A16" s="1081">
        <v>1.1200000000000001</v>
      </c>
      <c r="B16" s="1088">
        <v>3.11</v>
      </c>
      <c r="C16" s="90"/>
      <c r="D16" s="1075">
        <v>4.05</v>
      </c>
      <c r="E16" s="1078">
        <v>4.05</v>
      </c>
      <c r="F16"/>
      <c r="G16" s="1089">
        <v>1.1200000000000001</v>
      </c>
      <c r="H16" s="1080"/>
      <c r="I16" s="1081">
        <v>1.32</v>
      </c>
      <c r="J16"/>
      <c r="K16" s="1075">
        <v>8.07</v>
      </c>
      <c r="L16" s="1080"/>
      <c r="M16" s="1075">
        <v>8.07</v>
      </c>
    </row>
    <row r="17" spans="1:13">
      <c r="A17" s="1081">
        <v>1.1299999999999999</v>
      </c>
      <c r="B17" s="1088">
        <v>2.14</v>
      </c>
      <c r="C17" s="90"/>
      <c r="D17" s="1075">
        <v>4.0599999999999996</v>
      </c>
      <c r="E17" s="1078">
        <v>4.0599999999999996</v>
      </c>
      <c r="F17"/>
      <c r="G17" s="1089">
        <v>1.1299999999999999</v>
      </c>
      <c r="H17" s="1080"/>
      <c r="I17" s="1081">
        <v>1.33</v>
      </c>
      <c r="J17"/>
      <c r="K17" s="1075">
        <v>8.08</v>
      </c>
      <c r="L17" s="1080"/>
      <c r="M17" s="1075">
        <v>8.08</v>
      </c>
    </row>
    <row r="18" spans="1:13">
      <c r="A18" s="1081">
        <v>1.1399999999999999</v>
      </c>
      <c r="B18" s="1088">
        <v>2.15</v>
      </c>
      <c r="C18" s="90"/>
      <c r="D18" s="1075">
        <v>4.07</v>
      </c>
      <c r="E18" s="1086">
        <v>4.07</v>
      </c>
      <c r="F18"/>
      <c r="G18" s="1088">
        <v>2.0099999999999998</v>
      </c>
      <c r="H18" s="1080"/>
      <c r="I18" s="1081">
        <v>1.19</v>
      </c>
      <c r="J18"/>
      <c r="K18" s="1075">
        <v>8.09</v>
      </c>
      <c r="L18" s="1080"/>
      <c r="M18" s="1075">
        <v>8.09</v>
      </c>
    </row>
    <row r="19" spans="1:13">
      <c r="A19" s="1081">
        <v>1.1499999999999999</v>
      </c>
      <c r="B19" s="1088">
        <v>2.16</v>
      </c>
      <c r="C19" s="90"/>
      <c r="D19" s="1075">
        <v>4.08</v>
      </c>
      <c r="E19" s="1086">
        <v>4.08</v>
      </c>
      <c r="F19"/>
      <c r="G19" s="1088">
        <v>2.02</v>
      </c>
      <c r="H19" s="1080"/>
      <c r="I19" s="1081">
        <v>1.2</v>
      </c>
      <c r="J19"/>
      <c r="K19" s="1075" t="s">
        <v>1778</v>
      </c>
      <c r="L19" s="1080"/>
      <c r="M19" s="1075" t="s">
        <v>1778</v>
      </c>
    </row>
    <row r="20" spans="1:13">
      <c r="A20" s="1081">
        <v>1.1599999999999999</v>
      </c>
      <c r="B20" s="1088">
        <v>2.17</v>
      </c>
      <c r="C20" s="90"/>
      <c r="D20" s="1075">
        <v>4.09</v>
      </c>
      <c r="E20" s="1086">
        <v>4.09</v>
      </c>
      <c r="F20"/>
      <c r="G20" s="1088">
        <v>2.0299999999999998</v>
      </c>
      <c r="H20" s="1080"/>
      <c r="I20" s="1081">
        <v>1.51</v>
      </c>
      <c r="J20"/>
      <c r="K20" s="1075" t="s">
        <v>1779</v>
      </c>
      <c r="L20" s="1080"/>
      <c r="M20" s="1086" t="s">
        <v>1779</v>
      </c>
    </row>
    <row r="21" spans="1:13">
      <c r="A21" s="1081">
        <v>1.17</v>
      </c>
      <c r="B21" s="1088">
        <v>2.1800000000000002</v>
      </c>
      <c r="C21" s="90"/>
      <c r="D21" s="1075" t="s">
        <v>1775</v>
      </c>
      <c r="E21" s="1090">
        <v>4.0999999999999996</v>
      </c>
      <c r="F21"/>
      <c r="G21" s="1078">
        <v>2.04</v>
      </c>
      <c r="H21" s="1080" t="s">
        <v>1776</v>
      </c>
      <c r="I21" s="1081">
        <v>2.04</v>
      </c>
      <c r="J21"/>
      <c r="K21" s="1088">
        <v>8.1199999999999992</v>
      </c>
      <c r="L21" s="1082"/>
      <c r="M21" s="1075">
        <v>8.02</v>
      </c>
    </row>
    <row r="22" spans="1:13">
      <c r="A22" s="1081">
        <v>1.18</v>
      </c>
      <c r="B22" s="1088">
        <v>2.19</v>
      </c>
      <c r="C22" s="90"/>
      <c r="D22" s="1090">
        <v>4.1100000000000003</v>
      </c>
      <c r="E22" s="1090" t="s">
        <v>1646</v>
      </c>
      <c r="F22"/>
      <c r="G22" s="1078">
        <v>2.0499999999999998</v>
      </c>
      <c r="H22" s="1080" t="s">
        <v>1776</v>
      </c>
      <c r="I22" s="1081">
        <v>2.0499999999999998</v>
      </c>
      <c r="J22"/>
      <c r="K22" s="1075">
        <v>9.01</v>
      </c>
      <c r="L22" s="1080"/>
      <c r="M22" s="1086">
        <v>9.01</v>
      </c>
    </row>
    <row r="23" spans="1:13">
      <c r="A23" s="1081">
        <v>1.19</v>
      </c>
      <c r="B23" s="1088">
        <v>2.0099999999999998</v>
      </c>
      <c r="C23" s="90"/>
      <c r="D23" s="1090">
        <v>4.12</v>
      </c>
      <c r="E23" s="1090" t="s">
        <v>1646</v>
      </c>
      <c r="F23"/>
      <c r="G23" s="1078">
        <v>2.06</v>
      </c>
      <c r="H23" s="1080"/>
      <c r="I23" s="1081">
        <v>2.06</v>
      </c>
      <c r="J23"/>
      <c r="K23" s="1075">
        <v>9.02</v>
      </c>
      <c r="L23" s="1080"/>
      <c r="M23" s="1075">
        <v>9.02</v>
      </c>
    </row>
    <row r="24" spans="1:13">
      <c r="A24" s="1081">
        <v>1.2</v>
      </c>
      <c r="B24" s="1088">
        <v>2.02</v>
      </c>
      <c r="C24" s="90"/>
      <c r="D24" s="1090">
        <v>4.13</v>
      </c>
      <c r="E24" s="1090">
        <v>4.1100000000000003</v>
      </c>
      <c r="F24"/>
      <c r="G24" s="1078">
        <v>2.0699999999999998</v>
      </c>
      <c r="H24" s="1080" t="s">
        <v>1776</v>
      </c>
      <c r="I24" s="1081">
        <v>2.0699999999999998</v>
      </c>
      <c r="J24"/>
      <c r="K24" s="1075">
        <v>9.0299999999999994</v>
      </c>
      <c r="L24" s="1080"/>
      <c r="M24" s="1075">
        <v>9.0299999999999994</v>
      </c>
    </row>
    <row r="25" spans="1:13">
      <c r="A25" s="1081">
        <v>1.21</v>
      </c>
      <c r="B25" s="1083" t="s">
        <v>1777</v>
      </c>
      <c r="C25" s="90"/>
      <c r="D25" s="1075">
        <v>5.01</v>
      </c>
      <c r="E25" s="1075">
        <v>5.01</v>
      </c>
      <c r="F25"/>
      <c r="G25" s="1078">
        <v>2.08</v>
      </c>
      <c r="H25" s="1080" t="s">
        <v>1776</v>
      </c>
      <c r="I25" s="1081">
        <v>2.08</v>
      </c>
      <c r="J25"/>
      <c r="K25" s="1075">
        <v>9.0399999999999991</v>
      </c>
      <c r="L25" s="1080"/>
      <c r="M25" s="1075">
        <v>9.0399999999999991</v>
      </c>
    </row>
    <row r="26" spans="1:13">
      <c r="A26" s="1081">
        <v>1.22</v>
      </c>
      <c r="B26" s="1088">
        <v>2.21</v>
      </c>
      <c r="C26" s="90"/>
      <c r="D26" s="1075">
        <v>5.0199999999999996</v>
      </c>
      <c r="E26" s="1075">
        <v>5.0199999999999996</v>
      </c>
      <c r="F26"/>
      <c r="G26" s="1078">
        <v>2.09</v>
      </c>
      <c r="H26" s="1080"/>
      <c r="I26" s="1081">
        <v>2.09</v>
      </c>
      <c r="J26"/>
      <c r="K26" s="1075">
        <v>9.0500000000000007</v>
      </c>
      <c r="L26" s="1080"/>
      <c r="M26" s="1075">
        <v>9.0500000000000007</v>
      </c>
    </row>
    <row r="27" spans="1:13">
      <c r="A27" s="1081">
        <v>1.23</v>
      </c>
      <c r="B27" s="1089">
        <v>1.1000000000000001</v>
      </c>
      <c r="C27" s="90"/>
      <c r="D27" s="1086">
        <v>5.03</v>
      </c>
      <c r="E27" s="1086">
        <v>5.03</v>
      </c>
      <c r="F27"/>
      <c r="G27" s="1078" t="s">
        <v>1634</v>
      </c>
      <c r="H27" s="1080" t="s">
        <v>1776</v>
      </c>
      <c r="I27" s="1081">
        <v>2.1</v>
      </c>
      <c r="J27"/>
      <c r="K27" s="1075">
        <v>9.06</v>
      </c>
      <c r="L27" s="1080"/>
      <c r="M27" s="1075">
        <v>9.06</v>
      </c>
    </row>
    <row r="28" spans="1:13">
      <c r="A28" s="1081">
        <v>1.24</v>
      </c>
      <c r="B28" s="1089">
        <v>1.1100000000000001</v>
      </c>
      <c r="C28" s="90"/>
      <c r="D28" s="1086">
        <v>5.04</v>
      </c>
      <c r="E28" s="1086">
        <v>5.04</v>
      </c>
      <c r="F28"/>
      <c r="G28" s="1078">
        <v>2.11</v>
      </c>
      <c r="H28" s="1080"/>
      <c r="I28" s="1081">
        <v>2.11</v>
      </c>
      <c r="J28"/>
      <c r="K28" s="1076">
        <v>9.07</v>
      </c>
      <c r="L28" s="1080"/>
      <c r="M28" s="1075">
        <v>9.2100000000000009</v>
      </c>
    </row>
    <row r="29" spans="1:13">
      <c r="A29" s="1081">
        <v>1.25</v>
      </c>
      <c r="B29" s="1084">
        <v>1.08</v>
      </c>
      <c r="C29" s="90"/>
      <c r="D29" s="1075">
        <v>6.01</v>
      </c>
      <c r="E29" s="1078">
        <v>6.01</v>
      </c>
      <c r="F29"/>
      <c r="G29" s="1078">
        <v>2.12</v>
      </c>
      <c r="H29" s="1080" t="s">
        <v>1776</v>
      </c>
      <c r="I29" s="1081">
        <v>2.12</v>
      </c>
      <c r="J29"/>
      <c r="K29" s="1075">
        <v>9.08</v>
      </c>
      <c r="L29" s="1080"/>
      <c r="M29" s="1075">
        <v>9.08</v>
      </c>
    </row>
    <row r="30" spans="1:13">
      <c r="A30" s="1081">
        <v>1.26</v>
      </c>
      <c r="B30" s="1089">
        <v>1.0900000000000001</v>
      </c>
      <c r="C30" s="90"/>
      <c r="D30" s="1075">
        <v>6.02</v>
      </c>
      <c r="E30" s="1086">
        <v>6.02</v>
      </c>
      <c r="F30"/>
      <c r="G30" s="1078">
        <v>2.13</v>
      </c>
      <c r="H30" s="1080" t="s">
        <v>1776</v>
      </c>
      <c r="I30" s="1081">
        <v>2.13</v>
      </c>
      <c r="J30"/>
      <c r="K30" s="1075">
        <v>9.09</v>
      </c>
      <c r="L30" s="1080" t="s">
        <v>1776</v>
      </c>
      <c r="M30" s="1075">
        <v>9.09</v>
      </c>
    </row>
    <row r="31" spans="1:13">
      <c r="A31" s="1081">
        <v>1.27</v>
      </c>
      <c r="B31" s="1084">
        <v>1.02</v>
      </c>
      <c r="C31" s="90"/>
      <c r="D31" s="1075">
        <v>6.03</v>
      </c>
      <c r="E31" s="1086">
        <v>6.03</v>
      </c>
      <c r="F31"/>
      <c r="G31" s="1088">
        <v>2.14</v>
      </c>
      <c r="H31" s="1080"/>
      <c r="I31" s="1081">
        <v>1.1299999999999999</v>
      </c>
      <c r="J31"/>
      <c r="K31" s="1075" t="s">
        <v>1623</v>
      </c>
      <c r="L31" s="1080"/>
      <c r="M31" s="1075" t="s">
        <v>1623</v>
      </c>
    </row>
    <row r="32" spans="1:13">
      <c r="A32" s="1081">
        <v>1.28</v>
      </c>
      <c r="B32" s="1084">
        <v>1.03</v>
      </c>
      <c r="C32" s="90"/>
      <c r="D32" s="1075">
        <v>6.04</v>
      </c>
      <c r="E32" s="1086">
        <v>6.04</v>
      </c>
      <c r="F32"/>
      <c r="G32" s="1088">
        <v>2.15</v>
      </c>
      <c r="H32" s="1080"/>
      <c r="I32" s="1081">
        <v>1.1399999999999999</v>
      </c>
      <c r="J32"/>
      <c r="K32" s="1075">
        <v>9.11</v>
      </c>
      <c r="L32" s="1080"/>
      <c r="M32" s="1075">
        <v>9.11</v>
      </c>
    </row>
    <row r="33" spans="1:13">
      <c r="A33" s="1081">
        <v>1.29</v>
      </c>
      <c r="B33" s="1084">
        <v>1.04</v>
      </c>
      <c r="C33" s="90"/>
      <c r="D33" s="1075">
        <v>6.05</v>
      </c>
      <c r="E33" s="1086">
        <v>6.05</v>
      </c>
      <c r="F33"/>
      <c r="G33" s="1088">
        <v>2.16</v>
      </c>
      <c r="H33" s="1080"/>
      <c r="I33" s="1081">
        <v>1.1499999999999999</v>
      </c>
      <c r="J33"/>
      <c r="K33" s="1075">
        <v>9.1199999999999992</v>
      </c>
      <c r="L33" s="1080"/>
      <c r="M33" s="1075">
        <v>9.1199999999999992</v>
      </c>
    </row>
    <row r="34" spans="1:13">
      <c r="A34" s="1081">
        <v>1.3</v>
      </c>
      <c r="B34" s="1084">
        <v>1.05</v>
      </c>
      <c r="C34" s="90"/>
      <c r="D34" s="1075">
        <v>6.06</v>
      </c>
      <c r="E34" s="1086">
        <v>6.06</v>
      </c>
      <c r="F34"/>
      <c r="G34" s="1088">
        <v>2.17</v>
      </c>
      <c r="H34" s="1080"/>
      <c r="I34" s="1081">
        <v>1.1599999999999999</v>
      </c>
      <c r="J34"/>
      <c r="K34" s="1075">
        <v>9.1300000000000008</v>
      </c>
      <c r="L34" s="1080"/>
      <c r="M34" s="1075">
        <v>9.1300000000000008</v>
      </c>
    </row>
    <row r="35" spans="1:13">
      <c r="A35" s="1081">
        <v>1.31</v>
      </c>
      <c r="B35" s="1084">
        <v>1.06</v>
      </c>
      <c r="C35" s="90"/>
      <c r="D35" s="1075">
        <v>7.01</v>
      </c>
      <c r="E35" s="1086">
        <v>7.01</v>
      </c>
      <c r="F35"/>
      <c r="G35" s="1088">
        <v>2.1800000000000002</v>
      </c>
      <c r="H35" s="1080"/>
      <c r="I35" s="1081">
        <v>1.17</v>
      </c>
      <c r="J35"/>
      <c r="K35" s="1075">
        <v>9.14</v>
      </c>
      <c r="L35" s="1080"/>
      <c r="M35" s="1075">
        <v>9.14</v>
      </c>
    </row>
    <row r="36" spans="1:13">
      <c r="A36" s="1081">
        <v>1.32</v>
      </c>
      <c r="B36" s="1089">
        <v>1.1200000000000001</v>
      </c>
      <c r="C36" s="90"/>
      <c r="D36" s="1075">
        <v>7.02</v>
      </c>
      <c r="E36" s="1086">
        <v>7.02</v>
      </c>
      <c r="F36"/>
      <c r="G36" s="1088">
        <v>2.19</v>
      </c>
      <c r="H36" s="1080"/>
      <c r="I36" s="1081">
        <v>1.18</v>
      </c>
      <c r="J36"/>
      <c r="K36" s="1076">
        <v>9.15</v>
      </c>
      <c r="L36" s="1091"/>
      <c r="M36" s="1075">
        <v>1.41</v>
      </c>
    </row>
    <row r="37" spans="1:13">
      <c r="A37" s="1081">
        <v>1.33</v>
      </c>
      <c r="B37" s="1089">
        <v>1.1299999999999999</v>
      </c>
      <c r="C37" s="90"/>
      <c r="D37" s="1075">
        <v>7.03</v>
      </c>
      <c r="E37" s="1086">
        <v>7.03</v>
      </c>
      <c r="F37"/>
      <c r="G37" s="1083" t="s">
        <v>1777</v>
      </c>
      <c r="H37" s="1080"/>
      <c r="I37" s="1081">
        <v>1.21</v>
      </c>
      <c r="J37"/>
      <c r="K37" s="1075">
        <v>9.16</v>
      </c>
      <c r="L37" s="1080"/>
      <c r="M37" s="1075">
        <v>9.16</v>
      </c>
    </row>
    <row r="38" spans="1:13">
      <c r="A38" s="1075">
        <v>1.34</v>
      </c>
      <c r="B38" s="1083">
        <v>11.11</v>
      </c>
      <c r="C38" s="90"/>
      <c r="D38" s="1075">
        <v>7.04</v>
      </c>
      <c r="E38" s="1086">
        <v>7.04</v>
      </c>
      <c r="F38"/>
      <c r="G38" s="1088">
        <v>2.21</v>
      </c>
      <c r="H38" s="1080"/>
      <c r="I38" s="1081">
        <v>1.22</v>
      </c>
      <c r="J38"/>
      <c r="K38" s="1075">
        <v>9.17</v>
      </c>
      <c r="L38" s="1091"/>
      <c r="M38" s="1075">
        <v>9.17</v>
      </c>
    </row>
    <row r="39" spans="1:13">
      <c r="A39" s="1075">
        <v>1.35</v>
      </c>
      <c r="B39" s="1083">
        <v>11.07</v>
      </c>
      <c r="C39" s="90"/>
      <c r="D39" s="1075">
        <v>7.05</v>
      </c>
      <c r="E39" s="1086">
        <v>7.05</v>
      </c>
      <c r="F39"/>
      <c r="G39" s="1088">
        <v>2.2200000000000002</v>
      </c>
      <c r="H39" s="1080"/>
      <c r="I39" s="1081">
        <v>1.39</v>
      </c>
      <c r="J39"/>
      <c r="K39" s="1075">
        <v>9.18</v>
      </c>
      <c r="L39" s="1091"/>
      <c r="M39" s="1075">
        <v>9.18</v>
      </c>
    </row>
    <row r="40" spans="1:13">
      <c r="A40" s="1075">
        <v>1.36</v>
      </c>
      <c r="B40" s="1083">
        <v>11.08</v>
      </c>
      <c r="C40" s="90"/>
      <c r="D40" s="1075">
        <v>8.01</v>
      </c>
      <c r="E40" s="1075">
        <v>8.01</v>
      </c>
      <c r="F40"/>
      <c r="G40" s="1088">
        <v>2.23</v>
      </c>
      <c r="H40" s="1080"/>
      <c r="I40" s="1081">
        <v>1.4</v>
      </c>
      <c r="J40"/>
      <c r="K40" s="1075">
        <v>9.19</v>
      </c>
      <c r="L40" s="1091"/>
      <c r="M40" s="1075">
        <v>9.19</v>
      </c>
    </row>
    <row r="41" spans="1:13">
      <c r="A41" s="1075">
        <v>1.37</v>
      </c>
      <c r="B41" s="1083">
        <v>11.09</v>
      </c>
      <c r="C41" s="90"/>
      <c r="D41" s="1075">
        <v>8.02</v>
      </c>
      <c r="E41" s="1087">
        <v>8.1199999999999992</v>
      </c>
      <c r="F41"/>
      <c r="G41" s="1092">
        <v>3.01</v>
      </c>
      <c r="H41" s="1093"/>
      <c r="I41" s="1081" t="s">
        <v>1646</v>
      </c>
      <c r="J41"/>
      <c r="K41" s="1075" t="s">
        <v>1782</v>
      </c>
      <c r="L41" s="1091"/>
      <c r="M41" s="1086" t="s">
        <v>1782</v>
      </c>
    </row>
    <row r="42" spans="1:13">
      <c r="A42" s="1075">
        <v>1.38</v>
      </c>
      <c r="B42" s="1083" t="s">
        <v>1780</v>
      </c>
      <c r="C42" s="90"/>
      <c r="D42" s="1075">
        <v>8.0299999999999994</v>
      </c>
      <c r="E42" s="1075">
        <v>8.0299999999999994</v>
      </c>
      <c r="F42"/>
      <c r="G42" s="1088">
        <v>3.02</v>
      </c>
      <c r="H42" s="1093" t="s">
        <v>1776</v>
      </c>
      <c r="I42" s="1081">
        <v>3.11</v>
      </c>
      <c r="J42"/>
      <c r="K42" s="1076" t="s">
        <v>1352</v>
      </c>
      <c r="L42" s="1080"/>
      <c r="M42" s="1075">
        <v>1.08</v>
      </c>
    </row>
    <row r="43" spans="1:13">
      <c r="A43" s="1081">
        <v>1.39</v>
      </c>
      <c r="B43" s="1088">
        <v>2.2200000000000002</v>
      </c>
      <c r="C43" s="90"/>
      <c r="D43" s="1075">
        <v>8.0399999999999991</v>
      </c>
      <c r="E43" s="1075">
        <v>8.0399999999999991</v>
      </c>
      <c r="F43"/>
      <c r="G43" s="1088">
        <v>3.03</v>
      </c>
      <c r="H43" s="1093" t="s">
        <v>1776</v>
      </c>
      <c r="I43" s="1081">
        <v>3.12</v>
      </c>
      <c r="J43"/>
      <c r="K43" s="1076" t="s">
        <v>1781</v>
      </c>
      <c r="L43" s="1080"/>
      <c r="M43" s="1075">
        <v>1.07</v>
      </c>
    </row>
    <row r="44" spans="1:13">
      <c r="A44" s="1081">
        <v>1.4</v>
      </c>
      <c r="B44" s="1088">
        <v>2.23</v>
      </c>
      <c r="C44" s="90"/>
      <c r="D44" s="1075">
        <v>8.0500000000000007</v>
      </c>
      <c r="E44" s="1075">
        <v>8.0500000000000007</v>
      </c>
      <c r="F44"/>
      <c r="G44" s="1088">
        <v>3.04</v>
      </c>
      <c r="H44" s="1093" t="s">
        <v>1776</v>
      </c>
      <c r="I44" s="1081">
        <v>3.13</v>
      </c>
      <c r="J44"/>
      <c r="K44" s="1075" t="s">
        <v>1653</v>
      </c>
      <c r="L44" s="1091"/>
      <c r="M44" s="1075" t="s">
        <v>1653</v>
      </c>
    </row>
    <row r="45" spans="1:13">
      <c r="A45" s="1086">
        <v>1.41</v>
      </c>
      <c r="B45" s="1083" t="s">
        <v>1545</v>
      </c>
      <c r="C45" s="90"/>
      <c r="D45" s="1075">
        <v>8.06</v>
      </c>
      <c r="E45" s="1075">
        <v>8.06</v>
      </c>
      <c r="F45"/>
      <c r="G45" s="1088">
        <v>3.05</v>
      </c>
      <c r="H45" s="1093" t="s">
        <v>1776</v>
      </c>
      <c r="I45" s="1081">
        <v>3.07</v>
      </c>
      <c r="J45"/>
      <c r="K45" s="1075" t="s">
        <v>1654</v>
      </c>
      <c r="L45" s="1091"/>
      <c r="M45" s="1075" t="s">
        <v>1654</v>
      </c>
    </row>
    <row r="46" spans="1:13">
      <c r="A46" s="1075">
        <v>1.42</v>
      </c>
      <c r="B46" s="1083">
        <v>11.01</v>
      </c>
      <c r="C46" s="90"/>
      <c r="D46" s="1075">
        <v>8.07</v>
      </c>
      <c r="E46" s="1075">
        <v>8.07</v>
      </c>
      <c r="F46"/>
      <c r="G46" s="1088">
        <v>3.06</v>
      </c>
      <c r="H46" s="1093" t="s">
        <v>1776</v>
      </c>
      <c r="I46" s="1081">
        <v>3.08</v>
      </c>
      <c r="J46"/>
      <c r="K46" s="1075" t="s">
        <v>1655</v>
      </c>
      <c r="L46" s="1091"/>
      <c r="M46" s="1075" t="s">
        <v>1655</v>
      </c>
    </row>
    <row r="47" spans="1:13">
      <c r="A47" s="1081">
        <v>1.43</v>
      </c>
      <c r="B47" s="1084">
        <v>1.01</v>
      </c>
      <c r="C47" s="90"/>
      <c r="D47" s="1075">
        <v>8.08</v>
      </c>
      <c r="E47" s="1075">
        <v>8.08</v>
      </c>
      <c r="F47"/>
      <c r="G47" s="1088">
        <v>3.07</v>
      </c>
      <c r="H47" s="1093" t="s">
        <v>1776</v>
      </c>
      <c r="I47" s="1081">
        <v>3.09</v>
      </c>
      <c r="J47"/>
      <c r="K47" s="1076">
        <v>11.01</v>
      </c>
      <c r="L47" s="1080"/>
      <c r="M47" s="1075">
        <v>1.42</v>
      </c>
    </row>
    <row r="48" spans="1:13">
      <c r="A48" s="1081">
        <v>1.44</v>
      </c>
      <c r="B48" s="1088" t="s">
        <v>1646</v>
      </c>
      <c r="C48" s="90"/>
      <c r="D48" s="1075">
        <v>8.09</v>
      </c>
      <c r="E48" s="1075">
        <v>8.09</v>
      </c>
      <c r="F48"/>
      <c r="G48" s="1088">
        <v>3.08</v>
      </c>
      <c r="H48" s="1093" t="s">
        <v>1776</v>
      </c>
      <c r="I48" s="1094" t="s">
        <v>104</v>
      </c>
      <c r="J48"/>
      <c r="K48" s="1076">
        <v>11.02</v>
      </c>
      <c r="L48" s="1080"/>
      <c r="M48" s="1075">
        <v>1.02</v>
      </c>
    </row>
    <row r="49" spans="1:13">
      <c r="A49" s="1081">
        <v>1.45</v>
      </c>
      <c r="B49" s="1088" t="s">
        <v>1646</v>
      </c>
      <c r="C49" s="90"/>
      <c r="D49" s="1075" t="s">
        <v>1778</v>
      </c>
      <c r="E49" s="1075" t="s">
        <v>1778</v>
      </c>
      <c r="F49"/>
      <c r="G49" s="1088">
        <v>3.09</v>
      </c>
      <c r="H49" s="1093"/>
      <c r="I49" s="1081">
        <v>1.0900000000000001</v>
      </c>
      <c r="J49"/>
      <c r="K49" s="1076">
        <v>11.03</v>
      </c>
      <c r="L49" s="1080"/>
      <c r="M49" s="1075">
        <v>1.03</v>
      </c>
    </row>
    <row r="50" spans="1:13">
      <c r="A50" s="1075">
        <v>1.46</v>
      </c>
      <c r="B50" s="1088" t="s">
        <v>1646</v>
      </c>
      <c r="C50" s="90"/>
      <c r="D50" s="1086" t="s">
        <v>1779</v>
      </c>
      <c r="E50" s="1075" t="s">
        <v>1779</v>
      </c>
      <c r="F50"/>
      <c r="G50" s="1076" t="s">
        <v>104</v>
      </c>
      <c r="H50" s="1087"/>
      <c r="I50" s="1075" t="s">
        <v>581</v>
      </c>
      <c r="J50"/>
      <c r="K50" s="1076">
        <v>11.04</v>
      </c>
      <c r="L50" s="1080"/>
      <c r="M50" s="1075">
        <v>1.04</v>
      </c>
    </row>
    <row r="51" spans="1:13">
      <c r="A51" s="1086">
        <v>1.47</v>
      </c>
      <c r="B51" s="1076">
        <v>11.13</v>
      </c>
      <c r="C51" s="90"/>
      <c r="D51" s="1086">
        <v>9.01</v>
      </c>
      <c r="E51" s="1075">
        <v>9.01</v>
      </c>
      <c r="F51"/>
      <c r="G51" s="1087">
        <v>3.11</v>
      </c>
      <c r="H51" s="1087"/>
      <c r="I51" s="1086">
        <v>1.1200000000000001</v>
      </c>
      <c r="J51"/>
      <c r="K51" s="1076">
        <v>11.05</v>
      </c>
      <c r="L51" s="1080"/>
      <c r="M51" s="1075">
        <v>1.05</v>
      </c>
    </row>
    <row r="52" spans="1:13">
      <c r="A52" s="1075">
        <v>1.48</v>
      </c>
      <c r="B52" s="1076">
        <v>11.12</v>
      </c>
      <c r="C52" s="90"/>
      <c r="D52" s="1075">
        <v>9.02</v>
      </c>
      <c r="E52" s="1075">
        <v>9.02</v>
      </c>
      <c r="F52"/>
      <c r="G52" s="1087">
        <v>3.12</v>
      </c>
      <c r="H52" s="1087"/>
      <c r="I52" s="1075" t="s">
        <v>582</v>
      </c>
      <c r="J52"/>
      <c r="K52" s="1076">
        <v>11.06</v>
      </c>
      <c r="L52" s="1080"/>
      <c r="M52" s="1075">
        <v>1.06</v>
      </c>
    </row>
    <row r="53" spans="1:13">
      <c r="A53" s="1086">
        <v>1.49</v>
      </c>
      <c r="B53" s="1076">
        <v>11.17</v>
      </c>
      <c r="C53" s="90"/>
      <c r="D53" s="1075">
        <v>9.0299999999999994</v>
      </c>
      <c r="E53" s="1075">
        <v>9.0299999999999994</v>
      </c>
      <c r="F53"/>
      <c r="G53" s="1086">
        <v>4.01</v>
      </c>
      <c r="H53" s="1093"/>
      <c r="I53" s="1075">
        <v>4.01</v>
      </c>
      <c r="J53"/>
      <c r="K53" s="1076">
        <v>11.07</v>
      </c>
      <c r="L53" s="1080"/>
      <c r="M53" s="1075">
        <v>1.35</v>
      </c>
    </row>
    <row r="54" spans="1:13">
      <c r="A54" s="1081">
        <v>1.5</v>
      </c>
      <c r="B54" s="1079">
        <v>1.07</v>
      </c>
      <c r="C54" s="90"/>
      <c r="D54" s="1075">
        <v>9.0399999999999991</v>
      </c>
      <c r="E54" s="1075">
        <v>9.0399999999999991</v>
      </c>
      <c r="F54"/>
      <c r="G54" s="1078">
        <v>4.0199999999999996</v>
      </c>
      <c r="H54" s="1093" t="s">
        <v>1776</v>
      </c>
      <c r="I54" s="1075">
        <v>4.0199999999999996</v>
      </c>
      <c r="J54"/>
      <c r="K54" s="1076">
        <v>11.08</v>
      </c>
      <c r="L54" s="1080" t="s">
        <v>1776</v>
      </c>
      <c r="M54" s="1075">
        <v>1.36</v>
      </c>
    </row>
    <row r="55" spans="1:13">
      <c r="A55" s="1081">
        <v>1.51</v>
      </c>
      <c r="B55" s="1087">
        <v>2.0299999999999998</v>
      </c>
      <c r="C55" s="90"/>
      <c r="D55" s="1075">
        <v>9.0500000000000007</v>
      </c>
      <c r="E55" s="1075">
        <v>9.0500000000000007</v>
      </c>
      <c r="F55"/>
      <c r="G55" s="1078">
        <v>4.03</v>
      </c>
      <c r="H55" s="1093"/>
      <c r="I55" s="1075">
        <v>4.03</v>
      </c>
      <c r="J55"/>
      <c r="K55" s="1076">
        <v>11.09</v>
      </c>
      <c r="L55" s="1080"/>
      <c r="M55" s="1075">
        <v>1.37</v>
      </c>
    </row>
    <row r="56" spans="1:13">
      <c r="A56" s="1086">
        <v>2.0099999999999998</v>
      </c>
      <c r="B56" s="1076">
        <v>11.14</v>
      </c>
      <c r="C56" s="90"/>
      <c r="D56" s="1075">
        <v>9.06</v>
      </c>
      <c r="E56" s="1075">
        <v>9.06</v>
      </c>
      <c r="F56"/>
      <c r="G56" s="1078">
        <v>4.04</v>
      </c>
      <c r="H56" s="1093" t="s">
        <v>1776</v>
      </c>
      <c r="I56" s="1075">
        <v>4.04</v>
      </c>
      <c r="J56"/>
      <c r="K56" s="1076" t="s">
        <v>1780</v>
      </c>
      <c r="L56" s="1080" t="s">
        <v>1776</v>
      </c>
      <c r="M56" s="1075">
        <v>1.38</v>
      </c>
    </row>
    <row r="57" spans="1:13">
      <c r="A57" s="1086">
        <v>2.02</v>
      </c>
      <c r="B57" s="1076">
        <v>11.15</v>
      </c>
      <c r="C57" s="90"/>
      <c r="D57" s="1075">
        <v>9.07</v>
      </c>
      <c r="E57" s="1086" t="s">
        <v>1646</v>
      </c>
      <c r="F57"/>
      <c r="G57" s="1078">
        <v>4.05</v>
      </c>
      <c r="H57" s="1093" t="s">
        <v>1776</v>
      </c>
      <c r="I57" s="1075">
        <v>4.05</v>
      </c>
      <c r="J57"/>
      <c r="K57" s="1076">
        <v>11.11</v>
      </c>
      <c r="L57" s="1091"/>
      <c r="M57" s="1075">
        <v>1.34</v>
      </c>
    </row>
    <row r="58" spans="1:13">
      <c r="A58" s="1086">
        <v>2.0299999999999998</v>
      </c>
      <c r="B58" s="1076">
        <v>11.16</v>
      </c>
      <c r="C58" s="90"/>
      <c r="D58" s="1075">
        <v>9.08</v>
      </c>
      <c r="E58" s="1075">
        <v>9.08</v>
      </c>
      <c r="F58"/>
      <c r="G58" s="1078">
        <v>4.0599999999999996</v>
      </c>
      <c r="H58" s="1093" t="s">
        <v>1776</v>
      </c>
      <c r="I58" s="1075">
        <v>4.0599999999999996</v>
      </c>
      <c r="J58"/>
      <c r="K58" s="1076">
        <v>11.12</v>
      </c>
      <c r="L58" s="1091"/>
      <c r="M58" s="1075">
        <v>1.48</v>
      </c>
    </row>
    <row r="59" spans="1:13">
      <c r="A59" s="1081">
        <v>2.04</v>
      </c>
      <c r="B59" s="1086">
        <v>2.04</v>
      </c>
      <c r="C59" s="90"/>
      <c r="D59" s="1075">
        <v>9.09</v>
      </c>
      <c r="E59" s="1075">
        <v>9.09</v>
      </c>
      <c r="F59"/>
      <c r="G59" s="1078">
        <v>4.07</v>
      </c>
      <c r="H59" s="1093"/>
      <c r="I59" s="1075">
        <v>4.07</v>
      </c>
      <c r="J59"/>
      <c r="K59" s="1076">
        <v>11.13</v>
      </c>
      <c r="L59" s="1091"/>
      <c r="M59" s="1086">
        <v>1.47</v>
      </c>
    </row>
    <row r="60" spans="1:13">
      <c r="A60" s="1081">
        <v>2.0499999999999998</v>
      </c>
      <c r="B60" s="1086">
        <v>2.0499999999999998</v>
      </c>
      <c r="C60" s="90"/>
      <c r="D60" s="1075" t="s">
        <v>1623</v>
      </c>
      <c r="E60" s="1075" t="s">
        <v>1623</v>
      </c>
      <c r="F60"/>
      <c r="G60" s="1078">
        <v>4.08</v>
      </c>
      <c r="H60" s="1093" t="s">
        <v>1776</v>
      </c>
      <c r="I60" s="1075">
        <v>4.08</v>
      </c>
      <c r="J60"/>
      <c r="K60" s="1076">
        <v>11.14</v>
      </c>
      <c r="L60" s="1080" t="s">
        <v>1776</v>
      </c>
      <c r="M60" s="1086">
        <v>2.0099999999999998</v>
      </c>
    </row>
    <row r="61" spans="1:13">
      <c r="A61" s="1081">
        <v>2.06</v>
      </c>
      <c r="B61" s="1078">
        <v>2.06</v>
      </c>
      <c r="C61" s="90"/>
      <c r="D61" s="1075">
        <v>9.11</v>
      </c>
      <c r="E61" s="1075">
        <v>9.11</v>
      </c>
      <c r="F61"/>
      <c r="G61" s="1078">
        <v>4.09</v>
      </c>
      <c r="H61" s="1093" t="s">
        <v>1776</v>
      </c>
      <c r="I61" s="1075">
        <v>4.09</v>
      </c>
      <c r="J61"/>
      <c r="K61" s="1076">
        <v>11.15</v>
      </c>
      <c r="L61" s="1091"/>
      <c r="M61" s="1086">
        <v>2.02</v>
      </c>
    </row>
    <row r="62" spans="1:13">
      <c r="A62" s="1081">
        <v>2.0699999999999998</v>
      </c>
      <c r="B62" s="1078">
        <v>2.0699999999999998</v>
      </c>
      <c r="C62" s="90"/>
      <c r="D62" s="1075">
        <v>9.1199999999999992</v>
      </c>
      <c r="E62" s="1075">
        <v>9.1199999999999992</v>
      </c>
      <c r="F62"/>
      <c r="G62" s="1095">
        <v>4.0999999999999996</v>
      </c>
      <c r="H62" s="1093" t="s">
        <v>1776</v>
      </c>
      <c r="I62" s="1075" t="s">
        <v>1775</v>
      </c>
      <c r="J62"/>
      <c r="K62" s="1076">
        <v>11.16</v>
      </c>
      <c r="L62" s="1080" t="s">
        <v>1776</v>
      </c>
      <c r="M62" s="1086">
        <v>2.0299999999999998</v>
      </c>
    </row>
    <row r="63" spans="1:13">
      <c r="A63" s="1081">
        <v>2.08</v>
      </c>
      <c r="B63" s="1078">
        <v>2.08</v>
      </c>
      <c r="C63" s="90"/>
      <c r="D63" s="1075">
        <v>9.1300000000000008</v>
      </c>
      <c r="E63" s="1075">
        <v>9.1300000000000008</v>
      </c>
      <c r="F63"/>
      <c r="G63" s="1095">
        <v>4.1100000000000003</v>
      </c>
      <c r="H63" s="1093" t="s">
        <v>1776</v>
      </c>
      <c r="I63" s="1095">
        <v>4.13</v>
      </c>
      <c r="J63"/>
      <c r="K63" s="1076">
        <v>11.17</v>
      </c>
      <c r="L63" s="1091"/>
      <c r="M63" s="1086">
        <v>1.49</v>
      </c>
    </row>
    <row r="64" spans="1:13">
      <c r="A64" s="1081">
        <v>2.09</v>
      </c>
      <c r="B64" s="1078">
        <v>2.09</v>
      </c>
      <c r="C64" s="90"/>
      <c r="D64" s="1075">
        <v>9.14</v>
      </c>
      <c r="E64" s="1075">
        <v>9.14</v>
      </c>
      <c r="F64"/>
      <c r="G64" s="1075">
        <v>5.01</v>
      </c>
      <c r="H64" s="1086"/>
      <c r="I64" s="1075">
        <v>5.01</v>
      </c>
      <c r="J64"/>
      <c r="K64" s="1096">
        <v>11.18</v>
      </c>
      <c r="L64" s="1097"/>
      <c r="M64" s="1078" t="s">
        <v>1646</v>
      </c>
    </row>
    <row r="65" spans="1:13">
      <c r="A65" s="1081">
        <v>2.1</v>
      </c>
      <c r="B65" s="1078" t="s">
        <v>1634</v>
      </c>
      <c r="C65" s="90"/>
      <c r="D65" s="1075">
        <v>9.15</v>
      </c>
      <c r="E65" s="1086" t="s">
        <v>1646</v>
      </c>
      <c r="F65"/>
      <c r="G65" s="1075">
        <v>5.0199999999999996</v>
      </c>
      <c r="H65" s="1087"/>
      <c r="I65" s="1075">
        <v>5.0199999999999996</v>
      </c>
      <c r="J65"/>
      <c r="K65"/>
      <c r="L65"/>
      <c r="M65"/>
    </row>
    <row r="66" spans="1:13">
      <c r="A66" s="1081">
        <v>2.11</v>
      </c>
      <c r="B66" s="1078">
        <v>2.11</v>
      </c>
      <c r="C66" s="90"/>
      <c r="D66" s="1075">
        <v>9.16</v>
      </c>
      <c r="E66" s="1075">
        <v>9.16</v>
      </c>
      <c r="F66"/>
      <c r="G66" s="1078">
        <v>5.03</v>
      </c>
      <c r="H66" s="1087"/>
      <c r="I66" s="1078">
        <v>5.03</v>
      </c>
      <c r="J66"/>
      <c r="K66"/>
      <c r="L66"/>
      <c r="M66"/>
    </row>
    <row r="67" spans="1:13">
      <c r="A67" s="1081">
        <v>2.12</v>
      </c>
      <c r="B67" s="1078">
        <v>2.12</v>
      </c>
      <c r="C67" s="90"/>
      <c r="D67" s="1075">
        <v>9.17</v>
      </c>
      <c r="E67" s="1075">
        <v>9.17</v>
      </c>
      <c r="F67"/>
      <c r="G67" s="1078">
        <v>5.04</v>
      </c>
      <c r="H67" s="1082"/>
      <c r="I67" s="1078">
        <v>5.04</v>
      </c>
      <c r="J67"/>
      <c r="K67"/>
      <c r="L67"/>
      <c r="M67"/>
    </row>
    <row r="68" spans="1:13">
      <c r="A68" s="1081">
        <v>2.13</v>
      </c>
      <c r="B68" s="1078">
        <v>2.13</v>
      </c>
      <c r="C68" s="90"/>
      <c r="D68" s="1075">
        <v>9.18</v>
      </c>
      <c r="E68" s="1075">
        <v>9.18</v>
      </c>
      <c r="F68"/>
      <c r="G68" s="1078">
        <v>6.01</v>
      </c>
      <c r="H68" s="1082"/>
      <c r="I68" s="1075">
        <v>6.01</v>
      </c>
      <c r="J68"/>
      <c r="K68" s="83"/>
      <c r="L68" s="1098"/>
      <c r="M68" s="676"/>
    </row>
    <row r="69" spans="1:13">
      <c r="A69" s="1081">
        <v>3.01</v>
      </c>
      <c r="B69" s="1078">
        <v>3.02</v>
      </c>
      <c r="C69" s="90"/>
      <c r="D69" s="1075">
        <v>9.19</v>
      </c>
      <c r="E69" s="1075">
        <v>9.19</v>
      </c>
      <c r="F69"/>
      <c r="G69" s="1078">
        <v>6.02</v>
      </c>
      <c r="H69" s="1082"/>
      <c r="I69" s="1075">
        <v>6.02</v>
      </c>
      <c r="J69"/>
      <c r="K69" s="1099" t="s">
        <v>1546</v>
      </c>
      <c r="L69"/>
      <c r="M69"/>
    </row>
    <row r="70" spans="1:13">
      <c r="A70" s="1077">
        <v>3.02</v>
      </c>
      <c r="B70" s="1078">
        <v>3.03</v>
      </c>
      <c r="C70"/>
      <c r="D70" s="1086" t="s">
        <v>1782</v>
      </c>
      <c r="E70" s="1075" t="s">
        <v>1782</v>
      </c>
      <c r="F70"/>
      <c r="G70" s="1078">
        <v>6.03</v>
      </c>
      <c r="H70" s="1082"/>
      <c r="I70" s="1075">
        <v>6.03</v>
      </c>
      <c r="J70"/>
      <c r="K70"/>
      <c r="L70"/>
      <c r="M70"/>
    </row>
    <row r="71" spans="1:13">
      <c r="A71" s="1077">
        <v>3.03</v>
      </c>
      <c r="B71" s="1078">
        <v>3.03</v>
      </c>
      <c r="C71"/>
      <c r="D71" s="1086">
        <v>9.2100000000000009</v>
      </c>
      <c r="E71" s="1086">
        <v>9.07</v>
      </c>
      <c r="F71"/>
      <c r="G71" s="1078">
        <v>6.04</v>
      </c>
      <c r="H71" s="1082"/>
      <c r="I71" s="1075">
        <v>6.04</v>
      </c>
      <c r="J71"/>
      <c r="K71"/>
      <c r="L71"/>
      <c r="M71"/>
    </row>
    <row r="72" spans="1:13">
      <c r="A72" s="1077">
        <v>3.04</v>
      </c>
      <c r="B72" s="1078">
        <v>3.03</v>
      </c>
      <c r="C72"/>
      <c r="D72" s="1075" t="s">
        <v>1653</v>
      </c>
      <c r="E72" s="1075" t="s">
        <v>1653</v>
      </c>
      <c r="F72"/>
      <c r="G72" s="1078">
        <v>6.05</v>
      </c>
      <c r="H72" s="1082"/>
      <c r="I72" s="1075">
        <v>6.05</v>
      </c>
      <c r="J72"/>
      <c r="K72"/>
      <c r="L72"/>
      <c r="M72"/>
    </row>
    <row r="73" spans="1:13">
      <c r="A73" s="1081">
        <v>3.05</v>
      </c>
      <c r="B73" s="1086">
        <v>3.04</v>
      </c>
      <c r="C73"/>
      <c r="D73" s="1075" t="s">
        <v>1654</v>
      </c>
      <c r="E73" s="1075" t="s">
        <v>1654</v>
      </c>
      <c r="F73"/>
      <c r="G73" s="1078">
        <v>6.06</v>
      </c>
      <c r="H73" s="1100"/>
      <c r="I73" s="1085">
        <v>6.06</v>
      </c>
      <c r="J73"/>
      <c r="K73"/>
      <c r="L73"/>
      <c r="M73"/>
    </row>
    <row r="74" spans="1:13">
      <c r="A74" s="1077">
        <v>3.06</v>
      </c>
      <c r="B74" s="1078">
        <v>3.04</v>
      </c>
      <c r="C74"/>
      <c r="D74" s="1075" t="s">
        <v>1655</v>
      </c>
      <c r="E74" s="1075" t="s">
        <v>1655</v>
      </c>
      <c r="F74"/>
      <c r="G74" s="271"/>
      <c r="H74" s="271"/>
      <c r="I74" s="271"/>
      <c r="J74"/>
      <c r="K74"/>
      <c r="L74"/>
      <c r="M74"/>
    </row>
    <row r="75" spans="1:13">
      <c r="A75" s="182"/>
      <c r="B75" s="183"/>
      <c r="L75" s="183"/>
      <c r="M75" s="967"/>
    </row>
    <row r="76" spans="1:13">
      <c r="A76" s="182"/>
      <c r="B76" s="183"/>
      <c r="K76" s="184"/>
    </row>
    <row r="77" spans="1:13">
      <c r="A77" s="181"/>
      <c r="B77" s="185" t="s">
        <v>1355</v>
      </c>
      <c r="F77" s="186" t="s">
        <v>1646</v>
      </c>
      <c r="G77" s="187" t="s">
        <v>1783</v>
      </c>
      <c r="J77" s="188" t="s">
        <v>1776</v>
      </c>
      <c r="K77" s="187" t="s">
        <v>1353</v>
      </c>
    </row>
    <row r="78" spans="1:13">
      <c r="A78" s="189"/>
      <c r="B78" s="185" t="s">
        <v>1354</v>
      </c>
    </row>
    <row r="79" spans="1:13" ht="8.25" customHeight="1"/>
    <row r="80" spans="1:13">
      <c r="A80" s="1495"/>
      <c r="G80" s="190"/>
      <c r="H80" s="190"/>
    </row>
  </sheetData>
  <phoneticPr fontId="37" type="noConversion"/>
  <pageMargins left="0.56999999999999995" right="0.46" top="0.31" bottom="0.33" header="0.22" footer="0.21"/>
  <pageSetup paperSize="9" scale="80"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09EC1-F960-AC46-99EB-65B361DBF13B}">
  <sheetPr>
    <pageSetUpPr fitToPage="1"/>
  </sheetPr>
  <dimension ref="A1:O187"/>
  <sheetViews>
    <sheetView workbookViewId="0">
      <selection activeCell="A2" sqref="A2"/>
    </sheetView>
  </sheetViews>
  <sheetFormatPr baseColWidth="10" defaultColWidth="11.3984375" defaultRowHeight="11"/>
  <cols>
    <col min="1" max="1" width="11.3984375" style="1543"/>
    <col min="2" max="2" width="11.19921875" style="1542" customWidth="1"/>
    <col min="3" max="3" width="10.19921875" style="1542" customWidth="1"/>
    <col min="4" max="6" width="11.3984375" style="1542"/>
    <col min="7" max="7" width="10.796875" style="1542" customWidth="1"/>
    <col min="8" max="9" width="9.796875" style="1543" customWidth="1"/>
    <col min="10" max="11" width="11.3984375" style="1543"/>
    <col min="12" max="13" width="11.3984375" style="1542"/>
    <col min="14" max="16384" width="11.3984375" style="1543"/>
  </cols>
  <sheetData>
    <row r="1" spans="1:13" ht="16">
      <c r="A1" s="1541" t="s">
        <v>1719</v>
      </c>
    </row>
    <row r="2" spans="1:13" ht="12.75" customHeight="1">
      <c r="E2" s="1544"/>
      <c r="F2" s="1544"/>
    </row>
    <row r="3" spans="1:13" ht="16">
      <c r="A3" s="1541" t="s">
        <v>1720</v>
      </c>
      <c r="E3" s="1544"/>
      <c r="F3" s="1544"/>
    </row>
    <row r="4" spans="1:13" ht="15" customHeight="1">
      <c r="B4" s="1544"/>
      <c r="C4" s="1544"/>
      <c r="D4" s="1545"/>
      <c r="E4" s="1545"/>
      <c r="F4" s="1545"/>
      <c r="G4" s="1545"/>
      <c r="J4" s="1546"/>
      <c r="K4" s="1546"/>
      <c r="L4" s="1544"/>
      <c r="M4" s="1544"/>
    </row>
    <row r="5" spans="1:13" s="1548" customFormat="1" ht="28.5" customHeight="1">
      <c r="A5" s="1547" t="s">
        <v>1774</v>
      </c>
      <c r="B5" s="1547" t="s">
        <v>1864</v>
      </c>
      <c r="C5" s="1547" t="s">
        <v>1863</v>
      </c>
      <c r="D5" s="1547" t="s">
        <v>1862</v>
      </c>
      <c r="E5" s="1547" t="s">
        <v>1861</v>
      </c>
      <c r="F5" s="1547" t="s">
        <v>1636</v>
      </c>
      <c r="G5" s="1547" t="s">
        <v>1860</v>
      </c>
      <c r="H5" s="1547" t="s">
        <v>1859</v>
      </c>
      <c r="I5" s="1547" t="s">
        <v>1858</v>
      </c>
      <c r="J5" s="1547" t="s">
        <v>1857</v>
      </c>
      <c r="L5" s="1549"/>
      <c r="M5" s="1549"/>
    </row>
    <row r="6" spans="1:13" ht="14.25" customHeight="1">
      <c r="A6" s="1550"/>
      <c r="B6" s="1550"/>
      <c r="C6" s="1550"/>
      <c r="D6" s="1550"/>
      <c r="E6" s="1551"/>
      <c r="F6" s="1551"/>
      <c r="G6" s="1551"/>
      <c r="H6" s="1551"/>
      <c r="I6" s="1551"/>
      <c r="J6" s="1551"/>
      <c r="L6" s="1543"/>
      <c r="M6" s="1543"/>
    </row>
    <row r="7" spans="1:13">
      <c r="A7" s="1552">
        <v>1.01</v>
      </c>
      <c r="B7" s="1552">
        <v>1.43</v>
      </c>
      <c r="C7" s="1552">
        <v>1.43</v>
      </c>
      <c r="D7" s="1552">
        <v>1.43</v>
      </c>
      <c r="E7" s="1552">
        <v>1.43</v>
      </c>
      <c r="F7" s="1553" t="s">
        <v>1646</v>
      </c>
      <c r="G7" s="1554" t="s">
        <v>1646</v>
      </c>
      <c r="H7" s="1554" t="s">
        <v>1646</v>
      </c>
      <c r="I7" s="1554" t="s">
        <v>1646</v>
      </c>
      <c r="J7" s="1554" t="s">
        <v>1646</v>
      </c>
      <c r="L7" s="1543"/>
      <c r="M7" s="1543"/>
    </row>
    <row r="8" spans="1:13">
      <c r="A8" s="1552">
        <v>1.02</v>
      </c>
      <c r="B8" s="1552">
        <v>1.27</v>
      </c>
      <c r="C8" s="1552">
        <v>1.27</v>
      </c>
      <c r="D8" s="1552">
        <v>1.27</v>
      </c>
      <c r="E8" s="1552">
        <v>1.27</v>
      </c>
      <c r="F8" s="1553">
        <v>1.27</v>
      </c>
      <c r="G8" s="1555" t="s">
        <v>1910</v>
      </c>
      <c r="H8" s="1555" t="s">
        <v>1910</v>
      </c>
      <c r="I8" s="1555" t="s">
        <v>1910</v>
      </c>
      <c r="J8" s="1555" t="s">
        <v>1910</v>
      </c>
      <c r="L8" s="1543"/>
      <c r="M8" s="1543"/>
    </row>
    <row r="9" spans="1:13">
      <c r="A9" s="1552">
        <v>1.03</v>
      </c>
      <c r="B9" s="1552">
        <v>1.28</v>
      </c>
      <c r="C9" s="1552">
        <v>1.28</v>
      </c>
      <c r="D9" s="1552">
        <v>1.28</v>
      </c>
      <c r="E9" s="1552">
        <v>1.28</v>
      </c>
      <c r="F9" s="1553">
        <v>1.28</v>
      </c>
      <c r="G9" s="1555" t="s">
        <v>1911</v>
      </c>
      <c r="H9" s="1555" t="s">
        <v>1911</v>
      </c>
      <c r="I9" s="1555" t="s">
        <v>1911</v>
      </c>
      <c r="J9" s="1555" t="s">
        <v>1911</v>
      </c>
      <c r="L9" s="1543"/>
      <c r="M9" s="1543"/>
    </row>
    <row r="10" spans="1:13">
      <c r="A10" s="1556">
        <v>1.04</v>
      </c>
      <c r="B10" s="1556">
        <v>1.29</v>
      </c>
      <c r="C10" s="1556">
        <v>1.29</v>
      </c>
      <c r="D10" s="1556">
        <v>1.29</v>
      </c>
      <c r="E10" s="1556">
        <v>1.29</v>
      </c>
      <c r="F10" s="1557">
        <v>1.29</v>
      </c>
      <c r="G10" s="1558" t="s">
        <v>1912</v>
      </c>
      <c r="H10" s="1558" t="s">
        <v>1912</v>
      </c>
      <c r="I10" s="1558" t="s">
        <v>1912</v>
      </c>
      <c r="J10" s="1558" t="s">
        <v>1912</v>
      </c>
      <c r="L10" s="1543"/>
      <c r="M10" s="1543"/>
    </row>
    <row r="11" spans="1:13">
      <c r="A11" s="1556">
        <v>1.05</v>
      </c>
      <c r="B11" s="1556">
        <v>1.3</v>
      </c>
      <c r="C11" s="1556">
        <v>1.3</v>
      </c>
      <c r="D11" s="1556">
        <v>1.3</v>
      </c>
      <c r="E11" s="1556">
        <v>1.3</v>
      </c>
      <c r="F11" s="1557">
        <v>1.3</v>
      </c>
      <c r="G11" s="1558" t="s">
        <v>1913</v>
      </c>
      <c r="H11" s="1558" t="s">
        <v>1913</v>
      </c>
      <c r="I11" s="1558" t="s">
        <v>1913</v>
      </c>
      <c r="J11" s="1558" t="s">
        <v>1913</v>
      </c>
      <c r="L11" s="1543"/>
      <c r="M11" s="1543"/>
    </row>
    <row r="12" spans="1:13">
      <c r="A12" s="1556">
        <v>1.06</v>
      </c>
      <c r="B12" s="1556">
        <v>1.31</v>
      </c>
      <c r="C12" s="1556">
        <v>1.31</v>
      </c>
      <c r="D12" s="1556">
        <v>1.31</v>
      </c>
      <c r="E12" s="1556">
        <v>1.31</v>
      </c>
      <c r="F12" s="1557">
        <v>1.31</v>
      </c>
      <c r="G12" s="1558" t="s">
        <v>1914</v>
      </c>
      <c r="H12" s="1558" t="s">
        <v>1914</v>
      </c>
      <c r="I12" s="1558" t="s">
        <v>1914</v>
      </c>
      <c r="J12" s="1558" t="s">
        <v>1914</v>
      </c>
      <c r="L12" s="1543"/>
      <c r="M12" s="1543"/>
    </row>
    <row r="13" spans="1:13">
      <c r="A13" s="1556">
        <v>1.07</v>
      </c>
      <c r="B13" s="1559" t="s">
        <v>1647</v>
      </c>
      <c r="C13" s="1560">
        <v>7.06</v>
      </c>
      <c r="D13" s="1560">
        <v>7.06</v>
      </c>
      <c r="E13" s="1560" t="s">
        <v>1646</v>
      </c>
      <c r="F13" s="1560" t="s">
        <v>1646</v>
      </c>
      <c r="G13" s="1560" t="s">
        <v>1646</v>
      </c>
      <c r="H13" s="1560" t="s">
        <v>1646</v>
      </c>
      <c r="I13" s="1560" t="s">
        <v>1646</v>
      </c>
      <c r="J13" s="1560" t="s">
        <v>1646</v>
      </c>
      <c r="L13" s="1543"/>
      <c r="M13" s="1543"/>
    </row>
    <row r="14" spans="1:13">
      <c r="A14" s="1556">
        <v>1.08</v>
      </c>
      <c r="B14" s="1556">
        <v>1.25</v>
      </c>
      <c r="C14" s="1556">
        <v>1.25</v>
      </c>
      <c r="D14" s="1556">
        <v>1.25</v>
      </c>
      <c r="E14" s="1556">
        <v>1.25</v>
      </c>
      <c r="F14" s="1557">
        <v>1.25</v>
      </c>
      <c r="G14" s="1561" t="s">
        <v>1646</v>
      </c>
      <c r="H14" s="1561" t="s">
        <v>1646</v>
      </c>
      <c r="I14" s="1561" t="s">
        <v>1646</v>
      </c>
      <c r="J14" s="1561" t="s">
        <v>1646</v>
      </c>
      <c r="L14" s="1543"/>
      <c r="M14" s="1543"/>
    </row>
    <row r="15" spans="1:13">
      <c r="A15" s="1556">
        <v>1.0900000000000001</v>
      </c>
      <c r="B15" s="1556">
        <v>1.26</v>
      </c>
      <c r="C15" s="1556">
        <v>1.26</v>
      </c>
      <c r="D15" s="1556">
        <v>1.26</v>
      </c>
      <c r="E15" s="1556">
        <v>1.26</v>
      </c>
      <c r="F15" s="1557">
        <v>1.26</v>
      </c>
      <c r="G15" s="1561" t="s">
        <v>1646</v>
      </c>
      <c r="H15" s="1561" t="s">
        <v>1646</v>
      </c>
      <c r="I15" s="1561" t="s">
        <v>1646</v>
      </c>
      <c r="J15" s="1561" t="s">
        <v>1646</v>
      </c>
      <c r="L15" s="1543"/>
      <c r="M15" s="1543"/>
    </row>
    <row r="16" spans="1:13">
      <c r="A16" s="1556">
        <v>1.1000000000000001</v>
      </c>
      <c r="B16" s="1556">
        <v>1.23</v>
      </c>
      <c r="C16" s="1556">
        <v>1.23</v>
      </c>
      <c r="D16" s="1556">
        <v>1.23</v>
      </c>
      <c r="E16" s="1556">
        <v>1.23</v>
      </c>
      <c r="F16" s="1557">
        <v>1.23</v>
      </c>
      <c r="G16" s="1561" t="s">
        <v>1646</v>
      </c>
      <c r="H16" s="1561" t="s">
        <v>1646</v>
      </c>
      <c r="I16" s="1561" t="s">
        <v>1646</v>
      </c>
      <c r="J16" s="1561" t="s">
        <v>1646</v>
      </c>
      <c r="L16" s="1543"/>
      <c r="M16" s="1543"/>
    </row>
    <row r="17" spans="1:13">
      <c r="A17" s="1556">
        <v>1.1100000000000001</v>
      </c>
      <c r="B17" s="1556">
        <v>1.24</v>
      </c>
      <c r="C17" s="1556">
        <v>1.24</v>
      </c>
      <c r="D17" s="1556">
        <v>1.24</v>
      </c>
      <c r="E17" s="1556">
        <v>1.24</v>
      </c>
      <c r="F17" s="1557">
        <v>1.24</v>
      </c>
      <c r="G17" s="1561" t="s">
        <v>1646</v>
      </c>
      <c r="H17" s="1561" t="s">
        <v>1646</v>
      </c>
      <c r="I17" s="1561" t="s">
        <v>1646</v>
      </c>
      <c r="J17" s="1561" t="s">
        <v>1646</v>
      </c>
      <c r="L17" s="1543"/>
      <c r="M17" s="1543"/>
    </row>
    <row r="18" spans="1:13">
      <c r="A18" s="1556">
        <v>1.1200000000000001</v>
      </c>
      <c r="B18" s="1556">
        <v>1.32</v>
      </c>
      <c r="C18" s="1556">
        <v>1.32</v>
      </c>
      <c r="D18" s="1556">
        <v>1.32</v>
      </c>
      <c r="E18" s="1556">
        <v>1.32</v>
      </c>
      <c r="F18" s="1557">
        <v>1.32</v>
      </c>
      <c r="G18" s="1558" t="s">
        <v>1908</v>
      </c>
      <c r="H18" s="1558" t="s">
        <v>1908</v>
      </c>
      <c r="I18" s="1558" t="s">
        <v>1908</v>
      </c>
      <c r="J18" s="1558" t="s">
        <v>1908</v>
      </c>
      <c r="L18" s="1543"/>
      <c r="M18" s="1543"/>
    </row>
    <row r="19" spans="1:13">
      <c r="A19" s="1556">
        <v>1.1299999999999999</v>
      </c>
      <c r="B19" s="1556">
        <v>1.33</v>
      </c>
      <c r="C19" s="1556">
        <v>1.33</v>
      </c>
      <c r="D19" s="1556">
        <v>1.33</v>
      </c>
      <c r="E19" s="1556">
        <v>1.33</v>
      </c>
      <c r="F19" s="1557">
        <v>1.33</v>
      </c>
      <c r="G19" s="1561" t="s">
        <v>1646</v>
      </c>
      <c r="H19" s="1561" t="s">
        <v>1646</v>
      </c>
      <c r="I19" s="1561" t="s">
        <v>1646</v>
      </c>
      <c r="J19" s="1561" t="s">
        <v>1646</v>
      </c>
      <c r="L19" s="1543"/>
      <c r="M19" s="1543"/>
    </row>
    <row r="20" spans="1:13">
      <c r="A20" s="1556">
        <v>2.0099999999999998</v>
      </c>
      <c r="B20" s="1556">
        <v>1.19</v>
      </c>
      <c r="C20" s="1556">
        <v>1.19</v>
      </c>
      <c r="D20" s="1556">
        <v>1.19</v>
      </c>
      <c r="E20" s="1556">
        <v>1.19</v>
      </c>
      <c r="F20" s="1557">
        <v>1.19</v>
      </c>
      <c r="G20" s="1561" t="s">
        <v>1646</v>
      </c>
      <c r="H20" s="1561" t="s">
        <v>1646</v>
      </c>
      <c r="I20" s="1561" t="s">
        <v>1646</v>
      </c>
      <c r="J20" s="1561" t="s">
        <v>1646</v>
      </c>
      <c r="L20" s="1543"/>
      <c r="M20" s="1543"/>
    </row>
    <row r="21" spans="1:13">
      <c r="A21" s="1556">
        <v>2.02</v>
      </c>
      <c r="B21" s="1556">
        <v>1.2</v>
      </c>
      <c r="C21" s="1556">
        <v>1.2</v>
      </c>
      <c r="D21" s="1556">
        <v>1.2</v>
      </c>
      <c r="E21" s="1556">
        <v>1.2</v>
      </c>
      <c r="F21" s="1557">
        <v>1.2</v>
      </c>
      <c r="G21" s="1561" t="s">
        <v>1646</v>
      </c>
      <c r="H21" s="1561" t="s">
        <v>1646</v>
      </c>
      <c r="I21" s="1561" t="s">
        <v>1646</v>
      </c>
      <c r="J21" s="1561" t="s">
        <v>1646</v>
      </c>
      <c r="L21" s="1543"/>
      <c r="M21" s="1543"/>
    </row>
    <row r="22" spans="1:13">
      <c r="A22" s="1556">
        <v>2.0299999999999998</v>
      </c>
      <c r="B22" s="1559">
        <v>1.51</v>
      </c>
      <c r="C22" s="1560" t="s">
        <v>1646</v>
      </c>
      <c r="D22" s="1560" t="s">
        <v>1646</v>
      </c>
      <c r="E22" s="1560" t="s">
        <v>1646</v>
      </c>
      <c r="F22" s="1560" t="s">
        <v>1646</v>
      </c>
      <c r="G22" s="1560" t="s">
        <v>1646</v>
      </c>
      <c r="H22" s="1560" t="s">
        <v>1646</v>
      </c>
      <c r="I22" s="1560" t="s">
        <v>1646</v>
      </c>
      <c r="J22" s="1560" t="s">
        <v>1646</v>
      </c>
      <c r="L22" s="1543"/>
      <c r="M22" s="1543"/>
    </row>
    <row r="23" spans="1:13">
      <c r="A23" s="1559">
        <v>2.04</v>
      </c>
      <c r="B23" s="1560">
        <v>2.04</v>
      </c>
      <c r="C23" s="1560">
        <v>2.04</v>
      </c>
      <c r="D23" s="1560">
        <v>2.04</v>
      </c>
      <c r="E23" s="1560">
        <v>2.04</v>
      </c>
      <c r="F23" s="1558">
        <v>2.04</v>
      </c>
      <c r="G23" s="1558" t="s">
        <v>1618</v>
      </c>
      <c r="H23" s="1558" t="s">
        <v>1618</v>
      </c>
      <c r="I23" s="1558" t="s">
        <v>1646</v>
      </c>
      <c r="J23" s="1558" t="s">
        <v>1646</v>
      </c>
      <c r="L23" s="1543"/>
      <c r="M23" s="1543"/>
    </row>
    <row r="24" spans="1:13">
      <c r="A24" s="1556">
        <v>2.0499999999999998</v>
      </c>
      <c r="B24" s="1560">
        <v>2.0499999999999998</v>
      </c>
      <c r="C24" s="1560">
        <v>2.0499999999999998</v>
      </c>
      <c r="D24" s="1560">
        <v>2.0499999999999998</v>
      </c>
      <c r="E24" s="1560">
        <v>2.0499999999999998</v>
      </c>
      <c r="F24" s="1558">
        <v>2.0499999999999998</v>
      </c>
      <c r="G24" s="1558" t="s">
        <v>1630</v>
      </c>
      <c r="H24" s="1558" t="s">
        <v>1630</v>
      </c>
      <c r="I24" s="1558" t="s">
        <v>1646</v>
      </c>
      <c r="J24" s="1558" t="s">
        <v>1646</v>
      </c>
      <c r="L24" s="1543"/>
      <c r="M24" s="1543"/>
    </row>
    <row r="25" spans="1:13">
      <c r="A25" s="1560">
        <v>2.06</v>
      </c>
      <c r="B25" s="1560">
        <v>2.06</v>
      </c>
      <c r="C25" s="1560">
        <v>2.06</v>
      </c>
      <c r="D25" s="1560">
        <v>2.06</v>
      </c>
      <c r="E25" s="1560">
        <v>2.06</v>
      </c>
      <c r="F25" s="1558">
        <v>2.06</v>
      </c>
      <c r="G25" s="1558" t="s">
        <v>1621</v>
      </c>
      <c r="H25" s="1558" t="s">
        <v>1621</v>
      </c>
      <c r="I25" s="1558" t="s">
        <v>1646</v>
      </c>
      <c r="J25" s="1558" t="s">
        <v>1646</v>
      </c>
      <c r="L25" s="1543"/>
      <c r="M25" s="1543"/>
    </row>
    <row r="26" spans="1:13">
      <c r="A26" s="1560">
        <v>2.0699999999999998</v>
      </c>
      <c r="B26" s="1560">
        <v>2.0699999999999998</v>
      </c>
      <c r="C26" s="1560">
        <v>2.0699999999999998</v>
      </c>
      <c r="D26" s="1560">
        <v>2.0699999999999998</v>
      </c>
      <c r="E26" s="1560">
        <v>2.0699999999999998</v>
      </c>
      <c r="F26" s="1558">
        <v>2.0699999999999998</v>
      </c>
      <c r="G26" s="1558" t="s">
        <v>1624</v>
      </c>
      <c r="H26" s="1558" t="s">
        <v>1624</v>
      </c>
      <c r="I26" s="1558" t="s">
        <v>1618</v>
      </c>
      <c r="J26" s="1558" t="s">
        <v>1646</v>
      </c>
      <c r="L26" s="1543"/>
      <c r="M26" s="1543"/>
    </row>
    <row r="27" spans="1:13">
      <c r="A27" s="1560">
        <v>2.08</v>
      </c>
      <c r="B27" s="1560">
        <v>2.08</v>
      </c>
      <c r="C27" s="1560">
        <v>2.08</v>
      </c>
      <c r="D27" s="1560">
        <v>2.08</v>
      </c>
      <c r="E27" s="1560">
        <v>2.08</v>
      </c>
      <c r="F27" s="1558">
        <v>2.08</v>
      </c>
      <c r="G27" s="1558" t="s">
        <v>1631</v>
      </c>
      <c r="H27" s="1558" t="s">
        <v>1631</v>
      </c>
      <c r="I27" s="1558" t="s">
        <v>1630</v>
      </c>
      <c r="J27" s="1558" t="s">
        <v>1646</v>
      </c>
      <c r="L27" s="1543"/>
      <c r="M27" s="1543"/>
    </row>
    <row r="28" spans="1:13">
      <c r="A28" s="1560">
        <v>2.09</v>
      </c>
      <c r="B28" s="1560">
        <v>2.09</v>
      </c>
      <c r="C28" s="1560">
        <v>2.09</v>
      </c>
      <c r="D28" s="1560">
        <v>2.09</v>
      </c>
      <c r="E28" s="1560">
        <v>2.09</v>
      </c>
      <c r="F28" s="1558">
        <v>2.09</v>
      </c>
      <c r="G28" s="1558" t="s">
        <v>1633</v>
      </c>
      <c r="H28" s="1558" t="s">
        <v>1646</v>
      </c>
      <c r="I28" s="1558" t="s">
        <v>1646</v>
      </c>
      <c r="J28" s="1558" t="s">
        <v>1646</v>
      </c>
      <c r="L28" s="1543"/>
      <c r="M28" s="1543"/>
    </row>
    <row r="29" spans="1:13">
      <c r="A29" s="1560" t="s">
        <v>1634</v>
      </c>
      <c r="B29" s="1562" t="s">
        <v>1634</v>
      </c>
      <c r="C29" s="1562" t="s">
        <v>1634</v>
      </c>
      <c r="D29" s="1562" t="s">
        <v>1634</v>
      </c>
      <c r="E29" s="1562" t="s">
        <v>1634</v>
      </c>
      <c r="F29" s="1557" t="s">
        <v>1646</v>
      </c>
      <c r="G29" s="1561" t="s">
        <v>1646</v>
      </c>
      <c r="H29" s="1561" t="s">
        <v>1646</v>
      </c>
      <c r="I29" s="1561" t="s">
        <v>1646</v>
      </c>
      <c r="J29" s="1561" t="s">
        <v>1646</v>
      </c>
      <c r="L29" s="1543"/>
      <c r="M29" s="1543"/>
    </row>
    <row r="30" spans="1:13">
      <c r="A30" s="1560">
        <v>2.11</v>
      </c>
      <c r="B30" s="1556">
        <v>2.11</v>
      </c>
      <c r="C30" s="1556">
        <v>2.11</v>
      </c>
      <c r="D30" s="1556">
        <v>2.11</v>
      </c>
      <c r="E30" s="1556">
        <v>2.11</v>
      </c>
      <c r="F30" s="1557" t="s">
        <v>1646</v>
      </c>
      <c r="G30" s="1561" t="s">
        <v>1646</v>
      </c>
      <c r="H30" s="1561" t="s">
        <v>1646</v>
      </c>
      <c r="I30" s="1561" t="s">
        <v>1646</v>
      </c>
      <c r="J30" s="1561" t="s">
        <v>1646</v>
      </c>
      <c r="L30" s="1543"/>
      <c r="M30" s="1543"/>
    </row>
    <row r="31" spans="1:13">
      <c r="A31" s="1560">
        <v>2.12</v>
      </c>
      <c r="B31" s="1556">
        <v>2.12</v>
      </c>
      <c r="C31" s="1556" t="s">
        <v>1646</v>
      </c>
      <c r="D31" s="1556" t="s">
        <v>1646</v>
      </c>
      <c r="E31" s="1556" t="s">
        <v>1646</v>
      </c>
      <c r="F31" s="1556" t="s">
        <v>1646</v>
      </c>
      <c r="G31" s="1556" t="s">
        <v>1646</v>
      </c>
      <c r="H31" s="1556" t="s">
        <v>1646</v>
      </c>
      <c r="I31" s="1556" t="s">
        <v>1646</v>
      </c>
      <c r="J31" s="1556" t="s">
        <v>1646</v>
      </c>
      <c r="L31" s="1543"/>
      <c r="M31" s="1543"/>
    </row>
    <row r="32" spans="1:13">
      <c r="A32" s="1562">
        <v>2.13</v>
      </c>
      <c r="B32" s="1556">
        <v>2.13</v>
      </c>
      <c r="C32" s="1556" t="s">
        <v>1646</v>
      </c>
      <c r="D32" s="1556" t="s">
        <v>1646</v>
      </c>
      <c r="E32" s="1556" t="s">
        <v>1646</v>
      </c>
      <c r="F32" s="1556" t="s">
        <v>1646</v>
      </c>
      <c r="G32" s="1556" t="s">
        <v>1646</v>
      </c>
      <c r="H32" s="1556" t="s">
        <v>1646</v>
      </c>
      <c r="I32" s="1556" t="s">
        <v>1646</v>
      </c>
      <c r="J32" s="1556" t="s">
        <v>1646</v>
      </c>
      <c r="L32" s="1543"/>
      <c r="M32" s="1543"/>
    </row>
    <row r="33" spans="1:13">
      <c r="A33" s="1556">
        <v>2.14</v>
      </c>
      <c r="B33" s="1556">
        <v>1.1299999999999999</v>
      </c>
      <c r="C33" s="1556">
        <v>1.1299999999999999</v>
      </c>
      <c r="D33" s="1556">
        <v>1.1299999999999999</v>
      </c>
      <c r="E33" s="1556">
        <v>1.1299999999999999</v>
      </c>
      <c r="F33" s="1557">
        <v>1.1299999999999999</v>
      </c>
      <c r="G33" s="1558" t="s">
        <v>1896</v>
      </c>
      <c r="H33" s="1558" t="s">
        <v>1896</v>
      </c>
      <c r="I33" s="1558" t="s">
        <v>1896</v>
      </c>
      <c r="J33" s="1558" t="s">
        <v>1896</v>
      </c>
      <c r="L33" s="1543"/>
      <c r="M33" s="1543"/>
    </row>
    <row r="34" spans="1:13">
      <c r="A34" s="1556">
        <v>2.15</v>
      </c>
      <c r="B34" s="1556">
        <v>1.1399999999999999</v>
      </c>
      <c r="C34" s="1556">
        <v>1.1399999999999999</v>
      </c>
      <c r="D34" s="1556">
        <v>1.1399999999999999</v>
      </c>
      <c r="E34" s="1556">
        <v>1.1399999999999999</v>
      </c>
      <c r="F34" s="1557">
        <v>1.1399999999999999</v>
      </c>
      <c r="G34" s="1558" t="s">
        <v>1898</v>
      </c>
      <c r="H34" s="1558" t="s">
        <v>1898</v>
      </c>
      <c r="I34" s="1558" t="s">
        <v>1898</v>
      </c>
      <c r="J34" s="1558" t="s">
        <v>1898</v>
      </c>
      <c r="L34" s="1543"/>
      <c r="M34" s="1543"/>
    </row>
    <row r="35" spans="1:13">
      <c r="A35" s="1556">
        <v>2.16</v>
      </c>
      <c r="B35" s="1556">
        <v>1.1499999999999999</v>
      </c>
      <c r="C35" s="1556">
        <v>1.1499999999999999</v>
      </c>
      <c r="D35" s="1556">
        <v>1.1499999999999999</v>
      </c>
      <c r="E35" s="1556">
        <v>1.1499999999999999</v>
      </c>
      <c r="F35" s="1557">
        <v>1.1499999999999999</v>
      </c>
      <c r="G35" s="1558" t="s">
        <v>1900</v>
      </c>
      <c r="H35" s="1558" t="s">
        <v>1900</v>
      </c>
      <c r="I35" s="1558" t="s">
        <v>1900</v>
      </c>
      <c r="J35" s="1558" t="s">
        <v>1900</v>
      </c>
      <c r="L35" s="1543"/>
      <c r="M35" s="1543"/>
    </row>
    <row r="36" spans="1:13">
      <c r="A36" s="1556">
        <v>2.17</v>
      </c>
      <c r="B36" s="1556">
        <v>1.1599999999999999</v>
      </c>
      <c r="C36" s="1556">
        <v>1.1599999999999999</v>
      </c>
      <c r="D36" s="1556">
        <v>1.1599999999999999</v>
      </c>
      <c r="E36" s="1556">
        <v>1.1599999999999999</v>
      </c>
      <c r="F36" s="1557">
        <v>1.1599999999999999</v>
      </c>
      <c r="G36" s="1558" t="s">
        <v>1901</v>
      </c>
      <c r="H36" s="1558" t="s">
        <v>1901</v>
      </c>
      <c r="I36" s="1558" t="s">
        <v>1901</v>
      </c>
      <c r="J36" s="1558" t="s">
        <v>1901</v>
      </c>
      <c r="L36" s="1543"/>
      <c r="M36" s="1543"/>
    </row>
    <row r="37" spans="1:13">
      <c r="A37" s="1556">
        <v>2.1800000000000002</v>
      </c>
      <c r="B37" s="1556">
        <v>1.17</v>
      </c>
      <c r="C37" s="1556">
        <v>1.17</v>
      </c>
      <c r="D37" s="1556">
        <v>1.17</v>
      </c>
      <c r="E37" s="1556">
        <v>1.17</v>
      </c>
      <c r="F37" s="1557">
        <v>1.17</v>
      </c>
      <c r="G37" s="1558" t="s">
        <v>1902</v>
      </c>
      <c r="H37" s="1558" t="s">
        <v>1902</v>
      </c>
      <c r="I37" s="1558" t="s">
        <v>1902</v>
      </c>
      <c r="J37" s="1558" t="s">
        <v>1902</v>
      </c>
      <c r="L37" s="1543"/>
      <c r="M37" s="1543"/>
    </row>
    <row r="38" spans="1:13">
      <c r="A38" s="1556">
        <v>2.19</v>
      </c>
      <c r="B38" s="1556">
        <v>1.18</v>
      </c>
      <c r="C38" s="1556">
        <v>1.18</v>
      </c>
      <c r="D38" s="1556">
        <v>1.18</v>
      </c>
      <c r="E38" s="1556">
        <v>1.18</v>
      </c>
      <c r="F38" s="1557">
        <v>1.18</v>
      </c>
      <c r="G38" s="1558" t="s">
        <v>1903</v>
      </c>
      <c r="H38" s="1558" t="s">
        <v>1903</v>
      </c>
      <c r="I38" s="1558" t="s">
        <v>1903</v>
      </c>
      <c r="J38" s="1558" t="s">
        <v>1903</v>
      </c>
      <c r="L38" s="1543"/>
      <c r="M38" s="1543"/>
    </row>
    <row r="39" spans="1:13">
      <c r="A39" s="1556" t="s">
        <v>1777</v>
      </c>
      <c r="B39" s="1556">
        <v>1.21</v>
      </c>
      <c r="C39" s="1556">
        <v>1.21</v>
      </c>
      <c r="D39" s="1556">
        <v>1.21</v>
      </c>
      <c r="E39" s="1556">
        <v>1.21</v>
      </c>
      <c r="F39" s="1557">
        <v>1.21</v>
      </c>
      <c r="G39" s="1561" t="s">
        <v>1646</v>
      </c>
      <c r="H39" s="1561" t="s">
        <v>1646</v>
      </c>
      <c r="I39" s="1561" t="s">
        <v>1646</v>
      </c>
      <c r="J39" s="1561" t="s">
        <v>1646</v>
      </c>
      <c r="L39" s="1543"/>
      <c r="M39" s="1543"/>
    </row>
    <row r="40" spans="1:13">
      <c r="A40" s="1556">
        <v>2.21</v>
      </c>
      <c r="B40" s="1556">
        <v>1.22</v>
      </c>
      <c r="C40" s="1556">
        <v>1.22</v>
      </c>
      <c r="D40" s="1556">
        <v>1.22</v>
      </c>
      <c r="E40" s="1556">
        <v>1.22</v>
      </c>
      <c r="F40" s="1557">
        <v>1.22</v>
      </c>
      <c r="G40" s="1561" t="s">
        <v>1646</v>
      </c>
      <c r="H40" s="1561" t="s">
        <v>1646</v>
      </c>
      <c r="I40" s="1561" t="s">
        <v>1646</v>
      </c>
      <c r="J40" s="1561" t="s">
        <v>1646</v>
      </c>
      <c r="L40" s="1543"/>
      <c r="M40" s="1543"/>
    </row>
    <row r="41" spans="1:13">
      <c r="A41" s="1556">
        <v>2.2200000000000002</v>
      </c>
      <c r="B41" s="1556">
        <v>1.39</v>
      </c>
      <c r="C41" s="1556">
        <v>1.39</v>
      </c>
      <c r="D41" s="1556">
        <v>1.39</v>
      </c>
      <c r="E41" s="1556">
        <v>1.39</v>
      </c>
      <c r="F41" s="1557" t="s">
        <v>1646</v>
      </c>
      <c r="G41" s="1558" t="s">
        <v>1897</v>
      </c>
      <c r="H41" s="1558" t="s">
        <v>1897</v>
      </c>
      <c r="I41" s="1558" t="s">
        <v>1897</v>
      </c>
      <c r="J41" s="1558" t="s">
        <v>1897</v>
      </c>
      <c r="L41" s="1543"/>
      <c r="M41" s="1543"/>
    </row>
    <row r="42" spans="1:13">
      <c r="A42" s="1556">
        <v>2.23</v>
      </c>
      <c r="B42" s="1556">
        <v>1.4</v>
      </c>
      <c r="C42" s="1556">
        <v>1.4</v>
      </c>
      <c r="D42" s="1556">
        <v>1.4</v>
      </c>
      <c r="E42" s="1556">
        <v>1.4</v>
      </c>
      <c r="F42" s="1557" t="s">
        <v>1646</v>
      </c>
      <c r="G42" s="1558" t="s">
        <v>1899</v>
      </c>
      <c r="H42" s="1558" t="s">
        <v>1899</v>
      </c>
      <c r="I42" s="1558" t="s">
        <v>1899</v>
      </c>
      <c r="J42" s="1558" t="s">
        <v>1899</v>
      </c>
      <c r="L42" s="1543"/>
      <c r="M42" s="1543"/>
    </row>
    <row r="43" spans="1:13">
      <c r="A43" s="1556">
        <v>3.01</v>
      </c>
      <c r="B43" s="1556" t="s">
        <v>1646</v>
      </c>
      <c r="C43" s="1556" t="s">
        <v>1646</v>
      </c>
      <c r="D43" s="1556" t="s">
        <v>1646</v>
      </c>
      <c r="E43" s="1556" t="s">
        <v>1646</v>
      </c>
      <c r="F43" s="1556" t="s">
        <v>1646</v>
      </c>
      <c r="G43" s="1556" t="s">
        <v>1646</v>
      </c>
      <c r="H43" s="1556" t="s">
        <v>1646</v>
      </c>
      <c r="I43" s="1556" t="s">
        <v>1646</v>
      </c>
      <c r="J43" s="1556" t="s">
        <v>1646</v>
      </c>
      <c r="L43" s="1543"/>
      <c r="M43" s="1543"/>
    </row>
    <row r="44" spans="1:13">
      <c r="A44" s="1560">
        <v>3.02</v>
      </c>
      <c r="B44" s="1559" t="s">
        <v>1639</v>
      </c>
      <c r="C44" s="1559" t="s">
        <v>1639</v>
      </c>
      <c r="D44" s="1559" t="s">
        <v>1639</v>
      </c>
      <c r="E44" s="1560" t="s">
        <v>1646</v>
      </c>
      <c r="F44" s="1560" t="s">
        <v>1646</v>
      </c>
      <c r="G44" s="1560" t="s">
        <v>1646</v>
      </c>
      <c r="H44" s="1560" t="s">
        <v>1646</v>
      </c>
      <c r="I44" s="1560" t="s">
        <v>1646</v>
      </c>
      <c r="J44" s="1560" t="s">
        <v>1646</v>
      </c>
      <c r="L44" s="1543"/>
      <c r="M44" s="1543"/>
    </row>
    <row r="45" spans="1:13">
      <c r="A45" s="1560">
        <v>3.03</v>
      </c>
      <c r="B45" s="1559" t="s">
        <v>1640</v>
      </c>
      <c r="C45" s="1559" t="s">
        <v>1640</v>
      </c>
      <c r="D45" s="1559" t="s">
        <v>1640</v>
      </c>
      <c r="E45" s="1560" t="s">
        <v>1646</v>
      </c>
      <c r="F45" s="1560" t="s">
        <v>1646</v>
      </c>
      <c r="G45" s="1560" t="s">
        <v>1646</v>
      </c>
      <c r="H45" s="1560" t="s">
        <v>1646</v>
      </c>
      <c r="I45" s="1560" t="s">
        <v>1646</v>
      </c>
      <c r="J45" s="1560" t="s">
        <v>1646</v>
      </c>
      <c r="L45" s="1543"/>
      <c r="M45" s="1543"/>
    </row>
    <row r="46" spans="1:13">
      <c r="A46" s="1560">
        <v>3.04</v>
      </c>
      <c r="B46" s="1559" t="s">
        <v>1641</v>
      </c>
      <c r="C46" s="1559" t="s">
        <v>1641</v>
      </c>
      <c r="D46" s="1559" t="s">
        <v>1641</v>
      </c>
      <c r="E46" s="1560" t="s">
        <v>1646</v>
      </c>
      <c r="F46" s="1560" t="s">
        <v>1646</v>
      </c>
      <c r="G46" s="1560" t="s">
        <v>1646</v>
      </c>
      <c r="H46" s="1560" t="s">
        <v>1646</v>
      </c>
      <c r="I46" s="1560" t="s">
        <v>1646</v>
      </c>
      <c r="J46" s="1560" t="s">
        <v>1646</v>
      </c>
      <c r="L46" s="1543"/>
      <c r="M46" s="1543"/>
    </row>
    <row r="47" spans="1:13">
      <c r="A47" s="1556">
        <v>3.05</v>
      </c>
      <c r="B47" s="1560">
        <v>3.07</v>
      </c>
      <c r="C47" s="1560">
        <v>3.07</v>
      </c>
      <c r="D47" s="1560">
        <v>3.07</v>
      </c>
      <c r="E47" s="1560">
        <v>3.07</v>
      </c>
      <c r="F47" s="1558" t="s">
        <v>1646</v>
      </c>
      <c r="G47" s="1561" t="s">
        <v>1646</v>
      </c>
      <c r="H47" s="1561" t="s">
        <v>1646</v>
      </c>
      <c r="I47" s="1561" t="s">
        <v>1646</v>
      </c>
      <c r="J47" s="1561" t="s">
        <v>1646</v>
      </c>
      <c r="L47" s="1543"/>
      <c r="M47" s="1543"/>
    </row>
    <row r="48" spans="1:13">
      <c r="A48" s="1556">
        <v>3.06</v>
      </c>
      <c r="B48" s="1560">
        <v>3.08</v>
      </c>
      <c r="C48" s="1560">
        <v>3.08</v>
      </c>
      <c r="D48" s="1560">
        <v>3.08</v>
      </c>
      <c r="E48" s="1560">
        <v>3.08</v>
      </c>
      <c r="F48" s="1558" t="s">
        <v>1646</v>
      </c>
      <c r="G48" s="1561" t="s">
        <v>1646</v>
      </c>
      <c r="H48" s="1561" t="s">
        <v>1646</v>
      </c>
      <c r="I48" s="1561" t="s">
        <v>1646</v>
      </c>
      <c r="J48" s="1561" t="s">
        <v>1646</v>
      </c>
      <c r="L48" s="1543"/>
      <c r="M48" s="1543"/>
    </row>
    <row r="49" spans="1:13">
      <c r="A49" s="1563">
        <v>3.07</v>
      </c>
      <c r="B49" s="1560">
        <v>3.09</v>
      </c>
      <c r="C49" s="1560">
        <v>3.09</v>
      </c>
      <c r="D49" s="1560">
        <v>3.09</v>
      </c>
      <c r="E49" s="1560">
        <v>3.09</v>
      </c>
      <c r="F49" s="1558" t="s">
        <v>1646</v>
      </c>
      <c r="G49" s="1561" t="s">
        <v>1646</v>
      </c>
      <c r="H49" s="1561" t="s">
        <v>1646</v>
      </c>
      <c r="I49" s="1561" t="s">
        <v>1646</v>
      </c>
      <c r="J49" s="1561" t="s">
        <v>1646</v>
      </c>
      <c r="L49" s="1543"/>
      <c r="M49" s="1543"/>
    </row>
    <row r="50" spans="1:13">
      <c r="A50" s="1559">
        <v>3.08</v>
      </c>
      <c r="B50" s="1559" t="s">
        <v>104</v>
      </c>
      <c r="C50" s="1560" t="s">
        <v>1646</v>
      </c>
      <c r="D50" s="1560" t="s">
        <v>1646</v>
      </c>
      <c r="E50" s="1560" t="s">
        <v>1646</v>
      </c>
      <c r="F50" s="1560" t="s">
        <v>1646</v>
      </c>
      <c r="G50" s="1560" t="s">
        <v>1646</v>
      </c>
      <c r="H50" s="1560" t="s">
        <v>1646</v>
      </c>
      <c r="I50" s="1560" t="s">
        <v>1646</v>
      </c>
      <c r="J50" s="1560" t="s">
        <v>1646</v>
      </c>
      <c r="L50" s="1543"/>
      <c r="M50" s="1543"/>
    </row>
    <row r="51" spans="1:13">
      <c r="A51" s="1556">
        <v>3.09</v>
      </c>
      <c r="B51" s="1556">
        <v>1.0900000000000001</v>
      </c>
      <c r="C51" s="1556">
        <v>1.0900000000000001</v>
      </c>
      <c r="D51" s="1556">
        <v>1.0900000000000001</v>
      </c>
      <c r="E51" s="1556">
        <v>1.0900000000000001</v>
      </c>
      <c r="F51" s="1557">
        <v>1.0900000000000001</v>
      </c>
      <c r="G51" s="1558" t="s">
        <v>1892</v>
      </c>
      <c r="H51" s="1558" t="s">
        <v>1892</v>
      </c>
      <c r="I51" s="1558" t="s">
        <v>1892</v>
      </c>
      <c r="J51" s="1558" t="s">
        <v>1892</v>
      </c>
      <c r="L51" s="1543"/>
      <c r="M51" s="1543"/>
    </row>
    <row r="52" spans="1:13">
      <c r="A52" s="1556" t="s">
        <v>104</v>
      </c>
      <c r="B52" s="1556">
        <v>1.1100000000000001</v>
      </c>
      <c r="C52" s="1556">
        <v>1.1100000000000001</v>
      </c>
      <c r="D52" s="1556">
        <v>1.1100000000000001</v>
      </c>
      <c r="E52" s="1556">
        <v>1.1100000000000001</v>
      </c>
      <c r="F52" s="1557">
        <v>1.1100000000000001</v>
      </c>
      <c r="G52" s="1558" t="s">
        <v>1893</v>
      </c>
      <c r="H52" s="1558" t="s">
        <v>1893</v>
      </c>
      <c r="I52" s="1558" t="s">
        <v>1893</v>
      </c>
      <c r="J52" s="1558" t="s">
        <v>1893</v>
      </c>
      <c r="L52" s="1543"/>
      <c r="M52" s="1543"/>
    </row>
    <row r="53" spans="1:13">
      <c r="A53" s="1552">
        <v>3.11</v>
      </c>
      <c r="B53" s="1556">
        <v>1.1200000000000001</v>
      </c>
      <c r="C53" s="1556">
        <v>1.1200000000000001</v>
      </c>
      <c r="D53" s="1556">
        <v>1.1200000000000001</v>
      </c>
      <c r="E53" s="1556">
        <v>1.1200000000000001</v>
      </c>
      <c r="F53" s="1557">
        <v>1.1200000000000001</v>
      </c>
      <c r="G53" s="1558" t="s">
        <v>1895</v>
      </c>
      <c r="H53" s="1558" t="s">
        <v>1895</v>
      </c>
      <c r="I53" s="1558" t="s">
        <v>1895</v>
      </c>
      <c r="J53" s="1558" t="s">
        <v>1895</v>
      </c>
      <c r="L53" s="1543"/>
      <c r="M53" s="1543"/>
    </row>
    <row r="54" spans="1:13">
      <c r="A54" s="1556">
        <v>3.12</v>
      </c>
      <c r="B54" s="1556">
        <v>1.1000000000000001</v>
      </c>
      <c r="C54" s="1556">
        <v>1.1000000000000001</v>
      </c>
      <c r="D54" s="1556">
        <v>1.1000000000000001</v>
      </c>
      <c r="E54" s="1556">
        <v>1.1000000000000001</v>
      </c>
      <c r="F54" s="1557">
        <v>1.1000000000000001</v>
      </c>
      <c r="G54" s="1558" t="s">
        <v>1894</v>
      </c>
      <c r="H54" s="1558" t="s">
        <v>1894</v>
      </c>
      <c r="I54" s="1558" t="s">
        <v>1894</v>
      </c>
      <c r="J54" s="1558" t="s">
        <v>1894</v>
      </c>
      <c r="L54" s="1543"/>
      <c r="M54" s="1543"/>
    </row>
    <row r="55" spans="1:13">
      <c r="A55" s="1560">
        <v>4.01</v>
      </c>
      <c r="B55" s="1560">
        <v>4.01</v>
      </c>
      <c r="C55" s="1560">
        <v>4.01</v>
      </c>
      <c r="D55" s="1560">
        <v>4.01</v>
      </c>
      <c r="E55" s="1560">
        <v>4.01</v>
      </c>
      <c r="F55" s="1558">
        <v>4.01</v>
      </c>
      <c r="G55" s="1558" t="s">
        <v>1928</v>
      </c>
      <c r="H55" s="1558" t="s">
        <v>1928</v>
      </c>
      <c r="I55" s="1558" t="s">
        <v>1646</v>
      </c>
      <c r="J55" s="1558" t="s">
        <v>1646</v>
      </c>
      <c r="L55" s="1543"/>
      <c r="M55" s="1543"/>
    </row>
    <row r="56" spans="1:13">
      <c r="A56" s="1560">
        <v>4.0199999999999996</v>
      </c>
      <c r="B56" s="1560">
        <v>4.0199999999999996</v>
      </c>
      <c r="C56" s="1560">
        <v>4.0199999999999996</v>
      </c>
      <c r="D56" s="1560">
        <v>4.0199999999999996</v>
      </c>
      <c r="E56" s="1560">
        <v>4.0199999999999996</v>
      </c>
      <c r="F56" s="1558">
        <v>4.0199999999999996</v>
      </c>
      <c r="G56" s="1558" t="s">
        <v>407</v>
      </c>
      <c r="H56" s="1558" t="s">
        <v>407</v>
      </c>
      <c r="I56" s="1558" t="s">
        <v>406</v>
      </c>
      <c r="J56" s="1558" t="s">
        <v>406</v>
      </c>
      <c r="L56" s="1543"/>
      <c r="M56" s="1543"/>
    </row>
    <row r="57" spans="1:13">
      <c r="A57" s="1560">
        <v>4.03</v>
      </c>
      <c r="B57" s="1560">
        <v>4.03</v>
      </c>
      <c r="C57" s="1560">
        <v>4.03</v>
      </c>
      <c r="D57" s="1560">
        <v>4.03</v>
      </c>
      <c r="E57" s="1560">
        <v>4.03</v>
      </c>
      <c r="F57" s="1558">
        <v>4.03</v>
      </c>
      <c r="G57" s="1561" t="s">
        <v>1646</v>
      </c>
      <c r="H57" s="1561" t="s">
        <v>1646</v>
      </c>
      <c r="I57" s="1561" t="s">
        <v>1646</v>
      </c>
      <c r="J57" s="1561" t="s">
        <v>1646</v>
      </c>
      <c r="L57" s="1543"/>
      <c r="M57" s="1543"/>
    </row>
    <row r="58" spans="1:13">
      <c r="A58" s="1560">
        <v>4.04</v>
      </c>
      <c r="B58" s="1560">
        <v>4.04</v>
      </c>
      <c r="C58" s="1560">
        <v>4.04</v>
      </c>
      <c r="D58" s="1560">
        <v>4.04</v>
      </c>
      <c r="E58" s="1560">
        <v>4.04</v>
      </c>
      <c r="F58" s="1558">
        <v>4.04</v>
      </c>
      <c r="G58" s="1558" t="s">
        <v>411</v>
      </c>
      <c r="H58" s="1558" t="s">
        <v>411</v>
      </c>
      <c r="I58" s="1558" t="s">
        <v>410</v>
      </c>
      <c r="J58" s="1558" t="s">
        <v>410</v>
      </c>
      <c r="L58" s="1543"/>
      <c r="M58" s="1543"/>
    </row>
    <row r="59" spans="1:13">
      <c r="A59" s="1560">
        <v>4.05</v>
      </c>
      <c r="B59" s="1560">
        <v>4.05</v>
      </c>
      <c r="C59" s="1560">
        <v>4.05</v>
      </c>
      <c r="D59" s="1560">
        <v>4.05</v>
      </c>
      <c r="E59" s="1560">
        <v>4.05</v>
      </c>
      <c r="F59" s="1558">
        <v>4.05</v>
      </c>
      <c r="G59" s="1558" t="s">
        <v>412</v>
      </c>
      <c r="H59" s="1558" t="s">
        <v>412</v>
      </c>
      <c r="I59" s="1558" t="s">
        <v>411</v>
      </c>
      <c r="J59" s="1558" t="s">
        <v>411</v>
      </c>
      <c r="L59" s="1543"/>
      <c r="M59" s="1543"/>
    </row>
    <row r="60" spans="1:13">
      <c r="A60" s="1559">
        <v>4.0599999999999996</v>
      </c>
      <c r="B60" s="1560">
        <v>4.0599999999999996</v>
      </c>
      <c r="C60" s="1560">
        <v>4.0599999999999996</v>
      </c>
      <c r="D60" s="1560">
        <v>4.0599999999999996</v>
      </c>
      <c r="E60" s="1560">
        <v>4.0599999999999996</v>
      </c>
      <c r="F60" s="1558">
        <v>4.0599999999999996</v>
      </c>
      <c r="G60" s="1558" t="s">
        <v>413</v>
      </c>
      <c r="H60" s="1558" t="s">
        <v>413</v>
      </c>
      <c r="I60" s="1558" t="s">
        <v>412</v>
      </c>
      <c r="J60" s="1558" t="s">
        <v>412</v>
      </c>
      <c r="L60" s="1543"/>
      <c r="M60" s="1543"/>
    </row>
    <row r="61" spans="1:13">
      <c r="A61" s="1559">
        <v>4.07</v>
      </c>
      <c r="B61" s="1560">
        <v>4.07</v>
      </c>
      <c r="C61" s="1560">
        <v>4.07</v>
      </c>
      <c r="D61" s="1560">
        <v>4.07</v>
      </c>
      <c r="E61" s="1560">
        <v>4.07</v>
      </c>
      <c r="F61" s="1558">
        <v>4.07</v>
      </c>
      <c r="G61" s="1558" t="s">
        <v>1927</v>
      </c>
      <c r="H61" s="1558" t="s">
        <v>1927</v>
      </c>
      <c r="I61" s="1558" t="s">
        <v>1646</v>
      </c>
      <c r="J61" s="1558" t="s">
        <v>1646</v>
      </c>
      <c r="L61" s="1543"/>
      <c r="M61" s="1543"/>
    </row>
    <row r="62" spans="1:13">
      <c r="A62" s="1559">
        <v>4.08</v>
      </c>
      <c r="B62" s="1560">
        <v>4.08</v>
      </c>
      <c r="C62" s="1560">
        <v>4.08</v>
      </c>
      <c r="D62" s="1560">
        <v>4.08</v>
      </c>
      <c r="E62" s="1560">
        <v>4.08</v>
      </c>
      <c r="F62" s="1558">
        <v>4.08</v>
      </c>
      <c r="G62" s="1558" t="s">
        <v>1930</v>
      </c>
      <c r="H62" s="1558" t="s">
        <v>1930</v>
      </c>
      <c r="I62" s="1558" t="s">
        <v>1929</v>
      </c>
      <c r="J62" s="1558" t="s">
        <v>1929</v>
      </c>
      <c r="L62" s="1543"/>
      <c r="M62" s="1543"/>
    </row>
    <row r="63" spans="1:13">
      <c r="A63" s="1559">
        <v>4.09</v>
      </c>
      <c r="B63" s="1560">
        <v>4.09</v>
      </c>
      <c r="C63" s="1560">
        <v>4.09</v>
      </c>
      <c r="D63" s="1560">
        <v>4.09</v>
      </c>
      <c r="E63" s="1560">
        <v>4.09</v>
      </c>
      <c r="F63" s="1558">
        <v>4.09</v>
      </c>
      <c r="G63" s="1558" t="s">
        <v>405</v>
      </c>
      <c r="H63" s="1558" t="s">
        <v>405</v>
      </c>
      <c r="I63" s="1558" t="s">
        <v>1930</v>
      </c>
      <c r="J63" s="1558" t="s">
        <v>1930</v>
      </c>
      <c r="L63" s="1543"/>
      <c r="M63" s="1543"/>
    </row>
    <row r="64" spans="1:13">
      <c r="A64" s="1559" t="s">
        <v>1775</v>
      </c>
      <c r="B64" s="1556">
        <v>4.0999999999999996</v>
      </c>
      <c r="C64" s="1556">
        <v>4.0999999999999996</v>
      </c>
      <c r="D64" s="1556">
        <v>4.0999999999999996</v>
      </c>
      <c r="E64" s="1556">
        <v>4.0999999999999996</v>
      </c>
      <c r="F64" s="1557">
        <v>4.0999999999999996</v>
      </c>
      <c r="G64" s="1558" t="s">
        <v>406</v>
      </c>
      <c r="H64" s="1558" t="s">
        <v>406</v>
      </c>
      <c r="I64" s="1558" t="s">
        <v>405</v>
      </c>
      <c r="J64" s="1558" t="s">
        <v>405</v>
      </c>
      <c r="L64" s="1543"/>
      <c r="M64" s="1543"/>
    </row>
    <row r="65" spans="1:13">
      <c r="A65" s="1560">
        <v>4.1100000000000003</v>
      </c>
      <c r="B65" s="1556">
        <v>4.13</v>
      </c>
      <c r="C65" s="1556">
        <v>4.13</v>
      </c>
      <c r="D65" s="1556">
        <v>4.13</v>
      </c>
      <c r="E65" s="1556" t="s">
        <v>1646</v>
      </c>
      <c r="F65" s="1556" t="s">
        <v>1646</v>
      </c>
      <c r="G65" s="1556" t="s">
        <v>1646</v>
      </c>
      <c r="H65" s="1556" t="s">
        <v>1646</v>
      </c>
      <c r="I65" s="1556" t="s">
        <v>1646</v>
      </c>
      <c r="J65" s="1556" t="s">
        <v>1646</v>
      </c>
      <c r="L65" s="1543"/>
      <c r="M65" s="1543"/>
    </row>
    <row r="66" spans="1:13">
      <c r="A66" s="1560">
        <v>5.01</v>
      </c>
      <c r="B66" s="1560">
        <v>5.01</v>
      </c>
      <c r="C66" s="1560">
        <v>5.01</v>
      </c>
      <c r="D66" s="1560">
        <v>5.01</v>
      </c>
      <c r="E66" s="1560">
        <v>5.0199999999999996</v>
      </c>
      <c r="F66" s="1558" t="s">
        <v>1642</v>
      </c>
      <c r="G66" s="1561" t="s">
        <v>1646</v>
      </c>
      <c r="H66" s="1561" t="s">
        <v>1646</v>
      </c>
      <c r="I66" s="1561" t="s">
        <v>1646</v>
      </c>
      <c r="J66" s="1561" t="s">
        <v>1646</v>
      </c>
      <c r="L66" s="1543"/>
      <c r="M66" s="1543"/>
    </row>
    <row r="67" spans="1:13">
      <c r="A67" s="1560">
        <v>5.0199999999999996</v>
      </c>
      <c r="B67" s="1560">
        <v>5.0199999999999996</v>
      </c>
      <c r="C67" s="1560">
        <v>5.0199999999999996</v>
      </c>
      <c r="D67" s="1560">
        <v>5.0199999999999996</v>
      </c>
      <c r="E67" s="1560">
        <v>5.01</v>
      </c>
      <c r="F67" s="1561" t="s">
        <v>1643</v>
      </c>
      <c r="G67" s="1558" t="s">
        <v>1646</v>
      </c>
      <c r="H67" s="1558" t="s">
        <v>1646</v>
      </c>
      <c r="I67" s="1558" t="s">
        <v>1646</v>
      </c>
      <c r="J67" s="1558" t="s">
        <v>1646</v>
      </c>
      <c r="L67" s="1543"/>
      <c r="M67" s="1543"/>
    </row>
    <row r="68" spans="1:13">
      <c r="A68" s="1560">
        <v>5.03</v>
      </c>
      <c r="B68" s="1560">
        <v>5.03</v>
      </c>
      <c r="C68" s="1560">
        <v>5.03</v>
      </c>
      <c r="D68" s="1560">
        <v>5.03</v>
      </c>
      <c r="E68" s="1560" t="s">
        <v>1646</v>
      </c>
      <c r="F68" s="1560" t="s">
        <v>1646</v>
      </c>
      <c r="G68" s="1560" t="s">
        <v>1646</v>
      </c>
      <c r="H68" s="1560" t="s">
        <v>1646</v>
      </c>
      <c r="I68" s="1560" t="s">
        <v>1646</v>
      </c>
      <c r="J68" s="1560" t="s">
        <v>1646</v>
      </c>
      <c r="L68" s="1543"/>
      <c r="M68" s="1543"/>
    </row>
    <row r="69" spans="1:13">
      <c r="A69" s="1560">
        <v>5.04</v>
      </c>
      <c r="B69" s="1560">
        <v>5.04</v>
      </c>
      <c r="C69" s="1560">
        <v>5.04</v>
      </c>
      <c r="D69" s="1560">
        <v>5.04</v>
      </c>
      <c r="E69" s="1560" t="s">
        <v>1646</v>
      </c>
      <c r="F69" s="1560" t="s">
        <v>1646</v>
      </c>
      <c r="G69" s="1560" t="s">
        <v>1646</v>
      </c>
      <c r="H69" s="1560" t="s">
        <v>1646</v>
      </c>
      <c r="I69" s="1560" t="s">
        <v>1646</v>
      </c>
      <c r="J69" s="1560" t="s">
        <v>1646</v>
      </c>
      <c r="L69" s="1543"/>
      <c r="M69" s="1543"/>
    </row>
    <row r="70" spans="1:13">
      <c r="A70" s="1560">
        <v>6.01</v>
      </c>
      <c r="B70" s="1560">
        <v>6.01</v>
      </c>
      <c r="C70" s="1560">
        <v>6.01</v>
      </c>
      <c r="D70" s="1560">
        <v>6.01</v>
      </c>
      <c r="E70" s="1560">
        <v>6.01</v>
      </c>
      <c r="F70" s="1558">
        <v>6.01</v>
      </c>
      <c r="G70" s="1558" t="s">
        <v>1915</v>
      </c>
      <c r="H70" s="1558" t="s">
        <v>1915</v>
      </c>
      <c r="I70" s="1558" t="s">
        <v>1915</v>
      </c>
      <c r="J70" s="1558" t="s">
        <v>1915</v>
      </c>
      <c r="L70" s="1543"/>
      <c r="M70" s="1543"/>
    </row>
    <row r="71" spans="1:13">
      <c r="A71" s="1560">
        <v>6.02</v>
      </c>
      <c r="B71" s="1560">
        <v>6.02</v>
      </c>
      <c r="C71" s="1560">
        <v>6.02</v>
      </c>
      <c r="D71" s="1560">
        <v>6.02</v>
      </c>
      <c r="E71" s="1560">
        <v>6.02</v>
      </c>
      <c r="F71" s="1558">
        <v>6.02</v>
      </c>
      <c r="G71" s="1558" t="s">
        <v>1917</v>
      </c>
      <c r="H71" s="1558" t="s">
        <v>1917</v>
      </c>
      <c r="I71" s="1558" t="s">
        <v>1917</v>
      </c>
      <c r="J71" s="1558" t="s">
        <v>1917</v>
      </c>
      <c r="L71" s="1543"/>
      <c r="M71" s="1543"/>
    </row>
    <row r="72" spans="1:13">
      <c r="A72" s="1560">
        <v>6.03</v>
      </c>
      <c r="B72" s="1560">
        <v>6.03</v>
      </c>
      <c r="C72" s="1560">
        <v>6.03</v>
      </c>
      <c r="D72" s="1560">
        <v>6.03</v>
      </c>
      <c r="E72" s="1560">
        <v>6.03</v>
      </c>
      <c r="F72" s="1558">
        <v>6.03</v>
      </c>
      <c r="G72" s="1558" t="s">
        <v>1916</v>
      </c>
      <c r="H72" s="1558" t="s">
        <v>1916</v>
      </c>
      <c r="I72" s="1558" t="s">
        <v>1916</v>
      </c>
      <c r="J72" s="1558" t="s">
        <v>1916</v>
      </c>
      <c r="L72" s="1543"/>
      <c r="M72" s="1543"/>
    </row>
    <row r="73" spans="1:13">
      <c r="A73" s="1556">
        <v>6.04</v>
      </c>
      <c r="B73" s="1560">
        <v>6.04</v>
      </c>
      <c r="C73" s="1560">
        <v>6.04</v>
      </c>
      <c r="D73" s="1560">
        <v>6.04</v>
      </c>
      <c r="E73" s="1560">
        <v>6.04</v>
      </c>
      <c r="F73" s="1558">
        <v>6.04</v>
      </c>
      <c r="G73" s="1558" t="s">
        <v>1919</v>
      </c>
      <c r="H73" s="1558" t="s">
        <v>1919</v>
      </c>
      <c r="I73" s="1558" t="s">
        <v>1919</v>
      </c>
      <c r="J73" s="1558" t="s">
        <v>1919</v>
      </c>
      <c r="L73" s="1543"/>
      <c r="M73" s="1543"/>
    </row>
    <row r="74" spans="1:13">
      <c r="A74" s="1556">
        <v>6.05</v>
      </c>
      <c r="B74" s="1560">
        <v>6.05</v>
      </c>
      <c r="C74" s="1560">
        <v>6.05</v>
      </c>
      <c r="D74" s="1560">
        <v>6.05</v>
      </c>
      <c r="E74" s="1560">
        <v>6.05</v>
      </c>
      <c r="F74" s="1558">
        <v>6.05</v>
      </c>
      <c r="G74" s="1558" t="s">
        <v>1920</v>
      </c>
      <c r="H74" s="1558" t="s">
        <v>1920</v>
      </c>
      <c r="I74" s="1558" t="s">
        <v>1920</v>
      </c>
      <c r="J74" s="1558" t="s">
        <v>1920</v>
      </c>
      <c r="L74" s="1543"/>
      <c r="M74" s="1543"/>
    </row>
    <row r="75" spans="1:13">
      <c r="A75" s="1552">
        <v>6.06</v>
      </c>
      <c r="B75" s="1560">
        <v>6.06</v>
      </c>
      <c r="C75" s="1560">
        <v>6.06</v>
      </c>
      <c r="D75" s="1560">
        <v>6.06</v>
      </c>
      <c r="E75" s="1560">
        <v>6.06</v>
      </c>
      <c r="F75" s="1558">
        <v>6.06</v>
      </c>
      <c r="G75" s="1558" t="s">
        <v>1921</v>
      </c>
      <c r="H75" s="1558" t="s">
        <v>1921</v>
      </c>
      <c r="I75" s="1558" t="s">
        <v>1921</v>
      </c>
      <c r="J75" s="1558" t="s">
        <v>1921</v>
      </c>
      <c r="L75" s="1543"/>
      <c r="M75" s="1543"/>
    </row>
    <row r="76" spans="1:13">
      <c r="A76" s="1556">
        <v>7.01</v>
      </c>
      <c r="B76" s="1560">
        <v>7.01</v>
      </c>
      <c r="C76" s="1560">
        <v>7.01</v>
      </c>
      <c r="D76" s="1560">
        <v>7.01</v>
      </c>
      <c r="E76" s="1560">
        <v>7.01</v>
      </c>
      <c r="F76" s="1558">
        <v>7.01</v>
      </c>
      <c r="G76" s="1558" t="s">
        <v>1922</v>
      </c>
      <c r="H76" s="1558" t="s">
        <v>1922</v>
      </c>
      <c r="I76" s="1558" t="s">
        <v>1922</v>
      </c>
      <c r="J76" s="1558" t="s">
        <v>1922</v>
      </c>
      <c r="L76" s="1543"/>
      <c r="M76" s="1543"/>
    </row>
    <row r="77" spans="1:13">
      <c r="A77" s="1560">
        <v>7.02</v>
      </c>
      <c r="B77" s="1560">
        <v>7.02</v>
      </c>
      <c r="C77" s="1560">
        <v>7.02</v>
      </c>
      <c r="D77" s="1560">
        <v>7.02</v>
      </c>
      <c r="E77" s="1560">
        <v>7.02</v>
      </c>
      <c r="F77" s="1558">
        <v>7.02</v>
      </c>
      <c r="G77" s="1558" t="s">
        <v>1923</v>
      </c>
      <c r="H77" s="1558" t="s">
        <v>1923</v>
      </c>
      <c r="I77" s="1558" t="s">
        <v>1923</v>
      </c>
      <c r="J77" s="1558" t="s">
        <v>1923</v>
      </c>
      <c r="L77" s="1543"/>
      <c r="M77" s="1543"/>
    </row>
    <row r="78" spans="1:13">
      <c r="A78" s="1560">
        <v>7.03</v>
      </c>
      <c r="B78" s="1560">
        <v>7.03</v>
      </c>
      <c r="C78" s="1560">
        <v>7.03</v>
      </c>
      <c r="D78" s="1560">
        <v>7.03</v>
      </c>
      <c r="E78" s="1560">
        <v>7.03</v>
      </c>
      <c r="F78" s="1558">
        <v>7.03</v>
      </c>
      <c r="G78" s="1558" t="s">
        <v>1924</v>
      </c>
      <c r="H78" s="1558" t="s">
        <v>1924</v>
      </c>
      <c r="I78" s="1558" t="s">
        <v>1924</v>
      </c>
      <c r="J78" s="1558" t="s">
        <v>1924</v>
      </c>
      <c r="L78" s="1543"/>
      <c r="M78" s="1543"/>
    </row>
    <row r="79" spans="1:13">
      <c r="A79" s="1560">
        <v>7.04</v>
      </c>
      <c r="B79" s="1564">
        <v>7.04</v>
      </c>
      <c r="C79" s="1564">
        <v>7.04</v>
      </c>
      <c r="D79" s="1564">
        <v>7.04</v>
      </c>
      <c r="E79" s="1564">
        <v>7.04</v>
      </c>
      <c r="F79" s="1555">
        <v>7.04</v>
      </c>
      <c r="G79" s="1555" t="s">
        <v>1925</v>
      </c>
      <c r="H79" s="1555" t="s">
        <v>1925</v>
      </c>
      <c r="I79" s="1555" t="s">
        <v>1925</v>
      </c>
      <c r="J79" s="1555" t="s">
        <v>1925</v>
      </c>
      <c r="L79" s="1543"/>
      <c r="M79" s="1543"/>
    </row>
    <row r="80" spans="1:13">
      <c r="A80" s="1560">
        <v>7.05</v>
      </c>
      <c r="B80" s="1564">
        <v>7.05</v>
      </c>
      <c r="C80" s="1564">
        <v>7.05</v>
      </c>
      <c r="D80" s="1564">
        <v>7.05</v>
      </c>
      <c r="E80" s="1564">
        <v>7.05</v>
      </c>
      <c r="F80" s="1555">
        <v>7.05</v>
      </c>
      <c r="G80" s="1555" t="s">
        <v>1926</v>
      </c>
      <c r="H80" s="1555" t="s">
        <v>1926</v>
      </c>
      <c r="I80" s="1555" t="s">
        <v>1926</v>
      </c>
      <c r="J80" s="1555" t="s">
        <v>1926</v>
      </c>
      <c r="L80" s="1543"/>
      <c r="M80" s="1543"/>
    </row>
    <row r="81" spans="1:13">
      <c r="A81" s="1560">
        <v>8.01</v>
      </c>
      <c r="B81" s="1552">
        <v>8.01</v>
      </c>
      <c r="C81" s="1552">
        <v>8.01</v>
      </c>
      <c r="D81" s="1552">
        <v>8.01</v>
      </c>
      <c r="E81" s="1552">
        <v>8.01</v>
      </c>
      <c r="F81" s="1553">
        <v>8.01</v>
      </c>
      <c r="G81" s="1555" t="s">
        <v>1865</v>
      </c>
      <c r="H81" s="1555" t="s">
        <v>1865</v>
      </c>
      <c r="I81" s="1555" t="s">
        <v>1865</v>
      </c>
      <c r="J81" s="1555" t="s">
        <v>1865</v>
      </c>
      <c r="L81" s="1543"/>
      <c r="M81" s="1543"/>
    </row>
    <row r="82" spans="1:13">
      <c r="A82" s="1556">
        <v>8.02</v>
      </c>
      <c r="B82" s="1552">
        <v>1.01</v>
      </c>
      <c r="C82" s="1552">
        <v>1.01</v>
      </c>
      <c r="D82" s="1552">
        <v>1.01</v>
      </c>
      <c r="E82" s="1552">
        <v>1.01</v>
      </c>
      <c r="F82" s="1553">
        <v>1.01</v>
      </c>
      <c r="G82" s="1554" t="s">
        <v>1646</v>
      </c>
      <c r="H82" s="1554" t="s">
        <v>1646</v>
      </c>
      <c r="I82" s="1554" t="s">
        <v>1646</v>
      </c>
      <c r="J82" s="1554" t="s">
        <v>1646</v>
      </c>
      <c r="L82" s="1543"/>
      <c r="M82" s="1543"/>
    </row>
    <row r="83" spans="1:13">
      <c r="A83" s="1560">
        <v>8.0299999999999994</v>
      </c>
      <c r="B83" s="1552">
        <v>8.0299999999999994</v>
      </c>
      <c r="C83" s="1552">
        <v>8.0299999999999994</v>
      </c>
      <c r="D83" s="1552">
        <v>8.0299999999999994</v>
      </c>
      <c r="E83" s="1552">
        <v>8.0299999999999994</v>
      </c>
      <c r="F83" s="1553">
        <v>8.0299999999999994</v>
      </c>
      <c r="G83" s="1555" t="s">
        <v>1870</v>
      </c>
      <c r="H83" s="1555" t="s">
        <v>1870</v>
      </c>
      <c r="I83" s="1555" t="s">
        <v>1870</v>
      </c>
      <c r="J83" s="1555" t="s">
        <v>1870</v>
      </c>
      <c r="L83" s="1543"/>
      <c r="M83" s="1543"/>
    </row>
    <row r="84" spans="1:13">
      <c r="A84" s="1560">
        <v>8.0399999999999991</v>
      </c>
      <c r="B84" s="1556">
        <v>8.0399999999999991</v>
      </c>
      <c r="C84" s="1556">
        <v>8.0399999999999991</v>
      </c>
      <c r="D84" s="1556">
        <v>8.0399999999999991</v>
      </c>
      <c r="E84" s="1556">
        <v>8.0399999999999991</v>
      </c>
      <c r="F84" s="1557">
        <v>8.0399999999999991</v>
      </c>
      <c r="G84" s="1558" t="s">
        <v>1872</v>
      </c>
      <c r="H84" s="1558" t="s">
        <v>1872</v>
      </c>
      <c r="I84" s="1555" t="s">
        <v>1872</v>
      </c>
      <c r="J84" s="1555" t="s">
        <v>1872</v>
      </c>
      <c r="L84" s="1543"/>
      <c r="M84" s="1543"/>
    </row>
    <row r="85" spans="1:13">
      <c r="A85" s="1560">
        <v>8.0500000000000007</v>
      </c>
      <c r="B85" s="1556">
        <v>8.0500000000000007</v>
      </c>
      <c r="C85" s="1556">
        <v>8.0500000000000007</v>
      </c>
      <c r="D85" s="1556">
        <v>8.0500000000000007</v>
      </c>
      <c r="E85" s="1556">
        <v>8.0500000000000007</v>
      </c>
      <c r="F85" s="1557">
        <v>8.0500000000000007</v>
      </c>
      <c r="G85" s="1558" t="s">
        <v>1874</v>
      </c>
      <c r="H85" s="1558" t="s">
        <v>1874</v>
      </c>
      <c r="I85" s="1558" t="s">
        <v>1874</v>
      </c>
      <c r="J85" s="1558" t="s">
        <v>1874</v>
      </c>
      <c r="L85" s="1543"/>
      <c r="M85" s="1543"/>
    </row>
    <row r="86" spans="1:13">
      <c r="A86" s="1560">
        <v>8.06</v>
      </c>
      <c r="B86" s="1556">
        <v>8.06</v>
      </c>
      <c r="C86" s="1556">
        <v>8.06</v>
      </c>
      <c r="D86" s="1556">
        <v>8.06</v>
      </c>
      <c r="E86" s="1556">
        <v>8.06</v>
      </c>
      <c r="F86" s="1557">
        <v>8.06</v>
      </c>
      <c r="G86" s="1558" t="s">
        <v>1875</v>
      </c>
      <c r="H86" s="1558" t="s">
        <v>1875</v>
      </c>
      <c r="I86" s="1558" t="s">
        <v>1875</v>
      </c>
      <c r="J86" s="1558" t="s">
        <v>1875</v>
      </c>
      <c r="L86" s="1543"/>
      <c r="M86" s="1543"/>
    </row>
    <row r="87" spans="1:13">
      <c r="A87" s="1560">
        <v>8.07</v>
      </c>
      <c r="B87" s="1556">
        <v>8.07</v>
      </c>
      <c r="C87" s="1556">
        <v>8.07</v>
      </c>
      <c r="D87" s="1556">
        <v>8.07</v>
      </c>
      <c r="E87" s="1556">
        <v>8.07</v>
      </c>
      <c r="F87" s="1557">
        <v>8.07</v>
      </c>
      <c r="G87" s="1558" t="s">
        <v>1878</v>
      </c>
      <c r="H87" s="1558" t="s">
        <v>1878</v>
      </c>
      <c r="I87" s="1558" t="s">
        <v>1878</v>
      </c>
      <c r="J87" s="1558" t="s">
        <v>1878</v>
      </c>
      <c r="L87" s="1543"/>
      <c r="M87" s="1543"/>
    </row>
    <row r="88" spans="1:13">
      <c r="A88" s="1564">
        <v>8.08</v>
      </c>
      <c r="B88" s="1556">
        <v>8.08</v>
      </c>
      <c r="C88" s="1556">
        <v>8.08</v>
      </c>
      <c r="D88" s="1556">
        <v>8.08</v>
      </c>
      <c r="E88" s="1556">
        <v>8.08</v>
      </c>
      <c r="F88" s="1557">
        <v>8.08</v>
      </c>
      <c r="G88" s="1558" t="s">
        <v>1882</v>
      </c>
      <c r="H88" s="1558" t="s">
        <v>1882</v>
      </c>
      <c r="I88" s="1558" t="s">
        <v>1882</v>
      </c>
      <c r="J88" s="1558" t="s">
        <v>1882</v>
      </c>
      <c r="L88" s="1543"/>
      <c r="M88" s="1543"/>
    </row>
    <row r="89" spans="1:13">
      <c r="A89" s="1564">
        <v>8.09</v>
      </c>
      <c r="B89" s="1556">
        <v>8.09</v>
      </c>
      <c r="C89" s="1556">
        <v>8.09</v>
      </c>
      <c r="D89" s="1556">
        <v>8.09</v>
      </c>
      <c r="E89" s="1556">
        <v>8.09</v>
      </c>
      <c r="F89" s="1557">
        <v>8.09</v>
      </c>
      <c r="G89" s="1558" t="s">
        <v>1880</v>
      </c>
      <c r="H89" s="1558" t="s">
        <v>1880</v>
      </c>
      <c r="I89" s="1558" t="s">
        <v>1880</v>
      </c>
      <c r="J89" s="1558" t="s">
        <v>1880</v>
      </c>
      <c r="L89" s="1543"/>
      <c r="M89" s="1543"/>
    </row>
    <row r="90" spans="1:13">
      <c r="A90" s="1564" t="s">
        <v>1778</v>
      </c>
      <c r="B90" s="1556">
        <v>8.1</v>
      </c>
      <c r="C90" s="1556">
        <v>8.1</v>
      </c>
      <c r="D90" s="1556">
        <v>8.1</v>
      </c>
      <c r="E90" s="1556">
        <v>8.1</v>
      </c>
      <c r="F90" s="1557">
        <v>8.1</v>
      </c>
      <c r="G90" s="1558" t="s">
        <v>1881</v>
      </c>
      <c r="H90" s="1558" t="s">
        <v>1881</v>
      </c>
      <c r="I90" s="1558" t="s">
        <v>1881</v>
      </c>
      <c r="J90" s="1558" t="s">
        <v>1881</v>
      </c>
      <c r="L90" s="1543"/>
      <c r="M90" s="1543"/>
    </row>
    <row r="91" spans="1:13">
      <c r="A91" s="1564" t="s">
        <v>1779</v>
      </c>
      <c r="B91" s="1556">
        <v>8.11</v>
      </c>
      <c r="C91" s="1556">
        <v>8.11</v>
      </c>
      <c r="D91" s="1556" t="s">
        <v>1646</v>
      </c>
      <c r="E91" s="1556" t="s">
        <v>1646</v>
      </c>
      <c r="F91" s="1556" t="s">
        <v>1646</v>
      </c>
      <c r="G91" s="1556" t="s">
        <v>1646</v>
      </c>
      <c r="H91" s="1556" t="s">
        <v>1646</v>
      </c>
      <c r="I91" s="1556" t="s">
        <v>1646</v>
      </c>
      <c r="J91" s="1556" t="s">
        <v>1646</v>
      </c>
      <c r="L91" s="1543"/>
      <c r="M91" s="1543"/>
    </row>
    <row r="92" spans="1:13">
      <c r="A92" s="1564">
        <v>8.1199999999999992</v>
      </c>
      <c r="B92" s="1556">
        <v>8.02</v>
      </c>
      <c r="C92" s="1556">
        <v>8.1199999999999992</v>
      </c>
      <c r="D92" s="1556" t="s">
        <v>1646</v>
      </c>
      <c r="E92" s="1556" t="s">
        <v>1646</v>
      </c>
      <c r="F92" s="1556" t="s">
        <v>1646</v>
      </c>
      <c r="G92" s="1556" t="s">
        <v>1646</v>
      </c>
      <c r="H92" s="1556" t="s">
        <v>1646</v>
      </c>
      <c r="I92" s="1556" t="s">
        <v>1646</v>
      </c>
      <c r="J92" s="1556" t="s">
        <v>1646</v>
      </c>
      <c r="L92" s="1543"/>
      <c r="M92" s="1543"/>
    </row>
    <row r="93" spans="1:13">
      <c r="A93" s="1556">
        <v>9.01</v>
      </c>
      <c r="B93" s="1556">
        <v>9.01</v>
      </c>
      <c r="C93" s="1556">
        <v>9.01</v>
      </c>
      <c r="D93" s="1556" t="s">
        <v>1646</v>
      </c>
      <c r="E93" s="1556" t="s">
        <v>1646</v>
      </c>
      <c r="F93" s="1556" t="s">
        <v>1646</v>
      </c>
      <c r="G93" s="1561" t="s">
        <v>1646</v>
      </c>
      <c r="H93" s="1561" t="s">
        <v>1646</v>
      </c>
      <c r="I93" s="1561" t="s">
        <v>1646</v>
      </c>
      <c r="J93" s="1561" t="s">
        <v>1646</v>
      </c>
      <c r="L93" s="1543"/>
      <c r="M93" s="1543"/>
    </row>
    <row r="94" spans="1:13">
      <c r="A94" s="1556">
        <v>9.02</v>
      </c>
      <c r="B94" s="1556">
        <v>9.02</v>
      </c>
      <c r="C94" s="1556">
        <v>9.02</v>
      </c>
      <c r="D94" s="1556">
        <v>9.02</v>
      </c>
      <c r="E94" s="1556">
        <v>9.02</v>
      </c>
      <c r="F94" s="1557">
        <v>9.02</v>
      </c>
      <c r="G94" s="1561" t="s">
        <v>1646</v>
      </c>
      <c r="H94" s="1561" t="s">
        <v>1646</v>
      </c>
      <c r="I94" s="1561" t="s">
        <v>1646</v>
      </c>
      <c r="J94" s="1561" t="s">
        <v>1646</v>
      </c>
      <c r="L94" s="1543"/>
      <c r="M94" s="1543"/>
    </row>
    <row r="95" spans="1:13">
      <c r="A95" s="1556">
        <v>9.0299999999999994</v>
      </c>
      <c r="B95" s="1556">
        <v>9.0299999999999994</v>
      </c>
      <c r="C95" s="1556">
        <v>9.0299999999999994</v>
      </c>
      <c r="D95" s="1556">
        <v>9.0299999999999994</v>
      </c>
      <c r="E95" s="1556">
        <v>9.0299999999999994</v>
      </c>
      <c r="F95" s="1557">
        <v>9.0299999999999994</v>
      </c>
      <c r="G95" s="1561" t="s">
        <v>1646</v>
      </c>
      <c r="H95" s="1561" t="s">
        <v>1646</v>
      </c>
      <c r="I95" s="1561" t="s">
        <v>1646</v>
      </c>
      <c r="J95" s="1561" t="s">
        <v>1646</v>
      </c>
      <c r="L95" s="1543"/>
      <c r="M95" s="1543"/>
    </row>
    <row r="96" spans="1:13">
      <c r="A96" s="1556">
        <v>9.0399999999999991</v>
      </c>
      <c r="B96" s="1556">
        <v>9.0399999999999991</v>
      </c>
      <c r="C96" s="1556">
        <v>9.0399999999999991</v>
      </c>
      <c r="D96" s="1556">
        <v>9.0399999999999991</v>
      </c>
      <c r="E96" s="1556">
        <v>9.0399999999999991</v>
      </c>
      <c r="F96" s="1565" t="s">
        <v>1646</v>
      </c>
      <c r="G96" s="1561" t="s">
        <v>1646</v>
      </c>
      <c r="H96" s="1561" t="s">
        <v>1646</v>
      </c>
      <c r="I96" s="1561" t="s">
        <v>1646</v>
      </c>
      <c r="J96" s="1561" t="s">
        <v>1646</v>
      </c>
      <c r="L96" s="1543"/>
      <c r="M96" s="1543"/>
    </row>
    <row r="97" spans="1:13">
      <c r="A97" s="1556">
        <v>9.0500000000000007</v>
      </c>
      <c r="B97" s="1556">
        <v>9.0500000000000007</v>
      </c>
      <c r="C97" s="1556">
        <v>9.0500000000000007</v>
      </c>
      <c r="D97" s="1556">
        <v>9.0500000000000007</v>
      </c>
      <c r="E97" s="1556">
        <v>9.0500000000000007</v>
      </c>
      <c r="F97" s="1565" t="s">
        <v>1646</v>
      </c>
      <c r="G97" s="1561" t="s">
        <v>1646</v>
      </c>
      <c r="H97" s="1561" t="s">
        <v>1646</v>
      </c>
      <c r="I97" s="1561" t="s">
        <v>1646</v>
      </c>
      <c r="J97" s="1561" t="s">
        <v>1646</v>
      </c>
      <c r="L97" s="1543"/>
      <c r="M97" s="1543"/>
    </row>
    <row r="98" spans="1:13">
      <c r="A98" s="1556">
        <v>9.06</v>
      </c>
      <c r="B98" s="1556">
        <v>9.06</v>
      </c>
      <c r="C98" s="1556">
        <v>9.06</v>
      </c>
      <c r="D98" s="1556">
        <v>9.06</v>
      </c>
      <c r="E98" s="1556">
        <v>9.06</v>
      </c>
      <c r="F98" s="1557" t="s">
        <v>1646</v>
      </c>
      <c r="G98" s="1558" t="s">
        <v>1646</v>
      </c>
      <c r="H98" s="1558" t="s">
        <v>1646</v>
      </c>
      <c r="I98" s="1558" t="s">
        <v>1646</v>
      </c>
      <c r="J98" s="1558" t="s">
        <v>1646</v>
      </c>
      <c r="L98" s="1543"/>
      <c r="M98" s="1543"/>
    </row>
    <row r="99" spans="1:13">
      <c r="A99" s="1556">
        <v>9.07</v>
      </c>
      <c r="B99" s="1559">
        <v>9.2100000000000009</v>
      </c>
      <c r="C99" s="1560" t="s">
        <v>1646</v>
      </c>
      <c r="D99" s="1560" t="s">
        <v>1646</v>
      </c>
      <c r="E99" s="1560" t="s">
        <v>1646</v>
      </c>
      <c r="F99" s="1560" t="s">
        <v>1646</v>
      </c>
      <c r="G99" s="1560" t="s">
        <v>1646</v>
      </c>
      <c r="H99" s="1560" t="s">
        <v>1646</v>
      </c>
      <c r="I99" s="1560" t="s">
        <v>1646</v>
      </c>
      <c r="J99" s="1560" t="s">
        <v>1646</v>
      </c>
      <c r="L99" s="1543"/>
      <c r="M99" s="1543"/>
    </row>
    <row r="100" spans="1:13">
      <c r="A100" s="1556">
        <v>9.08</v>
      </c>
      <c r="B100" s="1556">
        <v>9.08</v>
      </c>
      <c r="C100" s="1556">
        <v>9.08</v>
      </c>
      <c r="D100" s="1556">
        <v>9.08</v>
      </c>
      <c r="E100" s="1556">
        <v>9.08</v>
      </c>
      <c r="F100" s="1557" t="s">
        <v>1646</v>
      </c>
      <c r="G100" s="1558" t="s">
        <v>1646</v>
      </c>
      <c r="H100" s="1558" t="s">
        <v>1646</v>
      </c>
      <c r="I100" s="1558" t="s">
        <v>1646</v>
      </c>
      <c r="J100" s="1558" t="s">
        <v>1646</v>
      </c>
      <c r="L100" s="1543"/>
      <c r="M100" s="1543"/>
    </row>
    <row r="101" spans="1:13">
      <c r="A101" s="1556">
        <v>9.09</v>
      </c>
      <c r="B101" s="1556">
        <v>9.09</v>
      </c>
      <c r="C101" s="1556">
        <v>9.09</v>
      </c>
      <c r="D101" s="1556">
        <v>9.09</v>
      </c>
      <c r="E101" s="1556">
        <v>9.09</v>
      </c>
      <c r="F101" s="1557">
        <v>9.09</v>
      </c>
      <c r="G101" s="1558" t="s">
        <v>1644</v>
      </c>
      <c r="H101" s="1558" t="s">
        <v>1644</v>
      </c>
      <c r="I101" s="1558" t="s">
        <v>1644</v>
      </c>
      <c r="J101" s="1558" t="s">
        <v>1645</v>
      </c>
      <c r="L101" s="1543"/>
      <c r="M101" s="1543"/>
    </row>
    <row r="102" spans="1:13">
      <c r="A102" s="1556" t="s">
        <v>1623</v>
      </c>
      <c r="B102" s="1562" t="s">
        <v>1623</v>
      </c>
      <c r="C102" s="1556">
        <v>9.09</v>
      </c>
      <c r="D102" s="1556">
        <v>9.09</v>
      </c>
      <c r="E102" s="1562" t="s">
        <v>1623</v>
      </c>
      <c r="F102" s="1557">
        <v>9.08</v>
      </c>
      <c r="G102" s="1558" t="s">
        <v>1625</v>
      </c>
      <c r="H102" s="1558" t="s">
        <v>1622</v>
      </c>
      <c r="I102" s="1558" t="s">
        <v>1622</v>
      </c>
      <c r="J102" s="1558" t="s">
        <v>1621</v>
      </c>
      <c r="L102" s="1543"/>
      <c r="M102" s="1543"/>
    </row>
    <row r="103" spans="1:13">
      <c r="A103" s="1556">
        <v>9.11</v>
      </c>
      <c r="B103" s="1556">
        <v>9.11</v>
      </c>
      <c r="C103" s="1556">
        <v>9.11</v>
      </c>
      <c r="D103" s="1556">
        <v>9.11</v>
      </c>
      <c r="E103" s="1556">
        <v>9.11</v>
      </c>
      <c r="F103" s="1557">
        <v>9.11</v>
      </c>
      <c r="G103" s="1561" t="s">
        <v>1646</v>
      </c>
      <c r="H103" s="1561" t="s">
        <v>1646</v>
      </c>
      <c r="I103" s="1561" t="s">
        <v>1646</v>
      </c>
      <c r="J103" s="1561" t="s">
        <v>1646</v>
      </c>
      <c r="L103" s="1543"/>
      <c r="M103" s="1543"/>
    </row>
    <row r="104" spans="1:13">
      <c r="A104" s="1556">
        <v>9.1199999999999992</v>
      </c>
      <c r="B104" s="1556">
        <v>9.1199999999999992</v>
      </c>
      <c r="C104" s="1556">
        <v>9.1199999999999992</v>
      </c>
      <c r="D104" s="1556">
        <v>9.1199999999999992</v>
      </c>
      <c r="E104" s="1556">
        <v>9.1199999999999992</v>
      </c>
      <c r="F104" s="1557">
        <v>9.0399999999999991</v>
      </c>
      <c r="G104" s="1558" t="s">
        <v>421</v>
      </c>
      <c r="H104" s="1558" t="s">
        <v>421</v>
      </c>
      <c r="I104" s="1558" t="s">
        <v>421</v>
      </c>
      <c r="J104" s="1558" t="s">
        <v>420</v>
      </c>
      <c r="L104" s="1543"/>
      <c r="M104" s="1543"/>
    </row>
    <row r="105" spans="1:13">
      <c r="A105" s="1556">
        <v>9.1300000000000008</v>
      </c>
      <c r="B105" s="1556">
        <v>9.1300000000000008</v>
      </c>
      <c r="C105" s="1556">
        <v>9.1300000000000008</v>
      </c>
      <c r="D105" s="1556">
        <v>9.1300000000000008</v>
      </c>
      <c r="E105" s="1556">
        <v>9.1300000000000008</v>
      </c>
      <c r="F105" s="1557">
        <v>9.0500000000000007</v>
      </c>
      <c r="G105" s="1558" t="s">
        <v>423</v>
      </c>
      <c r="H105" s="1558" t="s">
        <v>423</v>
      </c>
      <c r="I105" s="1558" t="s">
        <v>423</v>
      </c>
      <c r="J105" s="1558" t="s">
        <v>422</v>
      </c>
      <c r="L105" s="1543"/>
      <c r="M105" s="1543"/>
    </row>
    <row r="106" spans="1:13">
      <c r="A106" s="1556">
        <v>9.14</v>
      </c>
      <c r="B106" s="1556">
        <v>9.14</v>
      </c>
      <c r="C106" s="1556">
        <v>9.14</v>
      </c>
      <c r="D106" s="1556">
        <v>9.14</v>
      </c>
      <c r="E106" s="1556">
        <v>9.14</v>
      </c>
      <c r="F106" s="1557">
        <v>9.06</v>
      </c>
      <c r="G106" s="1558" t="s">
        <v>419</v>
      </c>
      <c r="H106" s="1558" t="s">
        <v>419</v>
      </c>
      <c r="I106" s="1558" t="s">
        <v>419</v>
      </c>
      <c r="J106" s="1558" t="s">
        <v>418</v>
      </c>
      <c r="L106" s="1543"/>
      <c r="M106" s="1543"/>
    </row>
    <row r="107" spans="1:13">
      <c r="A107" s="1556">
        <v>9.15</v>
      </c>
      <c r="B107" s="1556">
        <v>1.41</v>
      </c>
      <c r="C107" s="1556" t="s">
        <v>1646</v>
      </c>
      <c r="D107" s="1556" t="s">
        <v>1646</v>
      </c>
      <c r="E107" s="1556" t="s">
        <v>1646</v>
      </c>
      <c r="F107" s="1556" t="s">
        <v>1646</v>
      </c>
      <c r="G107" s="1556" t="s">
        <v>1646</v>
      </c>
      <c r="H107" s="1556" t="s">
        <v>1646</v>
      </c>
      <c r="I107" s="1556" t="s">
        <v>1646</v>
      </c>
      <c r="J107" s="1556" t="s">
        <v>1646</v>
      </c>
      <c r="L107" s="1543"/>
      <c r="M107" s="1543"/>
    </row>
    <row r="108" spans="1:13">
      <c r="A108" s="1556">
        <v>9.16</v>
      </c>
      <c r="B108" s="1556">
        <v>9.16</v>
      </c>
      <c r="C108" s="1556">
        <v>9.16</v>
      </c>
      <c r="D108" s="1556">
        <v>9.16</v>
      </c>
      <c r="E108" s="1556">
        <v>9.16</v>
      </c>
      <c r="F108" s="1557">
        <v>9.1</v>
      </c>
      <c r="G108" s="1558" t="s">
        <v>1625</v>
      </c>
      <c r="H108" s="1558" t="s">
        <v>1625</v>
      </c>
      <c r="I108" s="1558" t="s">
        <v>1625</v>
      </c>
      <c r="J108" s="1558" t="s">
        <v>1624</v>
      </c>
      <c r="L108" s="1543"/>
      <c r="M108" s="1543"/>
    </row>
    <row r="109" spans="1:13">
      <c r="A109" s="1556">
        <v>9.17</v>
      </c>
      <c r="B109" s="1556">
        <v>9.17</v>
      </c>
      <c r="C109" s="1556">
        <v>9.17</v>
      </c>
      <c r="D109" s="1556">
        <v>9.17</v>
      </c>
      <c r="E109" s="1556">
        <v>9.17</v>
      </c>
      <c r="F109" s="1565" t="s">
        <v>1646</v>
      </c>
      <c r="G109" s="1561" t="s">
        <v>1646</v>
      </c>
      <c r="H109" s="1561" t="s">
        <v>1646</v>
      </c>
      <c r="I109" s="1561" t="s">
        <v>1646</v>
      </c>
      <c r="J109" s="1561" t="s">
        <v>1646</v>
      </c>
      <c r="L109" s="1543"/>
      <c r="M109" s="1543"/>
    </row>
    <row r="110" spans="1:13">
      <c r="A110" s="1556">
        <v>9.18</v>
      </c>
      <c r="B110" s="1556">
        <v>9.18</v>
      </c>
      <c r="C110" s="1556">
        <v>9.18</v>
      </c>
      <c r="D110" s="1556">
        <v>9.18</v>
      </c>
      <c r="E110" s="1556">
        <v>9.18</v>
      </c>
      <c r="F110" s="1565" t="s">
        <v>1646</v>
      </c>
      <c r="G110" s="1561" t="s">
        <v>1646</v>
      </c>
      <c r="H110" s="1561" t="s">
        <v>1646</v>
      </c>
      <c r="I110" s="1561" t="s">
        <v>1646</v>
      </c>
      <c r="J110" s="1561" t="s">
        <v>1646</v>
      </c>
      <c r="L110" s="1543"/>
      <c r="M110" s="1543"/>
    </row>
    <row r="111" spans="1:13">
      <c r="A111" s="1556">
        <v>9.19</v>
      </c>
      <c r="B111" s="1556">
        <v>9.19</v>
      </c>
      <c r="C111" s="1556">
        <v>9.19</v>
      </c>
      <c r="D111" s="1556">
        <v>9.01</v>
      </c>
      <c r="E111" s="1556">
        <v>9.01</v>
      </c>
      <c r="F111" s="1557">
        <v>9.01</v>
      </c>
      <c r="G111" s="1561" t="s">
        <v>1646</v>
      </c>
      <c r="H111" s="1561" t="s">
        <v>1646</v>
      </c>
      <c r="I111" s="1561" t="s">
        <v>1646</v>
      </c>
      <c r="J111" s="1561" t="s">
        <v>1646</v>
      </c>
      <c r="L111" s="1543"/>
      <c r="M111" s="1543"/>
    </row>
    <row r="112" spans="1:13">
      <c r="A112" s="1556" t="s">
        <v>1782</v>
      </c>
      <c r="B112" s="1556">
        <v>9.1999999999999993</v>
      </c>
      <c r="C112" s="1556">
        <v>9.1999999999999993</v>
      </c>
      <c r="D112" s="1556" t="s">
        <v>1646</v>
      </c>
      <c r="E112" s="1556" t="s">
        <v>1646</v>
      </c>
      <c r="F112" s="1556" t="s">
        <v>1646</v>
      </c>
      <c r="G112" s="1556" t="s">
        <v>1646</v>
      </c>
      <c r="H112" s="1556" t="s">
        <v>1646</v>
      </c>
      <c r="I112" s="1556" t="s">
        <v>1646</v>
      </c>
      <c r="J112" s="1556" t="s">
        <v>1646</v>
      </c>
      <c r="L112" s="1543"/>
      <c r="M112" s="1543"/>
    </row>
    <row r="113" spans="1:13">
      <c r="A113" s="1556" t="s">
        <v>1352</v>
      </c>
      <c r="B113" s="1556">
        <v>1.08</v>
      </c>
      <c r="C113" s="1556">
        <v>1.08</v>
      </c>
      <c r="D113" s="1556">
        <v>1.08</v>
      </c>
      <c r="E113" s="1556">
        <v>1.08</v>
      </c>
      <c r="F113" s="1557">
        <v>1.08</v>
      </c>
      <c r="G113" s="1558" t="s">
        <v>1907</v>
      </c>
      <c r="H113" s="1558" t="s">
        <v>1907</v>
      </c>
      <c r="I113" s="1558" t="s">
        <v>1907</v>
      </c>
      <c r="J113" s="1558" t="s">
        <v>1907</v>
      </c>
      <c r="L113" s="1543"/>
      <c r="M113" s="1543"/>
    </row>
    <row r="114" spans="1:13">
      <c r="A114" s="1556" t="s">
        <v>1781</v>
      </c>
      <c r="B114" s="1556">
        <v>1.07</v>
      </c>
      <c r="C114" s="1556">
        <v>1.07</v>
      </c>
      <c r="D114" s="1556">
        <v>1.07</v>
      </c>
      <c r="E114" s="1556">
        <v>1.07</v>
      </c>
      <c r="F114" s="1557">
        <v>1.07</v>
      </c>
      <c r="G114" s="1558" t="s">
        <v>1906</v>
      </c>
      <c r="H114" s="1558" t="s">
        <v>1906</v>
      </c>
      <c r="I114" s="1558" t="s">
        <v>1906</v>
      </c>
      <c r="J114" s="1558" t="s">
        <v>1906</v>
      </c>
      <c r="L114" s="1543"/>
      <c r="M114" s="1543"/>
    </row>
    <row r="115" spans="1:13">
      <c r="A115" s="1556" t="s">
        <v>1653</v>
      </c>
      <c r="B115" s="1559" t="s">
        <v>1653</v>
      </c>
      <c r="C115" s="1560">
        <v>2.0099999999999998</v>
      </c>
      <c r="D115" s="1560">
        <v>2.0099999999999998</v>
      </c>
      <c r="E115" s="1560">
        <v>2.0099999999999998</v>
      </c>
      <c r="F115" s="1560">
        <v>2.0099999999999998</v>
      </c>
      <c r="G115" s="1558" t="s">
        <v>1626</v>
      </c>
      <c r="H115" s="1558" t="s">
        <v>1626</v>
      </c>
      <c r="I115" s="1558" t="s">
        <v>1626</v>
      </c>
      <c r="J115" s="1558" t="s">
        <v>1646</v>
      </c>
      <c r="L115" s="1543"/>
      <c r="M115" s="1543"/>
    </row>
    <row r="116" spans="1:13">
      <c r="A116" s="1562" t="s">
        <v>1654</v>
      </c>
      <c r="B116" s="1559" t="s">
        <v>1654</v>
      </c>
      <c r="C116" s="1560">
        <v>2.02</v>
      </c>
      <c r="D116" s="1560">
        <v>2.02</v>
      </c>
      <c r="E116" s="1560">
        <v>2.02</v>
      </c>
      <c r="F116" s="1560">
        <v>2.02</v>
      </c>
      <c r="G116" s="1558" t="s">
        <v>1626</v>
      </c>
      <c r="H116" s="1558" t="s">
        <v>1626</v>
      </c>
      <c r="I116" s="1558" t="s">
        <v>1626</v>
      </c>
      <c r="J116" s="1558" t="s">
        <v>1646</v>
      </c>
      <c r="L116" s="1543"/>
      <c r="M116" s="1543"/>
    </row>
    <row r="117" spans="1:13">
      <c r="A117" s="1556" t="s">
        <v>1655</v>
      </c>
      <c r="B117" s="1562" t="s">
        <v>1655</v>
      </c>
      <c r="C117" s="1556">
        <v>2.13</v>
      </c>
      <c r="D117" s="1556" t="s">
        <v>1646</v>
      </c>
      <c r="E117" s="1556" t="s">
        <v>1646</v>
      </c>
      <c r="F117" s="1556" t="s">
        <v>1646</v>
      </c>
      <c r="G117" s="1556" t="s">
        <v>1646</v>
      </c>
      <c r="H117" s="1556" t="s">
        <v>1646</v>
      </c>
      <c r="I117" s="1556" t="s">
        <v>1646</v>
      </c>
      <c r="J117" s="1556" t="s">
        <v>1646</v>
      </c>
      <c r="L117" s="1543"/>
      <c r="M117" s="1543"/>
    </row>
    <row r="118" spans="1:13">
      <c r="A118" s="1556">
        <v>11.01</v>
      </c>
      <c r="B118" s="1556">
        <v>1.42</v>
      </c>
      <c r="C118" s="1556">
        <v>1.42</v>
      </c>
      <c r="D118" s="1556">
        <v>1.42</v>
      </c>
      <c r="E118" s="1556">
        <v>1.42</v>
      </c>
      <c r="F118" s="1557">
        <v>8.02</v>
      </c>
      <c r="G118" s="1558" t="s">
        <v>1868</v>
      </c>
      <c r="H118" s="1558" t="s">
        <v>1868</v>
      </c>
      <c r="I118" s="1558" t="s">
        <v>1868</v>
      </c>
      <c r="J118" s="1558" t="s">
        <v>1868</v>
      </c>
      <c r="L118" s="1543"/>
      <c r="M118" s="1543"/>
    </row>
    <row r="119" spans="1:13">
      <c r="A119" s="1556">
        <v>11.02</v>
      </c>
      <c r="B119" s="1556">
        <v>1.02</v>
      </c>
      <c r="C119" s="1556">
        <v>1.02</v>
      </c>
      <c r="D119" s="1556">
        <v>1.02</v>
      </c>
      <c r="E119" s="1556">
        <v>1.02</v>
      </c>
      <c r="F119" s="1557">
        <v>1.02</v>
      </c>
      <c r="G119" s="1561" t="s">
        <v>1646</v>
      </c>
      <c r="H119" s="1561" t="s">
        <v>1646</v>
      </c>
      <c r="I119" s="1561" t="s">
        <v>1646</v>
      </c>
      <c r="J119" s="1561" t="s">
        <v>1646</v>
      </c>
      <c r="L119" s="1543"/>
      <c r="M119" s="1543"/>
    </row>
    <row r="120" spans="1:13">
      <c r="A120" s="1556">
        <v>11.03</v>
      </c>
      <c r="B120" s="1556">
        <v>1.03</v>
      </c>
      <c r="C120" s="1556">
        <v>1.03</v>
      </c>
      <c r="D120" s="1556">
        <v>1.03</v>
      </c>
      <c r="E120" s="1556">
        <v>1.03</v>
      </c>
      <c r="F120" s="1557">
        <v>1.03</v>
      </c>
      <c r="G120" s="1558" t="s">
        <v>1886</v>
      </c>
      <c r="H120" s="1558" t="s">
        <v>1886</v>
      </c>
      <c r="I120" s="1558" t="s">
        <v>1886</v>
      </c>
      <c r="J120" s="1558" t="s">
        <v>1886</v>
      </c>
      <c r="L120" s="1543"/>
      <c r="M120" s="1543"/>
    </row>
    <row r="121" spans="1:13">
      <c r="A121" s="1556">
        <v>11.04</v>
      </c>
      <c r="B121" s="1556">
        <v>1.04</v>
      </c>
      <c r="C121" s="1556">
        <v>1.04</v>
      </c>
      <c r="D121" s="1556">
        <v>1.04</v>
      </c>
      <c r="E121" s="1556">
        <v>1.04</v>
      </c>
      <c r="F121" s="1557">
        <v>1.04</v>
      </c>
      <c r="G121" s="1558" t="s">
        <v>1887</v>
      </c>
      <c r="H121" s="1558" t="s">
        <v>1887</v>
      </c>
      <c r="I121" s="1558" t="s">
        <v>1887</v>
      </c>
      <c r="J121" s="1558" t="s">
        <v>1887</v>
      </c>
      <c r="L121" s="1543"/>
      <c r="M121" s="1543"/>
    </row>
    <row r="122" spans="1:13">
      <c r="A122" s="1556">
        <v>11.05</v>
      </c>
      <c r="B122" s="1556">
        <v>1.05</v>
      </c>
      <c r="C122" s="1556">
        <v>1.05</v>
      </c>
      <c r="D122" s="1556">
        <v>1.05</v>
      </c>
      <c r="E122" s="1556">
        <v>1.05</v>
      </c>
      <c r="F122" s="1557">
        <v>1.05</v>
      </c>
      <c r="G122" s="1558" t="s">
        <v>1890</v>
      </c>
      <c r="H122" s="1558" t="s">
        <v>1890</v>
      </c>
      <c r="I122" s="1558" t="s">
        <v>1890</v>
      </c>
      <c r="J122" s="1558" t="s">
        <v>1890</v>
      </c>
      <c r="L122" s="1543"/>
      <c r="M122" s="1543"/>
    </row>
    <row r="123" spans="1:13">
      <c r="A123" s="1556">
        <v>11.06</v>
      </c>
      <c r="B123" s="1556">
        <v>1.06</v>
      </c>
      <c r="C123" s="1556">
        <v>1.06</v>
      </c>
      <c r="D123" s="1556">
        <v>1.06</v>
      </c>
      <c r="E123" s="1556">
        <v>1.06</v>
      </c>
      <c r="F123" s="1557">
        <v>1.06</v>
      </c>
      <c r="G123" s="1558" t="s">
        <v>1891</v>
      </c>
      <c r="H123" s="1558" t="s">
        <v>1891</v>
      </c>
      <c r="I123" s="1558" t="s">
        <v>1891</v>
      </c>
      <c r="J123" s="1558" t="s">
        <v>1891</v>
      </c>
      <c r="L123" s="1543"/>
      <c r="M123" s="1543"/>
    </row>
    <row r="124" spans="1:13">
      <c r="A124" s="1556">
        <v>11.07</v>
      </c>
      <c r="B124" s="1556">
        <v>1.35</v>
      </c>
      <c r="C124" s="1556">
        <v>1.35</v>
      </c>
      <c r="D124" s="1556">
        <v>1.35</v>
      </c>
      <c r="E124" s="1556">
        <v>1.35</v>
      </c>
      <c r="F124" s="1557" t="s">
        <v>1646</v>
      </c>
      <c r="G124" s="1561" t="s">
        <v>1646</v>
      </c>
      <c r="H124" s="1561" t="s">
        <v>1646</v>
      </c>
      <c r="I124" s="1561" t="s">
        <v>1646</v>
      </c>
      <c r="J124" s="1561" t="s">
        <v>1646</v>
      </c>
      <c r="L124" s="1543"/>
      <c r="M124" s="1543"/>
    </row>
    <row r="125" spans="1:13">
      <c r="A125" s="1556">
        <v>11.08</v>
      </c>
      <c r="B125" s="1556">
        <v>1.36</v>
      </c>
      <c r="C125" s="1556">
        <v>1.36</v>
      </c>
      <c r="D125" s="1556">
        <v>1.36</v>
      </c>
      <c r="E125" s="1556">
        <v>1.36</v>
      </c>
      <c r="F125" s="1557" t="s">
        <v>1646</v>
      </c>
      <c r="G125" s="1561" t="s">
        <v>1646</v>
      </c>
      <c r="H125" s="1561" t="s">
        <v>1646</v>
      </c>
      <c r="I125" s="1561" t="s">
        <v>1646</v>
      </c>
      <c r="J125" s="1561" t="s">
        <v>1646</v>
      </c>
      <c r="L125" s="1543"/>
      <c r="M125" s="1543"/>
    </row>
    <row r="126" spans="1:13">
      <c r="A126" s="1556">
        <v>11.09</v>
      </c>
      <c r="B126" s="1556">
        <v>1.37</v>
      </c>
      <c r="C126" s="1556">
        <v>1.37</v>
      </c>
      <c r="D126" s="1556">
        <v>1.37</v>
      </c>
      <c r="E126" s="1556">
        <v>1.37</v>
      </c>
      <c r="F126" s="1557" t="s">
        <v>1646</v>
      </c>
      <c r="G126" s="1561" t="s">
        <v>1646</v>
      </c>
      <c r="H126" s="1561" t="s">
        <v>1646</v>
      </c>
      <c r="I126" s="1561" t="s">
        <v>1646</v>
      </c>
      <c r="J126" s="1561" t="s">
        <v>1646</v>
      </c>
      <c r="L126" s="1543"/>
      <c r="M126" s="1543"/>
    </row>
    <row r="127" spans="1:13">
      <c r="A127" s="1556" t="s">
        <v>1780</v>
      </c>
      <c r="B127" s="1556">
        <v>1.38</v>
      </c>
      <c r="C127" s="1556">
        <v>1.38</v>
      </c>
      <c r="D127" s="1556">
        <v>1.38</v>
      </c>
      <c r="E127" s="1556">
        <v>1.38</v>
      </c>
      <c r="F127" s="1557" t="s">
        <v>1646</v>
      </c>
      <c r="G127" s="1561" t="s">
        <v>1646</v>
      </c>
      <c r="H127" s="1561" t="s">
        <v>1646</v>
      </c>
      <c r="I127" s="1561" t="s">
        <v>1646</v>
      </c>
      <c r="J127" s="1561" t="s">
        <v>1646</v>
      </c>
      <c r="L127" s="1543"/>
      <c r="M127" s="1543"/>
    </row>
    <row r="128" spans="1:13">
      <c r="A128" s="1566">
        <v>11.11</v>
      </c>
      <c r="B128" s="1556">
        <v>1.34</v>
      </c>
      <c r="C128" s="1556">
        <v>1.34</v>
      </c>
      <c r="D128" s="1556">
        <v>1.34</v>
      </c>
      <c r="E128" s="1556">
        <v>1.34</v>
      </c>
      <c r="F128" s="1557" t="s">
        <v>1646</v>
      </c>
      <c r="G128" s="1561" t="s">
        <v>1646</v>
      </c>
      <c r="H128" s="1561" t="s">
        <v>1646</v>
      </c>
      <c r="I128" s="1561" t="s">
        <v>1646</v>
      </c>
      <c r="J128" s="1561" t="s">
        <v>1646</v>
      </c>
      <c r="L128" s="1543"/>
      <c r="M128" s="1543"/>
    </row>
    <row r="129" spans="1:13">
      <c r="A129" s="1556">
        <v>11.12</v>
      </c>
      <c r="B129" s="1556">
        <v>1.48</v>
      </c>
      <c r="C129" s="1556">
        <v>1.48</v>
      </c>
      <c r="D129" s="1556" t="s">
        <v>1646</v>
      </c>
      <c r="E129" s="1556" t="s">
        <v>1646</v>
      </c>
      <c r="F129" s="1556" t="s">
        <v>1646</v>
      </c>
      <c r="G129" s="1556" t="s">
        <v>1646</v>
      </c>
      <c r="H129" s="1556" t="s">
        <v>1646</v>
      </c>
      <c r="I129" s="1556" t="s">
        <v>1646</v>
      </c>
      <c r="J129" s="1556" t="s">
        <v>1646</v>
      </c>
      <c r="L129" s="1543"/>
      <c r="M129" s="1543"/>
    </row>
    <row r="130" spans="1:13">
      <c r="A130" s="1556">
        <v>11.13</v>
      </c>
      <c r="B130" s="1556">
        <v>1.47</v>
      </c>
      <c r="C130" s="1556">
        <v>1.47</v>
      </c>
      <c r="D130" s="1556" t="s">
        <v>1646</v>
      </c>
      <c r="E130" s="1556" t="s">
        <v>1646</v>
      </c>
      <c r="F130" s="1556" t="s">
        <v>1646</v>
      </c>
      <c r="G130" s="1556" t="s">
        <v>1646</v>
      </c>
      <c r="H130" s="1556" t="s">
        <v>1646</v>
      </c>
      <c r="I130" s="1556" t="s">
        <v>1646</v>
      </c>
      <c r="J130" s="1556" t="s">
        <v>1646</v>
      </c>
      <c r="L130" s="1543"/>
      <c r="M130" s="1543"/>
    </row>
    <row r="131" spans="1:13">
      <c r="A131" s="1556">
        <v>11.14</v>
      </c>
      <c r="B131" s="1559">
        <v>2.0099999999999998</v>
      </c>
      <c r="C131" s="1560" t="s">
        <v>1646</v>
      </c>
      <c r="D131" s="1560" t="s">
        <v>1646</v>
      </c>
      <c r="E131" s="1560" t="s">
        <v>1646</v>
      </c>
      <c r="F131" s="1560" t="s">
        <v>1646</v>
      </c>
      <c r="G131" s="1560" t="s">
        <v>1646</v>
      </c>
      <c r="H131" s="1560" t="s">
        <v>1646</v>
      </c>
      <c r="I131" s="1560" t="s">
        <v>1646</v>
      </c>
      <c r="J131" s="1560" t="s">
        <v>1646</v>
      </c>
      <c r="L131" s="1543"/>
      <c r="M131" s="1543"/>
    </row>
    <row r="132" spans="1:13">
      <c r="A132" s="1559">
        <v>11.15</v>
      </c>
      <c r="B132" s="1556">
        <v>2.02</v>
      </c>
      <c r="C132" s="1556">
        <v>2.12</v>
      </c>
      <c r="D132" s="1556">
        <v>2.12</v>
      </c>
      <c r="E132" s="1556" t="s">
        <v>1646</v>
      </c>
      <c r="F132" s="1556" t="s">
        <v>1646</v>
      </c>
      <c r="G132" s="1556" t="s">
        <v>1646</v>
      </c>
      <c r="H132" s="1556" t="s">
        <v>1646</v>
      </c>
      <c r="I132" s="1556" t="s">
        <v>1646</v>
      </c>
      <c r="J132" s="1556" t="s">
        <v>1646</v>
      </c>
      <c r="L132" s="1543"/>
      <c r="M132" s="1543"/>
    </row>
    <row r="133" spans="1:13">
      <c r="A133" s="1559">
        <v>11.16</v>
      </c>
      <c r="B133" s="1560">
        <v>2.0299999999999998</v>
      </c>
      <c r="C133" s="1560">
        <v>2.0299999999999998</v>
      </c>
      <c r="D133" s="1560">
        <v>2.0299999999999998</v>
      </c>
      <c r="E133" s="1560">
        <v>2.0299999999999998</v>
      </c>
      <c r="F133" s="1558">
        <v>2.0299999999999998</v>
      </c>
      <c r="G133" s="1558" t="s">
        <v>1629</v>
      </c>
      <c r="H133" s="1558" t="s">
        <v>1629</v>
      </c>
      <c r="I133" s="1558" t="s">
        <v>1629</v>
      </c>
      <c r="J133" s="1558" t="s">
        <v>1646</v>
      </c>
      <c r="L133" s="1543"/>
      <c r="M133" s="1543"/>
    </row>
    <row r="134" spans="1:13">
      <c r="A134" s="1556">
        <v>11.17</v>
      </c>
      <c r="B134" s="1556">
        <v>1.49</v>
      </c>
      <c r="C134" s="1556">
        <v>1.49</v>
      </c>
      <c r="D134" s="1556" t="s">
        <v>1646</v>
      </c>
      <c r="E134" s="1556" t="s">
        <v>1646</v>
      </c>
      <c r="F134" s="1556" t="s">
        <v>1646</v>
      </c>
      <c r="G134" s="1556" t="s">
        <v>1646</v>
      </c>
      <c r="H134" s="1556" t="s">
        <v>1646</v>
      </c>
      <c r="I134" s="1556" t="s">
        <v>1646</v>
      </c>
      <c r="J134" s="1556" t="s">
        <v>1646</v>
      </c>
      <c r="L134" s="1543"/>
      <c r="M134" s="1543"/>
    </row>
    <row r="135" spans="1:13">
      <c r="A135" s="1556">
        <v>11.18</v>
      </c>
      <c r="B135" s="1556" t="s">
        <v>1646</v>
      </c>
      <c r="C135" s="1556" t="s">
        <v>1646</v>
      </c>
      <c r="D135" s="1556" t="s">
        <v>1646</v>
      </c>
      <c r="E135" s="1556" t="s">
        <v>1646</v>
      </c>
      <c r="F135" s="1556" t="s">
        <v>1646</v>
      </c>
      <c r="G135" s="1556" t="s">
        <v>1646</v>
      </c>
      <c r="H135" s="1556" t="s">
        <v>1646</v>
      </c>
      <c r="I135" s="1556" t="s">
        <v>1646</v>
      </c>
      <c r="J135" s="1556" t="s">
        <v>1646</v>
      </c>
      <c r="L135" s="1543"/>
      <c r="M135" s="1543"/>
    </row>
    <row r="136" spans="1:13">
      <c r="A136" s="1566" t="s">
        <v>1646</v>
      </c>
      <c r="B136" s="1556">
        <v>1.44</v>
      </c>
      <c r="C136" s="1556">
        <v>1.44</v>
      </c>
      <c r="D136" s="1556">
        <v>1.44</v>
      </c>
      <c r="E136" s="1556" t="s">
        <v>1646</v>
      </c>
      <c r="F136" s="1556" t="s">
        <v>1646</v>
      </c>
      <c r="G136" s="1556" t="s">
        <v>1646</v>
      </c>
      <c r="H136" s="1556" t="s">
        <v>1646</v>
      </c>
      <c r="I136" s="1556" t="s">
        <v>1646</v>
      </c>
      <c r="J136" s="1556" t="s">
        <v>1646</v>
      </c>
      <c r="L136" s="1543"/>
      <c r="M136" s="1543"/>
    </row>
    <row r="137" spans="1:13">
      <c r="A137" s="1556" t="s">
        <v>1646</v>
      </c>
      <c r="B137" s="1556">
        <v>1.45</v>
      </c>
      <c r="C137" s="1556">
        <v>1.45</v>
      </c>
      <c r="D137" s="1556" t="s">
        <v>1646</v>
      </c>
      <c r="E137" s="1556" t="s">
        <v>1646</v>
      </c>
      <c r="F137" s="1556" t="s">
        <v>1646</v>
      </c>
      <c r="G137" s="1556" t="s">
        <v>1646</v>
      </c>
      <c r="H137" s="1556" t="s">
        <v>1646</v>
      </c>
      <c r="I137" s="1556" t="s">
        <v>1646</v>
      </c>
      <c r="J137" s="1556" t="s">
        <v>1646</v>
      </c>
      <c r="L137" s="1543"/>
      <c r="M137" s="1543"/>
    </row>
    <row r="138" spans="1:13">
      <c r="A138" s="1556" t="s">
        <v>1646</v>
      </c>
      <c r="B138" s="1556">
        <v>1.46</v>
      </c>
      <c r="C138" s="1556">
        <v>1.46</v>
      </c>
      <c r="D138" s="1556" t="s">
        <v>1646</v>
      </c>
      <c r="E138" s="1556" t="s">
        <v>1646</v>
      </c>
      <c r="F138" s="1556" t="s">
        <v>1646</v>
      </c>
      <c r="G138" s="1556" t="s">
        <v>1646</v>
      </c>
      <c r="H138" s="1556" t="s">
        <v>1646</v>
      </c>
      <c r="I138" s="1556" t="s">
        <v>1646</v>
      </c>
      <c r="J138" s="1556" t="s">
        <v>1646</v>
      </c>
      <c r="L138" s="1543"/>
      <c r="M138" s="1543"/>
    </row>
    <row r="139" spans="1:13">
      <c r="A139" s="1561" t="s">
        <v>1646</v>
      </c>
      <c r="B139" s="1560">
        <v>3.01</v>
      </c>
      <c r="C139" s="1560">
        <v>3.01</v>
      </c>
      <c r="D139" s="1560">
        <v>3.01</v>
      </c>
      <c r="E139" s="1560">
        <v>3.01</v>
      </c>
      <c r="F139" s="1558">
        <v>3.01</v>
      </c>
      <c r="G139" s="1558" t="s">
        <v>414</v>
      </c>
      <c r="H139" s="1558" t="s">
        <v>414</v>
      </c>
      <c r="I139" s="1558" t="s">
        <v>1637</v>
      </c>
      <c r="J139" s="1558" t="s">
        <v>1638</v>
      </c>
      <c r="L139" s="1543"/>
      <c r="M139" s="1543"/>
    </row>
    <row r="140" spans="1:13">
      <c r="A140" s="1561" t="s">
        <v>1646</v>
      </c>
      <c r="B140" s="1560">
        <v>3.02</v>
      </c>
      <c r="C140" s="1560">
        <v>3.02</v>
      </c>
      <c r="D140" s="1560">
        <v>3.02</v>
      </c>
      <c r="E140" s="1560">
        <v>3.02</v>
      </c>
      <c r="F140" s="1558">
        <v>3.02</v>
      </c>
      <c r="G140" s="1561" t="s">
        <v>1646</v>
      </c>
      <c r="H140" s="1561" t="s">
        <v>1646</v>
      </c>
      <c r="I140" s="1561" t="s">
        <v>1646</v>
      </c>
      <c r="J140" s="1561" t="s">
        <v>1646</v>
      </c>
      <c r="L140" s="1543"/>
      <c r="M140" s="1543"/>
    </row>
    <row r="141" spans="1:13">
      <c r="A141" s="1561" t="s">
        <v>1646</v>
      </c>
      <c r="B141" s="1560">
        <v>3.03</v>
      </c>
      <c r="C141" s="1560">
        <v>3.03</v>
      </c>
      <c r="D141" s="1560">
        <v>3.03</v>
      </c>
      <c r="E141" s="1560">
        <v>3.03</v>
      </c>
      <c r="F141" s="1558">
        <v>3.03</v>
      </c>
      <c r="G141" s="1558" t="s">
        <v>415</v>
      </c>
      <c r="H141" s="1558" t="s">
        <v>415</v>
      </c>
      <c r="I141" s="1558" t="s">
        <v>1646</v>
      </c>
      <c r="J141" s="1558" t="s">
        <v>1646</v>
      </c>
      <c r="L141" s="1543"/>
      <c r="M141" s="1543"/>
    </row>
    <row r="142" spans="1:13">
      <c r="A142" s="1561" t="s">
        <v>1646</v>
      </c>
      <c r="B142" s="1560">
        <v>3.05</v>
      </c>
      <c r="C142" s="1560">
        <v>3.05</v>
      </c>
      <c r="D142" s="1560">
        <v>3.05</v>
      </c>
      <c r="E142" s="1560">
        <v>3.05</v>
      </c>
      <c r="F142" s="1558">
        <v>3.05</v>
      </c>
      <c r="G142" s="1558" t="s">
        <v>416</v>
      </c>
      <c r="H142" s="1558" t="s">
        <v>416</v>
      </c>
      <c r="I142" s="1558" t="s">
        <v>1646</v>
      </c>
      <c r="J142" s="1558" t="s">
        <v>1646</v>
      </c>
      <c r="L142" s="1543"/>
      <c r="M142" s="1543"/>
    </row>
    <row r="143" spans="1:13" ht="9.75" customHeight="1">
      <c r="A143" s="1560" t="s">
        <v>1646</v>
      </c>
      <c r="B143" s="1560">
        <v>3.06</v>
      </c>
      <c r="C143" s="1560">
        <v>3.06</v>
      </c>
      <c r="D143" s="1560">
        <v>3.06</v>
      </c>
      <c r="E143" s="1560">
        <v>3.06</v>
      </c>
      <c r="F143" s="1558">
        <v>3.06</v>
      </c>
      <c r="G143" s="1561" t="s">
        <v>1646</v>
      </c>
      <c r="H143" s="1561" t="s">
        <v>1646</v>
      </c>
      <c r="I143" s="1561" t="s">
        <v>1646</v>
      </c>
      <c r="J143" s="1561" t="s">
        <v>1646</v>
      </c>
      <c r="L143" s="1543"/>
      <c r="M143" s="1543"/>
    </row>
    <row r="144" spans="1:13" ht="9.75" customHeight="1">
      <c r="A144" s="1556" t="s">
        <v>1646</v>
      </c>
      <c r="B144" s="1556">
        <v>4.1100000000000003</v>
      </c>
      <c r="C144" s="1556">
        <v>4.1100000000000003</v>
      </c>
      <c r="D144" s="1556">
        <v>4.1100000000000003</v>
      </c>
      <c r="E144" s="1556" t="s">
        <v>1646</v>
      </c>
      <c r="F144" s="1556" t="s">
        <v>1646</v>
      </c>
      <c r="G144" s="1556" t="s">
        <v>1646</v>
      </c>
      <c r="H144" s="1556" t="s">
        <v>1646</v>
      </c>
      <c r="I144" s="1556" t="s">
        <v>1646</v>
      </c>
      <c r="J144" s="1556" t="s">
        <v>1646</v>
      </c>
      <c r="L144" s="1543"/>
      <c r="M144" s="1543"/>
    </row>
    <row r="145" spans="1:13">
      <c r="A145" s="1556" t="s">
        <v>1646</v>
      </c>
      <c r="B145" s="1556">
        <v>4.12</v>
      </c>
      <c r="C145" s="1556">
        <v>4.12</v>
      </c>
      <c r="D145" s="1556">
        <v>4.12</v>
      </c>
      <c r="E145" s="1556" t="s">
        <v>1646</v>
      </c>
      <c r="F145" s="1556" t="s">
        <v>1646</v>
      </c>
      <c r="G145" s="1556" t="s">
        <v>1646</v>
      </c>
      <c r="H145" s="1556" t="s">
        <v>1646</v>
      </c>
      <c r="I145" s="1556" t="s">
        <v>1646</v>
      </c>
      <c r="J145" s="1556" t="s">
        <v>1646</v>
      </c>
      <c r="L145" s="1543"/>
      <c r="M145" s="1543"/>
    </row>
    <row r="146" spans="1:13">
      <c r="A146" s="1558" t="s">
        <v>1646</v>
      </c>
      <c r="B146" s="1556">
        <v>9.07</v>
      </c>
      <c r="C146" s="1556">
        <v>9.07</v>
      </c>
      <c r="D146" s="1556">
        <v>9.07</v>
      </c>
      <c r="E146" s="1556">
        <v>9.07</v>
      </c>
      <c r="F146" s="1557" t="s">
        <v>1646</v>
      </c>
      <c r="G146" s="1558" t="s">
        <v>1646</v>
      </c>
      <c r="H146" s="1558" t="s">
        <v>1646</v>
      </c>
      <c r="I146" s="1558" t="s">
        <v>1646</v>
      </c>
      <c r="J146" s="1558" t="s">
        <v>1646</v>
      </c>
      <c r="L146" s="1543"/>
      <c r="M146" s="1543"/>
    </row>
    <row r="147" spans="1:13">
      <c r="A147" s="1558" t="s">
        <v>1646</v>
      </c>
      <c r="B147" s="1556">
        <v>9.15</v>
      </c>
      <c r="C147" s="1556">
        <v>9.15</v>
      </c>
      <c r="D147" s="1556">
        <v>9.15</v>
      </c>
      <c r="E147" s="1556">
        <v>9.15</v>
      </c>
      <c r="F147" s="1557" t="s">
        <v>1646</v>
      </c>
      <c r="G147" s="1561" t="s">
        <v>1646</v>
      </c>
      <c r="H147" s="1561" t="s">
        <v>1646</v>
      </c>
      <c r="I147" s="1561" t="s">
        <v>1646</v>
      </c>
      <c r="J147" s="1561" t="s">
        <v>1646</v>
      </c>
      <c r="L147" s="1543"/>
      <c r="M147" s="1543"/>
    </row>
    <row r="148" spans="1:13">
      <c r="A148" s="1556" t="s">
        <v>1646</v>
      </c>
      <c r="B148" s="1556" t="s">
        <v>1646</v>
      </c>
      <c r="C148" s="1556">
        <v>1.41</v>
      </c>
      <c r="D148" s="1556">
        <v>1.41</v>
      </c>
      <c r="E148" s="1556">
        <v>1.41</v>
      </c>
      <c r="F148" s="1557">
        <v>9.07</v>
      </c>
      <c r="G148" s="1561" t="s">
        <v>1646</v>
      </c>
      <c r="H148" s="1561" t="s">
        <v>1646</v>
      </c>
      <c r="I148" s="1561" t="s">
        <v>1646</v>
      </c>
      <c r="J148" s="1561" t="s">
        <v>1646</v>
      </c>
      <c r="L148" s="1543"/>
      <c r="M148" s="1543"/>
    </row>
    <row r="149" spans="1:13">
      <c r="A149" s="1564" t="s">
        <v>1646</v>
      </c>
      <c r="B149" s="1564" t="s">
        <v>1646</v>
      </c>
      <c r="C149" s="1567" t="s">
        <v>104</v>
      </c>
      <c r="D149" s="1567" t="s">
        <v>104</v>
      </c>
      <c r="E149" s="1564" t="s">
        <v>1646</v>
      </c>
      <c r="F149" s="1564" t="s">
        <v>1646</v>
      </c>
      <c r="G149" s="1564" t="s">
        <v>1646</v>
      </c>
      <c r="H149" s="1564" t="s">
        <v>417</v>
      </c>
      <c r="I149" s="1564" t="s">
        <v>1646</v>
      </c>
      <c r="J149" s="1564" t="s">
        <v>1646</v>
      </c>
      <c r="L149" s="1543"/>
      <c r="M149" s="1543"/>
    </row>
    <row r="150" spans="1:13">
      <c r="A150" s="1556" t="s">
        <v>1646</v>
      </c>
      <c r="B150" s="1556" t="s">
        <v>1646</v>
      </c>
      <c r="C150" s="1556">
        <v>8.02</v>
      </c>
      <c r="D150" s="1556">
        <v>8.02</v>
      </c>
      <c r="E150" s="1556">
        <v>8.02</v>
      </c>
      <c r="F150" s="1557">
        <v>8.01</v>
      </c>
      <c r="G150" s="1558" t="s">
        <v>1865</v>
      </c>
      <c r="H150" s="1558" t="s">
        <v>1865</v>
      </c>
      <c r="I150" s="1558" t="s">
        <v>1865</v>
      </c>
      <c r="J150" s="1558" t="s">
        <v>1865</v>
      </c>
      <c r="L150" s="1543"/>
      <c r="M150" s="1543"/>
    </row>
    <row r="151" spans="1:13">
      <c r="A151" s="1556" t="s">
        <v>1646</v>
      </c>
      <c r="B151" s="1556" t="s">
        <v>1646</v>
      </c>
      <c r="C151" s="1556" t="s">
        <v>1646</v>
      </c>
      <c r="D151" s="1556" t="s">
        <v>1646</v>
      </c>
      <c r="E151" s="1556" t="s">
        <v>1646</v>
      </c>
      <c r="F151" s="1557" t="s">
        <v>1646</v>
      </c>
      <c r="G151" s="1558" t="s">
        <v>1866</v>
      </c>
      <c r="H151" s="1558" t="s">
        <v>1866</v>
      </c>
      <c r="I151" s="1558" t="s">
        <v>1866</v>
      </c>
      <c r="J151" s="1558" t="s">
        <v>1866</v>
      </c>
      <c r="L151" s="1543"/>
      <c r="M151" s="1543"/>
    </row>
    <row r="152" spans="1:13">
      <c r="A152" s="1556" t="s">
        <v>1646</v>
      </c>
      <c r="B152" s="1556" t="s">
        <v>1646</v>
      </c>
      <c r="C152" s="1556" t="s">
        <v>1646</v>
      </c>
      <c r="D152" s="1556" t="s">
        <v>1646</v>
      </c>
      <c r="E152" s="1556" t="s">
        <v>1646</v>
      </c>
      <c r="F152" s="1557" t="s">
        <v>1646</v>
      </c>
      <c r="G152" s="1558" t="s">
        <v>1867</v>
      </c>
      <c r="H152" s="1558" t="s">
        <v>1867</v>
      </c>
      <c r="I152" s="1558" t="s">
        <v>1867</v>
      </c>
      <c r="J152" s="1558" t="s">
        <v>1867</v>
      </c>
      <c r="L152" s="1543"/>
      <c r="M152" s="1543"/>
    </row>
    <row r="153" spans="1:13">
      <c r="A153" s="1556" t="s">
        <v>1646</v>
      </c>
      <c r="B153" s="1556" t="s">
        <v>1646</v>
      </c>
      <c r="C153" s="1556" t="s">
        <v>1646</v>
      </c>
      <c r="D153" s="1556" t="s">
        <v>1646</v>
      </c>
      <c r="E153" s="1556" t="s">
        <v>1646</v>
      </c>
      <c r="F153" s="1557" t="s">
        <v>1646</v>
      </c>
      <c r="G153" s="1558" t="s">
        <v>1869</v>
      </c>
      <c r="H153" s="1558" t="s">
        <v>1869</v>
      </c>
      <c r="I153" s="1558" t="s">
        <v>1869</v>
      </c>
      <c r="J153" s="1558" t="s">
        <v>1869</v>
      </c>
      <c r="L153" s="1543"/>
      <c r="M153" s="1543"/>
    </row>
    <row r="154" spans="1:13">
      <c r="A154" s="1556" t="s">
        <v>1646</v>
      </c>
      <c r="B154" s="1556" t="s">
        <v>1646</v>
      </c>
      <c r="C154" s="1556" t="s">
        <v>1646</v>
      </c>
      <c r="D154" s="1556" t="s">
        <v>1646</v>
      </c>
      <c r="E154" s="1556" t="s">
        <v>1646</v>
      </c>
      <c r="F154" s="1557" t="s">
        <v>1646</v>
      </c>
      <c r="G154" s="1558" t="s">
        <v>1871</v>
      </c>
      <c r="H154" s="1558" t="s">
        <v>1871</v>
      </c>
      <c r="I154" s="1558" t="s">
        <v>1871</v>
      </c>
      <c r="J154" s="1558" t="s">
        <v>1871</v>
      </c>
      <c r="L154" s="1543"/>
      <c r="M154" s="1543"/>
    </row>
    <row r="155" spans="1:13">
      <c r="A155" s="1556" t="s">
        <v>1646</v>
      </c>
      <c r="B155" s="1556" t="s">
        <v>1646</v>
      </c>
      <c r="C155" s="1556" t="s">
        <v>1646</v>
      </c>
      <c r="D155" s="1556" t="s">
        <v>1646</v>
      </c>
      <c r="E155" s="1556" t="s">
        <v>1646</v>
      </c>
      <c r="F155" s="1557" t="s">
        <v>1646</v>
      </c>
      <c r="G155" s="1558" t="s">
        <v>1873</v>
      </c>
      <c r="H155" s="1558" t="s">
        <v>1873</v>
      </c>
      <c r="I155" s="1558" t="s">
        <v>1873</v>
      </c>
      <c r="J155" s="1558" t="s">
        <v>1873</v>
      </c>
      <c r="L155" s="1543"/>
      <c r="M155" s="1543"/>
    </row>
    <row r="156" spans="1:13">
      <c r="A156" s="1556" t="s">
        <v>1646</v>
      </c>
      <c r="B156" s="1556" t="s">
        <v>1646</v>
      </c>
      <c r="C156" s="1556" t="s">
        <v>1646</v>
      </c>
      <c r="D156" s="1556" t="s">
        <v>1646</v>
      </c>
      <c r="E156" s="1556" t="s">
        <v>1646</v>
      </c>
      <c r="F156" s="1557" t="s">
        <v>1646</v>
      </c>
      <c r="G156" s="1558" t="s">
        <v>1876</v>
      </c>
      <c r="H156" s="1558" t="s">
        <v>1876</v>
      </c>
      <c r="I156" s="1558" t="s">
        <v>1876</v>
      </c>
      <c r="J156" s="1558" t="s">
        <v>1876</v>
      </c>
      <c r="L156" s="1543"/>
      <c r="M156" s="1543"/>
    </row>
    <row r="157" spans="1:13">
      <c r="A157" s="1556" t="s">
        <v>1646</v>
      </c>
      <c r="B157" s="1556" t="s">
        <v>1646</v>
      </c>
      <c r="C157" s="1556" t="s">
        <v>1646</v>
      </c>
      <c r="D157" s="1556" t="s">
        <v>1646</v>
      </c>
      <c r="E157" s="1556" t="s">
        <v>1646</v>
      </c>
      <c r="F157" s="1557" t="s">
        <v>1646</v>
      </c>
      <c r="G157" s="1558" t="s">
        <v>1877</v>
      </c>
      <c r="H157" s="1558" t="s">
        <v>1877</v>
      </c>
      <c r="I157" s="1558" t="s">
        <v>1877</v>
      </c>
      <c r="J157" s="1558" t="s">
        <v>1877</v>
      </c>
      <c r="L157" s="1543"/>
      <c r="M157" s="1543"/>
    </row>
    <row r="158" spans="1:13">
      <c r="A158" s="1556" t="s">
        <v>1646</v>
      </c>
      <c r="B158" s="1556" t="s">
        <v>1646</v>
      </c>
      <c r="C158" s="1556" t="s">
        <v>1646</v>
      </c>
      <c r="D158" s="1556" t="s">
        <v>1646</v>
      </c>
      <c r="E158" s="1556" t="s">
        <v>1646</v>
      </c>
      <c r="F158" s="1557" t="s">
        <v>1646</v>
      </c>
      <c r="G158" s="1558" t="s">
        <v>1879</v>
      </c>
      <c r="H158" s="1558" t="s">
        <v>1879</v>
      </c>
      <c r="I158" s="1558" t="s">
        <v>1879</v>
      </c>
      <c r="J158" s="1558" t="s">
        <v>1879</v>
      </c>
      <c r="L158" s="1543"/>
      <c r="M158" s="1543"/>
    </row>
    <row r="159" spans="1:13">
      <c r="A159" s="1556" t="s">
        <v>1646</v>
      </c>
      <c r="B159" s="1556" t="s">
        <v>1646</v>
      </c>
      <c r="C159" s="1556" t="s">
        <v>1646</v>
      </c>
      <c r="D159" s="1556" t="s">
        <v>1646</v>
      </c>
      <c r="E159" s="1556" t="s">
        <v>1646</v>
      </c>
      <c r="F159" s="1557" t="s">
        <v>1646</v>
      </c>
      <c r="G159" s="1558" t="s">
        <v>1883</v>
      </c>
      <c r="H159" s="1558" t="s">
        <v>1883</v>
      </c>
      <c r="I159" s="1558" t="s">
        <v>1883</v>
      </c>
      <c r="J159" s="1558" t="s">
        <v>1883</v>
      </c>
      <c r="L159" s="1543"/>
      <c r="M159" s="1543"/>
    </row>
    <row r="160" spans="1:13">
      <c r="A160" s="1556" t="s">
        <v>1646</v>
      </c>
      <c r="B160" s="1556" t="s">
        <v>1646</v>
      </c>
      <c r="C160" s="1556" t="s">
        <v>1646</v>
      </c>
      <c r="D160" s="1556" t="s">
        <v>1646</v>
      </c>
      <c r="E160" s="1556" t="s">
        <v>1646</v>
      </c>
      <c r="F160" s="1557" t="s">
        <v>1646</v>
      </c>
      <c r="G160" s="1558" t="s">
        <v>1884</v>
      </c>
      <c r="H160" s="1558" t="s">
        <v>1884</v>
      </c>
      <c r="I160" s="1558" t="s">
        <v>1884</v>
      </c>
      <c r="J160" s="1558" t="s">
        <v>1884</v>
      </c>
      <c r="L160" s="1543"/>
      <c r="M160" s="1543"/>
    </row>
    <row r="161" spans="1:13">
      <c r="A161" s="1556" t="s">
        <v>1646</v>
      </c>
      <c r="B161" s="1556" t="s">
        <v>1646</v>
      </c>
      <c r="C161" s="1556" t="s">
        <v>1646</v>
      </c>
      <c r="D161" s="1556" t="s">
        <v>1646</v>
      </c>
      <c r="E161" s="1556" t="s">
        <v>1646</v>
      </c>
      <c r="F161" s="1557" t="s">
        <v>1646</v>
      </c>
      <c r="G161" s="1558" t="s">
        <v>1885</v>
      </c>
      <c r="H161" s="1558" t="s">
        <v>1885</v>
      </c>
      <c r="I161" s="1558" t="s">
        <v>1885</v>
      </c>
      <c r="J161" s="1558" t="s">
        <v>1885</v>
      </c>
      <c r="L161" s="1543"/>
      <c r="M161" s="1543"/>
    </row>
    <row r="162" spans="1:13">
      <c r="A162" s="1556" t="s">
        <v>1646</v>
      </c>
      <c r="B162" s="1556" t="s">
        <v>1646</v>
      </c>
      <c r="C162" s="1556" t="s">
        <v>1646</v>
      </c>
      <c r="D162" s="1556" t="s">
        <v>1646</v>
      </c>
      <c r="E162" s="1556" t="s">
        <v>1646</v>
      </c>
      <c r="F162" s="1557" t="s">
        <v>1646</v>
      </c>
      <c r="G162" s="1558" t="s">
        <v>1888</v>
      </c>
      <c r="H162" s="1558" t="s">
        <v>1888</v>
      </c>
      <c r="I162" s="1558" t="s">
        <v>1888</v>
      </c>
      <c r="J162" s="1558" t="s">
        <v>1888</v>
      </c>
      <c r="L162" s="1543"/>
      <c r="M162" s="1543"/>
    </row>
    <row r="163" spans="1:13">
      <c r="A163" s="1556" t="s">
        <v>1646</v>
      </c>
      <c r="B163" s="1556" t="s">
        <v>1646</v>
      </c>
      <c r="C163" s="1556" t="s">
        <v>1646</v>
      </c>
      <c r="D163" s="1556" t="s">
        <v>1646</v>
      </c>
      <c r="E163" s="1556" t="s">
        <v>1646</v>
      </c>
      <c r="F163" s="1557" t="s">
        <v>1646</v>
      </c>
      <c r="G163" s="1558" t="s">
        <v>1889</v>
      </c>
      <c r="H163" s="1558" t="s">
        <v>1889</v>
      </c>
      <c r="I163" s="1558" t="s">
        <v>1889</v>
      </c>
      <c r="J163" s="1558" t="s">
        <v>1889</v>
      </c>
      <c r="L163" s="1543"/>
      <c r="M163" s="1543"/>
    </row>
    <row r="164" spans="1:13">
      <c r="A164" s="1556" t="s">
        <v>1646</v>
      </c>
      <c r="B164" s="1556" t="s">
        <v>1646</v>
      </c>
      <c r="C164" s="1556" t="s">
        <v>1646</v>
      </c>
      <c r="D164" s="1556" t="s">
        <v>1646</v>
      </c>
      <c r="E164" s="1556" t="s">
        <v>1646</v>
      </c>
      <c r="F164" s="1557" t="s">
        <v>1646</v>
      </c>
      <c r="G164" s="1558" t="s">
        <v>1904</v>
      </c>
      <c r="H164" s="1558" t="s">
        <v>1904</v>
      </c>
      <c r="I164" s="1558" t="s">
        <v>1904</v>
      </c>
      <c r="J164" s="1558" t="s">
        <v>1904</v>
      </c>
      <c r="L164" s="1543"/>
      <c r="M164" s="1543"/>
    </row>
    <row r="165" spans="1:13">
      <c r="A165" s="1556" t="s">
        <v>1646</v>
      </c>
      <c r="B165" s="1556" t="s">
        <v>1646</v>
      </c>
      <c r="C165" s="1556" t="s">
        <v>1646</v>
      </c>
      <c r="D165" s="1556" t="s">
        <v>1646</v>
      </c>
      <c r="E165" s="1556" t="s">
        <v>1646</v>
      </c>
      <c r="F165" s="1557" t="s">
        <v>1646</v>
      </c>
      <c r="G165" s="1558" t="s">
        <v>1905</v>
      </c>
      <c r="H165" s="1558" t="s">
        <v>1905</v>
      </c>
      <c r="I165" s="1558" t="s">
        <v>1905</v>
      </c>
      <c r="J165" s="1558" t="s">
        <v>1905</v>
      </c>
      <c r="L165" s="1543"/>
      <c r="M165" s="1543"/>
    </row>
    <row r="166" spans="1:13">
      <c r="A166" s="1556" t="s">
        <v>1646</v>
      </c>
      <c r="B166" s="1556" t="s">
        <v>1646</v>
      </c>
      <c r="C166" s="1556" t="s">
        <v>1646</v>
      </c>
      <c r="D166" s="1556" t="s">
        <v>1646</v>
      </c>
      <c r="E166" s="1556" t="s">
        <v>1646</v>
      </c>
      <c r="F166" s="1557" t="s">
        <v>1646</v>
      </c>
      <c r="G166" s="1558" t="s">
        <v>1909</v>
      </c>
      <c r="H166" s="1558" t="s">
        <v>1909</v>
      </c>
      <c r="I166" s="1558" t="s">
        <v>1909</v>
      </c>
      <c r="J166" s="1558" t="s">
        <v>1909</v>
      </c>
      <c r="L166" s="1543"/>
      <c r="M166" s="1543"/>
    </row>
    <row r="167" spans="1:13">
      <c r="A167" s="1556" t="s">
        <v>1646</v>
      </c>
      <c r="B167" s="1556" t="s">
        <v>1646</v>
      </c>
      <c r="C167" s="1556" t="s">
        <v>1646</v>
      </c>
      <c r="D167" s="1556" t="s">
        <v>1646</v>
      </c>
      <c r="E167" s="1556" t="s">
        <v>1646</v>
      </c>
      <c r="F167" s="1557" t="s">
        <v>1646</v>
      </c>
      <c r="G167" s="1558" t="s">
        <v>1918</v>
      </c>
      <c r="H167" s="1558" t="s">
        <v>1918</v>
      </c>
      <c r="I167" s="1558" t="s">
        <v>1918</v>
      </c>
      <c r="J167" s="1558" t="s">
        <v>1918</v>
      </c>
      <c r="L167" s="1543"/>
      <c r="M167" s="1543"/>
    </row>
    <row r="168" spans="1:13">
      <c r="A168" s="1556" t="s">
        <v>1646</v>
      </c>
      <c r="B168" s="1556" t="s">
        <v>1646</v>
      </c>
      <c r="C168" s="1556" t="s">
        <v>1646</v>
      </c>
      <c r="D168" s="1556" t="s">
        <v>1646</v>
      </c>
      <c r="E168" s="1556" t="s">
        <v>1646</v>
      </c>
      <c r="F168" s="1557" t="s">
        <v>1646</v>
      </c>
      <c r="G168" s="1558" t="s">
        <v>408</v>
      </c>
      <c r="H168" s="1558" t="s">
        <v>408</v>
      </c>
      <c r="I168" s="1558" t="s">
        <v>407</v>
      </c>
      <c r="J168" s="1558" t="s">
        <v>407</v>
      </c>
      <c r="L168" s="1543"/>
      <c r="M168" s="1543"/>
    </row>
    <row r="169" spans="1:13">
      <c r="A169" s="1556" t="s">
        <v>1646</v>
      </c>
      <c r="B169" s="1556" t="s">
        <v>1646</v>
      </c>
      <c r="C169" s="1556" t="s">
        <v>1646</v>
      </c>
      <c r="D169" s="1556" t="s">
        <v>1646</v>
      </c>
      <c r="E169" s="1556" t="s">
        <v>1646</v>
      </c>
      <c r="F169" s="1557" t="s">
        <v>1646</v>
      </c>
      <c r="G169" s="1558" t="s">
        <v>409</v>
      </c>
      <c r="H169" s="1558" t="s">
        <v>409</v>
      </c>
      <c r="I169" s="1558" t="s">
        <v>408</v>
      </c>
      <c r="J169" s="1558" t="s">
        <v>408</v>
      </c>
      <c r="L169" s="1543"/>
      <c r="M169" s="1543"/>
    </row>
    <row r="170" spans="1:13">
      <c r="A170" s="1556" t="s">
        <v>1646</v>
      </c>
      <c r="B170" s="1556" t="s">
        <v>1646</v>
      </c>
      <c r="C170" s="1556" t="s">
        <v>1646</v>
      </c>
      <c r="D170" s="1556" t="s">
        <v>1646</v>
      </c>
      <c r="E170" s="1556" t="s">
        <v>1646</v>
      </c>
      <c r="F170" s="1557" t="s">
        <v>1646</v>
      </c>
      <c r="G170" s="1558" t="s">
        <v>410</v>
      </c>
      <c r="H170" s="1558" t="s">
        <v>410</v>
      </c>
      <c r="I170" s="1558" t="s">
        <v>409</v>
      </c>
      <c r="J170" s="1558" t="s">
        <v>409</v>
      </c>
      <c r="L170" s="1543"/>
      <c r="M170" s="1543"/>
    </row>
    <row r="171" spans="1:13">
      <c r="A171" s="1556" t="s">
        <v>1646</v>
      </c>
      <c r="B171" s="1556" t="s">
        <v>1646</v>
      </c>
      <c r="C171" s="1556" t="s">
        <v>1646</v>
      </c>
      <c r="D171" s="1556" t="s">
        <v>1646</v>
      </c>
      <c r="E171" s="1556" t="s">
        <v>1646</v>
      </c>
      <c r="F171" s="1557" t="s">
        <v>1646</v>
      </c>
      <c r="G171" s="1558" t="s">
        <v>420</v>
      </c>
      <c r="H171" s="1558" t="s">
        <v>420</v>
      </c>
      <c r="I171" s="1558" t="s">
        <v>420</v>
      </c>
      <c r="J171" s="1558" t="s">
        <v>1646</v>
      </c>
      <c r="L171" s="1543"/>
      <c r="M171" s="1543"/>
    </row>
    <row r="172" spans="1:13">
      <c r="A172" s="1556" t="s">
        <v>1646</v>
      </c>
      <c r="B172" s="1556" t="s">
        <v>1646</v>
      </c>
      <c r="C172" s="1556" t="s">
        <v>1646</v>
      </c>
      <c r="D172" s="1556" t="s">
        <v>1646</v>
      </c>
      <c r="E172" s="1556" t="s">
        <v>1646</v>
      </c>
      <c r="F172" s="1557" t="s">
        <v>1646</v>
      </c>
      <c r="G172" s="1558" t="s">
        <v>422</v>
      </c>
      <c r="H172" s="1558" t="s">
        <v>422</v>
      </c>
      <c r="I172" s="1558" t="s">
        <v>422</v>
      </c>
      <c r="J172" s="1558" t="s">
        <v>1646</v>
      </c>
      <c r="L172" s="1543"/>
      <c r="M172" s="1543"/>
    </row>
    <row r="173" spans="1:13">
      <c r="A173" s="1556" t="s">
        <v>1646</v>
      </c>
      <c r="B173" s="1556" t="s">
        <v>1646</v>
      </c>
      <c r="C173" s="1556" t="s">
        <v>1646</v>
      </c>
      <c r="D173" s="1556" t="s">
        <v>1646</v>
      </c>
      <c r="E173" s="1556" t="s">
        <v>1646</v>
      </c>
      <c r="F173" s="1557" t="s">
        <v>1646</v>
      </c>
      <c r="G173" s="1558" t="s">
        <v>1627</v>
      </c>
      <c r="H173" s="1558" t="s">
        <v>1627</v>
      </c>
      <c r="I173" s="1558" t="s">
        <v>1627</v>
      </c>
      <c r="J173" s="1558" t="s">
        <v>1646</v>
      </c>
      <c r="L173" s="1543"/>
      <c r="M173" s="1543"/>
    </row>
    <row r="174" spans="1:13">
      <c r="A174" s="1556" t="s">
        <v>1646</v>
      </c>
      <c r="B174" s="1556" t="s">
        <v>1646</v>
      </c>
      <c r="C174" s="1556" t="s">
        <v>1646</v>
      </c>
      <c r="D174" s="1556" t="s">
        <v>1646</v>
      </c>
      <c r="E174" s="1556" t="s">
        <v>1646</v>
      </c>
      <c r="F174" s="1557" t="s">
        <v>1646</v>
      </c>
      <c r="G174" s="1558" t="s">
        <v>1628</v>
      </c>
      <c r="H174" s="1558" t="s">
        <v>1628</v>
      </c>
      <c r="I174" s="1558" t="s">
        <v>1628</v>
      </c>
      <c r="J174" s="1558" t="s">
        <v>1646</v>
      </c>
      <c r="L174" s="1543"/>
      <c r="M174" s="1543"/>
    </row>
    <row r="175" spans="1:13">
      <c r="A175" s="1556" t="s">
        <v>1646</v>
      </c>
      <c r="B175" s="1556" t="s">
        <v>1646</v>
      </c>
      <c r="C175" s="1556" t="s">
        <v>1646</v>
      </c>
      <c r="D175" s="1556" t="s">
        <v>1646</v>
      </c>
      <c r="E175" s="1556" t="s">
        <v>1646</v>
      </c>
      <c r="F175" s="1557" t="s">
        <v>1646</v>
      </c>
      <c r="G175" s="1558" t="s">
        <v>1620</v>
      </c>
      <c r="H175" s="1558" t="s">
        <v>1620</v>
      </c>
      <c r="I175" s="1558" t="s">
        <v>1646</v>
      </c>
      <c r="J175" s="1558" t="s">
        <v>1646</v>
      </c>
      <c r="L175" s="1543"/>
      <c r="M175" s="1543"/>
    </row>
    <row r="176" spans="1:13">
      <c r="A176" s="1556" t="s">
        <v>1646</v>
      </c>
      <c r="B176" s="1556" t="s">
        <v>1646</v>
      </c>
      <c r="C176" s="1556" t="s">
        <v>1646</v>
      </c>
      <c r="D176" s="1556" t="s">
        <v>1646</v>
      </c>
      <c r="E176" s="1556" t="s">
        <v>1646</v>
      </c>
      <c r="F176" s="1557" t="s">
        <v>1646</v>
      </c>
      <c r="G176" s="1558" t="s">
        <v>1632</v>
      </c>
      <c r="H176" s="1558" t="s">
        <v>1646</v>
      </c>
      <c r="I176" s="1558" t="s">
        <v>1646</v>
      </c>
      <c r="J176" s="1558" t="s">
        <v>1646</v>
      </c>
      <c r="L176" s="1543"/>
      <c r="M176" s="1543"/>
    </row>
    <row r="177" spans="1:15">
      <c r="A177" s="1556" t="s">
        <v>1646</v>
      </c>
      <c r="B177" s="1556" t="s">
        <v>1646</v>
      </c>
      <c r="C177" s="1556" t="s">
        <v>1646</v>
      </c>
      <c r="D177" s="1556" t="s">
        <v>1646</v>
      </c>
      <c r="E177" s="1556" t="s">
        <v>1646</v>
      </c>
      <c r="F177" s="1557" t="s">
        <v>1646</v>
      </c>
      <c r="G177" s="1558" t="s">
        <v>425</v>
      </c>
      <c r="H177" s="1558" t="s">
        <v>425</v>
      </c>
      <c r="I177" s="1558" t="s">
        <v>425</v>
      </c>
      <c r="J177" s="1558" t="s">
        <v>424</v>
      </c>
      <c r="L177" s="1543"/>
      <c r="M177" s="1543"/>
    </row>
    <row r="178" spans="1:15">
      <c r="A178" s="1556" t="s">
        <v>1646</v>
      </c>
      <c r="B178" s="1556" t="s">
        <v>1646</v>
      </c>
      <c r="C178" s="1556" t="s">
        <v>1646</v>
      </c>
      <c r="D178" s="1556" t="s">
        <v>1646</v>
      </c>
      <c r="E178" s="1556" t="s">
        <v>1646</v>
      </c>
      <c r="F178" s="1557" t="s">
        <v>1646</v>
      </c>
      <c r="G178" s="1558" t="s">
        <v>1615</v>
      </c>
      <c r="H178" s="1558" t="s">
        <v>1615</v>
      </c>
      <c r="I178" s="1558" t="s">
        <v>1615</v>
      </c>
      <c r="J178" s="1558" t="s">
        <v>426</v>
      </c>
      <c r="L178" s="1543"/>
      <c r="M178" s="1543"/>
    </row>
    <row r="179" spans="1:15">
      <c r="A179" s="1556" t="s">
        <v>1646</v>
      </c>
      <c r="B179" s="1556" t="s">
        <v>1646</v>
      </c>
      <c r="C179" s="1556" t="s">
        <v>1646</v>
      </c>
      <c r="D179" s="1556" t="s">
        <v>1646</v>
      </c>
      <c r="E179" s="1556" t="s">
        <v>1646</v>
      </c>
      <c r="F179" s="1557" t="s">
        <v>1646</v>
      </c>
      <c r="G179" s="1558" t="s">
        <v>1617</v>
      </c>
      <c r="H179" s="1558" t="s">
        <v>1617</v>
      </c>
      <c r="I179" s="1558" t="s">
        <v>1617</v>
      </c>
      <c r="J179" s="1558" t="s">
        <v>1616</v>
      </c>
      <c r="L179" s="1543"/>
      <c r="M179" s="1543"/>
    </row>
    <row r="180" spans="1:15">
      <c r="A180" s="1556" t="s">
        <v>1646</v>
      </c>
      <c r="B180" s="1556" t="s">
        <v>1646</v>
      </c>
      <c r="C180" s="1556" t="s">
        <v>1646</v>
      </c>
      <c r="D180" s="1556" t="s">
        <v>1646</v>
      </c>
      <c r="E180" s="1556" t="s">
        <v>1646</v>
      </c>
      <c r="F180" s="1557" t="s">
        <v>1646</v>
      </c>
      <c r="G180" s="1558" t="s">
        <v>1619</v>
      </c>
      <c r="H180" s="1558" t="s">
        <v>1619</v>
      </c>
      <c r="I180" s="1558" t="s">
        <v>1619</v>
      </c>
      <c r="J180" s="1558" t="s">
        <v>1618</v>
      </c>
      <c r="L180" s="1543"/>
      <c r="M180" s="1543"/>
    </row>
    <row r="181" spans="1:15">
      <c r="A181" s="1560" t="s">
        <v>1646</v>
      </c>
      <c r="B181" s="1560" t="s">
        <v>1646</v>
      </c>
      <c r="C181" s="1560" t="s">
        <v>1646</v>
      </c>
      <c r="D181" s="1560" t="s">
        <v>1646</v>
      </c>
      <c r="E181" s="1560" t="s">
        <v>1646</v>
      </c>
      <c r="F181" s="1558" t="s">
        <v>1646</v>
      </c>
      <c r="G181" s="1558" t="s">
        <v>1646</v>
      </c>
      <c r="H181" s="1558" t="s">
        <v>417</v>
      </c>
      <c r="I181" s="1558" t="s">
        <v>1646</v>
      </c>
      <c r="J181" s="1558" t="s">
        <v>1646</v>
      </c>
      <c r="L181" s="1543"/>
      <c r="M181" s="1543"/>
    </row>
    <row r="182" spans="1:15">
      <c r="A182" s="1560" t="s">
        <v>1646</v>
      </c>
      <c r="B182" s="1560" t="s">
        <v>1646</v>
      </c>
      <c r="C182" s="1560" t="s">
        <v>1646</v>
      </c>
      <c r="D182" s="1560" t="s">
        <v>1646</v>
      </c>
      <c r="E182" s="1560" t="s">
        <v>1646</v>
      </c>
      <c r="F182" s="1558" t="s">
        <v>1646</v>
      </c>
      <c r="G182" s="1558" t="s">
        <v>1646</v>
      </c>
      <c r="H182" s="1558" t="s">
        <v>1646</v>
      </c>
      <c r="I182" s="1558" t="s">
        <v>414</v>
      </c>
      <c r="J182" s="1558" t="s">
        <v>417</v>
      </c>
      <c r="L182" s="1543"/>
      <c r="M182" s="1543"/>
    </row>
    <row r="183" spans="1:15">
      <c r="A183" s="1568"/>
      <c r="B183" s="1568"/>
      <c r="C183" s="1568"/>
      <c r="D183" s="1568"/>
      <c r="E183" s="1568"/>
      <c r="F183" s="1568"/>
      <c r="G183" s="1568"/>
      <c r="H183" s="1568"/>
      <c r="I183" s="1568"/>
      <c r="J183" s="1568"/>
      <c r="L183" s="1543"/>
      <c r="M183" s="1543"/>
    </row>
    <row r="184" spans="1:15" ht="13">
      <c r="A184" s="1543" t="s">
        <v>1635</v>
      </c>
      <c r="B184" s="1543"/>
      <c r="C184" s="1543"/>
      <c r="D184" s="1569"/>
      <c r="E184" s="1569"/>
      <c r="H184" s="1542"/>
      <c r="I184" s="1542"/>
      <c r="J184" s="1570"/>
      <c r="K184" s="1570"/>
      <c r="L184" s="1570"/>
      <c r="M184" s="1570"/>
      <c r="N184" s="1571"/>
      <c r="O184" s="1571"/>
    </row>
    <row r="185" spans="1:15" ht="9.75" customHeight="1">
      <c r="B185" s="1543"/>
      <c r="C185" s="1569"/>
      <c r="D185" s="1569"/>
      <c r="H185" s="1542"/>
      <c r="L185" s="1543"/>
      <c r="N185" s="1542"/>
    </row>
    <row r="186" spans="1:15">
      <c r="B186" s="1543"/>
      <c r="H186" s="1542"/>
      <c r="L186" s="1543"/>
      <c r="N186" s="1542"/>
    </row>
    <row r="187" spans="1:15">
      <c r="B187" s="1543"/>
      <c r="H187" s="1542"/>
      <c r="L187" s="1543"/>
      <c r="N187" s="1542"/>
    </row>
  </sheetData>
  <phoneticPr fontId="37" type="noConversion"/>
  <pageMargins left="0.55000000000000004" right="0.41" top="0.46" bottom="0.48" header="0.36" footer="0.28000000000000003"/>
  <pageSetup paperSize="9" scale="87" fitToHeight="2" orientation="portrait"/>
  <headerFooter alignWithMargins="0">
    <oddFooter>&amp;R&amp;P/&amp;N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BBD0F-1871-DA4F-896D-674CD697D5C7}">
  <sheetPr>
    <pageSetUpPr fitToPage="1"/>
  </sheetPr>
  <dimension ref="A1:B18"/>
  <sheetViews>
    <sheetView workbookViewId="0">
      <selection activeCell="D22" sqref="D22"/>
    </sheetView>
  </sheetViews>
  <sheetFormatPr baseColWidth="10" defaultColWidth="11.3984375" defaultRowHeight="13"/>
  <cols>
    <col min="1" max="1" width="5.59765625" style="322" customWidth="1"/>
    <col min="2" max="16384" width="11.3984375" style="322"/>
  </cols>
  <sheetData>
    <row r="1" spans="1:2" ht="16">
      <c r="A1" s="321" t="s">
        <v>2079</v>
      </c>
    </row>
    <row r="3" spans="1:2">
      <c r="A3" s="323">
        <v>1.01</v>
      </c>
      <c r="B3" s="324" t="s">
        <v>2080</v>
      </c>
    </row>
    <row r="4" spans="1:2">
      <c r="A4" s="323">
        <v>1.02</v>
      </c>
      <c r="B4" s="324" t="s">
        <v>2081</v>
      </c>
    </row>
    <row r="5" spans="1:2">
      <c r="A5" s="323">
        <v>1.03</v>
      </c>
      <c r="B5" s="324" t="s">
        <v>2082</v>
      </c>
    </row>
    <row r="6" spans="1:2">
      <c r="A6" s="323">
        <v>1.04</v>
      </c>
      <c r="B6" s="324" t="s">
        <v>2083</v>
      </c>
    </row>
    <row r="7" spans="1:2">
      <c r="A7" s="323">
        <v>1.05</v>
      </c>
      <c r="B7" s="324" t="s">
        <v>2084</v>
      </c>
    </row>
    <row r="8" spans="1:2">
      <c r="A8" s="323">
        <v>1.06</v>
      </c>
      <c r="B8" s="324" t="s">
        <v>2085</v>
      </c>
    </row>
    <row r="9" spans="1:2">
      <c r="A9" s="323">
        <v>1.07</v>
      </c>
      <c r="B9" s="325" t="s">
        <v>553</v>
      </c>
    </row>
    <row r="10" spans="1:2">
      <c r="A10" s="323">
        <v>1.08</v>
      </c>
      <c r="B10" s="324" t="s">
        <v>554</v>
      </c>
    </row>
    <row r="11" spans="1:2">
      <c r="A11" s="323">
        <v>1.0900000000000001</v>
      </c>
      <c r="B11" s="324" t="s">
        <v>555</v>
      </c>
    </row>
    <row r="12" spans="1:2">
      <c r="A12" s="323">
        <v>1.1000000000000001</v>
      </c>
      <c r="B12" s="324" t="s">
        <v>556</v>
      </c>
    </row>
    <row r="13" spans="1:2">
      <c r="A13" s="323">
        <v>1.1100000000000001</v>
      </c>
      <c r="B13" s="324" t="s">
        <v>557</v>
      </c>
    </row>
    <row r="14" spans="1:2">
      <c r="A14" s="323">
        <v>1.1200000000000001</v>
      </c>
      <c r="B14" s="324" t="s">
        <v>558</v>
      </c>
    </row>
    <row r="15" spans="1:2">
      <c r="A15" s="323">
        <v>1.1299999999999999</v>
      </c>
      <c r="B15" s="324" t="s">
        <v>559</v>
      </c>
    </row>
    <row r="16" spans="1:2">
      <c r="A16" s="326"/>
      <c r="B16" s="327"/>
    </row>
    <row r="18" spans="1:1">
      <c r="A18" s="328" t="s">
        <v>128</v>
      </c>
    </row>
  </sheetData>
  <phoneticPr fontId="37" type="noConversion"/>
  <pageMargins left="0.46" right="0.46" top="0.63" bottom="0.984251969" header="0.38" footer="0.4921259845"/>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7CBEB-07C5-3447-A86A-0C81D5880D69}">
  <sheetPr>
    <pageSetUpPr fitToPage="1"/>
  </sheetPr>
  <dimension ref="A1:V57"/>
  <sheetViews>
    <sheetView topLeftCell="E1" zoomScale="75" workbookViewId="0">
      <selection activeCell="K2" sqref="K2"/>
    </sheetView>
  </sheetViews>
  <sheetFormatPr baseColWidth="10" defaultColWidth="11.3984375" defaultRowHeight="13"/>
  <cols>
    <col min="1" max="1" width="2.59765625" style="2" customWidth="1"/>
    <col min="2" max="2" width="3.19921875" style="2" customWidth="1"/>
    <col min="3" max="3" width="53.59765625" style="2" customWidth="1"/>
    <col min="4" max="5" width="9.3984375" style="948" customWidth="1"/>
    <col min="6" max="8" width="9.3984375" style="2" customWidth="1"/>
    <col min="9" max="9" width="9.3984375" style="163" customWidth="1"/>
    <col min="10" max="10" width="9.3984375" style="2" customWidth="1"/>
    <col min="11" max="12" width="9.3984375" style="163" customWidth="1"/>
    <col min="13" max="13" width="9.3984375" style="2" customWidth="1"/>
    <col min="14" max="14" width="3.19921875" style="2" customWidth="1"/>
    <col min="15" max="15" width="11.19921875" style="2" customWidth="1"/>
    <col min="16" max="16" width="11" style="2" customWidth="1"/>
    <col min="17" max="17" width="3.59765625" style="2" customWidth="1"/>
    <col min="18" max="18" width="10.19921875" style="2" customWidth="1"/>
    <col min="19" max="19" width="10.59765625" style="2" customWidth="1"/>
    <col min="20" max="20" width="4" style="2" customWidth="1"/>
    <col min="21" max="22" width="11.3984375" style="299"/>
    <col min="23" max="16384" width="11.3984375" style="2"/>
  </cols>
  <sheetData>
    <row r="1" spans="2:22" ht="12" customHeight="1">
      <c r="C1" s="857"/>
      <c r="D1" s="858"/>
      <c r="E1" s="858"/>
      <c r="F1" s="507"/>
      <c r="G1" s="507"/>
      <c r="H1" s="507"/>
      <c r="I1" s="799"/>
      <c r="K1" s="799"/>
      <c r="L1" s="799"/>
    </row>
    <row r="2" spans="2:22" ht="26.25" customHeight="1">
      <c r="B2" s="859" t="s">
        <v>1670</v>
      </c>
      <c r="C2" s="859"/>
      <c r="D2" s="860"/>
      <c r="E2" s="860"/>
      <c r="F2" s="861"/>
      <c r="G2" s="861"/>
      <c r="H2" s="861"/>
      <c r="I2" s="862"/>
      <c r="J2" s="862"/>
      <c r="K2" s="862"/>
      <c r="L2" s="862"/>
      <c r="M2" s="863"/>
      <c r="N2" s="863"/>
      <c r="O2" s="863"/>
      <c r="P2" s="863"/>
      <c r="Q2" s="863"/>
      <c r="R2" s="243"/>
      <c r="S2" s="863"/>
      <c r="T2" s="243"/>
      <c r="U2" s="864"/>
      <c r="V2" s="243">
        <v>2005</v>
      </c>
    </row>
    <row r="3" spans="2:22" ht="72.75" customHeight="1">
      <c r="B3" s="865"/>
      <c r="C3" s="866" t="s">
        <v>1671</v>
      </c>
      <c r="D3" s="867">
        <v>1996</v>
      </c>
      <c r="E3" s="866">
        <v>1997</v>
      </c>
      <c r="F3" s="867">
        <v>1998</v>
      </c>
      <c r="G3" s="866">
        <v>1999</v>
      </c>
      <c r="H3" s="867">
        <v>2000</v>
      </c>
      <c r="I3" s="587">
        <v>2001</v>
      </c>
      <c r="J3" s="614">
        <v>2002</v>
      </c>
      <c r="K3" s="587">
        <v>2003</v>
      </c>
      <c r="L3" s="614">
        <v>2004</v>
      </c>
      <c r="M3" s="587">
        <v>2005</v>
      </c>
      <c r="N3" s="868"/>
      <c r="O3" s="869" t="s">
        <v>1672</v>
      </c>
      <c r="P3" s="870" t="s">
        <v>1673</v>
      </c>
      <c r="Q3" s="871"/>
      <c r="R3" s="872" t="s">
        <v>928</v>
      </c>
      <c r="S3" s="873" t="s">
        <v>929</v>
      </c>
      <c r="T3" s="868"/>
      <c r="U3" s="874" t="s">
        <v>930</v>
      </c>
      <c r="V3" s="875" t="s">
        <v>931</v>
      </c>
    </row>
    <row r="4" spans="2:22" ht="14" customHeight="1">
      <c r="B4" s="865"/>
      <c r="C4" s="866"/>
      <c r="D4" s="867"/>
      <c r="E4" s="866"/>
      <c r="F4" s="867"/>
      <c r="G4" s="866"/>
      <c r="H4" s="867"/>
      <c r="I4" s="587"/>
      <c r="J4" s="876"/>
      <c r="K4" s="587"/>
      <c r="L4" s="614"/>
      <c r="M4" s="587"/>
      <c r="N4" s="868"/>
      <c r="O4" s="866"/>
      <c r="P4" s="867"/>
      <c r="Q4" s="877"/>
      <c r="R4" s="866"/>
      <c r="S4" s="614"/>
      <c r="T4" s="868"/>
      <c r="U4" s="878"/>
      <c r="V4" s="879"/>
    </row>
    <row r="5" spans="2:22" ht="9.75" customHeight="1">
      <c r="B5" s="880"/>
      <c r="C5" s="881"/>
      <c r="D5" s="882"/>
      <c r="E5" s="881"/>
      <c r="F5" s="882"/>
      <c r="G5" s="881"/>
      <c r="H5" s="882"/>
      <c r="I5" s="588"/>
      <c r="J5" s="883"/>
      <c r="K5" s="588"/>
      <c r="L5" s="616"/>
      <c r="M5" s="588"/>
      <c r="N5" s="884"/>
      <c r="O5" s="885"/>
      <c r="P5" s="883"/>
      <c r="Q5" s="886"/>
      <c r="R5" s="885"/>
      <c r="S5" s="616"/>
      <c r="T5" s="884"/>
      <c r="U5" s="887"/>
      <c r="V5" s="888"/>
    </row>
    <row r="6" spans="2:22" ht="20" customHeight="1" thickBot="1">
      <c r="B6" s="889">
        <v>1</v>
      </c>
      <c r="C6" s="890" t="s">
        <v>1674</v>
      </c>
      <c r="D6" s="602">
        <v>145</v>
      </c>
      <c r="E6" s="603">
        <v>129</v>
      </c>
      <c r="F6" s="602">
        <v>118</v>
      </c>
      <c r="G6" s="603">
        <v>109</v>
      </c>
      <c r="H6" s="602">
        <v>101</v>
      </c>
      <c r="I6" s="603">
        <v>99</v>
      </c>
      <c r="J6" s="602">
        <v>93</v>
      </c>
      <c r="K6" s="603">
        <v>93</v>
      </c>
      <c r="L6" s="602">
        <v>92</v>
      </c>
      <c r="M6" s="891">
        <v>85</v>
      </c>
      <c r="N6" s="892"/>
      <c r="O6" s="893">
        <v>-7.6086956521739135E-2</v>
      </c>
      <c r="P6" s="894">
        <v>-5.7616051151717418E-2</v>
      </c>
      <c r="Q6" s="895"/>
      <c r="R6" s="463" t="s">
        <v>1646</v>
      </c>
      <c r="S6" s="896" t="s">
        <v>1646</v>
      </c>
      <c r="T6" s="892"/>
      <c r="U6" s="897" t="s">
        <v>1646</v>
      </c>
      <c r="V6" s="898" t="s">
        <v>1646</v>
      </c>
    </row>
    <row r="7" spans="2:22" ht="16" customHeight="1" thickBot="1">
      <c r="B7" s="899">
        <v>2</v>
      </c>
      <c r="C7" s="900" t="s">
        <v>1675</v>
      </c>
      <c r="D7" s="592">
        <v>7194.7539999999999</v>
      </c>
      <c r="E7" s="606">
        <v>7214.8050000000003</v>
      </c>
      <c r="F7" s="592">
        <v>7248.6030000000001</v>
      </c>
      <c r="G7" s="606">
        <v>7266.5339999999997</v>
      </c>
      <c r="H7" s="592">
        <v>7268.1109999999999</v>
      </c>
      <c r="I7" s="606">
        <v>7321.2870000000003</v>
      </c>
      <c r="J7" s="592">
        <v>7359.3649999999998</v>
      </c>
      <c r="K7" s="606">
        <v>7393.1880000000001</v>
      </c>
      <c r="L7" s="592">
        <v>7419.9740000000002</v>
      </c>
      <c r="M7" s="901">
        <v>7458.4750000000004</v>
      </c>
      <c r="N7" s="892"/>
      <c r="O7" s="893">
        <v>5.1888321980644303E-3</v>
      </c>
      <c r="P7" s="894">
        <v>4.0078790832485112E-3</v>
      </c>
      <c r="Q7" s="895"/>
      <c r="R7" s="902">
        <v>7497.1757752284593</v>
      </c>
      <c r="S7" s="903">
        <v>7536.0773622855131</v>
      </c>
      <c r="T7" s="892"/>
      <c r="U7" s="897">
        <v>5.1888321980644303E-3</v>
      </c>
      <c r="V7" s="898">
        <v>5.1888321980644303E-3</v>
      </c>
    </row>
    <row r="8" spans="2:22" ht="16" customHeight="1" thickBot="1">
      <c r="B8" s="899" t="s">
        <v>1676</v>
      </c>
      <c r="C8" s="900" t="s">
        <v>1677</v>
      </c>
      <c r="D8" s="592">
        <v>5599.991</v>
      </c>
      <c r="E8" s="606">
        <v>5669.3249999999998</v>
      </c>
      <c r="F8" s="592">
        <v>5768.6210000000001</v>
      </c>
      <c r="G8" s="606">
        <v>5833.1670000000004</v>
      </c>
      <c r="H8" s="592">
        <v>5947.0349999999999</v>
      </c>
      <c r="I8" s="606">
        <v>6043.9049999999997</v>
      </c>
      <c r="J8" s="219">
        <v>6170.7879999999996</v>
      </c>
      <c r="K8" s="606">
        <v>6105.0770000000002</v>
      </c>
      <c r="L8" s="592">
        <v>6076.2309999999998</v>
      </c>
      <c r="M8" s="901">
        <v>6104.0569999999998</v>
      </c>
      <c r="N8" s="892"/>
      <c r="O8" s="893">
        <v>4.5794835647294807E-3</v>
      </c>
      <c r="P8" s="894">
        <v>9.6225172743327203E-3</v>
      </c>
      <c r="Q8" s="895"/>
      <c r="R8" s="904" t="s">
        <v>1646</v>
      </c>
      <c r="S8" s="905" t="s">
        <v>1646</v>
      </c>
      <c r="T8" s="892"/>
      <c r="U8" s="897" t="s">
        <v>1646</v>
      </c>
      <c r="V8" s="898" t="s">
        <v>1646</v>
      </c>
    </row>
    <row r="9" spans="2:22" ht="16" customHeight="1" thickBot="1">
      <c r="B9" s="899" t="s">
        <v>1678</v>
      </c>
      <c r="C9" s="900" t="s">
        <v>1679</v>
      </c>
      <c r="D9" s="906">
        <v>77.834363760039608</v>
      </c>
      <c r="E9" s="605">
        <v>78.579046834945643</v>
      </c>
      <c r="F9" s="906">
        <v>79.582520935413342</v>
      </c>
      <c r="G9" s="605">
        <v>80.274405927227477</v>
      </c>
      <c r="H9" s="906">
        <v>81.823667800340417</v>
      </c>
      <c r="I9" s="605">
        <v>82.6</v>
      </c>
      <c r="J9" s="907">
        <v>83.849462556000006</v>
      </c>
      <c r="K9" s="605">
        <v>82.577056068000005</v>
      </c>
      <c r="L9" s="906">
        <v>81.890192607000003</v>
      </c>
      <c r="M9" s="908">
        <v>81.84055051468296</v>
      </c>
      <c r="N9" s="909"/>
      <c r="O9" s="893">
        <v>-6.0620314517123575E-4</v>
      </c>
      <c r="P9" s="894">
        <v>5.5922252285618423E-3</v>
      </c>
      <c r="Q9" s="895"/>
      <c r="R9" s="910" t="s">
        <v>1646</v>
      </c>
      <c r="S9" s="911" t="s">
        <v>1646</v>
      </c>
      <c r="T9" s="909"/>
      <c r="U9" s="897" t="s">
        <v>1646</v>
      </c>
      <c r="V9" s="898" t="s">
        <v>1646</v>
      </c>
    </row>
    <row r="10" spans="2:22" ht="16" customHeight="1" thickBot="1">
      <c r="B10" s="899">
        <v>4</v>
      </c>
      <c r="C10" s="900" t="s">
        <v>1680</v>
      </c>
      <c r="D10" s="592">
        <v>1117.0840000000001</v>
      </c>
      <c r="E10" s="606">
        <v>1150.1220000000001</v>
      </c>
      <c r="F10" s="592">
        <v>1154.759</v>
      </c>
      <c r="G10" s="606">
        <v>1096.0329999999999</v>
      </c>
      <c r="H10" s="592">
        <v>1097.932</v>
      </c>
      <c r="I10" s="606">
        <v>1193.3150000000001</v>
      </c>
      <c r="J10" s="219">
        <v>1207.239</v>
      </c>
      <c r="K10" s="606">
        <v>1148.028</v>
      </c>
      <c r="L10" s="592">
        <v>1196.146</v>
      </c>
      <c r="M10" s="901">
        <v>1219.4549999999999</v>
      </c>
      <c r="N10" s="892"/>
      <c r="O10" s="893">
        <v>1.948675161727742E-2</v>
      </c>
      <c r="P10" s="894">
        <v>9.7900923339602208E-3</v>
      </c>
      <c r="Q10" s="895"/>
      <c r="R10" s="904" t="s">
        <v>1646</v>
      </c>
      <c r="S10" s="905" t="s">
        <v>1646</v>
      </c>
      <c r="T10" s="892"/>
      <c r="U10" s="897" t="s">
        <v>1646</v>
      </c>
      <c r="V10" s="898" t="s">
        <v>1646</v>
      </c>
    </row>
    <row r="11" spans="2:22" ht="15.75" customHeight="1" thickBot="1">
      <c r="B11" s="899">
        <v>5</v>
      </c>
      <c r="C11" s="900" t="s">
        <v>1681</v>
      </c>
      <c r="D11" s="592">
        <v>18812.841</v>
      </c>
      <c r="E11" s="606">
        <v>18987.651000000002</v>
      </c>
      <c r="F11" s="592">
        <v>17067.058000000001</v>
      </c>
      <c r="G11" s="606">
        <v>12747.16</v>
      </c>
      <c r="H11" s="592">
        <v>12447.351000000001</v>
      </c>
      <c r="I11" s="606">
        <v>12514.1</v>
      </c>
      <c r="J11" s="219">
        <v>12391.460999999999</v>
      </c>
      <c r="K11" s="606">
        <v>11395.671</v>
      </c>
      <c r="L11" s="592">
        <v>11754.955</v>
      </c>
      <c r="M11" s="901">
        <v>11492.861999999999</v>
      </c>
      <c r="N11" s="892"/>
      <c r="O11" s="893">
        <v>-2.2296384801132829E-2</v>
      </c>
      <c r="P11" s="894">
        <v>-5.3284883074615652E-2</v>
      </c>
      <c r="Q11" s="895"/>
      <c r="R11" s="904" t="s">
        <v>1646</v>
      </c>
      <c r="S11" s="905" t="s">
        <v>1646</v>
      </c>
      <c r="T11" s="892"/>
      <c r="U11" s="897" t="s">
        <v>1646</v>
      </c>
      <c r="V11" s="898" t="s">
        <v>1646</v>
      </c>
    </row>
    <row r="12" spans="2:22" ht="16" customHeight="1" thickBot="1">
      <c r="B12" s="899" t="s">
        <v>1960</v>
      </c>
      <c r="C12" s="900" t="s">
        <v>1682</v>
      </c>
      <c r="D12" s="592">
        <v>11130.63582</v>
      </c>
      <c r="E12" s="606">
        <v>12040.684128000001</v>
      </c>
      <c r="F12" s="592">
        <v>12708.270148</v>
      </c>
      <c r="G12" s="606">
        <v>13033.842773</v>
      </c>
      <c r="H12" s="592">
        <v>13441.654683999999</v>
      </c>
      <c r="I12" s="606">
        <v>13997.312</v>
      </c>
      <c r="J12" s="592">
        <v>15355.045232</v>
      </c>
      <c r="K12" s="606">
        <v>16820.111152000001</v>
      </c>
      <c r="L12" s="592">
        <v>18029.704831999999</v>
      </c>
      <c r="M12" s="901">
        <v>18496.419615660001</v>
      </c>
      <c r="N12" s="892"/>
      <c r="O12" s="893">
        <v>2.5885880440574605E-2</v>
      </c>
      <c r="P12" s="894">
        <v>5.8053240816491325E-2</v>
      </c>
      <c r="Q12" s="895"/>
      <c r="R12" s="902">
        <v>19329.890149100007</v>
      </c>
      <c r="S12" s="903">
        <v>20116.172871150004</v>
      </c>
      <c r="T12" s="892"/>
      <c r="U12" s="897">
        <v>4.5061182150860635E-2</v>
      </c>
      <c r="V12" s="898">
        <v>4.067704037555564E-2</v>
      </c>
    </row>
    <row r="13" spans="2:22" ht="15.75" customHeight="1" thickBot="1">
      <c r="B13" s="899" t="s">
        <v>1961</v>
      </c>
      <c r="C13" s="900" t="s">
        <v>1683</v>
      </c>
      <c r="D13" s="592">
        <v>1547.0488386399313</v>
      </c>
      <c r="E13" s="606">
        <v>1668.885593997343</v>
      </c>
      <c r="F13" s="592">
        <v>1753.2026720183185</v>
      </c>
      <c r="G13" s="606">
        <v>1793.6808350446031</v>
      </c>
      <c r="H13" s="592">
        <v>1849.401403473337</v>
      </c>
      <c r="I13" s="606">
        <v>1912</v>
      </c>
      <c r="J13" s="592">
        <v>2086.4633337</v>
      </c>
      <c r="K13" s="606">
        <v>2275.0822990000001</v>
      </c>
      <c r="L13" s="592">
        <v>2429.8878718000001</v>
      </c>
      <c r="M13" s="901">
        <v>2479.9197712213286</v>
      </c>
      <c r="N13" s="892"/>
      <c r="O13" s="893">
        <v>2.0590209121158276E-2</v>
      </c>
      <c r="P13" s="894">
        <v>5.3829619128678008E-2</v>
      </c>
      <c r="Q13" s="895"/>
      <c r="R13" s="902">
        <v>2578.2895757850861</v>
      </c>
      <c r="S13" s="903">
        <v>2669.3161314693889</v>
      </c>
      <c r="T13" s="892"/>
      <c r="U13" s="897">
        <v>3.9666527000311591E-2</v>
      </c>
      <c r="V13" s="898">
        <v>3.5305016371788067E-2</v>
      </c>
    </row>
    <row r="14" spans="2:22" ht="18" customHeight="1" thickBot="1">
      <c r="B14" s="899" t="s">
        <v>1684</v>
      </c>
      <c r="C14" s="900" t="s">
        <v>932</v>
      </c>
      <c r="D14" s="592">
        <v>12459.017247</v>
      </c>
      <c r="E14" s="606">
        <v>13138.477535</v>
      </c>
      <c r="F14" s="592">
        <v>14024.092651999999</v>
      </c>
      <c r="G14" s="606">
        <v>14620.510517999999</v>
      </c>
      <c r="H14" s="592">
        <v>15478.327442</v>
      </c>
      <c r="I14" s="606">
        <v>16386.46</v>
      </c>
      <c r="J14" s="592">
        <v>17095.587409</v>
      </c>
      <c r="K14" s="606">
        <v>17924.119354999999</v>
      </c>
      <c r="L14" s="592">
        <v>19139.820941000002</v>
      </c>
      <c r="M14" s="901">
        <v>20347.706645210001</v>
      </c>
      <c r="N14" s="892"/>
      <c r="O14" s="893">
        <v>6.3108516424129624E-2</v>
      </c>
      <c r="P14" s="894">
        <v>5.6015242272968058E-2</v>
      </c>
      <c r="Q14" s="895"/>
      <c r="R14" s="902">
        <v>21069.448985430001</v>
      </c>
      <c r="S14" s="903">
        <v>22372.539953839994</v>
      </c>
      <c r="T14" s="892"/>
      <c r="U14" s="897">
        <v>3.5470451427503047E-2</v>
      </c>
      <c r="V14" s="898">
        <v>6.1847415625871927E-2</v>
      </c>
    </row>
    <row r="15" spans="2:22" ht="18" customHeight="1" thickBot="1">
      <c r="B15" s="899" t="s">
        <v>1685</v>
      </c>
      <c r="C15" s="900" t="s">
        <v>933</v>
      </c>
      <c r="D15" s="592">
        <v>1731.6807839434121</v>
      </c>
      <c r="E15" s="606">
        <v>1821.0440247518818</v>
      </c>
      <c r="F15" s="592">
        <v>1934.7304097079118</v>
      </c>
      <c r="G15" s="606">
        <v>2012.0335937325824</v>
      </c>
      <c r="H15" s="592">
        <v>2129.6217740758225</v>
      </c>
      <c r="I15" s="606">
        <v>2238</v>
      </c>
      <c r="J15" s="592">
        <v>2322.9704477</v>
      </c>
      <c r="K15" s="606">
        <v>2424.4100589999998</v>
      </c>
      <c r="L15" s="592">
        <v>2579.4997315000001</v>
      </c>
      <c r="M15" s="901">
        <v>2728.132311928377</v>
      </c>
      <c r="N15" s="892"/>
      <c r="O15" s="893">
        <v>5.7620700096737698E-2</v>
      </c>
      <c r="P15" s="894">
        <v>5.1799756031005506E-2</v>
      </c>
      <c r="Q15" s="895"/>
      <c r="R15" s="902">
        <v>2810.3181274001754</v>
      </c>
      <c r="S15" s="903">
        <v>2968.7248257036117</v>
      </c>
      <c r="T15" s="892"/>
      <c r="U15" s="897">
        <v>3.0125304081643156E-2</v>
      </c>
      <c r="V15" s="898">
        <v>5.6366109145792098E-2</v>
      </c>
    </row>
    <row r="16" spans="2:22" ht="16" customHeight="1" thickBot="1">
      <c r="B16" s="899" t="s">
        <v>1686</v>
      </c>
      <c r="C16" s="900" t="s">
        <v>1687</v>
      </c>
      <c r="D16" s="592">
        <v>1141.7516401488422</v>
      </c>
      <c r="E16" s="606">
        <v>1210.7956888559779</v>
      </c>
      <c r="F16" s="592">
        <v>1287.51</v>
      </c>
      <c r="G16" s="606">
        <v>1352.3238940325607</v>
      </c>
      <c r="H16" s="592">
        <v>1450.5580412847301</v>
      </c>
      <c r="I16" s="606">
        <v>1545</v>
      </c>
      <c r="J16" s="592">
        <v>1612.1984029</v>
      </c>
      <c r="K16" s="606">
        <v>1661.9584311999999</v>
      </c>
      <c r="L16" s="592">
        <v>1742.7206435000001</v>
      </c>
      <c r="M16" s="901">
        <v>1863.1845349699504</v>
      </c>
      <c r="N16" s="892"/>
      <c r="O16" s="893">
        <v>6.9124039999902687E-2</v>
      </c>
      <c r="P16" s="894">
        <v>5.5921373418485576E-2</v>
      </c>
      <c r="Q16" s="895"/>
      <c r="R16" s="904" t="s">
        <v>1646</v>
      </c>
      <c r="S16" s="905" t="s">
        <v>1646</v>
      </c>
      <c r="T16" s="892"/>
      <c r="U16" s="897" t="s">
        <v>1646</v>
      </c>
      <c r="V16" s="898" t="s">
        <v>1646</v>
      </c>
    </row>
    <row r="17" spans="2:22" ht="16" customHeight="1" thickBot="1">
      <c r="B17" s="899" t="s">
        <v>1688</v>
      </c>
      <c r="C17" s="900" t="s">
        <v>1689</v>
      </c>
      <c r="D17" s="592">
        <v>589.92914393356</v>
      </c>
      <c r="E17" s="606">
        <v>610.24833589590401</v>
      </c>
      <c r="F17" s="592">
        <v>647.22</v>
      </c>
      <c r="G17" s="606">
        <v>659.70969970002204</v>
      </c>
      <c r="H17" s="592">
        <v>679.06373279109243</v>
      </c>
      <c r="I17" s="606">
        <v>694</v>
      </c>
      <c r="J17" s="592">
        <v>710.77204486999995</v>
      </c>
      <c r="K17" s="606">
        <v>762.45162776999996</v>
      </c>
      <c r="L17" s="592">
        <v>836.77908804000003</v>
      </c>
      <c r="M17" s="901">
        <v>864.94777695842652</v>
      </c>
      <c r="N17" s="892"/>
      <c r="O17" s="893">
        <v>3.3663232412280308E-2</v>
      </c>
      <c r="P17" s="894">
        <v>4.3435382587867943E-2</v>
      </c>
      <c r="Q17" s="895"/>
      <c r="R17" s="904" t="s">
        <v>1646</v>
      </c>
      <c r="S17" s="905" t="s">
        <v>1646</v>
      </c>
      <c r="T17" s="892"/>
      <c r="U17" s="897" t="s">
        <v>1646</v>
      </c>
      <c r="V17" s="898" t="s">
        <v>1646</v>
      </c>
    </row>
    <row r="18" spans="2:22" ht="16" customHeight="1" thickBot="1">
      <c r="B18" s="899" t="s">
        <v>1962</v>
      </c>
      <c r="C18" s="900" t="s">
        <v>1690</v>
      </c>
      <c r="D18" s="592">
        <v>1678.5317379999999</v>
      </c>
      <c r="E18" s="606">
        <v>1777.9823429999999</v>
      </c>
      <c r="F18" s="592">
        <v>2097.2328000000002</v>
      </c>
      <c r="G18" s="606">
        <v>2189.9011839999998</v>
      </c>
      <c r="H18" s="592">
        <v>2288.0175450000002</v>
      </c>
      <c r="I18" s="606">
        <v>2400.1799999999998</v>
      </c>
      <c r="J18" s="592">
        <v>2502.8303667999999</v>
      </c>
      <c r="K18" s="606">
        <v>2588.499652</v>
      </c>
      <c r="L18" s="592">
        <v>2832.3123952999999</v>
      </c>
      <c r="M18" s="901">
        <v>2994.9866096700002</v>
      </c>
      <c r="N18" s="892"/>
      <c r="O18" s="893">
        <v>5.7435124260990955E-2</v>
      </c>
      <c r="P18" s="894">
        <v>6.6450229323514742E-2</v>
      </c>
      <c r="Q18" s="895"/>
      <c r="R18" s="902">
        <v>3116.8527679200001</v>
      </c>
      <c r="S18" s="903">
        <v>3345.8134754900007</v>
      </c>
      <c r="T18" s="892"/>
      <c r="U18" s="897">
        <v>4.0690051119603332E-2</v>
      </c>
      <c r="V18" s="898">
        <v>7.3458942278751049E-2</v>
      </c>
    </row>
    <row r="19" spans="2:22" ht="16" customHeight="1" thickBot="1">
      <c r="B19" s="899" t="s">
        <v>1963</v>
      </c>
      <c r="C19" s="900" t="s">
        <v>1691</v>
      </c>
      <c r="D19" s="592">
        <v>233.29939258520861</v>
      </c>
      <c r="E19" s="606">
        <v>246.43525958082026</v>
      </c>
      <c r="F19" s="592">
        <v>289.32924040673771</v>
      </c>
      <c r="G19" s="606">
        <v>301.36805029743203</v>
      </c>
      <c r="H19" s="592">
        <v>314.80222921746793</v>
      </c>
      <c r="I19" s="606">
        <v>328</v>
      </c>
      <c r="J19" s="592">
        <v>340.08781556000002</v>
      </c>
      <c r="K19" s="606">
        <v>350.11954950000001</v>
      </c>
      <c r="L19" s="592">
        <v>381.71459836999998</v>
      </c>
      <c r="M19" s="901">
        <v>401.55482316023051</v>
      </c>
      <c r="N19" s="892"/>
      <c r="O19" s="893">
        <v>5.1976594227604478E-2</v>
      </c>
      <c r="P19" s="894">
        <v>6.2193087864292229E-2</v>
      </c>
      <c r="Q19" s="895"/>
      <c r="R19" s="902">
        <v>415.73692032384304</v>
      </c>
      <c r="S19" s="903">
        <v>443.97281432303328</v>
      </c>
      <c r="T19" s="892"/>
      <c r="U19" s="897">
        <v>3.5317959953760747E-2</v>
      </c>
      <c r="V19" s="898">
        <v>6.7917696550009454E-2</v>
      </c>
    </row>
    <row r="20" spans="2:22" ht="18.75" customHeight="1" thickBot="1">
      <c r="B20" s="899" t="s">
        <v>1965</v>
      </c>
      <c r="C20" s="900" t="s">
        <v>934</v>
      </c>
      <c r="D20" s="592">
        <v>10780.485509</v>
      </c>
      <c r="E20" s="606">
        <v>11360.495192</v>
      </c>
      <c r="F20" s="592">
        <v>11926.859852</v>
      </c>
      <c r="G20" s="606">
        <v>12430.609334000001</v>
      </c>
      <c r="H20" s="592">
        <v>13190.309896999999</v>
      </c>
      <c r="I20" s="606">
        <v>13986.27</v>
      </c>
      <c r="J20" s="592">
        <v>14592.757041999999</v>
      </c>
      <c r="K20" s="606">
        <v>15335.619703</v>
      </c>
      <c r="L20" s="592">
        <v>16307.508545999999</v>
      </c>
      <c r="M20" s="901">
        <v>17352.720035540002</v>
      </c>
      <c r="N20" s="892"/>
      <c r="O20" s="893">
        <v>6.4093879613288829E-2</v>
      </c>
      <c r="P20" s="894">
        <v>5.4313859412074894E-2</v>
      </c>
      <c r="Q20" s="895"/>
      <c r="R20" s="902">
        <v>17952.596217509996</v>
      </c>
      <c r="S20" s="903">
        <v>19026.72647835</v>
      </c>
      <c r="T20" s="892"/>
      <c r="U20" s="897">
        <v>3.4569576454952955E-2</v>
      </c>
      <c r="V20" s="898">
        <v>5.9831472162915178E-2</v>
      </c>
    </row>
    <row r="21" spans="2:22" ht="18.75" customHeight="1" thickBot="1">
      <c r="B21" s="899" t="s">
        <v>1966</v>
      </c>
      <c r="C21" s="900" t="s">
        <v>935</v>
      </c>
      <c r="D21" s="592">
        <v>1498.3813913582035</v>
      </c>
      <c r="E21" s="606">
        <v>1574.6087651710613</v>
      </c>
      <c r="F21" s="592">
        <v>1645.4011693011744</v>
      </c>
      <c r="G21" s="606">
        <v>1710.665543435151</v>
      </c>
      <c r="H21" s="592">
        <v>1814.8195448583544</v>
      </c>
      <c r="I21" s="606">
        <v>1910</v>
      </c>
      <c r="J21" s="592">
        <v>1982.8826322</v>
      </c>
      <c r="K21" s="606">
        <v>2074.2905095000001</v>
      </c>
      <c r="L21" s="592">
        <v>2197.7851332</v>
      </c>
      <c r="M21" s="901">
        <v>2326.5774887681464</v>
      </c>
      <c r="N21" s="892"/>
      <c r="O21" s="893">
        <v>5.8600976784579206E-2</v>
      </c>
      <c r="P21" s="894">
        <v>5.0105164886515174E-2</v>
      </c>
      <c r="Q21" s="895"/>
      <c r="R21" s="902">
        <v>2394.5812070763318</v>
      </c>
      <c r="S21" s="903">
        <v>2524.752011380579</v>
      </c>
      <c r="T21" s="892"/>
      <c r="U21" s="897">
        <v>2.9229079468224173E-2</v>
      </c>
      <c r="V21" s="898">
        <v>5.4360572078146152E-2</v>
      </c>
    </row>
    <row r="22" spans="2:22" ht="15.75" customHeight="1" thickBot="1">
      <c r="B22" s="899" t="s">
        <v>1692</v>
      </c>
      <c r="C22" s="900" t="s">
        <v>1693</v>
      </c>
      <c r="D22" s="592">
        <v>959.82757900000001</v>
      </c>
      <c r="E22" s="606">
        <v>893.208437</v>
      </c>
      <c r="F22" s="592">
        <v>854.94479699999999</v>
      </c>
      <c r="G22" s="606">
        <v>854.24312299999997</v>
      </c>
      <c r="H22" s="592">
        <v>863.27835700000003</v>
      </c>
      <c r="I22" s="606">
        <v>908.85</v>
      </c>
      <c r="J22" s="592">
        <v>923.57338863999996</v>
      </c>
      <c r="K22" s="606">
        <v>949.13385871000003</v>
      </c>
      <c r="L22" s="592">
        <v>987.38075149999997</v>
      </c>
      <c r="M22" s="901">
        <v>999.13745283999992</v>
      </c>
      <c r="N22" s="892"/>
      <c r="O22" s="893">
        <v>1.1906958204461082E-2</v>
      </c>
      <c r="P22" s="894">
        <v>4.469815120940579E-3</v>
      </c>
      <c r="Q22" s="895"/>
      <c r="R22" s="902">
        <v>1011.0341407314775</v>
      </c>
      <c r="S22" s="903">
        <v>1023.0724819884504</v>
      </c>
      <c r="T22" s="892"/>
      <c r="U22" s="897">
        <v>1.1906958204461082E-2</v>
      </c>
      <c r="V22" s="898">
        <v>1.1906958204461082E-2</v>
      </c>
    </row>
    <row r="23" spans="2:22" ht="15.75" customHeight="1" thickBot="1">
      <c r="B23" s="899" t="s">
        <v>1694</v>
      </c>
      <c r="C23" s="912" t="s">
        <v>1695</v>
      </c>
      <c r="D23" s="592">
        <v>133.40658749416588</v>
      </c>
      <c r="E23" s="606">
        <v>123.8021591713151</v>
      </c>
      <c r="F23" s="592">
        <v>117.94614727831004</v>
      </c>
      <c r="G23" s="606">
        <v>117.55853932562621</v>
      </c>
      <c r="H23" s="592">
        <v>118.77616577402299</v>
      </c>
      <c r="I23" s="606">
        <v>124.1380101613282</v>
      </c>
      <c r="J23" s="592">
        <v>125.49634223061365</v>
      </c>
      <c r="K23" s="606">
        <v>128.37951080237647</v>
      </c>
      <c r="L23" s="592">
        <v>133.07064842814813</v>
      </c>
      <c r="M23" s="901">
        <v>133.96001901729241</v>
      </c>
      <c r="N23" s="892"/>
      <c r="O23" s="893">
        <v>6.6834467228473748E-3</v>
      </c>
      <c r="P23" s="894">
        <v>4.6009204441110896E-4</v>
      </c>
      <c r="Q23" s="895"/>
      <c r="R23" s="902">
        <v>134.85533366738602</v>
      </c>
      <c r="S23" s="903">
        <v>135.7566321052438</v>
      </c>
      <c r="T23" s="892"/>
      <c r="U23" s="897">
        <v>6.6834467228467087E-3</v>
      </c>
      <c r="V23" s="898">
        <v>6.6834467228473748E-3</v>
      </c>
    </row>
    <row r="24" spans="2:22" ht="15.75" customHeight="1" thickBot="1">
      <c r="B24" s="899">
        <v>11</v>
      </c>
      <c r="C24" s="900" t="s">
        <v>1696</v>
      </c>
      <c r="D24" s="592">
        <v>-319.932346</v>
      </c>
      <c r="E24" s="606">
        <v>70.171887999999996</v>
      </c>
      <c r="F24" s="592">
        <v>-3.3297E-2</v>
      </c>
      <c r="G24" s="606">
        <v>-49.386769999999999</v>
      </c>
      <c r="H24" s="592">
        <v>-305.95411300000001</v>
      </c>
      <c r="I24" s="606">
        <v>-789.7</v>
      </c>
      <c r="J24" s="592">
        <v>-223.6723628</v>
      </c>
      <c r="K24" s="606">
        <v>399.72993602999998</v>
      </c>
      <c r="L24" s="592">
        <v>514.14165576000005</v>
      </c>
      <c r="M24" s="901">
        <v>171.42467388000034</v>
      </c>
      <c r="N24" s="892"/>
      <c r="O24" s="893" t="s">
        <v>1646</v>
      </c>
      <c r="P24" s="894" t="s">
        <v>1646</v>
      </c>
      <c r="Q24" s="895"/>
      <c r="R24" s="904" t="s">
        <v>1646</v>
      </c>
      <c r="S24" s="905" t="s">
        <v>1646</v>
      </c>
      <c r="T24" s="892"/>
      <c r="U24" s="897" t="s">
        <v>1646</v>
      </c>
      <c r="V24" s="898" t="s">
        <v>1646</v>
      </c>
    </row>
    <row r="25" spans="2:22" ht="18" customHeight="1" thickBot="1">
      <c r="B25" s="899" t="s">
        <v>1697</v>
      </c>
      <c r="C25" s="900" t="s">
        <v>1698</v>
      </c>
      <c r="D25" s="592">
        <v>3454.5367919999999</v>
      </c>
      <c r="E25" s="606">
        <v>3507.8977540000001</v>
      </c>
      <c r="F25" s="592">
        <v>3693.9578390000001</v>
      </c>
      <c r="G25" s="606">
        <v>3810.0183769999999</v>
      </c>
      <c r="H25" s="592">
        <v>3956.2184860000002</v>
      </c>
      <c r="I25" s="606">
        <v>3996.3</v>
      </c>
      <c r="J25" s="592">
        <v>4018.0238040999998</v>
      </c>
      <c r="K25" s="606">
        <v>4264.2535405999997</v>
      </c>
      <c r="L25" s="592">
        <v>4487.9860974000003</v>
      </c>
      <c r="M25" s="901">
        <v>4710.4063184600009</v>
      </c>
      <c r="N25" s="892"/>
      <c r="O25" s="893">
        <v>4.9559026305552534E-2</v>
      </c>
      <c r="P25" s="894">
        <v>3.5054390873988428E-2</v>
      </c>
      <c r="Q25" s="895"/>
      <c r="R25" s="902">
        <v>4866.0440039999994</v>
      </c>
      <c r="S25" s="903">
        <v>5044.7343499999997</v>
      </c>
      <c r="T25" s="892"/>
      <c r="U25" s="897">
        <v>3.3041244219220944E-2</v>
      </c>
      <c r="V25" s="898">
        <v>3.6721892743492024E-2</v>
      </c>
    </row>
    <row r="26" spans="2:22" ht="18" customHeight="1" thickBot="1">
      <c r="B26" s="899" t="s">
        <v>1699</v>
      </c>
      <c r="C26" s="900" t="s">
        <v>1700</v>
      </c>
      <c r="D26" s="592">
        <v>480.14661682664899</v>
      </c>
      <c r="E26" s="606">
        <v>486.20825566318149</v>
      </c>
      <c r="F26" s="592">
        <v>509.60962257141136</v>
      </c>
      <c r="G26" s="606">
        <v>524.32402807170513</v>
      </c>
      <c r="H26" s="592">
        <v>544.32554566103897</v>
      </c>
      <c r="I26" s="606">
        <v>545.84665237136585</v>
      </c>
      <c r="J26" s="592">
        <v>545.974252411723</v>
      </c>
      <c r="K26" s="606">
        <v>576.78142914802106</v>
      </c>
      <c r="L26" s="592">
        <v>604.85199778328069</v>
      </c>
      <c r="M26" s="901">
        <v>631.55086240283708</v>
      </c>
      <c r="N26" s="892"/>
      <c r="O26" s="893">
        <v>4.4141153071172612E-2</v>
      </c>
      <c r="P26" s="894">
        <v>3.0922577837823706E-2</v>
      </c>
      <c r="Q26" s="895"/>
      <c r="R26" s="902">
        <v>649.05027571555343</v>
      </c>
      <c r="S26" s="903">
        <v>669.41116810271853</v>
      </c>
      <c r="T26" s="892"/>
      <c r="U26" s="897">
        <v>2.7708636555632271E-2</v>
      </c>
      <c r="V26" s="898">
        <v>3.1370285398489406E-2</v>
      </c>
    </row>
    <row r="27" spans="2:22" ht="19.5" customHeight="1" thickBot="1">
      <c r="B27" s="899" t="s">
        <v>1701</v>
      </c>
      <c r="C27" s="900" t="s">
        <v>936</v>
      </c>
      <c r="D27" s="913">
        <v>0.3204435263250443</v>
      </c>
      <c r="E27" s="914">
        <v>0.30878035637656381</v>
      </c>
      <c r="F27" s="913">
        <v>0.30971755221728081</v>
      </c>
      <c r="G27" s="914">
        <v>0.30650294564232661</v>
      </c>
      <c r="H27" s="913">
        <v>0.29993370261147551</v>
      </c>
      <c r="I27" s="914">
        <v>0.28573021970832824</v>
      </c>
      <c r="J27" s="913">
        <v>0.27534370595875501</v>
      </c>
      <c r="K27" s="914">
        <v>0.27806202965282278</v>
      </c>
      <c r="L27" s="913">
        <v>0.27520979582750793</v>
      </c>
      <c r="M27" s="915">
        <v>0.27145060306468599</v>
      </c>
      <c r="N27" s="892"/>
      <c r="O27" s="893">
        <v>-1.3659371213581628E-2</v>
      </c>
      <c r="P27" s="894">
        <v>-1.8267300923869634E-2</v>
      </c>
      <c r="Q27" s="895"/>
      <c r="R27" s="916">
        <v>0.27104959890168545</v>
      </c>
      <c r="S27" s="917">
        <v>0.26513937411883581</v>
      </c>
      <c r="T27" s="892"/>
      <c r="U27" s="897">
        <v>-1.4772638501192592E-3</v>
      </c>
      <c r="V27" s="898">
        <v>-2.1804956756248051E-2</v>
      </c>
    </row>
    <row r="28" spans="2:22" ht="19.5" customHeight="1" thickBot="1">
      <c r="B28" s="899" t="s">
        <v>1702</v>
      </c>
      <c r="C28" s="900" t="s">
        <v>1703</v>
      </c>
      <c r="D28" s="592">
        <v>2856.0771500000001</v>
      </c>
      <c r="E28" s="606">
        <v>2991.8799650000001</v>
      </c>
      <c r="F28" s="592">
        <v>2985.5309590000002</v>
      </c>
      <c r="G28" s="606">
        <v>3077.412147</v>
      </c>
      <c r="H28" s="592">
        <v>2832.1064590000001</v>
      </c>
      <c r="I28" s="606">
        <v>2102.63</v>
      </c>
      <c r="J28" s="592">
        <v>1965.5320859999999</v>
      </c>
      <c r="K28" s="606">
        <v>2393.7060728000001</v>
      </c>
      <c r="L28" s="592">
        <v>2968.4810149999998</v>
      </c>
      <c r="M28" s="901">
        <v>3184.4883299199996</v>
      </c>
      <c r="N28" s="892"/>
      <c r="O28" s="893">
        <v>7.2766951794030588E-2</v>
      </c>
      <c r="P28" s="894">
        <v>1.2167042244410453E-2</v>
      </c>
      <c r="Q28" s="895"/>
      <c r="R28" s="902">
        <v>3543.0041260000003</v>
      </c>
      <c r="S28" s="903">
        <v>3461.2350829999991</v>
      </c>
      <c r="T28" s="892"/>
      <c r="U28" s="897">
        <v>0.11258191550320662</v>
      </c>
      <c r="V28" s="898">
        <v>-2.3079014331354175E-2</v>
      </c>
    </row>
    <row r="29" spans="2:22" ht="19.5" customHeight="1" thickBot="1">
      <c r="B29" s="899" t="s">
        <v>1704</v>
      </c>
      <c r="C29" s="900" t="s">
        <v>1705</v>
      </c>
      <c r="D29" s="592">
        <v>396.96661623177107</v>
      </c>
      <c r="E29" s="606">
        <v>414.68618555872263</v>
      </c>
      <c r="F29" s="592">
        <v>411.87673804179923</v>
      </c>
      <c r="G29" s="606">
        <v>423.50481632646319</v>
      </c>
      <c r="H29" s="592">
        <v>389.66197117793052</v>
      </c>
      <c r="I29" s="606">
        <v>287.19404115697142</v>
      </c>
      <c r="J29" s="592">
        <v>267.07903276981096</v>
      </c>
      <c r="K29" s="606">
        <v>323.77183872505339</v>
      </c>
      <c r="L29" s="592">
        <v>400.06622866872578</v>
      </c>
      <c r="M29" s="901">
        <v>426.96239243545091</v>
      </c>
      <c r="N29" s="892"/>
      <c r="O29" s="893">
        <v>6.7229278152834082E-2</v>
      </c>
      <c r="P29" s="894">
        <v>8.1265927600209231E-3</v>
      </c>
      <c r="Q29" s="895"/>
      <c r="R29" s="902">
        <v>472.57850585636498</v>
      </c>
      <c r="S29" s="903">
        <v>459.28868781547231</v>
      </c>
      <c r="T29" s="892"/>
      <c r="U29" s="897">
        <v>0.10683871514002363</v>
      </c>
      <c r="V29" s="898">
        <v>-2.8121926571353595E-2</v>
      </c>
    </row>
    <row r="30" spans="2:22" s="398" customFormat="1" ht="19.5" customHeight="1" thickBot="1">
      <c r="B30" s="918" t="s">
        <v>1706</v>
      </c>
      <c r="C30" s="919" t="s">
        <v>937</v>
      </c>
      <c r="D30" s="920">
        <v>0.25659604681954279</v>
      </c>
      <c r="E30" s="921">
        <v>0.24848089470618492</v>
      </c>
      <c r="F30" s="920">
        <v>0.23492819433570639</v>
      </c>
      <c r="G30" s="921">
        <v>0.23610935014307161</v>
      </c>
      <c r="H30" s="920">
        <v>0.21069626661151625</v>
      </c>
      <c r="I30" s="921">
        <v>0.15</v>
      </c>
      <c r="J30" s="920">
        <v>0.12800562009999999</v>
      </c>
      <c r="K30" s="921">
        <v>0.1423121436</v>
      </c>
      <c r="L30" s="920">
        <v>0.1646439053</v>
      </c>
      <c r="M30" s="297">
        <v>0.17216782469748099</v>
      </c>
      <c r="N30" s="922"/>
      <c r="O30" s="923">
        <v>4.5698134915905575E-2</v>
      </c>
      <c r="P30" s="924">
        <v>-4.3368515687047027E-2</v>
      </c>
      <c r="Q30" s="925"/>
      <c r="R30" s="926">
        <v>0.18329147753408009</v>
      </c>
      <c r="S30" s="927">
        <v>0.17206230554739346</v>
      </c>
      <c r="T30" s="922"/>
      <c r="U30" s="928">
        <v>6.4609359246680764E-2</v>
      </c>
      <c r="V30" s="929">
        <v>-6.1264015860195919E-2</v>
      </c>
    </row>
    <row r="31" spans="2:22" ht="17.25" customHeight="1">
      <c r="B31" s="930" t="s">
        <v>938</v>
      </c>
      <c r="C31" s="930"/>
      <c r="D31" s="931"/>
      <c r="E31" s="931"/>
      <c r="F31" s="931"/>
      <c r="G31" s="931"/>
      <c r="H31" s="931"/>
      <c r="I31" s="932"/>
      <c r="K31" s="932"/>
      <c r="L31" s="933"/>
    </row>
    <row r="32" spans="2:22" ht="13.5" customHeight="1">
      <c r="B32" s="597"/>
      <c r="C32" s="597"/>
      <c r="D32" s="404"/>
      <c r="E32" s="404"/>
      <c r="F32" s="404"/>
      <c r="G32" s="404"/>
      <c r="H32" s="404"/>
      <c r="I32" s="788"/>
      <c r="K32" s="788"/>
      <c r="L32" s="788"/>
    </row>
    <row r="33" spans="1:12" ht="12" customHeight="1">
      <c r="B33" s="507" t="s">
        <v>1707</v>
      </c>
      <c r="C33" s="507"/>
      <c r="D33" s="404"/>
      <c r="E33" s="404"/>
      <c r="F33" s="404"/>
      <c r="G33" s="404"/>
      <c r="H33" s="404"/>
      <c r="I33" s="788"/>
      <c r="K33" s="788"/>
      <c r="L33" s="788"/>
    </row>
    <row r="34" spans="1:12" ht="12.75" customHeight="1">
      <c r="B34" s="507" t="s">
        <v>1708</v>
      </c>
      <c r="C34" s="507"/>
      <c r="D34" s="404"/>
      <c r="E34" s="404"/>
      <c r="F34" s="404"/>
      <c r="G34" s="404"/>
      <c r="H34" s="404"/>
      <c r="I34" s="788"/>
      <c r="K34" s="788"/>
      <c r="L34" s="788"/>
    </row>
    <row r="35" spans="1:12" ht="12" customHeight="1">
      <c r="B35" s="5" t="s">
        <v>1709</v>
      </c>
      <c r="C35" s="5"/>
      <c r="D35" s="27"/>
      <c r="E35" s="27"/>
      <c r="F35" s="1"/>
      <c r="G35" s="1"/>
      <c r="H35" s="1"/>
      <c r="I35" s="18"/>
      <c r="K35" s="18"/>
      <c r="L35" s="18"/>
    </row>
    <row r="36" spans="1:12" ht="12" customHeight="1">
      <c r="B36" s="5" t="s">
        <v>1710</v>
      </c>
      <c r="C36" s="5"/>
      <c r="D36" s="27"/>
      <c r="E36" s="27"/>
      <c r="F36" s="1"/>
      <c r="G36" s="1"/>
      <c r="H36" s="1"/>
      <c r="I36" s="18"/>
      <c r="K36" s="18"/>
      <c r="L36" s="18"/>
    </row>
    <row r="37" spans="1:12" ht="12.75" customHeight="1">
      <c r="B37" s="934" t="s">
        <v>1711</v>
      </c>
      <c r="C37" s="934"/>
      <c r="D37" s="27"/>
      <c r="E37" s="27"/>
      <c r="F37" s="1"/>
      <c r="G37" s="1"/>
      <c r="H37" s="1"/>
      <c r="I37" s="18"/>
      <c r="K37" s="18"/>
      <c r="L37" s="18"/>
    </row>
    <row r="38" spans="1:12" ht="11.25" customHeight="1">
      <c r="B38" s="935"/>
      <c r="C38" s="935"/>
      <c r="D38" s="936"/>
      <c r="E38" s="936"/>
      <c r="F38" s="242"/>
      <c r="G38" s="242"/>
      <c r="H38" s="242"/>
      <c r="I38" s="937"/>
      <c r="K38" s="937"/>
      <c r="L38" s="937"/>
    </row>
    <row r="39" spans="1:12">
      <c r="B39" s="5" t="s">
        <v>1712</v>
      </c>
      <c r="C39" s="5"/>
      <c r="D39" s="112"/>
      <c r="E39" s="112"/>
    </row>
    <row r="40" spans="1:12">
      <c r="B40" s="5" t="s">
        <v>1713</v>
      </c>
      <c r="C40" s="5"/>
      <c r="D40" s="112"/>
      <c r="E40" s="112"/>
    </row>
    <row r="41" spans="1:12">
      <c r="B41" s="5" t="s">
        <v>1714</v>
      </c>
      <c r="C41" s="5"/>
      <c r="D41" s="112"/>
      <c r="E41" s="112"/>
    </row>
    <row r="42" spans="1:12">
      <c r="A42" s="170"/>
      <c r="B42" s="938">
        <v>1</v>
      </c>
      <c r="C42" s="939" t="s">
        <v>1715</v>
      </c>
      <c r="D42" s="940"/>
      <c r="E42" s="941" t="s">
        <v>1963</v>
      </c>
      <c r="F42" s="942" t="s">
        <v>188</v>
      </c>
      <c r="G42" s="943"/>
      <c r="H42" s="943"/>
      <c r="I42" s="944"/>
      <c r="J42" s="943"/>
      <c r="K42" s="944"/>
      <c r="L42" s="597"/>
    </row>
    <row r="43" spans="1:12">
      <c r="A43" s="170"/>
      <c r="B43" s="938">
        <v>2</v>
      </c>
      <c r="C43" s="945" t="s">
        <v>189</v>
      </c>
      <c r="D43" s="940"/>
      <c r="E43" s="946" t="s">
        <v>1965</v>
      </c>
      <c r="F43" s="943" t="s">
        <v>190</v>
      </c>
      <c r="G43" s="943"/>
      <c r="H43" s="943"/>
      <c r="I43" s="944"/>
      <c r="J43" s="943"/>
      <c r="K43" s="944"/>
      <c r="L43" s="597"/>
    </row>
    <row r="44" spans="1:12">
      <c r="A44" s="170"/>
      <c r="B44" s="938" t="s">
        <v>1676</v>
      </c>
      <c r="C44" s="943" t="s">
        <v>191</v>
      </c>
      <c r="D44" s="940"/>
      <c r="E44" s="946" t="s">
        <v>1965</v>
      </c>
      <c r="F44" s="943" t="s">
        <v>190</v>
      </c>
      <c r="G44" s="943"/>
      <c r="H44" s="943"/>
      <c r="I44" s="944"/>
      <c r="J44" s="943"/>
      <c r="K44" s="944"/>
      <c r="L44" s="597"/>
    </row>
    <row r="45" spans="1:12">
      <c r="A45" s="170"/>
      <c r="B45" s="938" t="s">
        <v>1678</v>
      </c>
      <c r="C45" s="942" t="s">
        <v>192</v>
      </c>
      <c r="D45" s="940"/>
      <c r="E45" s="946" t="s">
        <v>1966</v>
      </c>
      <c r="F45" s="943" t="s">
        <v>193</v>
      </c>
      <c r="G45" s="943"/>
      <c r="H45" s="943"/>
      <c r="I45" s="944"/>
      <c r="J45" s="943"/>
      <c r="K45" s="944"/>
      <c r="L45" s="597"/>
    </row>
    <row r="46" spans="1:12">
      <c r="A46" s="170"/>
      <c r="B46" s="938">
        <v>4</v>
      </c>
      <c r="C46" s="943" t="s">
        <v>194</v>
      </c>
      <c r="D46" s="947"/>
      <c r="E46" s="946" t="s">
        <v>1692</v>
      </c>
      <c r="F46" s="943" t="s">
        <v>195</v>
      </c>
      <c r="G46" s="943"/>
      <c r="H46" s="943"/>
      <c r="I46" s="944"/>
      <c r="J46" s="943"/>
      <c r="K46" s="944"/>
      <c r="L46" s="597"/>
    </row>
    <row r="47" spans="1:12">
      <c r="A47" s="170"/>
      <c r="B47" s="938">
        <v>5</v>
      </c>
      <c r="C47" s="943" t="s">
        <v>194</v>
      </c>
      <c r="D47" s="947"/>
      <c r="E47" s="946" t="s">
        <v>1694</v>
      </c>
      <c r="F47" s="943" t="s">
        <v>196</v>
      </c>
      <c r="G47" s="943"/>
      <c r="H47" s="943"/>
      <c r="I47" s="944"/>
      <c r="J47" s="943"/>
      <c r="K47" s="944"/>
      <c r="L47" s="597"/>
    </row>
    <row r="48" spans="1:12">
      <c r="A48" s="170"/>
      <c r="B48" s="938" t="s">
        <v>1960</v>
      </c>
      <c r="C48" s="943" t="s">
        <v>197</v>
      </c>
      <c r="D48" s="947"/>
      <c r="E48" s="946">
        <v>11</v>
      </c>
      <c r="F48" s="943" t="s">
        <v>198</v>
      </c>
      <c r="G48" s="943"/>
      <c r="H48" s="943"/>
      <c r="I48" s="944"/>
      <c r="J48" s="943"/>
      <c r="K48" s="944"/>
      <c r="L48" s="597"/>
    </row>
    <row r="49" spans="1:12">
      <c r="A49" s="170"/>
      <c r="B49" s="938" t="s">
        <v>1961</v>
      </c>
      <c r="C49" s="942" t="s">
        <v>199</v>
      </c>
      <c r="D49" s="947"/>
      <c r="E49" s="946" t="s">
        <v>1697</v>
      </c>
      <c r="F49" s="943" t="s">
        <v>200</v>
      </c>
      <c r="G49" s="943"/>
      <c r="H49" s="943"/>
      <c r="I49" s="944"/>
      <c r="J49" s="943"/>
      <c r="K49" s="944"/>
      <c r="L49" s="597"/>
    </row>
    <row r="50" spans="1:12">
      <c r="A50" s="170"/>
      <c r="B50" s="938" t="s">
        <v>1684</v>
      </c>
      <c r="C50" s="943" t="s">
        <v>201</v>
      </c>
      <c r="D50" s="947"/>
      <c r="E50" s="946" t="s">
        <v>1699</v>
      </c>
      <c r="F50" s="943" t="s">
        <v>202</v>
      </c>
      <c r="G50" s="943"/>
      <c r="H50" s="943"/>
      <c r="I50" s="944"/>
      <c r="J50" s="943"/>
      <c r="K50" s="944"/>
      <c r="L50" s="597"/>
    </row>
    <row r="51" spans="1:12">
      <c r="A51" s="170"/>
      <c r="B51" s="938" t="s">
        <v>1685</v>
      </c>
      <c r="C51" s="942" t="s">
        <v>203</v>
      </c>
      <c r="D51" s="947"/>
      <c r="E51" s="946" t="s">
        <v>1701</v>
      </c>
      <c r="F51" s="942" t="s">
        <v>204</v>
      </c>
      <c r="G51" s="943"/>
      <c r="H51" s="943"/>
      <c r="I51" s="944"/>
      <c r="J51" s="943"/>
      <c r="K51" s="944"/>
      <c r="L51" s="597"/>
    </row>
    <row r="52" spans="1:12">
      <c r="A52" s="170"/>
      <c r="B52" s="938" t="s">
        <v>1686</v>
      </c>
      <c r="C52" s="943" t="s">
        <v>205</v>
      </c>
      <c r="D52" s="947"/>
      <c r="E52" s="946" t="s">
        <v>1702</v>
      </c>
      <c r="F52" s="943" t="s">
        <v>923</v>
      </c>
      <c r="G52" s="943"/>
      <c r="H52" s="943"/>
      <c r="I52" s="944"/>
      <c r="J52" s="943"/>
      <c r="K52" s="944"/>
      <c r="L52" s="597"/>
    </row>
    <row r="53" spans="1:12">
      <c r="A53" s="170"/>
      <c r="B53" s="938" t="s">
        <v>1688</v>
      </c>
      <c r="C53" s="943" t="s">
        <v>924</v>
      </c>
      <c r="D53" s="947"/>
      <c r="E53" s="946" t="s">
        <v>1704</v>
      </c>
      <c r="F53" s="943" t="s">
        <v>925</v>
      </c>
      <c r="G53" s="943"/>
      <c r="H53" s="943"/>
      <c r="I53" s="944"/>
      <c r="J53" s="943"/>
      <c r="K53" s="944"/>
      <c r="L53" s="597"/>
    </row>
    <row r="54" spans="1:12">
      <c r="A54" s="170"/>
      <c r="B54" s="938" t="s">
        <v>1962</v>
      </c>
      <c r="C54" s="943" t="s">
        <v>926</v>
      </c>
      <c r="D54" s="947"/>
      <c r="E54" s="946" t="s">
        <v>1706</v>
      </c>
      <c r="F54" s="943" t="s">
        <v>927</v>
      </c>
      <c r="G54" s="943"/>
      <c r="H54" s="943"/>
      <c r="I54" s="944"/>
      <c r="J54" s="943"/>
      <c r="K54" s="944"/>
      <c r="L54" s="597"/>
    </row>
    <row r="57" spans="1:12">
      <c r="A57" s="2" t="s">
        <v>128</v>
      </c>
    </row>
  </sheetData>
  <phoneticPr fontId="0" type="noConversion"/>
  <pageMargins left="0.28000000000000003" right="0.25" top="0.32" bottom="0.32" header="0.19" footer="0.23"/>
  <pageSetup paperSize="9" scale="62" orientation="landscape" horizontalDpi="4294967292" verticalDpi="429496729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888AD-25F9-CE47-9350-D11F5F881DD2}">
  <sheetPr>
    <pageSetUpPr fitToPage="1"/>
  </sheetPr>
  <dimension ref="A1:E39"/>
  <sheetViews>
    <sheetView zoomScale="75" workbookViewId="0">
      <selection activeCell="A35" sqref="A35"/>
    </sheetView>
  </sheetViews>
  <sheetFormatPr baseColWidth="10" defaultColWidth="11.3984375" defaultRowHeight="13"/>
  <cols>
    <col min="1" max="1" width="8.796875" style="2" customWidth="1"/>
    <col min="2" max="2" width="48.796875" style="21" customWidth="1"/>
    <col min="3" max="3" width="17.796875" style="2" customWidth="1"/>
    <col min="4" max="4" width="16.796875" style="9" customWidth="1"/>
    <col min="5" max="5" width="18" style="9" customWidth="1"/>
    <col min="6" max="16384" width="11.3984375" style="2"/>
  </cols>
  <sheetData>
    <row r="1" spans="1:5" s="1" customFormat="1" ht="14" customHeight="1">
      <c r="B1" s="305"/>
      <c r="D1" s="306"/>
      <c r="E1" s="306"/>
    </row>
    <row r="2" spans="1:5" s="1" customFormat="1" ht="39" customHeight="1">
      <c r="A2" s="1606" t="s">
        <v>2078</v>
      </c>
      <c r="B2" s="1607"/>
      <c r="C2" s="1607"/>
      <c r="D2" s="1607"/>
      <c r="E2" s="19">
        <v>2005</v>
      </c>
    </row>
    <row r="3" spans="1:5" ht="39" customHeight="1">
      <c r="A3" s="125" t="s">
        <v>696</v>
      </c>
      <c r="B3" s="125"/>
      <c r="C3" s="126" t="s">
        <v>697</v>
      </c>
      <c r="D3" s="262" t="s">
        <v>698</v>
      </c>
      <c r="E3" s="307" t="s">
        <v>43</v>
      </c>
    </row>
    <row r="4" spans="1:5" ht="38" customHeight="1">
      <c r="A4" s="308"/>
      <c r="B4" s="244"/>
      <c r="C4" s="135" t="s">
        <v>699</v>
      </c>
      <c r="D4" s="215" t="s">
        <v>699</v>
      </c>
      <c r="E4" s="309" t="s">
        <v>699</v>
      </c>
    </row>
    <row r="5" spans="1:5" ht="30" customHeight="1" thickBot="1">
      <c r="A5" s="137">
        <v>61</v>
      </c>
      <c r="B5" s="137" t="s">
        <v>700</v>
      </c>
      <c r="C5" s="310">
        <v>17747059528.27</v>
      </c>
      <c r="D5" s="311">
        <v>749360088.80999994</v>
      </c>
      <c r="E5" s="312">
        <v>18496419617.080002</v>
      </c>
    </row>
    <row r="6" spans="1:5" ht="20" customHeight="1" thickBot="1">
      <c r="A6" s="141">
        <v>64</v>
      </c>
      <c r="B6" s="141" t="s">
        <v>701</v>
      </c>
      <c r="C6" s="159">
        <v>-55873507.880000003</v>
      </c>
      <c r="D6" s="219">
        <v>-3226730.93</v>
      </c>
      <c r="E6" s="313">
        <v>-59100238.810000002</v>
      </c>
    </row>
    <row r="7" spans="1:5" ht="20" customHeight="1" thickBot="1">
      <c r="A7" s="141">
        <v>65</v>
      </c>
      <c r="B7" s="141" t="s">
        <v>702</v>
      </c>
      <c r="C7" s="159">
        <v>5150928.58</v>
      </c>
      <c r="D7" s="219">
        <v>206414.98</v>
      </c>
      <c r="E7" s="313">
        <v>5357343.5599999996</v>
      </c>
    </row>
    <row r="8" spans="1:5" ht="27" customHeight="1" thickBot="1">
      <c r="A8" s="142" t="s">
        <v>703</v>
      </c>
      <c r="B8" s="142" t="s">
        <v>704</v>
      </c>
      <c r="C8" s="314">
        <v>17696336948.959999</v>
      </c>
      <c r="D8" s="315">
        <v>746339772.87</v>
      </c>
      <c r="E8" s="161">
        <v>18442676721.830002</v>
      </c>
    </row>
    <row r="9" spans="1:5" ht="20" customHeight="1" thickBot="1">
      <c r="A9" s="141">
        <v>66</v>
      </c>
      <c r="B9" s="141" t="s">
        <v>705</v>
      </c>
      <c r="C9" s="159">
        <v>-42351640.799999997</v>
      </c>
      <c r="D9" s="219">
        <v>-1926372.88</v>
      </c>
      <c r="E9" s="313">
        <v>-44278013.68</v>
      </c>
    </row>
    <row r="10" spans="1:5" ht="27" customHeight="1" thickBot="1">
      <c r="A10" s="142" t="s">
        <v>706</v>
      </c>
      <c r="B10" s="142" t="s">
        <v>707</v>
      </c>
      <c r="C10" s="314">
        <v>17653985308.150002</v>
      </c>
      <c r="D10" s="315">
        <v>744413400.00999999</v>
      </c>
      <c r="E10" s="161">
        <v>18398398708.16</v>
      </c>
    </row>
    <row r="11" spans="1:5" ht="20" customHeight="1" thickBot="1">
      <c r="A11" s="141">
        <v>67</v>
      </c>
      <c r="B11" s="141" t="s">
        <v>708</v>
      </c>
      <c r="C11" s="159">
        <v>1417623255.9200001</v>
      </c>
      <c r="D11" s="219">
        <v>67210064.980000004</v>
      </c>
      <c r="E11" s="313">
        <v>1484833320.9000001</v>
      </c>
    </row>
    <row r="12" spans="1:5" ht="20" customHeight="1" thickBot="1">
      <c r="A12" s="141">
        <v>68</v>
      </c>
      <c r="B12" s="141" t="s">
        <v>709</v>
      </c>
      <c r="C12" s="159">
        <v>-1415849490.71</v>
      </c>
      <c r="D12" s="219">
        <v>-66700927.479999997</v>
      </c>
      <c r="E12" s="313">
        <v>-1482550418.1900001</v>
      </c>
    </row>
    <row r="13" spans="1:5" ht="20" customHeight="1" thickBot="1">
      <c r="A13" s="141">
        <v>69</v>
      </c>
      <c r="B13" s="141" t="s">
        <v>710</v>
      </c>
      <c r="C13" s="159">
        <v>83481431.980000004</v>
      </c>
      <c r="D13" s="219">
        <v>3223717.03</v>
      </c>
      <c r="E13" s="313">
        <v>86705149.010000005</v>
      </c>
    </row>
    <row r="14" spans="1:5" ht="27" customHeight="1" thickBot="1">
      <c r="A14" s="142">
        <v>6</v>
      </c>
      <c r="B14" s="142" t="s">
        <v>2055</v>
      </c>
      <c r="C14" s="314">
        <v>17739240505.400002</v>
      </c>
      <c r="D14" s="315">
        <v>748146254.55999994</v>
      </c>
      <c r="E14" s="161">
        <v>18487386759.959999</v>
      </c>
    </row>
    <row r="15" spans="1:5" ht="20" customHeight="1" thickBot="1">
      <c r="A15" s="141">
        <v>31</v>
      </c>
      <c r="B15" s="141" t="s">
        <v>2056</v>
      </c>
      <c r="C15" s="159">
        <v>19668925707.18</v>
      </c>
      <c r="D15" s="219">
        <v>678780939.53999996</v>
      </c>
      <c r="E15" s="313">
        <v>20347706646.720001</v>
      </c>
    </row>
    <row r="16" spans="1:5" ht="20" customHeight="1" thickBot="1">
      <c r="A16" s="141">
        <v>32</v>
      </c>
      <c r="B16" s="141" t="s">
        <v>2057</v>
      </c>
      <c r="C16" s="159">
        <v>-2909509344.1999998</v>
      </c>
      <c r="D16" s="219">
        <v>-85477265.469999999</v>
      </c>
      <c r="E16" s="313">
        <v>-2994986609.6700001</v>
      </c>
    </row>
    <row r="17" spans="1:5" ht="27" customHeight="1" thickBot="1">
      <c r="A17" s="142" t="s">
        <v>2058</v>
      </c>
      <c r="B17" s="142" t="s">
        <v>2059</v>
      </c>
      <c r="C17" s="314">
        <v>16759416362.99</v>
      </c>
      <c r="D17" s="315">
        <v>593303674.09000003</v>
      </c>
      <c r="E17" s="161">
        <v>17352720037.080002</v>
      </c>
    </row>
    <row r="18" spans="1:5" ht="20" customHeight="1" thickBot="1">
      <c r="A18" s="141">
        <v>34</v>
      </c>
      <c r="B18" s="141" t="s">
        <v>2060</v>
      </c>
      <c r="C18" s="159">
        <v>-9838509.5899999999</v>
      </c>
      <c r="D18" s="219">
        <v>-57065.91</v>
      </c>
      <c r="E18" s="313">
        <v>-9895575.5</v>
      </c>
    </row>
    <row r="19" spans="1:5" ht="20" customHeight="1" thickBot="1">
      <c r="A19" s="141">
        <v>35</v>
      </c>
      <c r="B19" s="141" t="s">
        <v>2061</v>
      </c>
      <c r="C19" s="159">
        <v>216636064.08000001</v>
      </c>
      <c r="D19" s="219">
        <v>8418204.4199999999</v>
      </c>
      <c r="E19" s="313">
        <v>225054268.5</v>
      </c>
    </row>
    <row r="20" spans="1:5" ht="27" customHeight="1" thickBot="1">
      <c r="A20" s="142" t="s">
        <v>2062</v>
      </c>
      <c r="B20" s="142" t="s">
        <v>2063</v>
      </c>
      <c r="C20" s="314">
        <v>16966213917.48</v>
      </c>
      <c r="D20" s="315">
        <v>601664812.61000001</v>
      </c>
      <c r="E20" s="161">
        <v>17567878730.09</v>
      </c>
    </row>
    <row r="21" spans="1:5" ht="20" customHeight="1" thickBot="1">
      <c r="A21" s="141">
        <v>36</v>
      </c>
      <c r="B21" s="141" t="s">
        <v>2064</v>
      </c>
      <c r="C21" s="159">
        <v>-46234946.990000002</v>
      </c>
      <c r="D21" s="219">
        <v>-2586897.4700000002</v>
      </c>
      <c r="E21" s="313">
        <v>-48821844.460000001</v>
      </c>
    </row>
    <row r="22" spans="1:5" ht="20" customHeight="1" thickBot="1">
      <c r="A22" s="141">
        <v>37</v>
      </c>
      <c r="B22" s="141" t="s">
        <v>2065</v>
      </c>
      <c r="C22" s="159">
        <v>105132718.83</v>
      </c>
      <c r="D22" s="219">
        <v>-113597844.36</v>
      </c>
      <c r="E22" s="313">
        <v>-8465125.5299999993</v>
      </c>
    </row>
    <row r="23" spans="1:5" ht="27" customHeight="1" thickBot="1">
      <c r="A23" s="142">
        <v>3</v>
      </c>
      <c r="B23" s="142" t="s">
        <v>2066</v>
      </c>
      <c r="C23" s="314">
        <v>17025111689.379999</v>
      </c>
      <c r="D23" s="315">
        <v>485480070.76999998</v>
      </c>
      <c r="E23" s="161">
        <v>17510591760.150002</v>
      </c>
    </row>
    <row r="24" spans="1:5" ht="21" customHeight="1" thickBot="1">
      <c r="A24" s="141" t="s">
        <v>2067</v>
      </c>
      <c r="B24" s="141" t="s">
        <v>2068</v>
      </c>
      <c r="C24" s="159">
        <v>871534050.29999995</v>
      </c>
      <c r="D24" s="219">
        <v>38786117.18</v>
      </c>
      <c r="E24" s="313">
        <v>910320167.48000002</v>
      </c>
    </row>
    <row r="25" spans="1:5" ht="21" customHeight="1" thickBot="1">
      <c r="A25" s="141">
        <v>48</v>
      </c>
      <c r="B25" s="141" t="s">
        <v>2069</v>
      </c>
      <c r="C25" s="159">
        <v>84275448.109999999</v>
      </c>
      <c r="D25" s="219">
        <v>4541837.25</v>
      </c>
      <c r="E25" s="313">
        <v>88817285.359999999</v>
      </c>
    </row>
    <row r="26" spans="1:5" ht="21" customHeight="1" thickBot="1">
      <c r="A26" s="141">
        <v>49</v>
      </c>
      <c r="B26" s="141" t="s">
        <v>2070</v>
      </c>
      <c r="C26" s="159">
        <v>1457161.48</v>
      </c>
      <c r="D26" s="219">
        <v>62991.31</v>
      </c>
      <c r="E26" s="313">
        <v>1520152.79</v>
      </c>
    </row>
    <row r="27" spans="1:5" ht="27" customHeight="1" thickBot="1">
      <c r="A27" s="142">
        <v>4</v>
      </c>
      <c r="B27" s="142" t="s">
        <v>2071</v>
      </c>
      <c r="C27" s="314">
        <v>957266659.88999999</v>
      </c>
      <c r="D27" s="315">
        <v>43390945.700000003</v>
      </c>
      <c r="E27" s="161">
        <v>1000657605.59</v>
      </c>
    </row>
    <row r="28" spans="1:5" ht="27" customHeight="1" thickBot="1">
      <c r="A28" s="142" t="s">
        <v>2072</v>
      </c>
      <c r="B28" s="142" t="s">
        <v>2073</v>
      </c>
      <c r="C28" s="314">
        <v>17982378349.27</v>
      </c>
      <c r="D28" s="315">
        <v>528871016.49000001</v>
      </c>
      <c r="E28" s="161">
        <v>18511249365.759998</v>
      </c>
    </row>
    <row r="29" spans="1:5" ht="27" customHeight="1" thickBot="1">
      <c r="A29" s="142"/>
      <c r="B29" s="142" t="s">
        <v>2074</v>
      </c>
      <c r="C29" s="314">
        <v>-243137843.88999999</v>
      </c>
      <c r="D29" s="315">
        <v>219275238.03999999</v>
      </c>
      <c r="E29" s="161">
        <v>-23862605.850000001</v>
      </c>
    </row>
    <row r="30" spans="1:5" ht="27" customHeight="1" thickBot="1">
      <c r="A30" s="142">
        <v>7</v>
      </c>
      <c r="B30" s="142" t="s">
        <v>2075</v>
      </c>
      <c r="C30" s="314">
        <v>185010659.38999999</v>
      </c>
      <c r="D30" s="315">
        <v>10276620.32</v>
      </c>
      <c r="E30" s="161">
        <v>195287279.71000001</v>
      </c>
    </row>
    <row r="31" spans="1:5" ht="34.5" customHeight="1" thickBot="1">
      <c r="A31" s="316"/>
      <c r="B31" s="316" t="s">
        <v>2076</v>
      </c>
      <c r="C31" s="317">
        <v>-58127184.509999998</v>
      </c>
      <c r="D31" s="318">
        <v>229551858.38999999</v>
      </c>
      <c r="E31" s="319">
        <v>171424673.88</v>
      </c>
    </row>
    <row r="32" spans="1:5" ht="19.5" customHeight="1">
      <c r="A32" s="2" t="s">
        <v>596</v>
      </c>
    </row>
    <row r="34" spans="1:1">
      <c r="A34" s="241" t="s">
        <v>317</v>
      </c>
    </row>
    <row r="35" spans="1:1">
      <c r="A35" s="320"/>
    </row>
    <row r="36" spans="1:1">
      <c r="A36" s="2" t="s">
        <v>2077</v>
      </c>
    </row>
    <row r="39" spans="1:1">
      <c r="A39" s="2" t="s">
        <v>128</v>
      </c>
    </row>
  </sheetData>
  <mergeCells count="1">
    <mergeCell ref="A2:D2"/>
  </mergeCells>
  <phoneticPr fontId="0" type="noConversion"/>
  <pageMargins left="0.62" right="0.69" top="0.71" bottom="0.49" header="0.42" footer="0.4921259845"/>
  <pageSetup paperSize="9" scale="82" orientation="portrait" horizontalDpi="1200" verticalDpi="1200"/>
  <headerFooter alignWithMargins="0">
    <oddHeader>&amp;L&amp;"Arial,Bold"Versicherte und Finanzen in der OKP</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D7F20-C602-F144-BAAD-CB7BCBDC7275}">
  <sheetPr>
    <pageSetUpPr fitToPage="1"/>
  </sheetPr>
  <dimension ref="A1:E39"/>
  <sheetViews>
    <sheetView topLeftCell="A21" zoomScale="75" workbookViewId="0">
      <selection activeCell="A35" sqref="A35"/>
    </sheetView>
  </sheetViews>
  <sheetFormatPr baseColWidth="10" defaultColWidth="11.3984375" defaultRowHeight="13"/>
  <cols>
    <col min="1" max="1" width="8.796875" style="2" customWidth="1"/>
    <col min="2" max="2" width="48.796875" style="21" customWidth="1"/>
    <col min="3" max="3" width="16.796875" style="2" customWidth="1"/>
    <col min="4" max="4" width="16.796875" style="9" customWidth="1"/>
    <col min="5" max="5" width="18.19921875" style="9" customWidth="1"/>
    <col min="6" max="16384" width="11.3984375" style="2"/>
  </cols>
  <sheetData>
    <row r="1" spans="1:5" s="1" customFormat="1" ht="14" customHeight="1">
      <c r="B1" s="305"/>
      <c r="D1" s="306"/>
      <c r="E1" s="306"/>
    </row>
    <row r="2" spans="1:5" s="1" customFormat="1" ht="28" customHeight="1">
      <c r="A2" s="19" t="s">
        <v>562</v>
      </c>
      <c r="B2" s="305"/>
      <c r="D2" s="306"/>
      <c r="E2" s="19">
        <v>2005</v>
      </c>
    </row>
    <row r="3" spans="1:5" ht="39" customHeight="1">
      <c r="A3" s="125" t="s">
        <v>696</v>
      </c>
      <c r="B3" s="125"/>
      <c r="C3" s="126" t="s">
        <v>697</v>
      </c>
      <c r="D3" s="262" t="s">
        <v>698</v>
      </c>
      <c r="E3" s="307" t="s">
        <v>43</v>
      </c>
    </row>
    <row r="4" spans="1:5" ht="39" customHeight="1">
      <c r="A4" s="308"/>
      <c r="B4" s="244"/>
      <c r="C4" s="135" t="s">
        <v>699</v>
      </c>
      <c r="D4" s="215" t="s">
        <v>699</v>
      </c>
      <c r="E4" s="309" t="s">
        <v>699</v>
      </c>
    </row>
    <row r="5" spans="1:5" ht="30" customHeight="1" thickBot="1">
      <c r="A5" s="137">
        <v>61</v>
      </c>
      <c r="B5" s="137" t="s">
        <v>700</v>
      </c>
      <c r="C5" s="310">
        <v>8464929847.3800001</v>
      </c>
      <c r="D5" s="311">
        <v>416888917.89999998</v>
      </c>
      <c r="E5" s="312">
        <v>8881818765.2800007</v>
      </c>
    </row>
    <row r="6" spans="1:5" ht="19.5" customHeight="1" thickBot="1">
      <c r="A6" s="141">
        <v>64</v>
      </c>
      <c r="B6" s="141" t="s">
        <v>701</v>
      </c>
      <c r="C6" s="159">
        <v>-26056817.239999998</v>
      </c>
      <c r="D6" s="219">
        <v>-1722250.7</v>
      </c>
      <c r="E6" s="313">
        <v>-27779067.940000001</v>
      </c>
    </row>
    <row r="7" spans="1:5" ht="19.5" customHeight="1" thickBot="1">
      <c r="A7" s="141">
        <v>65</v>
      </c>
      <c r="B7" s="141" t="s">
        <v>702</v>
      </c>
      <c r="C7" s="159">
        <v>3758932.26</v>
      </c>
      <c r="D7" s="219">
        <v>168054.21</v>
      </c>
      <c r="E7" s="313">
        <v>3926986.47</v>
      </c>
    </row>
    <row r="8" spans="1:5" ht="27" customHeight="1" thickBot="1">
      <c r="A8" s="142" t="s">
        <v>703</v>
      </c>
      <c r="B8" s="142" t="s">
        <v>704</v>
      </c>
      <c r="C8" s="314">
        <v>8442631962.3999996</v>
      </c>
      <c r="D8" s="315">
        <v>415334721.42000002</v>
      </c>
      <c r="E8" s="161">
        <v>8857966683.8199997</v>
      </c>
    </row>
    <row r="9" spans="1:5" ht="19.5" customHeight="1" thickBot="1">
      <c r="A9" s="141">
        <v>66</v>
      </c>
      <c r="B9" s="141" t="s">
        <v>705</v>
      </c>
      <c r="C9" s="159">
        <v>-25260600.66</v>
      </c>
      <c r="D9" s="219">
        <v>-1363795.33</v>
      </c>
      <c r="E9" s="313">
        <v>-26624395.989999998</v>
      </c>
    </row>
    <row r="10" spans="1:5" ht="27" customHeight="1" thickBot="1">
      <c r="A10" s="142" t="s">
        <v>706</v>
      </c>
      <c r="B10" s="142" t="s">
        <v>707</v>
      </c>
      <c r="C10" s="314">
        <v>8417371361.7299995</v>
      </c>
      <c r="D10" s="315">
        <v>413970926.08999997</v>
      </c>
      <c r="E10" s="161">
        <v>8831342287.8199997</v>
      </c>
    </row>
    <row r="11" spans="1:5" ht="19.5" customHeight="1" thickBot="1">
      <c r="A11" s="141">
        <v>67</v>
      </c>
      <c r="B11" s="141" t="s">
        <v>708</v>
      </c>
      <c r="C11" s="159">
        <v>804907670</v>
      </c>
      <c r="D11" s="219">
        <v>42985895.899999999</v>
      </c>
      <c r="E11" s="313">
        <v>847893565.89999998</v>
      </c>
    </row>
    <row r="12" spans="1:5" ht="19.5" customHeight="1" thickBot="1">
      <c r="A12" s="141">
        <v>68</v>
      </c>
      <c r="B12" s="141" t="s">
        <v>709</v>
      </c>
      <c r="C12" s="159">
        <v>-802185965.32000005</v>
      </c>
      <c r="D12" s="219">
        <v>-42517575.340000004</v>
      </c>
      <c r="E12" s="313">
        <v>-844703540.65999997</v>
      </c>
    </row>
    <row r="13" spans="1:5" ht="19.5" customHeight="1" thickBot="1">
      <c r="A13" s="141">
        <v>69</v>
      </c>
      <c r="B13" s="141" t="s">
        <v>710</v>
      </c>
      <c r="C13" s="159">
        <v>31758512.960000001</v>
      </c>
      <c r="D13" s="219">
        <v>1511841.58</v>
      </c>
      <c r="E13" s="313">
        <v>33270354.539999999</v>
      </c>
    </row>
    <row r="14" spans="1:5" ht="27" customHeight="1" thickBot="1">
      <c r="A14" s="142">
        <v>6</v>
      </c>
      <c r="B14" s="142" t="s">
        <v>2055</v>
      </c>
      <c r="C14" s="314">
        <v>8451851579.3800001</v>
      </c>
      <c r="D14" s="315">
        <v>415951088.22000003</v>
      </c>
      <c r="E14" s="161">
        <v>8867802667.6000004</v>
      </c>
    </row>
    <row r="15" spans="1:5" ht="20" customHeight="1" thickBot="1">
      <c r="A15" s="141">
        <v>31</v>
      </c>
      <c r="B15" s="141" t="s">
        <v>2056</v>
      </c>
      <c r="C15" s="159">
        <v>11845608402.92</v>
      </c>
      <c r="D15" s="219">
        <v>430795107.33999997</v>
      </c>
      <c r="E15" s="313">
        <v>12276403510.26</v>
      </c>
    </row>
    <row r="16" spans="1:5" ht="20" customHeight="1" thickBot="1">
      <c r="A16" s="141">
        <v>32</v>
      </c>
      <c r="B16" s="141" t="s">
        <v>2057</v>
      </c>
      <c r="C16" s="159">
        <v>-1288248800.1800001</v>
      </c>
      <c r="D16" s="219">
        <v>-39775832.210000001</v>
      </c>
      <c r="E16" s="313">
        <v>-1328024632.3900001</v>
      </c>
    </row>
    <row r="17" spans="1:5" ht="27" customHeight="1" thickBot="1">
      <c r="A17" s="142" t="s">
        <v>2058</v>
      </c>
      <c r="B17" s="142" t="s">
        <v>2059</v>
      </c>
      <c r="C17" s="314">
        <v>10557359602.77</v>
      </c>
      <c r="D17" s="315">
        <v>391019275.12</v>
      </c>
      <c r="E17" s="161">
        <v>10948378877.889999</v>
      </c>
    </row>
    <row r="18" spans="1:5" ht="20" customHeight="1" thickBot="1">
      <c r="A18" s="141">
        <v>34</v>
      </c>
      <c r="B18" s="141" t="s">
        <v>2060</v>
      </c>
      <c r="C18" s="159">
        <v>-4949496.26</v>
      </c>
      <c r="D18" s="219">
        <v>-48487.27</v>
      </c>
      <c r="E18" s="313">
        <v>-4997983.53</v>
      </c>
    </row>
    <row r="19" spans="1:5" ht="20" customHeight="1" thickBot="1">
      <c r="A19" s="141">
        <v>35</v>
      </c>
      <c r="B19" s="141" t="s">
        <v>2061</v>
      </c>
      <c r="C19" s="159">
        <v>136960300.05000001</v>
      </c>
      <c r="D19" s="219">
        <v>5458535.4400000004</v>
      </c>
      <c r="E19" s="313">
        <v>142418835.49000001</v>
      </c>
    </row>
    <row r="20" spans="1:5" ht="27" customHeight="1" thickBot="1">
      <c r="A20" s="142" t="s">
        <v>2062</v>
      </c>
      <c r="B20" s="142" t="s">
        <v>2063</v>
      </c>
      <c r="C20" s="314">
        <v>10689370406.549999</v>
      </c>
      <c r="D20" s="315">
        <v>396429323.30000001</v>
      </c>
      <c r="E20" s="161">
        <v>11085799729.85</v>
      </c>
    </row>
    <row r="21" spans="1:5" ht="19.5" customHeight="1" thickBot="1">
      <c r="A21" s="141">
        <v>36</v>
      </c>
      <c r="B21" s="141" t="s">
        <v>2064</v>
      </c>
      <c r="C21" s="159">
        <v>-29984780.460000001</v>
      </c>
      <c r="D21" s="219">
        <v>-1861077.3</v>
      </c>
      <c r="E21" s="313">
        <v>-31845857.760000002</v>
      </c>
    </row>
    <row r="22" spans="1:5" ht="19.5" customHeight="1" thickBot="1">
      <c r="A22" s="141">
        <v>37</v>
      </c>
      <c r="B22" s="141" t="s">
        <v>2065</v>
      </c>
      <c r="C22" s="159">
        <v>-819217763.24000001</v>
      </c>
      <c r="D22" s="219">
        <v>-115629164.34999999</v>
      </c>
      <c r="E22" s="313">
        <v>-934846927.59000003</v>
      </c>
    </row>
    <row r="23" spans="1:5" ht="27" customHeight="1" thickBot="1">
      <c r="A23" s="142">
        <v>3</v>
      </c>
      <c r="B23" s="142" t="s">
        <v>2066</v>
      </c>
      <c r="C23" s="314">
        <v>9840167862.8500004</v>
      </c>
      <c r="D23" s="315">
        <v>278939081.63</v>
      </c>
      <c r="E23" s="161">
        <v>10119106944.48</v>
      </c>
    </row>
    <row r="24" spans="1:5" ht="20" customHeight="1" thickBot="1">
      <c r="A24" s="141" t="s">
        <v>2067</v>
      </c>
      <c r="B24" s="141" t="s">
        <v>2068</v>
      </c>
      <c r="C24" s="159">
        <v>429997719.11000001</v>
      </c>
      <c r="D24" s="219">
        <v>22387668.050000001</v>
      </c>
      <c r="E24" s="313">
        <v>452385387.16000003</v>
      </c>
    </row>
    <row r="25" spans="1:5" ht="20" customHeight="1" thickBot="1">
      <c r="A25" s="141">
        <v>48</v>
      </c>
      <c r="B25" s="141" t="s">
        <v>2069</v>
      </c>
      <c r="C25" s="159">
        <v>44578909.520000003</v>
      </c>
      <c r="D25" s="219">
        <v>2737430.02</v>
      </c>
      <c r="E25" s="313">
        <v>47316339.539999999</v>
      </c>
    </row>
    <row r="26" spans="1:5" ht="20" customHeight="1" thickBot="1">
      <c r="A26" s="141">
        <v>49</v>
      </c>
      <c r="B26" s="141" t="s">
        <v>2070</v>
      </c>
      <c r="C26" s="159">
        <v>811747.79</v>
      </c>
      <c r="D26" s="219">
        <v>40674.800000000003</v>
      </c>
      <c r="E26" s="313">
        <v>852422.59</v>
      </c>
    </row>
    <row r="27" spans="1:5" ht="27" customHeight="1" thickBot="1">
      <c r="A27" s="142">
        <v>4</v>
      </c>
      <c r="B27" s="142" t="s">
        <v>2071</v>
      </c>
      <c r="C27" s="314">
        <v>475388376.41000003</v>
      </c>
      <c r="D27" s="315">
        <v>25165772.870000001</v>
      </c>
      <c r="E27" s="161">
        <v>500554149.27999997</v>
      </c>
    </row>
    <row r="28" spans="1:5" ht="27" customHeight="1" thickBot="1">
      <c r="A28" s="142" t="s">
        <v>2072</v>
      </c>
      <c r="B28" s="142" t="s">
        <v>2073</v>
      </c>
      <c r="C28" s="314">
        <v>10315556239.26</v>
      </c>
      <c r="D28" s="315">
        <v>304104854.49000001</v>
      </c>
      <c r="E28" s="161">
        <v>10619661093.75</v>
      </c>
    </row>
    <row r="29" spans="1:5" ht="27" customHeight="1" thickBot="1">
      <c r="A29" s="142"/>
      <c r="B29" s="142" t="s">
        <v>2074</v>
      </c>
      <c r="C29" s="314">
        <v>-1863704659.8800001</v>
      </c>
      <c r="D29" s="315">
        <v>111846233.72</v>
      </c>
      <c r="E29" s="161">
        <v>-1751858426.1600001</v>
      </c>
    </row>
    <row r="30" spans="1:5" ht="27" customHeight="1" thickBot="1">
      <c r="A30" s="142">
        <v>7</v>
      </c>
      <c r="B30" s="142" t="s">
        <v>2075</v>
      </c>
      <c r="C30" s="314">
        <v>96042805.079999998</v>
      </c>
      <c r="D30" s="315">
        <v>6399482.8399999999</v>
      </c>
      <c r="E30" s="161">
        <v>102442287.92</v>
      </c>
    </row>
    <row r="31" spans="1:5" ht="34.5" customHeight="1" thickBot="1">
      <c r="A31" s="316"/>
      <c r="B31" s="316" t="s">
        <v>2076</v>
      </c>
      <c r="C31" s="317">
        <v>-1767661854.8099999</v>
      </c>
      <c r="D31" s="318">
        <v>118245716.56</v>
      </c>
      <c r="E31" s="319">
        <v>-1649416138.25</v>
      </c>
    </row>
    <row r="32" spans="1:5" ht="19.5" customHeight="1">
      <c r="A32" s="2" t="s">
        <v>596</v>
      </c>
    </row>
    <row r="33" spans="1:1" ht="14.25" customHeight="1"/>
    <row r="34" spans="1:1" ht="19.5" customHeight="1">
      <c r="A34" s="2" t="s">
        <v>560</v>
      </c>
    </row>
    <row r="36" spans="1:1">
      <c r="A36" s="2" t="s">
        <v>561</v>
      </c>
    </row>
    <row r="39" spans="1:1">
      <c r="A39" s="2" t="s">
        <v>128</v>
      </c>
    </row>
  </sheetData>
  <phoneticPr fontId="0" type="noConversion"/>
  <pageMargins left="0.64" right="0.7" top="0.94" bottom="0.49" header="0.57999999999999996" footer="0.4921259845"/>
  <pageSetup paperSize="9" scale="82" orientation="portrait" horizontalDpi="1200" verticalDpi="12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1957F-781E-974C-ABA9-2D800F1E4D3A}">
  <sheetPr>
    <pageSetUpPr fitToPage="1"/>
  </sheetPr>
  <dimension ref="A1:E39"/>
  <sheetViews>
    <sheetView topLeftCell="A20" zoomScale="75" workbookViewId="0">
      <selection activeCell="A35" sqref="A35"/>
    </sheetView>
  </sheetViews>
  <sheetFormatPr baseColWidth="10" defaultColWidth="11.3984375" defaultRowHeight="13"/>
  <cols>
    <col min="1" max="1" width="8.796875" style="2" customWidth="1"/>
    <col min="2" max="2" width="50.19921875" style="21" customWidth="1"/>
    <col min="3" max="3" width="16.796875" style="2" customWidth="1"/>
    <col min="4" max="4" width="16.796875" style="9" customWidth="1"/>
    <col min="5" max="5" width="17.3984375" style="9" customWidth="1"/>
    <col min="6" max="16384" width="11.3984375" style="2"/>
  </cols>
  <sheetData>
    <row r="1" spans="1:5" s="1" customFormat="1" ht="14" customHeight="1">
      <c r="B1" s="305"/>
      <c r="D1" s="306"/>
      <c r="E1" s="306"/>
    </row>
    <row r="2" spans="1:5" s="1" customFormat="1" ht="28" customHeight="1">
      <c r="A2" s="19" t="s">
        <v>564</v>
      </c>
      <c r="B2" s="305"/>
      <c r="D2" s="306"/>
      <c r="E2" s="19">
        <v>2005</v>
      </c>
    </row>
    <row r="3" spans="1:5" ht="39" customHeight="1">
      <c r="A3" s="125" t="s">
        <v>696</v>
      </c>
      <c r="B3" s="125"/>
      <c r="C3" s="126" t="s">
        <v>697</v>
      </c>
      <c r="D3" s="262" t="s">
        <v>698</v>
      </c>
      <c r="E3" s="154" t="s">
        <v>43</v>
      </c>
    </row>
    <row r="4" spans="1:5" ht="39" customHeight="1">
      <c r="A4" s="308"/>
      <c r="B4" s="244"/>
      <c r="C4" s="135" t="s">
        <v>699</v>
      </c>
      <c r="D4" s="215" t="s">
        <v>699</v>
      </c>
      <c r="E4" s="156" t="s">
        <v>699</v>
      </c>
    </row>
    <row r="5" spans="1:5" ht="30" customHeight="1" thickBot="1">
      <c r="A5" s="137">
        <v>61</v>
      </c>
      <c r="B5" s="137" t="s">
        <v>700</v>
      </c>
      <c r="C5" s="310">
        <v>7455179879.1300001</v>
      </c>
      <c r="D5" s="311">
        <v>267675273.03</v>
      </c>
      <c r="E5" s="312">
        <v>7722855152.1599998</v>
      </c>
    </row>
    <row r="6" spans="1:5" ht="20" customHeight="1" thickBot="1">
      <c r="A6" s="141">
        <v>64</v>
      </c>
      <c r="B6" s="141" t="s">
        <v>701</v>
      </c>
      <c r="C6" s="159">
        <v>-24201678.059999999</v>
      </c>
      <c r="D6" s="219">
        <v>-1292031.46</v>
      </c>
      <c r="E6" s="313">
        <v>-25493709.52</v>
      </c>
    </row>
    <row r="7" spans="1:5" ht="20" customHeight="1" thickBot="1">
      <c r="A7" s="141">
        <v>65</v>
      </c>
      <c r="B7" s="141" t="s">
        <v>702</v>
      </c>
      <c r="C7" s="159">
        <v>1233126.5900000001</v>
      </c>
      <c r="D7" s="219">
        <v>29786.52</v>
      </c>
      <c r="E7" s="313">
        <v>1262913.1100000001</v>
      </c>
    </row>
    <row r="8" spans="1:5" ht="27" customHeight="1" thickBot="1">
      <c r="A8" s="142" t="s">
        <v>703</v>
      </c>
      <c r="B8" s="142" t="s">
        <v>704</v>
      </c>
      <c r="C8" s="314">
        <v>7432211327.6700001</v>
      </c>
      <c r="D8" s="315">
        <v>266413028.09</v>
      </c>
      <c r="E8" s="161">
        <v>7698624355.7600002</v>
      </c>
    </row>
    <row r="9" spans="1:5" ht="20" customHeight="1" thickBot="1">
      <c r="A9" s="141">
        <v>66</v>
      </c>
      <c r="B9" s="141" t="s">
        <v>705</v>
      </c>
      <c r="C9" s="159">
        <v>-15988259.77</v>
      </c>
      <c r="D9" s="219">
        <v>-526362.68999999994</v>
      </c>
      <c r="E9" s="313">
        <v>-16514622.460000001</v>
      </c>
    </row>
    <row r="10" spans="1:5" ht="27" customHeight="1" thickBot="1">
      <c r="A10" s="142" t="s">
        <v>706</v>
      </c>
      <c r="B10" s="142" t="s">
        <v>707</v>
      </c>
      <c r="C10" s="314">
        <v>7416223067.8900003</v>
      </c>
      <c r="D10" s="315">
        <v>265886665.41999999</v>
      </c>
      <c r="E10" s="161">
        <v>7682109733.3100004</v>
      </c>
    </row>
    <row r="11" spans="1:5" ht="20" customHeight="1" thickBot="1">
      <c r="A11" s="141">
        <v>67</v>
      </c>
      <c r="B11" s="141" t="s">
        <v>708</v>
      </c>
      <c r="C11" s="159">
        <v>487821626.20999998</v>
      </c>
      <c r="D11" s="219">
        <v>19643264.02</v>
      </c>
      <c r="E11" s="313">
        <v>507464890.23000002</v>
      </c>
    </row>
    <row r="12" spans="1:5" ht="20" customHeight="1" thickBot="1">
      <c r="A12" s="141">
        <v>68</v>
      </c>
      <c r="B12" s="141" t="s">
        <v>709</v>
      </c>
      <c r="C12" s="159">
        <v>-490515106.82999998</v>
      </c>
      <c r="D12" s="219">
        <v>-19711675.98</v>
      </c>
      <c r="E12" s="313">
        <v>-510226782.81</v>
      </c>
    </row>
    <row r="13" spans="1:5" ht="20" customHeight="1" thickBot="1">
      <c r="A13" s="141">
        <v>69</v>
      </c>
      <c r="B13" s="141" t="s">
        <v>710</v>
      </c>
      <c r="C13" s="159">
        <v>45577436.170000002</v>
      </c>
      <c r="D13" s="219">
        <v>1493836.48</v>
      </c>
      <c r="E13" s="313">
        <v>47071272.649999999</v>
      </c>
    </row>
    <row r="14" spans="1:5" ht="27" customHeight="1" thickBot="1">
      <c r="A14" s="142">
        <v>6</v>
      </c>
      <c r="B14" s="142" t="s">
        <v>2055</v>
      </c>
      <c r="C14" s="314">
        <v>7459107023.4399996</v>
      </c>
      <c r="D14" s="315">
        <v>267312089.94</v>
      </c>
      <c r="E14" s="161">
        <v>7726419113.3800001</v>
      </c>
    </row>
    <row r="15" spans="1:5" ht="20" customHeight="1" thickBot="1">
      <c r="A15" s="141">
        <v>31</v>
      </c>
      <c r="B15" s="141" t="s">
        <v>2056</v>
      </c>
      <c r="C15" s="159">
        <v>6289279073.6199999</v>
      </c>
      <c r="D15" s="219">
        <v>188741010.61000001</v>
      </c>
      <c r="E15" s="313">
        <v>6478020084.2299995</v>
      </c>
    </row>
    <row r="16" spans="1:5" ht="20" customHeight="1" thickBot="1">
      <c r="A16" s="141">
        <v>32</v>
      </c>
      <c r="B16" s="141" t="s">
        <v>2057</v>
      </c>
      <c r="C16" s="159">
        <v>-1334999761.4200001</v>
      </c>
      <c r="D16" s="219">
        <v>-36823197.780000001</v>
      </c>
      <c r="E16" s="313">
        <v>-1371822959.2</v>
      </c>
    </row>
    <row r="17" spans="1:5" ht="27" customHeight="1" thickBot="1">
      <c r="A17" s="142" t="s">
        <v>2058</v>
      </c>
      <c r="B17" s="142" t="s">
        <v>2059</v>
      </c>
      <c r="C17" s="314">
        <v>4954279312.1899996</v>
      </c>
      <c r="D17" s="315">
        <v>151917812.84999999</v>
      </c>
      <c r="E17" s="161">
        <v>5106197125.04</v>
      </c>
    </row>
    <row r="18" spans="1:5" ht="20" customHeight="1" thickBot="1">
      <c r="A18" s="141">
        <v>34</v>
      </c>
      <c r="B18" s="141" t="s">
        <v>2060</v>
      </c>
      <c r="C18" s="159">
        <v>-8132547.3099999996</v>
      </c>
      <c r="D18" s="219">
        <v>-133297.19</v>
      </c>
      <c r="E18" s="313">
        <v>-8265844.5</v>
      </c>
    </row>
    <row r="19" spans="1:5" ht="20" customHeight="1" thickBot="1">
      <c r="A19" s="141">
        <v>35</v>
      </c>
      <c r="B19" s="141" t="s">
        <v>2061</v>
      </c>
      <c r="C19" s="159">
        <v>51073705.979999997</v>
      </c>
      <c r="D19" s="219">
        <v>1832951.23</v>
      </c>
      <c r="E19" s="313">
        <v>52906657.210000001</v>
      </c>
    </row>
    <row r="20" spans="1:5" ht="27" customHeight="1" thickBot="1">
      <c r="A20" s="142" t="s">
        <v>2062</v>
      </c>
      <c r="B20" s="142" t="s">
        <v>2063</v>
      </c>
      <c r="C20" s="314">
        <v>4997220470.8400002</v>
      </c>
      <c r="D20" s="315">
        <v>153617466.88999999</v>
      </c>
      <c r="E20" s="161">
        <v>5150837937.7299995</v>
      </c>
    </row>
    <row r="21" spans="1:5" ht="20" customHeight="1" thickBot="1">
      <c r="A21" s="141">
        <v>36</v>
      </c>
      <c r="B21" s="141" t="s">
        <v>2064</v>
      </c>
      <c r="C21" s="159">
        <v>-15536728.08</v>
      </c>
      <c r="D21" s="219">
        <v>-699667.1</v>
      </c>
      <c r="E21" s="313">
        <v>-16236395.18</v>
      </c>
    </row>
    <row r="22" spans="1:5" ht="20" customHeight="1" thickBot="1">
      <c r="A22" s="141">
        <v>37</v>
      </c>
      <c r="B22" s="141" t="s">
        <v>2065</v>
      </c>
      <c r="C22" s="159">
        <v>732193230.88999999</v>
      </c>
      <c r="D22" s="219">
        <v>-5198557.42</v>
      </c>
      <c r="E22" s="313">
        <v>726994673.47000003</v>
      </c>
    </row>
    <row r="23" spans="1:5" ht="27" customHeight="1" thickBot="1">
      <c r="A23" s="142">
        <v>3</v>
      </c>
      <c r="B23" s="142" t="s">
        <v>2066</v>
      </c>
      <c r="C23" s="314">
        <v>5713876973.6800003</v>
      </c>
      <c r="D23" s="315">
        <v>147719242.38</v>
      </c>
      <c r="E23" s="161">
        <v>5861596216.0600004</v>
      </c>
    </row>
    <row r="24" spans="1:5" ht="20" customHeight="1" thickBot="1">
      <c r="A24" s="141" t="s">
        <v>2067</v>
      </c>
      <c r="B24" s="141" t="s">
        <v>2068</v>
      </c>
      <c r="C24" s="159">
        <v>352821484.32999998</v>
      </c>
      <c r="D24" s="219">
        <v>13248056.49</v>
      </c>
      <c r="E24" s="313">
        <v>366069540.81999999</v>
      </c>
    </row>
    <row r="25" spans="1:5" ht="20" customHeight="1" thickBot="1">
      <c r="A25" s="141">
        <v>48</v>
      </c>
      <c r="B25" s="141" t="s">
        <v>2069</v>
      </c>
      <c r="C25" s="159">
        <v>31408268.460000001</v>
      </c>
      <c r="D25" s="219">
        <v>1460432.17</v>
      </c>
      <c r="E25" s="313">
        <v>32868700.629999999</v>
      </c>
    </row>
    <row r="26" spans="1:5" ht="20" customHeight="1" thickBot="1">
      <c r="A26" s="141">
        <v>49</v>
      </c>
      <c r="B26" s="141" t="s">
        <v>2070</v>
      </c>
      <c r="C26" s="159">
        <v>404538.51</v>
      </c>
      <c r="D26" s="219">
        <v>14042.15</v>
      </c>
      <c r="E26" s="313">
        <v>418580.66</v>
      </c>
    </row>
    <row r="27" spans="1:5" ht="27" customHeight="1" thickBot="1">
      <c r="A27" s="142">
        <v>4</v>
      </c>
      <c r="B27" s="142" t="s">
        <v>2071</v>
      </c>
      <c r="C27" s="314">
        <v>384634291.30000001</v>
      </c>
      <c r="D27" s="315">
        <v>14722530.779999999</v>
      </c>
      <c r="E27" s="161">
        <v>399356822.07999998</v>
      </c>
    </row>
    <row r="28" spans="1:5" ht="27" customHeight="1" thickBot="1">
      <c r="A28" s="142" t="s">
        <v>2072</v>
      </c>
      <c r="B28" s="142" t="s">
        <v>2073</v>
      </c>
      <c r="C28" s="314">
        <v>6098511264.9700003</v>
      </c>
      <c r="D28" s="315">
        <v>162441773.16999999</v>
      </c>
      <c r="E28" s="161">
        <v>6260953038.1400003</v>
      </c>
    </row>
    <row r="29" spans="1:5" ht="27" customHeight="1" thickBot="1">
      <c r="A29" s="142"/>
      <c r="B29" s="142" t="s">
        <v>2074</v>
      </c>
      <c r="C29" s="314">
        <v>1360595758.48</v>
      </c>
      <c r="D29" s="315">
        <v>104870316.77</v>
      </c>
      <c r="E29" s="161">
        <v>1465466075.25</v>
      </c>
    </row>
    <row r="30" spans="1:5" ht="27" customHeight="1" thickBot="1">
      <c r="A30" s="142">
        <v>7</v>
      </c>
      <c r="B30" s="142" t="s">
        <v>2075</v>
      </c>
      <c r="C30" s="314">
        <v>77286275.390000001</v>
      </c>
      <c r="D30" s="315">
        <v>3404118.54</v>
      </c>
      <c r="E30" s="161">
        <v>80690393.930000007</v>
      </c>
    </row>
    <row r="31" spans="1:5" ht="34.5" customHeight="1" thickBot="1">
      <c r="A31" s="316"/>
      <c r="B31" s="316" t="s">
        <v>2076</v>
      </c>
      <c r="C31" s="317">
        <v>1437882033.8499999</v>
      </c>
      <c r="D31" s="318">
        <v>108274435.31999999</v>
      </c>
      <c r="E31" s="319">
        <v>1546156469.1700001</v>
      </c>
    </row>
    <row r="32" spans="1:5" ht="19.5" customHeight="1">
      <c r="A32" s="2" t="s">
        <v>596</v>
      </c>
    </row>
    <row r="34" spans="1:1">
      <c r="A34" s="2" t="s">
        <v>560</v>
      </c>
    </row>
    <row r="36" spans="1:1">
      <c r="A36" s="2" t="s">
        <v>563</v>
      </c>
    </row>
    <row r="39" spans="1:1">
      <c r="A39" s="2" t="s">
        <v>128</v>
      </c>
    </row>
  </sheetData>
  <phoneticPr fontId="0" type="noConversion"/>
  <pageMargins left="0.59" right="0.66" top="1.01" bottom="0.49" header="0.61" footer="0.4921259845"/>
  <pageSetup paperSize="9" scale="82" orientation="portrait" horizontalDpi="4294967292" verticalDpi="429496729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AE6C4-F86A-0A4E-A7D1-77F61375E51C}">
  <sheetPr>
    <pageSetUpPr fitToPage="1"/>
  </sheetPr>
  <dimension ref="A1:E39"/>
  <sheetViews>
    <sheetView zoomScale="75" workbookViewId="0">
      <selection activeCell="A3" sqref="A3"/>
    </sheetView>
  </sheetViews>
  <sheetFormatPr baseColWidth="10" defaultColWidth="11.3984375" defaultRowHeight="13"/>
  <cols>
    <col min="1" max="1" width="8.796875" style="2" customWidth="1"/>
    <col min="2" max="2" width="52.19921875" style="21" customWidth="1"/>
    <col min="3" max="3" width="16.796875" style="2" customWidth="1"/>
    <col min="4" max="5" width="16.796875" style="9" customWidth="1"/>
    <col min="6" max="16384" width="11.3984375" style="2"/>
  </cols>
  <sheetData>
    <row r="1" spans="1:5" s="1" customFormat="1" ht="14" customHeight="1">
      <c r="B1" s="305"/>
      <c r="D1" s="306"/>
      <c r="E1" s="306"/>
    </row>
    <row r="2" spans="1:5" s="1" customFormat="1" ht="28" customHeight="1">
      <c r="A2" s="19" t="s">
        <v>566</v>
      </c>
      <c r="B2" s="305"/>
      <c r="D2" s="306"/>
      <c r="E2" s="19">
        <v>2005</v>
      </c>
    </row>
    <row r="3" spans="1:5" ht="39" customHeight="1">
      <c r="A3" s="125" t="s">
        <v>696</v>
      </c>
      <c r="B3" s="125"/>
      <c r="C3" s="126" t="s">
        <v>697</v>
      </c>
      <c r="D3" s="262" t="s">
        <v>698</v>
      </c>
      <c r="E3" s="307" t="s">
        <v>43</v>
      </c>
    </row>
    <row r="4" spans="1:5" ht="39" customHeight="1">
      <c r="A4" s="308"/>
      <c r="B4" s="244"/>
      <c r="C4" s="135" t="s">
        <v>699</v>
      </c>
      <c r="D4" s="215" t="s">
        <v>699</v>
      </c>
      <c r="E4" s="309" t="s">
        <v>699</v>
      </c>
    </row>
    <row r="5" spans="1:5" ht="30" customHeight="1" thickBot="1">
      <c r="A5" s="137">
        <v>61</v>
      </c>
      <c r="B5" s="137" t="s">
        <v>700</v>
      </c>
      <c r="C5" s="310">
        <v>16388659.449999999</v>
      </c>
      <c r="D5" s="311">
        <v>479003.77</v>
      </c>
      <c r="E5" s="312">
        <v>16867663.219999999</v>
      </c>
    </row>
    <row r="6" spans="1:5" ht="20" customHeight="1" thickBot="1">
      <c r="A6" s="141">
        <v>64</v>
      </c>
      <c r="B6" s="141" t="s">
        <v>701</v>
      </c>
      <c r="C6" s="159">
        <v>-25898.91</v>
      </c>
      <c r="D6" s="219">
        <v>-784.84</v>
      </c>
      <c r="E6" s="313">
        <v>-26683.75</v>
      </c>
    </row>
    <row r="7" spans="1:5" ht="20" customHeight="1" thickBot="1">
      <c r="A7" s="141">
        <v>65</v>
      </c>
      <c r="B7" s="141" t="s">
        <v>702</v>
      </c>
      <c r="C7" s="159">
        <v>1751.52</v>
      </c>
      <c r="D7" s="219">
        <v>49.01</v>
      </c>
      <c r="E7" s="313">
        <v>1800.53</v>
      </c>
    </row>
    <row r="8" spans="1:5" ht="26.25" customHeight="1" thickBot="1">
      <c r="A8" s="142" t="s">
        <v>703</v>
      </c>
      <c r="B8" s="142" t="s">
        <v>704</v>
      </c>
      <c r="C8" s="314">
        <v>16364512.060000001</v>
      </c>
      <c r="D8" s="315">
        <v>478267.94</v>
      </c>
      <c r="E8" s="161">
        <v>16842780</v>
      </c>
    </row>
    <row r="9" spans="1:5" ht="20" customHeight="1" thickBot="1">
      <c r="A9" s="141">
        <v>66</v>
      </c>
      <c r="B9" s="141" t="s">
        <v>705</v>
      </c>
      <c r="C9" s="159">
        <v>0</v>
      </c>
      <c r="D9" s="219">
        <v>0</v>
      </c>
      <c r="E9" s="313">
        <v>0</v>
      </c>
    </row>
    <row r="10" spans="1:5" ht="27" customHeight="1" thickBot="1">
      <c r="A10" s="142" t="s">
        <v>706</v>
      </c>
      <c r="B10" s="142" t="s">
        <v>707</v>
      </c>
      <c r="C10" s="314">
        <v>16364512.060000001</v>
      </c>
      <c r="D10" s="315">
        <v>478267.94</v>
      </c>
      <c r="E10" s="161">
        <v>16842780</v>
      </c>
    </row>
    <row r="11" spans="1:5" ht="20" customHeight="1" thickBot="1">
      <c r="A11" s="141">
        <v>67</v>
      </c>
      <c r="B11" s="141" t="s">
        <v>708</v>
      </c>
      <c r="C11" s="159">
        <v>527736.76</v>
      </c>
      <c r="D11" s="219">
        <v>17000.98</v>
      </c>
      <c r="E11" s="313">
        <v>544737.74</v>
      </c>
    </row>
    <row r="12" spans="1:5" ht="20" customHeight="1" thickBot="1">
      <c r="A12" s="141">
        <v>68</v>
      </c>
      <c r="B12" s="141" t="s">
        <v>709</v>
      </c>
      <c r="C12" s="159">
        <v>-548095.04</v>
      </c>
      <c r="D12" s="219">
        <v>-17616.11</v>
      </c>
      <c r="E12" s="313">
        <v>-565711.15</v>
      </c>
    </row>
    <row r="13" spans="1:5" ht="20" customHeight="1" thickBot="1">
      <c r="A13" s="141">
        <v>69</v>
      </c>
      <c r="B13" s="141" t="s">
        <v>710</v>
      </c>
      <c r="C13" s="159">
        <v>162321.60000000001</v>
      </c>
      <c r="D13" s="219">
        <v>4226.8500000000004</v>
      </c>
      <c r="E13" s="313">
        <v>166548.45000000001</v>
      </c>
    </row>
    <row r="14" spans="1:5" ht="27" customHeight="1" thickBot="1">
      <c r="A14" s="142">
        <v>6</v>
      </c>
      <c r="B14" s="142" t="s">
        <v>2055</v>
      </c>
      <c r="C14" s="314">
        <v>16506475.390000001</v>
      </c>
      <c r="D14" s="315">
        <v>481879.67</v>
      </c>
      <c r="E14" s="161">
        <v>16988355.059999999</v>
      </c>
    </row>
    <row r="15" spans="1:5" ht="20" customHeight="1" thickBot="1">
      <c r="A15" s="141">
        <v>31</v>
      </c>
      <c r="B15" s="141" t="s">
        <v>2056</v>
      </c>
      <c r="C15" s="159">
        <v>8594165.8699999992</v>
      </c>
      <c r="D15" s="219">
        <v>513070.78</v>
      </c>
      <c r="E15" s="313">
        <v>9107236.6500000004</v>
      </c>
    </row>
    <row r="16" spans="1:5" ht="20" customHeight="1" thickBot="1">
      <c r="A16" s="141">
        <v>32</v>
      </c>
      <c r="B16" s="141" t="s">
        <v>2057</v>
      </c>
      <c r="C16" s="159">
        <v>-1330237.98</v>
      </c>
      <c r="D16" s="219">
        <v>-70080.06</v>
      </c>
      <c r="E16" s="313">
        <v>-1400318.04</v>
      </c>
    </row>
    <row r="17" spans="1:5" ht="27" customHeight="1" thickBot="1">
      <c r="A17" s="142" t="s">
        <v>2058</v>
      </c>
      <c r="B17" s="142" t="s">
        <v>2059</v>
      </c>
      <c r="C17" s="314">
        <v>7263927.8899999997</v>
      </c>
      <c r="D17" s="315">
        <v>442990.73</v>
      </c>
      <c r="E17" s="161">
        <v>7706918.6200000001</v>
      </c>
    </row>
    <row r="18" spans="1:5" ht="20" customHeight="1" thickBot="1">
      <c r="A18" s="141">
        <v>34</v>
      </c>
      <c r="B18" s="141" t="s">
        <v>2060</v>
      </c>
      <c r="C18" s="159">
        <v>3850.3</v>
      </c>
      <c r="D18" s="219">
        <v>117.27</v>
      </c>
      <c r="E18" s="313">
        <v>3967.57</v>
      </c>
    </row>
    <row r="19" spans="1:5" ht="20" customHeight="1" thickBot="1">
      <c r="A19" s="141">
        <v>35</v>
      </c>
      <c r="B19" s="141" t="s">
        <v>2061</v>
      </c>
      <c r="C19" s="159">
        <v>22533.93</v>
      </c>
      <c r="D19" s="219">
        <v>1981.71</v>
      </c>
      <c r="E19" s="313">
        <v>24515.64</v>
      </c>
    </row>
    <row r="20" spans="1:5" ht="27" customHeight="1" thickBot="1">
      <c r="A20" s="142" t="s">
        <v>2062</v>
      </c>
      <c r="B20" s="142" t="s">
        <v>2063</v>
      </c>
      <c r="C20" s="314">
        <v>7290312.1299999999</v>
      </c>
      <c r="D20" s="315">
        <v>445089.7</v>
      </c>
      <c r="E20" s="161">
        <v>7735401.8300000001</v>
      </c>
    </row>
    <row r="21" spans="1:5" ht="20" customHeight="1" thickBot="1">
      <c r="A21" s="141">
        <v>36</v>
      </c>
      <c r="B21" s="141" t="s">
        <v>2064</v>
      </c>
      <c r="C21" s="159">
        <v>0</v>
      </c>
      <c r="D21" s="219">
        <v>0</v>
      </c>
      <c r="E21" s="313">
        <v>0</v>
      </c>
    </row>
    <row r="22" spans="1:5" ht="20" customHeight="1" thickBot="1">
      <c r="A22" s="141">
        <v>37</v>
      </c>
      <c r="B22" s="141" t="s">
        <v>2065</v>
      </c>
      <c r="C22" s="159">
        <v>3382255.55</v>
      </c>
      <c r="D22" s="219">
        <v>164561.35999999999</v>
      </c>
      <c r="E22" s="313">
        <v>3546816.91</v>
      </c>
    </row>
    <row r="23" spans="1:5" ht="26.25" customHeight="1" thickBot="1">
      <c r="A23" s="142">
        <v>3</v>
      </c>
      <c r="B23" s="142" t="s">
        <v>2066</v>
      </c>
      <c r="C23" s="314">
        <v>10672567.68</v>
      </c>
      <c r="D23" s="315">
        <v>609651.06000000006</v>
      </c>
      <c r="E23" s="161">
        <v>11282218.74</v>
      </c>
    </row>
    <row r="24" spans="1:5" ht="20" customHeight="1" thickBot="1">
      <c r="A24" s="141" t="s">
        <v>2067</v>
      </c>
      <c r="B24" s="141" t="s">
        <v>2068</v>
      </c>
      <c r="C24" s="159">
        <v>571452.91</v>
      </c>
      <c r="D24" s="219">
        <v>21284.6</v>
      </c>
      <c r="E24" s="313">
        <v>592737.51</v>
      </c>
    </row>
    <row r="25" spans="1:5" ht="20" customHeight="1" thickBot="1">
      <c r="A25" s="141">
        <v>48</v>
      </c>
      <c r="B25" s="141" t="s">
        <v>2069</v>
      </c>
      <c r="C25" s="159">
        <v>136172.69</v>
      </c>
      <c r="D25" s="219">
        <v>4468.84</v>
      </c>
      <c r="E25" s="313">
        <v>140641.53</v>
      </c>
    </row>
    <row r="26" spans="1:5" ht="20" customHeight="1" thickBot="1">
      <c r="A26" s="141">
        <v>49</v>
      </c>
      <c r="B26" s="141" t="s">
        <v>2070</v>
      </c>
      <c r="C26" s="159">
        <v>875.1</v>
      </c>
      <c r="D26" s="219">
        <v>25.62</v>
      </c>
      <c r="E26" s="313">
        <v>900.72</v>
      </c>
    </row>
    <row r="27" spans="1:5" ht="27" customHeight="1" thickBot="1">
      <c r="A27" s="142">
        <v>4</v>
      </c>
      <c r="B27" s="142" t="s">
        <v>2071</v>
      </c>
      <c r="C27" s="314">
        <v>708500.71</v>
      </c>
      <c r="D27" s="315">
        <v>25779.05</v>
      </c>
      <c r="E27" s="161">
        <v>734279.76</v>
      </c>
    </row>
    <row r="28" spans="1:5" ht="27" customHeight="1" thickBot="1">
      <c r="A28" s="142" t="s">
        <v>2072</v>
      </c>
      <c r="B28" s="142" t="s">
        <v>2073</v>
      </c>
      <c r="C28" s="314">
        <v>11381068.390000001</v>
      </c>
      <c r="D28" s="315">
        <v>635430.12</v>
      </c>
      <c r="E28" s="161">
        <v>12016498.51</v>
      </c>
    </row>
    <row r="29" spans="1:5" ht="27" customHeight="1" thickBot="1">
      <c r="A29" s="142"/>
      <c r="B29" s="142" t="s">
        <v>2074</v>
      </c>
      <c r="C29" s="314">
        <v>5125407</v>
      </c>
      <c r="D29" s="315">
        <v>-153550.44</v>
      </c>
      <c r="E29" s="161">
        <v>4971856.5599999996</v>
      </c>
    </row>
    <row r="30" spans="1:5" ht="27" customHeight="1" thickBot="1">
      <c r="A30" s="142">
        <v>7</v>
      </c>
      <c r="B30" s="142" t="s">
        <v>2075</v>
      </c>
      <c r="C30" s="314">
        <v>108864.25</v>
      </c>
      <c r="D30" s="315">
        <v>4541.41</v>
      </c>
      <c r="E30" s="161">
        <v>113405.66</v>
      </c>
    </row>
    <row r="31" spans="1:5" ht="34.5" customHeight="1" thickBot="1">
      <c r="A31" s="316"/>
      <c r="B31" s="316" t="s">
        <v>2076</v>
      </c>
      <c r="C31" s="317">
        <v>5234271.25</v>
      </c>
      <c r="D31" s="318">
        <v>-149009.03</v>
      </c>
      <c r="E31" s="319">
        <v>5085262.22</v>
      </c>
    </row>
    <row r="32" spans="1:5" ht="20.25" customHeight="1">
      <c r="A32" s="2" t="s">
        <v>596</v>
      </c>
    </row>
    <row r="34" spans="1:1">
      <c r="A34" s="2" t="s">
        <v>560</v>
      </c>
    </row>
    <row r="36" spans="1:1">
      <c r="A36" s="2" t="s">
        <v>565</v>
      </c>
    </row>
    <row r="39" spans="1:1">
      <c r="A39" s="2" t="s">
        <v>128</v>
      </c>
    </row>
  </sheetData>
  <phoneticPr fontId="0" type="noConversion"/>
  <pageMargins left="0.64" right="0.7" top="0.9" bottom="0.49" header="0.51" footer="0.4921259845"/>
  <pageSetup paperSize="9" scale="80" orientation="portrait" horizontalDpi="4294967292" verticalDpi="429496729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56FDC-B059-104A-9453-F60E50623E44}">
  <sheetPr>
    <pageSetUpPr fitToPage="1"/>
  </sheetPr>
  <dimension ref="A1:E39"/>
  <sheetViews>
    <sheetView zoomScale="75" workbookViewId="0">
      <selection activeCell="A3" sqref="A3"/>
    </sheetView>
  </sheetViews>
  <sheetFormatPr baseColWidth="10" defaultColWidth="11.3984375" defaultRowHeight="13"/>
  <cols>
    <col min="1" max="1" width="8.796875" style="2" customWidth="1"/>
    <col min="2" max="2" width="48.796875" style="21" customWidth="1"/>
    <col min="3" max="3" width="16.796875" style="2" customWidth="1"/>
    <col min="4" max="5" width="16.796875" style="9" customWidth="1"/>
    <col min="6" max="16384" width="11.3984375" style="2"/>
  </cols>
  <sheetData>
    <row r="1" spans="1:5" s="1" customFormat="1" ht="14" customHeight="1">
      <c r="B1" s="305"/>
      <c r="D1" s="306"/>
      <c r="E1" s="306"/>
    </row>
    <row r="2" spans="1:5" s="1" customFormat="1" ht="42" customHeight="1">
      <c r="A2" s="1606" t="s">
        <v>568</v>
      </c>
      <c r="B2" s="1607"/>
      <c r="C2" s="1607"/>
      <c r="D2" s="1607"/>
      <c r="E2" s="19">
        <v>2005</v>
      </c>
    </row>
    <row r="3" spans="1:5" ht="39" customHeight="1">
      <c r="A3" s="125" t="s">
        <v>696</v>
      </c>
      <c r="B3" s="125"/>
      <c r="C3" s="126" t="s">
        <v>697</v>
      </c>
      <c r="D3" s="262" t="s">
        <v>698</v>
      </c>
      <c r="E3" s="307" t="s">
        <v>43</v>
      </c>
    </row>
    <row r="4" spans="1:5" ht="39" customHeight="1">
      <c r="A4" s="308"/>
      <c r="B4" s="244"/>
      <c r="C4" s="135" t="s">
        <v>699</v>
      </c>
      <c r="D4" s="215" t="s">
        <v>699</v>
      </c>
      <c r="E4" s="309" t="s">
        <v>699</v>
      </c>
    </row>
    <row r="5" spans="1:5" ht="30" customHeight="1" thickBot="1">
      <c r="A5" s="137">
        <v>61</v>
      </c>
      <c r="B5" s="137" t="s">
        <v>700</v>
      </c>
      <c r="C5" s="310">
        <v>1810561142.3099999</v>
      </c>
      <c r="D5" s="311">
        <v>64316894.109999999</v>
      </c>
      <c r="E5" s="312">
        <v>1874878036.4200001</v>
      </c>
    </row>
    <row r="6" spans="1:5" ht="20" customHeight="1" thickBot="1">
      <c r="A6" s="141">
        <v>64</v>
      </c>
      <c r="B6" s="141" t="s">
        <v>701</v>
      </c>
      <c r="C6" s="159">
        <v>-5589113.6699999999</v>
      </c>
      <c r="D6" s="219">
        <v>-211663.93</v>
      </c>
      <c r="E6" s="313">
        <v>-5800777.5999999996</v>
      </c>
    </row>
    <row r="7" spans="1:5" ht="20" customHeight="1" thickBot="1">
      <c r="A7" s="141">
        <v>65</v>
      </c>
      <c r="B7" s="141" t="s">
        <v>702</v>
      </c>
      <c r="C7" s="159">
        <v>157118.21</v>
      </c>
      <c r="D7" s="219">
        <v>8525.24</v>
      </c>
      <c r="E7" s="313">
        <v>165643.45000000001</v>
      </c>
    </row>
    <row r="8" spans="1:5" ht="27" customHeight="1" thickBot="1">
      <c r="A8" s="142" t="s">
        <v>703</v>
      </c>
      <c r="B8" s="142" t="s">
        <v>704</v>
      </c>
      <c r="C8" s="314">
        <v>1805129146.8299999</v>
      </c>
      <c r="D8" s="315">
        <v>64113755.420000002</v>
      </c>
      <c r="E8" s="161">
        <v>1869242902.25</v>
      </c>
    </row>
    <row r="9" spans="1:5" ht="20" customHeight="1" thickBot="1">
      <c r="A9" s="141">
        <v>66</v>
      </c>
      <c r="B9" s="141" t="s">
        <v>705</v>
      </c>
      <c r="C9" s="159">
        <v>-1102780.3700000001</v>
      </c>
      <c r="D9" s="219">
        <v>-36214.86</v>
      </c>
      <c r="E9" s="313">
        <v>-1138995.23</v>
      </c>
    </row>
    <row r="10" spans="1:5" ht="30" customHeight="1" thickBot="1">
      <c r="A10" s="142" t="s">
        <v>706</v>
      </c>
      <c r="B10" s="142" t="s">
        <v>707</v>
      </c>
      <c r="C10" s="314">
        <v>1804026366.47</v>
      </c>
      <c r="D10" s="315">
        <v>64077540.560000002</v>
      </c>
      <c r="E10" s="161">
        <v>1868103907.03</v>
      </c>
    </row>
    <row r="11" spans="1:5" ht="20" customHeight="1" thickBot="1">
      <c r="A11" s="141">
        <v>67</v>
      </c>
      <c r="B11" s="141" t="s">
        <v>708</v>
      </c>
      <c r="C11" s="159">
        <v>124366222.95</v>
      </c>
      <c r="D11" s="219">
        <v>4563904.08</v>
      </c>
      <c r="E11" s="313">
        <v>128930127.03</v>
      </c>
    </row>
    <row r="12" spans="1:5" ht="20" customHeight="1" thickBot="1">
      <c r="A12" s="141">
        <v>68</v>
      </c>
      <c r="B12" s="141" t="s">
        <v>709</v>
      </c>
      <c r="C12" s="159">
        <v>-122600323.52</v>
      </c>
      <c r="D12" s="219">
        <v>-4454060.05</v>
      </c>
      <c r="E12" s="313">
        <v>-127054383.56999999</v>
      </c>
    </row>
    <row r="13" spans="1:5" ht="20" customHeight="1" thickBot="1">
      <c r="A13" s="141">
        <v>69</v>
      </c>
      <c r="B13" s="141" t="s">
        <v>710</v>
      </c>
      <c r="C13" s="159">
        <v>5983161.25</v>
      </c>
      <c r="D13" s="219">
        <v>213812.12</v>
      </c>
      <c r="E13" s="313">
        <v>6196973.3700000001</v>
      </c>
    </row>
    <row r="14" spans="1:5" ht="27" customHeight="1" thickBot="1">
      <c r="A14" s="142">
        <v>6</v>
      </c>
      <c r="B14" s="142" t="s">
        <v>2055</v>
      </c>
      <c r="C14" s="314">
        <v>1811775427.1900001</v>
      </c>
      <c r="D14" s="315">
        <v>64401196.729999997</v>
      </c>
      <c r="E14" s="161">
        <v>1876176623.9200001</v>
      </c>
    </row>
    <row r="15" spans="1:5" ht="20" customHeight="1" thickBot="1">
      <c r="A15" s="141">
        <v>31</v>
      </c>
      <c r="B15" s="141" t="s">
        <v>2056</v>
      </c>
      <c r="C15" s="159">
        <v>1525444064.77</v>
      </c>
      <c r="D15" s="219">
        <v>58731750.810000002</v>
      </c>
      <c r="E15" s="313">
        <v>1584175815.5799999</v>
      </c>
    </row>
    <row r="16" spans="1:5" ht="20" customHeight="1" thickBot="1">
      <c r="A16" s="141">
        <v>32</v>
      </c>
      <c r="B16" s="141" t="s">
        <v>2057</v>
      </c>
      <c r="C16" s="159">
        <v>-284930544.62</v>
      </c>
      <c r="D16" s="219">
        <v>-8808155.4199999999</v>
      </c>
      <c r="E16" s="313">
        <v>-293738700.04000002</v>
      </c>
    </row>
    <row r="17" spans="1:5" ht="27" customHeight="1" thickBot="1">
      <c r="A17" s="142" t="s">
        <v>2058</v>
      </c>
      <c r="B17" s="142" t="s">
        <v>2059</v>
      </c>
      <c r="C17" s="314">
        <v>1240513520.1400001</v>
      </c>
      <c r="D17" s="315">
        <v>49923595.390000001</v>
      </c>
      <c r="E17" s="161">
        <v>1290437115.53</v>
      </c>
    </row>
    <row r="18" spans="1:5" ht="20" customHeight="1" thickBot="1">
      <c r="A18" s="141">
        <v>34</v>
      </c>
      <c r="B18" s="141" t="s">
        <v>2060</v>
      </c>
      <c r="C18" s="159">
        <v>3239683.68</v>
      </c>
      <c r="D18" s="219">
        <v>124601.28</v>
      </c>
      <c r="E18" s="313">
        <v>3364284.96</v>
      </c>
    </row>
    <row r="19" spans="1:5" ht="20" customHeight="1" thickBot="1">
      <c r="A19" s="141">
        <v>35</v>
      </c>
      <c r="B19" s="141" t="s">
        <v>2061</v>
      </c>
      <c r="C19" s="159">
        <v>28579524.120000001</v>
      </c>
      <c r="D19" s="219">
        <v>1124736.04</v>
      </c>
      <c r="E19" s="313">
        <v>29704260.16</v>
      </c>
    </row>
    <row r="20" spans="1:5" ht="27" customHeight="1" thickBot="1">
      <c r="A20" s="142" t="s">
        <v>2062</v>
      </c>
      <c r="B20" s="142" t="s">
        <v>2063</v>
      </c>
      <c r="C20" s="314">
        <v>1272332727.96</v>
      </c>
      <c r="D20" s="315">
        <v>51172932.719999999</v>
      </c>
      <c r="E20" s="161">
        <v>1323505660.6800001</v>
      </c>
    </row>
    <row r="21" spans="1:5" ht="20" customHeight="1" thickBot="1">
      <c r="A21" s="141">
        <v>36</v>
      </c>
      <c r="B21" s="141" t="s">
        <v>2064</v>
      </c>
      <c r="C21" s="159">
        <v>-713438.45</v>
      </c>
      <c r="D21" s="219">
        <v>-26153.07</v>
      </c>
      <c r="E21" s="313">
        <v>-739591.52</v>
      </c>
    </row>
    <row r="22" spans="1:5" ht="20" customHeight="1" thickBot="1">
      <c r="A22" s="141">
        <v>37</v>
      </c>
      <c r="B22" s="141" t="s">
        <v>2065</v>
      </c>
      <c r="C22" s="159">
        <v>188774995.63</v>
      </c>
      <c r="D22" s="219">
        <v>7065316.0499999998</v>
      </c>
      <c r="E22" s="313">
        <v>195840311.68000001</v>
      </c>
    </row>
    <row r="23" spans="1:5" ht="27" customHeight="1" thickBot="1">
      <c r="A23" s="142">
        <v>3</v>
      </c>
      <c r="B23" s="142" t="s">
        <v>2066</v>
      </c>
      <c r="C23" s="314">
        <v>1460394285.1700001</v>
      </c>
      <c r="D23" s="315">
        <v>58212095.700000003</v>
      </c>
      <c r="E23" s="161">
        <v>1518606380.8699999</v>
      </c>
    </row>
    <row r="24" spans="1:5" ht="20" customHeight="1" thickBot="1">
      <c r="A24" s="141" t="s">
        <v>2067</v>
      </c>
      <c r="B24" s="141" t="s">
        <v>2068</v>
      </c>
      <c r="C24" s="159">
        <v>88143393.950000003</v>
      </c>
      <c r="D24" s="219">
        <v>3129108.04</v>
      </c>
      <c r="E24" s="313">
        <v>91272501.989999995</v>
      </c>
    </row>
    <row r="25" spans="1:5" ht="20" customHeight="1" thickBot="1">
      <c r="A25" s="141">
        <v>48</v>
      </c>
      <c r="B25" s="141" t="s">
        <v>2069</v>
      </c>
      <c r="C25" s="159">
        <v>8152097.4400000004</v>
      </c>
      <c r="D25" s="219">
        <v>339506.22</v>
      </c>
      <c r="E25" s="313">
        <v>8491603.6600000001</v>
      </c>
    </row>
    <row r="26" spans="1:5" ht="20" customHeight="1" thickBot="1">
      <c r="A26" s="141">
        <v>49</v>
      </c>
      <c r="B26" s="141" t="s">
        <v>2070</v>
      </c>
      <c r="C26" s="159">
        <v>240000.08</v>
      </c>
      <c r="D26" s="219">
        <v>8248.74</v>
      </c>
      <c r="E26" s="313">
        <v>248248.82</v>
      </c>
    </row>
    <row r="27" spans="1:5" ht="27" customHeight="1" thickBot="1">
      <c r="A27" s="142">
        <v>4</v>
      </c>
      <c r="B27" s="142" t="s">
        <v>2071</v>
      </c>
      <c r="C27" s="314">
        <v>96535491.469999999</v>
      </c>
      <c r="D27" s="315">
        <v>3476863</v>
      </c>
      <c r="E27" s="161">
        <v>100012354.47</v>
      </c>
    </row>
    <row r="28" spans="1:5" ht="27" customHeight="1" thickBot="1">
      <c r="A28" s="142" t="s">
        <v>2072</v>
      </c>
      <c r="B28" s="142" t="s">
        <v>2073</v>
      </c>
      <c r="C28" s="314">
        <v>1556929776.6500001</v>
      </c>
      <c r="D28" s="315">
        <v>61688958.710000001</v>
      </c>
      <c r="E28" s="161">
        <v>1618618735.3599999</v>
      </c>
    </row>
    <row r="29" spans="1:5" ht="27" customHeight="1" thickBot="1">
      <c r="A29" s="142"/>
      <c r="B29" s="142" t="s">
        <v>2074</v>
      </c>
      <c r="C29" s="314">
        <v>254845650.50999999</v>
      </c>
      <c r="D29" s="315">
        <v>2712237.99</v>
      </c>
      <c r="E29" s="161">
        <v>257557888.5</v>
      </c>
    </row>
    <row r="30" spans="1:5" ht="27" customHeight="1" thickBot="1">
      <c r="A30" s="142">
        <v>7</v>
      </c>
      <c r="B30" s="142" t="s">
        <v>2075</v>
      </c>
      <c r="C30" s="314">
        <v>11572714.67</v>
      </c>
      <c r="D30" s="315">
        <v>468477.53</v>
      </c>
      <c r="E30" s="161">
        <v>12041192.199999999</v>
      </c>
    </row>
    <row r="31" spans="1:5" ht="34.5" customHeight="1" thickBot="1">
      <c r="A31" s="316"/>
      <c r="B31" s="316" t="s">
        <v>2076</v>
      </c>
      <c r="C31" s="317">
        <v>266418365.19999999</v>
      </c>
      <c r="D31" s="318">
        <v>3180715.54</v>
      </c>
      <c r="E31" s="319">
        <v>269599080.74000001</v>
      </c>
    </row>
    <row r="32" spans="1:5" ht="18.75" customHeight="1">
      <c r="A32" s="2" t="s">
        <v>596</v>
      </c>
    </row>
    <row r="34" spans="1:1">
      <c r="A34" s="2" t="s">
        <v>560</v>
      </c>
    </row>
    <row r="36" spans="1:1">
      <c r="A36" s="2" t="s">
        <v>567</v>
      </c>
    </row>
    <row r="39" spans="1:1">
      <c r="A39" s="2" t="s">
        <v>128</v>
      </c>
    </row>
  </sheetData>
  <mergeCells count="1">
    <mergeCell ref="A2:D2"/>
  </mergeCells>
  <phoneticPr fontId="0" type="noConversion"/>
  <pageMargins left="0.64" right="0.56000000000000005" top="0.96" bottom="0.49" header="0.53" footer="0.4921259845"/>
  <pageSetup paperSize="9" scale="84" orientation="portrait" horizontalDpi="4294967292" verticalDpi="429496729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93BBF-BDDC-664F-B907-1D5B06046854}">
  <sheetPr>
    <pageSetUpPr fitToPage="1"/>
  </sheetPr>
  <dimension ref="A1:E48"/>
  <sheetViews>
    <sheetView zoomScale="75" workbookViewId="0">
      <selection activeCell="E1" sqref="E1"/>
    </sheetView>
  </sheetViews>
  <sheetFormatPr baseColWidth="10" defaultColWidth="11.3984375" defaultRowHeight="13"/>
  <cols>
    <col min="1" max="1" width="8.796875" style="2" customWidth="1"/>
    <col min="2" max="2" width="48.796875" style="21" customWidth="1"/>
    <col min="3" max="3" width="16.796875" style="2" customWidth="1"/>
    <col min="4" max="4" width="16.796875" style="9" customWidth="1"/>
    <col min="5" max="5" width="16.796875" style="347" customWidth="1"/>
    <col min="6" max="16384" width="11.3984375" style="2"/>
  </cols>
  <sheetData>
    <row r="1" spans="1:5" s="1" customFormat="1" ht="54.75" customHeight="1">
      <c r="A1" s="1608" t="s">
        <v>1179</v>
      </c>
      <c r="B1" s="1609"/>
      <c r="C1" s="1609"/>
      <c r="D1" s="1609"/>
      <c r="E1" s="19">
        <v>2005</v>
      </c>
    </row>
    <row r="2" spans="1:5" s="1" customFormat="1" ht="10.5" customHeight="1">
      <c r="A2" s="152"/>
      <c r="B2" s="152"/>
      <c r="C2" s="152"/>
      <c r="D2" s="152"/>
      <c r="E2" s="152"/>
    </row>
    <row r="3" spans="1:5" ht="39" customHeight="1">
      <c r="A3" s="267" t="s">
        <v>696</v>
      </c>
      <c r="B3" s="329"/>
      <c r="C3" s="126" t="s">
        <v>697</v>
      </c>
      <c r="D3" s="262" t="s">
        <v>698</v>
      </c>
      <c r="E3" s="307" t="s">
        <v>43</v>
      </c>
    </row>
    <row r="4" spans="1:5" ht="25.5" customHeight="1">
      <c r="A4" s="308"/>
      <c r="B4" s="244"/>
      <c r="C4" s="135" t="s">
        <v>699</v>
      </c>
      <c r="D4" s="215" t="s">
        <v>699</v>
      </c>
      <c r="E4" s="309" t="s">
        <v>699</v>
      </c>
    </row>
    <row r="5" spans="1:5" ht="30" customHeight="1" thickBot="1">
      <c r="A5" s="137">
        <v>61.1</v>
      </c>
      <c r="B5" s="137" t="s">
        <v>569</v>
      </c>
      <c r="C5" s="157">
        <v>51711317.380000003</v>
      </c>
      <c r="D5" s="217">
        <v>1644731.6</v>
      </c>
      <c r="E5" s="330">
        <v>53356048.979999997</v>
      </c>
    </row>
    <row r="6" spans="1:5" ht="22.5" customHeight="1" thickBot="1">
      <c r="A6" s="331">
        <v>61.2</v>
      </c>
      <c r="B6" s="331" t="s">
        <v>570</v>
      </c>
      <c r="C6" s="157">
        <v>3785317.93</v>
      </c>
      <c r="D6" s="217">
        <v>206351.04</v>
      </c>
      <c r="E6" s="330">
        <v>3991668.97</v>
      </c>
    </row>
    <row r="7" spans="1:5" ht="20" customHeight="1" thickBot="1">
      <c r="A7" s="141">
        <v>64</v>
      </c>
      <c r="B7" s="141" t="s">
        <v>701</v>
      </c>
      <c r="C7" s="157">
        <v>-406856.02</v>
      </c>
      <c r="D7" s="217">
        <v>-15896.65</v>
      </c>
      <c r="E7" s="330">
        <v>-422752.67</v>
      </c>
    </row>
    <row r="8" spans="1:5" ht="20" customHeight="1" thickBot="1">
      <c r="A8" s="141">
        <v>65</v>
      </c>
      <c r="B8" s="141" t="s">
        <v>702</v>
      </c>
      <c r="C8" s="157">
        <v>33036.99</v>
      </c>
      <c r="D8" s="217">
        <v>1720</v>
      </c>
      <c r="E8" s="330">
        <v>34756.99</v>
      </c>
    </row>
    <row r="9" spans="1:5" ht="27" customHeight="1" thickBot="1">
      <c r="A9" s="142" t="s">
        <v>703</v>
      </c>
      <c r="B9" s="142" t="s">
        <v>704</v>
      </c>
      <c r="C9" s="157">
        <v>55122816.280000001</v>
      </c>
      <c r="D9" s="217">
        <v>1836905.99</v>
      </c>
      <c r="E9" s="330">
        <v>56959722.270000003</v>
      </c>
    </row>
    <row r="10" spans="1:5" ht="20" customHeight="1" thickBot="1">
      <c r="A10" s="141">
        <v>66</v>
      </c>
      <c r="B10" s="141" t="s">
        <v>705</v>
      </c>
      <c r="C10" s="157">
        <v>-32085.57</v>
      </c>
      <c r="D10" s="217">
        <v>-609.80999999999995</v>
      </c>
      <c r="E10" s="330">
        <v>-32695.38</v>
      </c>
    </row>
    <row r="11" spans="1:5" ht="27" customHeight="1" thickBot="1">
      <c r="A11" s="142" t="s">
        <v>706</v>
      </c>
      <c r="B11" s="142" t="s">
        <v>707</v>
      </c>
      <c r="C11" s="157">
        <v>55090730.710000001</v>
      </c>
      <c r="D11" s="217">
        <v>1836296.18</v>
      </c>
      <c r="E11" s="330">
        <v>56927026.890000001</v>
      </c>
    </row>
    <row r="12" spans="1:5" ht="21" customHeight="1" thickBot="1">
      <c r="A12" s="141">
        <v>67</v>
      </c>
      <c r="B12" s="141" t="s">
        <v>708</v>
      </c>
      <c r="C12" s="157">
        <v>920679.19</v>
      </c>
      <c r="D12" s="217">
        <v>33716.400000000001</v>
      </c>
      <c r="E12" s="330">
        <v>954395.59</v>
      </c>
    </row>
    <row r="13" spans="1:5" ht="21" customHeight="1" thickBot="1">
      <c r="A13" s="141">
        <v>68</v>
      </c>
      <c r="B13" s="141" t="s">
        <v>709</v>
      </c>
      <c r="C13" s="157">
        <v>-1395335.81</v>
      </c>
      <c r="D13" s="217">
        <v>-42530.7</v>
      </c>
      <c r="E13" s="330">
        <v>-1437866.51</v>
      </c>
    </row>
    <row r="14" spans="1:5" ht="21" customHeight="1" thickBot="1">
      <c r="A14" s="141">
        <v>69</v>
      </c>
      <c r="B14" s="141" t="s">
        <v>710</v>
      </c>
      <c r="C14" s="157">
        <v>34999.4</v>
      </c>
      <c r="D14" s="217">
        <v>1312.06</v>
      </c>
      <c r="E14" s="330">
        <v>36311.46</v>
      </c>
    </row>
    <row r="15" spans="1:5" ht="27" customHeight="1" thickBot="1">
      <c r="A15" s="142">
        <v>6</v>
      </c>
      <c r="B15" s="142" t="s">
        <v>2055</v>
      </c>
      <c r="C15" s="157">
        <v>54651073.490000002</v>
      </c>
      <c r="D15" s="217">
        <v>1828793.96</v>
      </c>
      <c r="E15" s="330">
        <v>56479867.450000003</v>
      </c>
    </row>
    <row r="16" spans="1:5" ht="20" customHeight="1" thickBot="1">
      <c r="A16" s="141">
        <v>31.1</v>
      </c>
      <c r="B16" s="141" t="s">
        <v>571</v>
      </c>
      <c r="C16" s="157">
        <v>31345544.59</v>
      </c>
      <c r="D16" s="217">
        <v>543795.29</v>
      </c>
      <c r="E16" s="330">
        <v>31889339.879999999</v>
      </c>
    </row>
    <row r="17" spans="1:5" ht="20" customHeight="1" thickBot="1">
      <c r="A17" s="141">
        <v>31.2</v>
      </c>
      <c r="B17" s="141" t="s">
        <v>572</v>
      </c>
      <c r="C17" s="157">
        <v>1361869.7</v>
      </c>
      <c r="D17" s="217">
        <v>35800.22</v>
      </c>
      <c r="E17" s="330">
        <v>1397669.92</v>
      </c>
    </row>
    <row r="18" spans="1:5" ht="20" customHeight="1" thickBot="1">
      <c r="A18" s="141">
        <v>32</v>
      </c>
      <c r="B18" s="141" t="s">
        <v>2057</v>
      </c>
      <c r="C18" s="157">
        <v>-3176483.5</v>
      </c>
      <c r="D18" s="217">
        <v>-53325.48</v>
      </c>
      <c r="E18" s="330">
        <v>-3229808.98</v>
      </c>
    </row>
    <row r="19" spans="1:5" ht="27" customHeight="1" thickBot="1">
      <c r="A19" s="142" t="s">
        <v>2058</v>
      </c>
      <c r="B19" s="142" t="s">
        <v>2059</v>
      </c>
      <c r="C19" s="157">
        <v>29530930.800000001</v>
      </c>
      <c r="D19" s="217">
        <v>526270.03</v>
      </c>
      <c r="E19" s="330">
        <v>30057200.829999998</v>
      </c>
    </row>
    <row r="20" spans="1:5" ht="20" customHeight="1" thickBot="1">
      <c r="A20" s="141">
        <v>34</v>
      </c>
      <c r="B20" s="141" t="s">
        <v>2060</v>
      </c>
      <c r="C20" s="157">
        <v>31484.81</v>
      </c>
      <c r="D20" s="217">
        <v>490.34</v>
      </c>
      <c r="E20" s="330">
        <v>31975.15</v>
      </c>
    </row>
    <row r="21" spans="1:5" ht="20" customHeight="1" thickBot="1">
      <c r="A21" s="141">
        <v>35</v>
      </c>
      <c r="B21" s="141" t="s">
        <v>2061</v>
      </c>
      <c r="C21" s="157">
        <v>9538776.0800000001</v>
      </c>
      <c r="D21" s="217">
        <v>277904.14</v>
      </c>
      <c r="E21" s="330">
        <v>9816680.2200000007</v>
      </c>
    </row>
    <row r="22" spans="1:5" ht="20" customHeight="1" thickBot="1">
      <c r="A22" s="141">
        <v>35.1</v>
      </c>
      <c r="B22" s="141" t="s">
        <v>573</v>
      </c>
      <c r="C22" s="157">
        <v>462597.13</v>
      </c>
      <c r="D22" s="217">
        <v>45136.58</v>
      </c>
      <c r="E22" s="330">
        <v>507733.71</v>
      </c>
    </row>
    <row r="23" spans="1:5" ht="27" customHeight="1" thickBot="1">
      <c r="A23" s="142" t="s">
        <v>2062</v>
      </c>
      <c r="B23" s="142" t="s">
        <v>2063</v>
      </c>
      <c r="C23" s="157">
        <v>39563788.82</v>
      </c>
      <c r="D23" s="217">
        <v>849801.09</v>
      </c>
      <c r="E23" s="330">
        <v>40413589.909999996</v>
      </c>
    </row>
    <row r="24" spans="1:5" ht="20" customHeight="1" thickBot="1">
      <c r="A24" s="141">
        <v>36</v>
      </c>
      <c r="B24" s="141" t="s">
        <v>2064</v>
      </c>
      <c r="C24" s="157">
        <v>-17257.37</v>
      </c>
      <c r="D24" s="217">
        <v>-161.41999999999999</v>
      </c>
      <c r="E24" s="330">
        <v>-17418.79</v>
      </c>
    </row>
    <row r="25" spans="1:5" ht="20" customHeight="1" thickBot="1">
      <c r="A25" s="141">
        <v>37</v>
      </c>
      <c r="B25" s="141" t="s">
        <v>2065</v>
      </c>
      <c r="C25" s="157">
        <v>7042543.8700000001</v>
      </c>
      <c r="D25" s="217">
        <v>118048.92</v>
      </c>
      <c r="E25" s="330">
        <v>7160592.79</v>
      </c>
    </row>
    <row r="26" spans="1:5" ht="27" customHeight="1" thickBot="1">
      <c r="A26" s="142">
        <v>3</v>
      </c>
      <c r="B26" s="142" t="s">
        <v>2066</v>
      </c>
      <c r="C26" s="157">
        <v>46589075.32</v>
      </c>
      <c r="D26" s="217">
        <v>967688.59</v>
      </c>
      <c r="E26" s="330">
        <v>47556763.909999996</v>
      </c>
    </row>
    <row r="27" spans="1:5" ht="20" customHeight="1" thickBot="1">
      <c r="A27" s="141" t="s">
        <v>2067</v>
      </c>
      <c r="B27" s="141" t="s">
        <v>2068</v>
      </c>
      <c r="C27" s="157">
        <v>2901892.64</v>
      </c>
      <c r="D27" s="217">
        <v>101413.15</v>
      </c>
      <c r="E27" s="330">
        <v>3003305.79</v>
      </c>
    </row>
    <row r="28" spans="1:5" ht="20" customHeight="1" thickBot="1">
      <c r="A28" s="141">
        <v>48</v>
      </c>
      <c r="B28" s="141" t="s">
        <v>2069</v>
      </c>
      <c r="C28" s="157">
        <v>686548.2</v>
      </c>
      <c r="D28" s="217">
        <v>20222.810000000001</v>
      </c>
      <c r="E28" s="330">
        <v>706771.01</v>
      </c>
    </row>
    <row r="29" spans="1:5" ht="20" customHeight="1" thickBot="1">
      <c r="A29" s="141">
        <v>49</v>
      </c>
      <c r="B29" s="141" t="s">
        <v>2070</v>
      </c>
      <c r="C29" s="157">
        <v>4669.68</v>
      </c>
      <c r="D29" s="217">
        <v>150.87</v>
      </c>
      <c r="E29" s="330">
        <v>4820.55</v>
      </c>
    </row>
    <row r="30" spans="1:5" ht="27" customHeight="1" thickBot="1">
      <c r="A30" s="142">
        <v>4</v>
      </c>
      <c r="B30" s="142" t="s">
        <v>2071</v>
      </c>
      <c r="C30" s="157">
        <v>3593110.51</v>
      </c>
      <c r="D30" s="217">
        <v>121786.84</v>
      </c>
      <c r="E30" s="330">
        <v>3714897.35</v>
      </c>
    </row>
    <row r="31" spans="1:5" ht="27" customHeight="1" thickBot="1">
      <c r="A31" s="142" t="s">
        <v>2072</v>
      </c>
      <c r="B31" s="142" t="s">
        <v>2073</v>
      </c>
      <c r="C31" s="157">
        <v>50182185.850000001</v>
      </c>
      <c r="D31" s="217">
        <v>1089475.4099999999</v>
      </c>
      <c r="E31" s="330">
        <v>51271661.259999998</v>
      </c>
    </row>
    <row r="32" spans="1:5" ht="27" customHeight="1" thickBot="1">
      <c r="A32" s="142"/>
      <c r="B32" s="142" t="s">
        <v>2074</v>
      </c>
      <c r="C32" s="159">
        <v>4468887.6399999997</v>
      </c>
      <c r="D32" s="219">
        <v>739318.55</v>
      </c>
      <c r="E32" s="313">
        <v>5208206.1900000004</v>
      </c>
    </row>
    <row r="33" spans="1:5" ht="27" customHeight="1" thickBot="1">
      <c r="A33" s="142">
        <v>7</v>
      </c>
      <c r="B33" s="142" t="s">
        <v>2075</v>
      </c>
      <c r="C33" s="159">
        <v>352607.75</v>
      </c>
      <c r="D33" s="219">
        <v>13413.15</v>
      </c>
      <c r="E33" s="313">
        <v>366020.9</v>
      </c>
    </row>
    <row r="34" spans="1:5" ht="27.75" customHeight="1" thickBot="1">
      <c r="A34" s="332"/>
      <c r="B34" s="332" t="s">
        <v>2076</v>
      </c>
      <c r="C34" s="333">
        <v>4821495.3899999997</v>
      </c>
      <c r="D34" s="334">
        <v>752731.7</v>
      </c>
      <c r="E34" s="335">
        <v>5574227.0899999999</v>
      </c>
    </row>
    <row r="35" spans="1:5" ht="22.5" customHeight="1">
      <c r="A35" s="336"/>
      <c r="B35" s="336"/>
      <c r="C35" s="337"/>
      <c r="D35" s="337"/>
      <c r="E35" s="338"/>
    </row>
    <row r="36" spans="1:5" ht="24" customHeight="1">
      <c r="A36" s="339" t="s">
        <v>1180</v>
      </c>
      <c r="B36" s="340"/>
      <c r="C36" s="340"/>
      <c r="D36" s="340"/>
      <c r="E36" s="340"/>
    </row>
    <row r="37" spans="1:5" ht="21" customHeight="1" thickBot="1">
      <c r="A37" s="203"/>
      <c r="B37" s="203" t="s">
        <v>721</v>
      </c>
      <c r="C37" s="341" t="s">
        <v>1646</v>
      </c>
      <c r="D37" s="342" t="s">
        <v>1646</v>
      </c>
      <c r="E37" s="343">
        <v>18491887.280000001</v>
      </c>
    </row>
    <row r="38" spans="1:5" ht="21" customHeight="1" thickBot="1">
      <c r="A38" s="142"/>
      <c r="B38" s="142" t="s">
        <v>722</v>
      </c>
      <c r="C38" s="314" t="s">
        <v>1646</v>
      </c>
      <c r="D38" s="315" t="s">
        <v>1646</v>
      </c>
      <c r="E38" s="161">
        <v>-2030580.77</v>
      </c>
    </row>
    <row r="39" spans="1:5" ht="21" customHeight="1" thickBot="1">
      <c r="A39" s="142"/>
      <c r="B39" s="142" t="s">
        <v>723</v>
      </c>
      <c r="C39" s="314" t="s">
        <v>1646</v>
      </c>
      <c r="D39" s="315" t="s">
        <v>1646</v>
      </c>
      <c r="E39" s="161">
        <v>16461306.51</v>
      </c>
    </row>
    <row r="40" spans="1:5" ht="15.75" customHeight="1">
      <c r="A40" s="146" t="s">
        <v>596</v>
      </c>
      <c r="B40" s="344"/>
      <c r="C40" s="146"/>
      <c r="D40" s="345"/>
      <c r="E40" s="346"/>
    </row>
    <row r="42" spans="1:5">
      <c r="A42" s="2" t="s">
        <v>724</v>
      </c>
    </row>
    <row r="43" spans="1:5">
      <c r="A43" s="348" t="s">
        <v>725</v>
      </c>
    </row>
    <row r="45" spans="1:5">
      <c r="A45" s="2" t="s">
        <v>726</v>
      </c>
    </row>
    <row r="48" spans="1:5">
      <c r="A48" s="2" t="s">
        <v>128</v>
      </c>
    </row>
  </sheetData>
  <mergeCells count="1">
    <mergeCell ref="A1:D1"/>
  </mergeCells>
  <phoneticPr fontId="0" type="noConversion"/>
  <pageMargins left="0.47244094488188981" right="0.59055118110236227" top="0.5" bottom="0.3" header="0.26" footer="0.19"/>
  <pageSetup paperSize="9" scale="76" orientation="portrait" horizontalDpi="4294967292" verticalDpi="429496729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CFAA1-2661-CB48-84D9-94FC164C3B9A}">
  <sheetPr>
    <pageSetUpPr fitToPage="1"/>
  </sheetPr>
  <dimension ref="A1:J22"/>
  <sheetViews>
    <sheetView zoomScale="75" workbookViewId="0">
      <selection activeCell="A21" sqref="A21"/>
    </sheetView>
  </sheetViews>
  <sheetFormatPr baseColWidth="10" defaultColWidth="11.3984375" defaultRowHeight="13"/>
  <cols>
    <col min="1" max="1" width="14.3984375" style="2" customWidth="1"/>
    <col min="2" max="2" width="17.3984375" style="2" customWidth="1"/>
    <col min="3" max="5" width="15.19921875" style="2" customWidth="1"/>
    <col min="6" max="6" width="16.3984375" style="2" customWidth="1"/>
    <col min="7" max="16384" width="11.3984375" style="2"/>
  </cols>
  <sheetData>
    <row r="1" spans="1:10" s="1" customFormat="1" ht="14" customHeight="1"/>
    <row r="2" spans="1:10" s="1" customFormat="1" ht="39" customHeight="1">
      <c r="A2" s="1606" t="s">
        <v>1251</v>
      </c>
      <c r="B2" s="1610"/>
      <c r="C2" s="1610"/>
      <c r="D2" s="1610"/>
      <c r="E2" s="1610"/>
      <c r="F2" s="19">
        <v>2005</v>
      </c>
    </row>
    <row r="3" spans="1:10" ht="24" customHeight="1">
      <c r="A3" s="125" t="s">
        <v>328</v>
      </c>
      <c r="B3" s="126" t="s">
        <v>329</v>
      </c>
      <c r="C3" s="127" t="s">
        <v>330</v>
      </c>
      <c r="D3" s="126" t="s">
        <v>331</v>
      </c>
      <c r="E3" s="127" t="s">
        <v>332</v>
      </c>
      <c r="F3" s="126" t="s">
        <v>43</v>
      </c>
    </row>
    <row r="4" spans="1:10" ht="15" customHeight="1">
      <c r="A4" s="212"/>
      <c r="B4" s="129" t="s">
        <v>333</v>
      </c>
      <c r="C4" s="131" t="s">
        <v>334</v>
      </c>
      <c r="D4" s="129" t="s">
        <v>335</v>
      </c>
      <c r="E4" s="213" t="s">
        <v>336</v>
      </c>
      <c r="F4" s="129"/>
    </row>
    <row r="5" spans="1:10" ht="15" customHeight="1">
      <c r="A5" s="212"/>
      <c r="B5" s="129" t="s">
        <v>337</v>
      </c>
      <c r="C5" s="131" t="s">
        <v>338</v>
      </c>
      <c r="D5" s="129" t="s">
        <v>339</v>
      </c>
      <c r="E5" s="213" t="s">
        <v>340</v>
      </c>
      <c r="F5" s="129"/>
    </row>
    <row r="6" spans="1:10" ht="24" customHeight="1">
      <c r="A6" s="214"/>
      <c r="B6" s="135"/>
      <c r="C6" s="134"/>
      <c r="D6" s="135"/>
      <c r="E6" s="215" t="s">
        <v>341</v>
      </c>
      <c r="F6" s="135"/>
    </row>
    <row r="7" spans="1:10" ht="21.75" customHeight="1" thickBot="1">
      <c r="A7" s="216">
        <v>1996</v>
      </c>
      <c r="B7" s="157">
        <v>-991775322</v>
      </c>
      <c r="C7" s="217">
        <v>663779882</v>
      </c>
      <c r="D7" s="157">
        <v>3167199</v>
      </c>
      <c r="E7" s="217">
        <v>4895896</v>
      </c>
      <c r="F7" s="157">
        <v>-319932346</v>
      </c>
      <c r="G7" s="9"/>
    </row>
    <row r="8" spans="1:10" ht="20" customHeight="1" thickBot="1">
      <c r="A8" s="218">
        <v>1997</v>
      </c>
      <c r="B8" s="159">
        <v>-876459686</v>
      </c>
      <c r="C8" s="219">
        <v>838256173</v>
      </c>
      <c r="D8" s="159">
        <v>-2030295</v>
      </c>
      <c r="E8" s="219">
        <v>110405696</v>
      </c>
      <c r="F8" s="159">
        <v>70171888</v>
      </c>
      <c r="G8" s="9"/>
      <c r="H8" s="10"/>
      <c r="I8" s="10"/>
      <c r="J8" s="10"/>
    </row>
    <row r="9" spans="1:10" ht="20" customHeight="1" thickBot="1">
      <c r="A9" s="218">
        <v>1998</v>
      </c>
      <c r="B9" s="159">
        <v>-430866451</v>
      </c>
      <c r="C9" s="219">
        <v>357976738</v>
      </c>
      <c r="D9" s="159">
        <v>4544767</v>
      </c>
      <c r="E9" s="219">
        <v>68311649</v>
      </c>
      <c r="F9" s="159">
        <v>-33297</v>
      </c>
      <c r="G9" s="9"/>
    </row>
    <row r="10" spans="1:10" ht="20" customHeight="1" thickBot="1">
      <c r="A10" s="218">
        <v>1999</v>
      </c>
      <c r="B10" s="159">
        <v>-927498708</v>
      </c>
      <c r="C10" s="219">
        <v>825438408</v>
      </c>
      <c r="D10" s="159">
        <v>3614253</v>
      </c>
      <c r="E10" s="219">
        <v>49059277</v>
      </c>
      <c r="F10" s="159">
        <v>-49386770</v>
      </c>
      <c r="G10" s="9"/>
    </row>
    <row r="11" spans="1:10" ht="19.5" customHeight="1" thickBot="1">
      <c r="A11" s="218">
        <v>2000</v>
      </c>
      <c r="B11" s="159">
        <v>-1105229685</v>
      </c>
      <c r="C11" s="219">
        <v>733255417.92999995</v>
      </c>
      <c r="D11" s="159">
        <v>3877650.94</v>
      </c>
      <c r="E11" s="219">
        <v>62142502.969999999</v>
      </c>
      <c r="F11" s="159">
        <v>-305954113.39999998</v>
      </c>
      <c r="G11" s="9"/>
    </row>
    <row r="12" spans="1:10" ht="19.5" customHeight="1" thickBot="1">
      <c r="A12" s="218">
        <v>2001</v>
      </c>
      <c r="B12" s="159">
        <v>-1433346588</v>
      </c>
      <c r="C12" s="219">
        <v>618037013.5</v>
      </c>
      <c r="D12" s="159">
        <v>2472338.21</v>
      </c>
      <c r="E12" s="219">
        <v>23119861.41</v>
      </c>
      <c r="F12" s="159">
        <v>-789717374.88</v>
      </c>
      <c r="G12" s="9"/>
    </row>
    <row r="13" spans="1:10" ht="19.5" customHeight="1" thickBot="1">
      <c r="A13" s="218">
        <v>2002</v>
      </c>
      <c r="B13" s="159">
        <v>-1276900302</v>
      </c>
      <c r="C13" s="219">
        <v>976642734.75999999</v>
      </c>
      <c r="D13" s="159">
        <v>4263892.6399999997</v>
      </c>
      <c r="E13" s="219">
        <v>72321311.689999998</v>
      </c>
      <c r="F13" s="159">
        <v>-223672362.91000003</v>
      </c>
      <c r="G13" s="9"/>
    </row>
    <row r="14" spans="1:10" ht="19.5" customHeight="1" thickBot="1">
      <c r="A14" s="218">
        <v>2003</v>
      </c>
      <c r="B14" s="159">
        <v>-1199959344</v>
      </c>
      <c r="C14" s="219">
        <v>1406688222.5</v>
      </c>
      <c r="D14" s="159">
        <v>4842490.32</v>
      </c>
      <c r="E14" s="219">
        <v>188158567.50999999</v>
      </c>
      <c r="F14" s="159">
        <v>399729936.32999998</v>
      </c>
      <c r="G14" s="9"/>
    </row>
    <row r="15" spans="1:10" ht="19.5" customHeight="1" thickBot="1">
      <c r="A15" s="218">
        <v>2004</v>
      </c>
      <c r="B15" s="159">
        <v>-1391640712</v>
      </c>
      <c r="C15" s="219">
        <v>1634981205.5999999</v>
      </c>
      <c r="D15" s="159">
        <v>5236324.96</v>
      </c>
      <c r="E15" s="219">
        <v>265564837.19999999</v>
      </c>
      <c r="F15" s="159">
        <v>514141655.75999987</v>
      </c>
      <c r="G15" s="9"/>
    </row>
    <row r="16" spans="1:10" ht="30" customHeight="1" thickBot="1">
      <c r="A16" s="220">
        <v>2005</v>
      </c>
      <c r="B16" s="221">
        <v>-1649416138.25</v>
      </c>
      <c r="C16" s="222">
        <v>1546156469.1700001</v>
      </c>
      <c r="D16" s="221">
        <v>5085262.22</v>
      </c>
      <c r="E16" s="222">
        <v>269599080.74000001</v>
      </c>
      <c r="F16" s="221">
        <v>171424673.88000008</v>
      </c>
      <c r="G16" s="349"/>
    </row>
    <row r="17" spans="1:6" ht="20" customHeight="1">
      <c r="A17" s="146" t="s">
        <v>596</v>
      </c>
      <c r="B17" s="146"/>
      <c r="C17" s="146"/>
      <c r="D17" s="146"/>
      <c r="E17" s="146"/>
      <c r="F17" s="146"/>
    </row>
    <row r="18" spans="1:6" ht="12.75" customHeight="1">
      <c r="A18" s="4"/>
      <c r="B18" s="4"/>
      <c r="C18" s="4"/>
      <c r="D18" s="4"/>
      <c r="E18" s="4"/>
      <c r="F18" s="4"/>
    </row>
    <row r="19" spans="1:6">
      <c r="A19" s="2" t="s">
        <v>1252</v>
      </c>
    </row>
    <row r="22" spans="1:6">
      <c r="A22" s="2" t="s">
        <v>128</v>
      </c>
    </row>
  </sheetData>
  <mergeCells count="1">
    <mergeCell ref="A2:E2"/>
  </mergeCells>
  <phoneticPr fontId="0" type="noConversion"/>
  <pageMargins left="0.6" right="0.65" top="1.01" bottom="0.49" header="0.53" footer="0.4921259845"/>
  <pageSetup paperSize="9" scale="97" orientation="portrait" horizontalDpi="4294967292" verticalDpi="429496729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82CB2-EC13-D34B-BF43-34AA8A3A2E4A}">
  <sheetPr>
    <pageSetUpPr fitToPage="1"/>
  </sheetPr>
  <dimension ref="A1:J22"/>
  <sheetViews>
    <sheetView zoomScale="75" workbookViewId="0">
      <selection activeCell="A15" sqref="A15:IV15"/>
    </sheetView>
  </sheetViews>
  <sheetFormatPr baseColWidth="10" defaultColWidth="11.3984375" defaultRowHeight="13"/>
  <cols>
    <col min="1" max="1" width="14.3984375" style="2" customWidth="1"/>
    <col min="2" max="6" width="15.3984375" style="2" customWidth="1"/>
    <col min="7" max="16384" width="11.3984375" style="2"/>
  </cols>
  <sheetData>
    <row r="1" spans="1:10" s="1" customFormat="1" ht="14" customHeight="1"/>
    <row r="2" spans="1:10" s="1" customFormat="1" ht="39" customHeight="1">
      <c r="A2" s="1606" t="s">
        <v>1253</v>
      </c>
      <c r="B2" s="1610"/>
      <c r="C2" s="1610"/>
      <c r="D2" s="1610"/>
      <c r="E2" s="1610"/>
      <c r="F2" s="192">
        <v>2005</v>
      </c>
    </row>
    <row r="3" spans="1:10" ht="24" customHeight="1">
      <c r="A3" s="125" t="s">
        <v>1254</v>
      </c>
      <c r="B3" s="126" t="s">
        <v>329</v>
      </c>
      <c r="C3" s="127" t="s">
        <v>330</v>
      </c>
      <c r="D3" s="126" t="s">
        <v>331</v>
      </c>
      <c r="E3" s="127" t="s">
        <v>332</v>
      </c>
      <c r="F3" s="126" t="s">
        <v>43</v>
      </c>
    </row>
    <row r="4" spans="1:10" ht="15" customHeight="1">
      <c r="A4" s="212"/>
      <c r="B4" s="129" t="s">
        <v>333</v>
      </c>
      <c r="C4" s="131" t="s">
        <v>334</v>
      </c>
      <c r="D4" s="129" t="s">
        <v>335</v>
      </c>
      <c r="E4" s="213" t="s">
        <v>336</v>
      </c>
      <c r="F4" s="129"/>
    </row>
    <row r="5" spans="1:10" ht="15" customHeight="1">
      <c r="A5" s="212"/>
      <c r="B5" s="129" t="s">
        <v>337</v>
      </c>
      <c r="C5" s="131" t="s">
        <v>338</v>
      </c>
      <c r="D5" s="129" t="s">
        <v>339</v>
      </c>
      <c r="E5" s="213" t="s">
        <v>340</v>
      </c>
      <c r="F5" s="129"/>
    </row>
    <row r="6" spans="1:10" ht="24" customHeight="1">
      <c r="A6" s="214"/>
      <c r="B6" s="135"/>
      <c r="C6" s="134"/>
      <c r="D6" s="135"/>
      <c r="E6" s="215" t="s">
        <v>341</v>
      </c>
      <c r="F6" s="135"/>
    </row>
    <row r="7" spans="1:10" ht="22.5" customHeight="1" thickBot="1">
      <c r="A7" s="216">
        <v>1996</v>
      </c>
      <c r="B7" s="157">
        <v>-209.25119249563258</v>
      </c>
      <c r="C7" s="217">
        <v>287.88798918153714</v>
      </c>
      <c r="D7" s="157">
        <v>113.8133893919793</v>
      </c>
      <c r="E7" s="217">
        <v>40.26296485139558</v>
      </c>
      <c r="F7" s="157">
        <v>-44.467447531910054</v>
      </c>
    </row>
    <row r="8" spans="1:10" ht="20" customHeight="1" thickBot="1">
      <c r="A8" s="218">
        <v>1997</v>
      </c>
      <c r="B8" s="159">
        <v>-214.61582270081155</v>
      </c>
      <c r="C8" s="219">
        <v>306.33942450638875</v>
      </c>
      <c r="D8" s="159">
        <v>-176.63955107012353</v>
      </c>
      <c r="E8" s="219">
        <v>288.19554520703849</v>
      </c>
      <c r="F8" s="159">
        <v>9.7260962701001628</v>
      </c>
      <c r="H8" s="10"/>
      <c r="I8" s="10"/>
      <c r="J8" s="10"/>
    </row>
    <row r="9" spans="1:10" ht="20" customHeight="1" thickBot="1">
      <c r="A9" s="218">
        <v>1998</v>
      </c>
      <c r="B9" s="159">
        <v>-107.28033046607707</v>
      </c>
      <c r="C9" s="219">
        <v>131.29687859897859</v>
      </c>
      <c r="D9" s="159">
        <v>384.2379945891106</v>
      </c>
      <c r="E9" s="219">
        <v>138.27149421099506</v>
      </c>
      <c r="F9" s="159">
        <v>-4.5935747895146139E-3</v>
      </c>
    </row>
    <row r="10" spans="1:10" ht="20" customHeight="1" thickBot="1">
      <c r="A10" s="218">
        <v>1999</v>
      </c>
      <c r="B10" s="159">
        <v>-231.94750851767455</v>
      </c>
      <c r="C10" s="219">
        <v>303.95700464199626</v>
      </c>
      <c r="D10" s="159">
        <v>352.33505556638721</v>
      </c>
      <c r="E10" s="219">
        <v>90.53364520474635</v>
      </c>
      <c r="F10" s="159">
        <v>-6.7964685777290796</v>
      </c>
    </row>
    <row r="11" spans="1:10" ht="20" customHeight="1" thickBot="1">
      <c r="A11" s="218">
        <v>2000</v>
      </c>
      <c r="B11" s="159">
        <v>-281.80831964955939</v>
      </c>
      <c r="C11" s="219">
        <v>265.81296038591444</v>
      </c>
      <c r="D11" s="159">
        <v>395.23503618387525</v>
      </c>
      <c r="E11" s="219">
        <v>107.54256442516194</v>
      </c>
      <c r="F11" s="159">
        <v>-42.095410127886048</v>
      </c>
    </row>
    <row r="12" spans="1:10" ht="20" customHeight="1" thickBot="1">
      <c r="A12" s="218">
        <v>2001</v>
      </c>
      <c r="B12" s="159">
        <v>-369.21073383560986</v>
      </c>
      <c r="C12" s="219">
        <v>218.09355776804139</v>
      </c>
      <c r="D12" s="159">
        <v>264.67596724119471</v>
      </c>
      <c r="E12" s="219">
        <v>38.795684474417683</v>
      </c>
      <c r="F12" s="159">
        <v>-107.86592232759077</v>
      </c>
    </row>
    <row r="13" spans="1:10" ht="20" customHeight="1" thickBot="1">
      <c r="A13" s="218">
        <v>2002</v>
      </c>
      <c r="B13" s="159">
        <v>-334.90929649130862</v>
      </c>
      <c r="C13" s="219">
        <v>327.64230472151957</v>
      </c>
      <c r="D13" s="159">
        <v>482.61376796830785</v>
      </c>
      <c r="E13" s="219">
        <v>129.83261678350553</v>
      </c>
      <c r="F13" s="159">
        <v>-30.392888912290669</v>
      </c>
    </row>
    <row r="14" spans="1:10" ht="20" customHeight="1" thickBot="1">
      <c r="A14" s="218">
        <v>2003</v>
      </c>
      <c r="B14" s="159">
        <v>-326.58442193959615</v>
      </c>
      <c r="C14" s="219">
        <v>452.73392575127201</v>
      </c>
      <c r="D14" s="159">
        <v>582.24002885655887</v>
      </c>
      <c r="E14" s="219">
        <v>311.77683579562023</v>
      </c>
      <c r="F14" s="159">
        <v>54.067330132819563</v>
      </c>
    </row>
    <row r="15" spans="1:10" ht="20" customHeight="1" thickBot="1">
      <c r="A15" s="218">
        <v>2004</v>
      </c>
      <c r="B15" s="159">
        <v>-382.39377988050956</v>
      </c>
      <c r="C15" s="219">
        <v>540.52128193947215</v>
      </c>
      <c r="D15" s="159">
        <v>646.61953074833286</v>
      </c>
      <c r="E15" s="219">
        <v>355.14430610645576</v>
      </c>
      <c r="F15" s="159">
        <v>69.291571070195104</v>
      </c>
    </row>
    <row r="16" spans="1:10" s="163" customFormat="1" ht="30" customHeight="1" thickBot="1">
      <c r="A16" s="220">
        <v>2005</v>
      </c>
      <c r="B16" s="221">
        <v>-457.46233703722402</v>
      </c>
      <c r="C16" s="222">
        <v>526.06943385550483</v>
      </c>
      <c r="D16" s="221">
        <v>659.48154843729731</v>
      </c>
      <c r="E16" s="222">
        <v>297.53361969202518</v>
      </c>
      <c r="F16" s="221">
        <v>22.983877251046639</v>
      </c>
    </row>
    <row r="17" spans="1:6" ht="20" customHeight="1">
      <c r="A17" s="146" t="s">
        <v>596</v>
      </c>
      <c r="B17" s="146"/>
      <c r="C17" s="146"/>
      <c r="D17" s="146"/>
      <c r="E17" s="146"/>
      <c r="F17" s="146"/>
    </row>
    <row r="19" spans="1:6">
      <c r="A19" s="2" t="s">
        <v>1255</v>
      </c>
    </row>
    <row r="22" spans="1:6">
      <c r="A22" s="2" t="s">
        <v>128</v>
      </c>
    </row>
  </sheetData>
  <mergeCells count="1">
    <mergeCell ref="A2:E2"/>
  </mergeCells>
  <phoneticPr fontId="0" type="noConversion"/>
  <pageMargins left="0.57999999999999996" right="0.72" top="1.1000000000000001" bottom="0.49" header="0.57999999999999996" footer="0.4921259845"/>
  <pageSetup paperSize="9" scale="98"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F8CA9-4055-FB40-AAAC-FAFCE8A228D6}">
  <sheetPr>
    <pageSetUpPr fitToPage="1"/>
  </sheetPr>
  <dimension ref="A1:J22"/>
  <sheetViews>
    <sheetView zoomScale="75" workbookViewId="0">
      <selection activeCell="E19" sqref="E19"/>
    </sheetView>
  </sheetViews>
  <sheetFormatPr baseColWidth="10" defaultColWidth="11.3984375" defaultRowHeight="13"/>
  <cols>
    <col min="1" max="1" width="14.3984375" style="2" customWidth="1"/>
    <col min="2" max="7" width="15.3984375" style="2" customWidth="1"/>
    <col min="8" max="8" width="17.796875" style="2" customWidth="1"/>
    <col min="9" max="16384" width="11.3984375" style="2"/>
  </cols>
  <sheetData>
    <row r="1" spans="1:10" s="1" customFormat="1" ht="14" customHeight="1"/>
    <row r="2" spans="1:10" s="1" customFormat="1" ht="28" customHeight="1">
      <c r="A2" s="124" t="s">
        <v>1258</v>
      </c>
      <c r="H2" s="350">
        <v>2005</v>
      </c>
    </row>
    <row r="3" spans="1:10" ht="24" customHeight="1">
      <c r="A3" s="125" t="s">
        <v>1254</v>
      </c>
      <c r="B3" s="126" t="s">
        <v>329</v>
      </c>
      <c r="C3" s="127" t="s">
        <v>330</v>
      </c>
      <c r="D3" s="126" t="s">
        <v>331</v>
      </c>
      <c r="E3" s="127" t="s">
        <v>332</v>
      </c>
      <c r="F3" s="126" t="s">
        <v>43</v>
      </c>
      <c r="G3" s="127" t="s">
        <v>1259</v>
      </c>
      <c r="H3" s="129" t="s">
        <v>1260</v>
      </c>
    </row>
    <row r="4" spans="1:10" ht="15" customHeight="1">
      <c r="A4" s="212"/>
      <c r="B4" s="129" t="s">
        <v>333</v>
      </c>
      <c r="C4" s="131" t="s">
        <v>334</v>
      </c>
      <c r="D4" s="129" t="s">
        <v>335</v>
      </c>
      <c r="E4" s="131" t="s">
        <v>336</v>
      </c>
      <c r="F4" s="129"/>
      <c r="G4" s="131" t="s">
        <v>1260</v>
      </c>
      <c r="H4" s="351" t="s">
        <v>592</v>
      </c>
    </row>
    <row r="5" spans="1:10" ht="15" customHeight="1">
      <c r="A5" s="212"/>
      <c r="B5" s="129" t="s">
        <v>337</v>
      </c>
      <c r="C5" s="131" t="s">
        <v>338</v>
      </c>
      <c r="D5" s="129" t="s">
        <v>339</v>
      </c>
      <c r="E5" s="131" t="s">
        <v>340</v>
      </c>
      <c r="F5" s="129"/>
      <c r="G5" s="352" t="s">
        <v>592</v>
      </c>
      <c r="H5" s="353" t="s">
        <v>593</v>
      </c>
    </row>
    <row r="6" spans="1:10" ht="24" customHeight="1">
      <c r="A6" s="214"/>
      <c r="B6" s="135"/>
      <c r="C6" s="134"/>
      <c r="D6" s="135"/>
      <c r="E6" s="134" t="s">
        <v>341</v>
      </c>
      <c r="F6" s="135"/>
      <c r="G6" s="134" t="s">
        <v>594</v>
      </c>
      <c r="H6" s="135"/>
    </row>
    <row r="7" spans="1:10" ht="22.5" customHeight="1" thickBot="1">
      <c r="A7" s="354">
        <v>1996</v>
      </c>
      <c r="B7" s="157">
        <v>649209078</v>
      </c>
      <c r="C7" s="217">
        <v>296204692</v>
      </c>
      <c r="D7" s="157">
        <v>2703444</v>
      </c>
      <c r="E7" s="217">
        <v>11710365</v>
      </c>
      <c r="F7" s="157">
        <v>959827579</v>
      </c>
      <c r="G7" s="158">
        <v>8.160992566527614E-2</v>
      </c>
      <c r="H7" s="157">
        <v>11761162275</v>
      </c>
    </row>
    <row r="8" spans="1:10" ht="20" customHeight="1" thickBot="1">
      <c r="A8" s="355">
        <v>1997</v>
      </c>
      <c r="B8" s="159">
        <v>500889187</v>
      </c>
      <c r="C8" s="219">
        <v>356202290</v>
      </c>
      <c r="D8" s="159">
        <v>947002</v>
      </c>
      <c r="E8" s="219">
        <v>35169957</v>
      </c>
      <c r="F8" s="159">
        <v>893208437</v>
      </c>
      <c r="G8" s="356">
        <v>7.2355407590263501E-2</v>
      </c>
      <c r="H8" s="159">
        <v>12344736444</v>
      </c>
      <c r="I8" s="10"/>
      <c r="J8" s="10"/>
    </row>
    <row r="9" spans="1:10" ht="20" customHeight="1" thickBot="1">
      <c r="A9" s="355">
        <v>1998</v>
      </c>
      <c r="B9" s="159">
        <v>457365467</v>
      </c>
      <c r="C9" s="219">
        <v>348237805</v>
      </c>
      <c r="D9" s="159">
        <v>775330</v>
      </c>
      <c r="E9" s="219">
        <v>48566196</v>
      </c>
      <c r="F9" s="159">
        <v>854944797</v>
      </c>
      <c r="G9" s="356">
        <v>6.5539994260804979E-2</v>
      </c>
      <c r="H9" s="159">
        <v>13044627279</v>
      </c>
    </row>
    <row r="10" spans="1:10" ht="20" customHeight="1" thickBot="1">
      <c r="A10" s="355">
        <v>1999</v>
      </c>
      <c r="B10" s="159">
        <v>466630422</v>
      </c>
      <c r="C10" s="219">
        <v>332810614</v>
      </c>
      <c r="D10" s="159">
        <v>653141</v>
      </c>
      <c r="E10" s="219">
        <v>54148946</v>
      </c>
      <c r="F10" s="159">
        <v>854243123</v>
      </c>
      <c r="G10" s="356">
        <v>6.3520258007815578E-2</v>
      </c>
      <c r="H10" s="159">
        <v>13448357261</v>
      </c>
    </row>
    <row r="11" spans="1:10" ht="20" customHeight="1" thickBot="1">
      <c r="A11" s="355">
        <v>2000</v>
      </c>
      <c r="B11" s="159">
        <v>463039687.31</v>
      </c>
      <c r="C11" s="219">
        <v>338664058.75</v>
      </c>
      <c r="D11" s="159">
        <v>692132.4</v>
      </c>
      <c r="E11" s="219">
        <v>60882478.25</v>
      </c>
      <c r="F11" s="159">
        <v>863278356.70999992</v>
      </c>
      <c r="G11" s="356">
        <v>6.0778319554744789E-2</v>
      </c>
      <c r="H11" s="159">
        <v>14203722035</v>
      </c>
    </row>
    <row r="12" spans="1:10" ht="20" customHeight="1" thickBot="1">
      <c r="A12" s="355">
        <v>2001</v>
      </c>
      <c r="B12" s="159">
        <v>473405802.30000001</v>
      </c>
      <c r="C12" s="219">
        <v>367784678.56</v>
      </c>
      <c r="D12" s="159">
        <v>749931.27</v>
      </c>
      <c r="E12" s="219">
        <v>66915939.469999999</v>
      </c>
      <c r="F12" s="159">
        <v>908856351.60000002</v>
      </c>
      <c r="G12" s="356">
        <v>6.0883052653460515E-2</v>
      </c>
      <c r="H12" s="159">
        <v>14927903776</v>
      </c>
    </row>
    <row r="13" spans="1:10" ht="20" customHeight="1" thickBot="1">
      <c r="A13" s="355">
        <v>2002</v>
      </c>
      <c r="B13" s="159">
        <v>472860051.04000002</v>
      </c>
      <c r="C13" s="219">
        <v>381940533.88</v>
      </c>
      <c r="D13" s="159">
        <v>686255.39</v>
      </c>
      <c r="E13" s="219">
        <v>68086548.329999998</v>
      </c>
      <c r="F13" s="159">
        <v>923573388.6400001</v>
      </c>
      <c r="G13" s="356">
        <v>5.9305732530714958E-2</v>
      </c>
      <c r="H13" s="159">
        <v>15573087950</v>
      </c>
    </row>
    <row r="14" spans="1:10" ht="20" customHeight="1" thickBot="1">
      <c r="A14" s="355">
        <v>2003</v>
      </c>
      <c r="B14" s="159">
        <v>470970297.86000001</v>
      </c>
      <c r="C14" s="219">
        <v>408594784.26000005</v>
      </c>
      <c r="D14" s="159">
        <v>692369.29</v>
      </c>
      <c r="E14" s="219">
        <v>68876407.299999997</v>
      </c>
      <c r="F14" s="159">
        <v>949133858.71000004</v>
      </c>
      <c r="G14" s="356">
        <v>5.7102364889053812E-2</v>
      </c>
      <c r="H14" s="159">
        <v>16621620848</v>
      </c>
    </row>
    <row r="15" spans="1:10" ht="20" customHeight="1" thickBot="1">
      <c r="A15" s="355">
        <v>2004</v>
      </c>
      <c r="B15" s="159">
        <v>484897853.29000002</v>
      </c>
      <c r="C15" s="219">
        <v>415930592.72000003</v>
      </c>
      <c r="D15" s="159">
        <v>723109.3</v>
      </c>
      <c r="E15" s="219">
        <v>85829196.189999998</v>
      </c>
      <c r="F15" s="159">
        <v>987380751.5</v>
      </c>
      <c r="G15" s="356">
        <v>5.6068315584587115E-2</v>
      </c>
      <c r="H15" s="159">
        <v>17610315937</v>
      </c>
    </row>
    <row r="16" spans="1:10" ht="30" customHeight="1" thickBot="1">
      <c r="A16" s="357">
        <v>2005</v>
      </c>
      <c r="B16" s="221">
        <v>499701726.70000005</v>
      </c>
      <c r="C16" s="222">
        <v>398938241.44999999</v>
      </c>
      <c r="D16" s="221">
        <v>733379.04</v>
      </c>
      <c r="E16" s="222">
        <v>99764105.649999991</v>
      </c>
      <c r="F16" s="221">
        <v>999137452.84000003</v>
      </c>
      <c r="G16" s="358">
        <v>5.3974609336098663E-2</v>
      </c>
      <c r="H16" s="206">
        <v>18511249365.759998</v>
      </c>
      <c r="I16" s="9"/>
    </row>
    <row r="17" spans="1:7" ht="20" customHeight="1">
      <c r="A17" s="146" t="s">
        <v>596</v>
      </c>
      <c r="B17" s="146"/>
      <c r="C17" s="146"/>
      <c r="D17" s="146"/>
      <c r="E17" s="146"/>
      <c r="F17" s="146"/>
      <c r="G17" s="146"/>
    </row>
    <row r="18" spans="1:7">
      <c r="F18" s="359"/>
    </row>
    <row r="19" spans="1:7">
      <c r="A19" s="2" t="s">
        <v>595</v>
      </c>
    </row>
    <row r="22" spans="1:7">
      <c r="A22" s="2" t="s">
        <v>128</v>
      </c>
    </row>
  </sheetData>
  <phoneticPr fontId="0" type="noConversion"/>
  <pageMargins left="0.48" right="0.56000000000000005" top="0.94" bottom="0.49" header="0.57999999999999996" footer="0.4921259845"/>
  <pageSetup paperSize="9" scale="75" orientation="portrait" horizontalDpi="1200" verticalDpi="12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EB580-D198-8A44-8E70-399B40BEC3E5}">
  <sheetPr>
    <pageSetUpPr fitToPage="1"/>
  </sheetPr>
  <dimension ref="A1:J22"/>
  <sheetViews>
    <sheetView zoomScale="75" workbookViewId="0">
      <selection activeCell="A15" sqref="A15:IV15"/>
    </sheetView>
  </sheetViews>
  <sheetFormatPr baseColWidth="10" defaultColWidth="11.3984375" defaultRowHeight="13"/>
  <cols>
    <col min="1" max="1" width="18.796875" style="2" customWidth="1"/>
    <col min="2" max="7" width="14.796875" style="2" customWidth="1"/>
    <col min="8" max="8" width="9.19921875" style="2" customWidth="1"/>
    <col min="9" max="16384" width="11.3984375" style="2"/>
  </cols>
  <sheetData>
    <row r="1" spans="1:10" s="1" customFormat="1" ht="14" customHeight="1"/>
    <row r="2" spans="1:10" s="1" customFormat="1" ht="39" customHeight="1">
      <c r="A2" s="1606" t="s">
        <v>1256</v>
      </c>
      <c r="B2" s="1610"/>
      <c r="C2" s="1610"/>
      <c r="D2" s="1610"/>
      <c r="E2" s="1610"/>
      <c r="F2" s="1610"/>
      <c r="G2" s="192">
        <v>2005</v>
      </c>
    </row>
    <row r="3" spans="1:10" ht="24" customHeight="1">
      <c r="A3" s="125" t="s">
        <v>1254</v>
      </c>
      <c r="B3" s="126" t="s">
        <v>329</v>
      </c>
      <c r="C3" s="127" t="s">
        <v>330</v>
      </c>
      <c r="D3" s="126" t="s">
        <v>331</v>
      </c>
      <c r="E3" s="127" t="s">
        <v>332</v>
      </c>
      <c r="F3" s="126" t="s">
        <v>43</v>
      </c>
      <c r="G3" s="127" t="s">
        <v>265</v>
      </c>
    </row>
    <row r="4" spans="1:10" ht="15" customHeight="1">
      <c r="A4" s="212"/>
      <c r="B4" s="129" t="s">
        <v>333</v>
      </c>
      <c r="C4" s="131" t="s">
        <v>334</v>
      </c>
      <c r="D4" s="129" t="s">
        <v>335</v>
      </c>
      <c r="E4" s="213" t="s">
        <v>336</v>
      </c>
      <c r="F4" s="129"/>
      <c r="G4" s="131" t="s">
        <v>267</v>
      </c>
    </row>
    <row r="5" spans="1:10" ht="15" customHeight="1">
      <c r="A5" s="212"/>
      <c r="B5" s="129" t="s">
        <v>337</v>
      </c>
      <c r="C5" s="131" t="s">
        <v>338</v>
      </c>
      <c r="D5" s="129" t="s">
        <v>339</v>
      </c>
      <c r="E5" s="213" t="s">
        <v>340</v>
      </c>
      <c r="F5" s="129"/>
      <c r="G5" s="131" t="s">
        <v>268</v>
      </c>
    </row>
    <row r="6" spans="1:10" ht="24" customHeight="1">
      <c r="A6" s="214"/>
      <c r="B6" s="135"/>
      <c r="C6" s="134"/>
      <c r="D6" s="135"/>
      <c r="E6" s="215" t="s">
        <v>341</v>
      </c>
      <c r="F6" s="135"/>
      <c r="G6" s="134"/>
    </row>
    <row r="7" spans="1:10" ht="22.5" customHeight="1" thickBot="1">
      <c r="A7" s="216">
        <v>1996</v>
      </c>
      <c r="B7" s="157">
        <v>136.97434362103451</v>
      </c>
      <c r="C7" s="217">
        <v>128.46694435673865</v>
      </c>
      <c r="D7" s="157">
        <v>97.148339801638642</v>
      </c>
      <c r="E7" s="217">
        <v>96.303927696179215</v>
      </c>
      <c r="F7" s="157">
        <v>133.40658749416588</v>
      </c>
      <c r="G7" s="158">
        <v>0.15128629508664851</v>
      </c>
    </row>
    <row r="8" spans="1:10" ht="20" customHeight="1" thickBot="1">
      <c r="A8" s="218">
        <v>1997</v>
      </c>
      <c r="B8" s="159">
        <v>122.6511004066257</v>
      </c>
      <c r="C8" s="219">
        <v>130.17357705334524</v>
      </c>
      <c r="D8" s="159">
        <v>82.390986601705237</v>
      </c>
      <c r="E8" s="219">
        <v>91.805271826945415</v>
      </c>
      <c r="F8" s="159">
        <v>123.8021591713151</v>
      </c>
      <c r="G8" s="160">
        <v>-7.1993658658503643E-2</v>
      </c>
      <c r="H8" s="10"/>
      <c r="I8" s="10"/>
      <c r="J8" s="10"/>
    </row>
    <row r="9" spans="1:10" ht="20" customHeight="1" thickBot="1">
      <c r="A9" s="218">
        <v>1998</v>
      </c>
      <c r="B9" s="159">
        <v>113.87825236718575</v>
      </c>
      <c r="C9" s="219">
        <v>127.72488252200283</v>
      </c>
      <c r="D9" s="159">
        <v>65.550388907676705</v>
      </c>
      <c r="E9" s="219">
        <v>98.304177799368475</v>
      </c>
      <c r="F9" s="159">
        <v>117.94614727831004</v>
      </c>
      <c r="G9" s="160">
        <v>-4.7301371253966752E-2</v>
      </c>
    </row>
    <row r="10" spans="1:10" ht="20" customHeight="1" thickBot="1">
      <c r="A10" s="218">
        <v>1999</v>
      </c>
      <c r="B10" s="159">
        <v>116.69424749371302</v>
      </c>
      <c r="C10" s="219">
        <v>122.55319883843305</v>
      </c>
      <c r="D10" s="159">
        <v>63.671378436342366</v>
      </c>
      <c r="E10" s="219">
        <v>99.926084629721899</v>
      </c>
      <c r="F10" s="159">
        <v>117.55853932562621</v>
      </c>
      <c r="G10" s="160">
        <v>-3.2863129625523811E-3</v>
      </c>
    </row>
    <row r="11" spans="1:10" ht="20" customHeight="1" thickBot="1">
      <c r="A11" s="218">
        <v>2000</v>
      </c>
      <c r="B11" s="159">
        <v>118.06454168111537</v>
      </c>
      <c r="C11" s="219">
        <v>122.76935680445337</v>
      </c>
      <c r="D11" s="159">
        <v>70.546570176332693</v>
      </c>
      <c r="E11" s="219">
        <v>105.36199101482934</v>
      </c>
      <c r="F11" s="159">
        <v>118.77616573412266</v>
      </c>
      <c r="G11" s="160">
        <v>1.0357617706730186E-2</v>
      </c>
    </row>
    <row r="12" spans="1:10" ht="20" customHeight="1" thickBot="1">
      <c r="A12" s="218">
        <v>2001</v>
      </c>
      <c r="B12" s="159">
        <v>121.94294466707073</v>
      </c>
      <c r="C12" s="219">
        <v>129.78424801045657</v>
      </c>
      <c r="D12" s="159">
        <v>80.283831495557223</v>
      </c>
      <c r="E12" s="219">
        <v>112.28655864106896</v>
      </c>
      <c r="F12" s="159">
        <v>124.13887771371346</v>
      </c>
      <c r="G12" s="160">
        <v>4.514973139977501E-2</v>
      </c>
    </row>
    <row r="13" spans="1:10" ht="20" customHeight="1" thickBot="1">
      <c r="A13" s="218">
        <v>2002</v>
      </c>
      <c r="B13" s="159">
        <v>124.02317297960094</v>
      </c>
      <c r="C13" s="219">
        <v>128.13270639622655</v>
      </c>
      <c r="D13" s="159">
        <v>77.674633842671199</v>
      </c>
      <c r="E13" s="219">
        <v>122.23028773775435</v>
      </c>
      <c r="F13" s="159">
        <v>125.49634223061366</v>
      </c>
      <c r="G13" s="160">
        <v>1.0935047439616501E-2</v>
      </c>
    </row>
    <row r="14" spans="1:10" ht="20" customHeight="1" thickBot="1">
      <c r="A14" s="218">
        <v>2003</v>
      </c>
      <c r="B14" s="159">
        <v>128.18064482468625</v>
      </c>
      <c r="C14" s="219">
        <v>131.50371046027854</v>
      </c>
      <c r="D14" s="159">
        <v>83.247479860526639</v>
      </c>
      <c r="E14" s="219">
        <v>114.12750752273389</v>
      </c>
      <c r="F14" s="159">
        <v>128.37951080237647</v>
      </c>
      <c r="G14" s="160">
        <v>2.2974124349095865E-2</v>
      </c>
    </row>
    <row r="15" spans="1:10" ht="20" customHeight="1" thickBot="1">
      <c r="A15" s="218">
        <v>2004</v>
      </c>
      <c r="B15" s="159">
        <v>133.23979485267307</v>
      </c>
      <c r="C15" s="219">
        <v>137.50576239336979</v>
      </c>
      <c r="D15" s="159">
        <v>89.294801185477908</v>
      </c>
      <c r="E15" s="219">
        <v>114.78082206198195</v>
      </c>
      <c r="F15" s="159">
        <v>133.07064842814813</v>
      </c>
      <c r="G15" s="160">
        <v>3.6541170755768453E-2</v>
      </c>
    </row>
    <row r="16" spans="1:10" ht="30" customHeight="1" thickBot="1">
      <c r="A16" s="220">
        <v>2005</v>
      </c>
      <c r="B16" s="221">
        <v>138.59129568130271</v>
      </c>
      <c r="C16" s="222">
        <v>135.73607782113612</v>
      </c>
      <c r="D16" s="221">
        <v>95.10816236545196</v>
      </c>
      <c r="E16" s="222">
        <v>110.10117463274447</v>
      </c>
      <c r="F16" s="221">
        <v>133.96001901729241</v>
      </c>
      <c r="G16" s="162">
        <v>6.6834467228473445E-3</v>
      </c>
    </row>
    <row r="17" spans="1:7" ht="20.25" customHeight="1">
      <c r="A17" s="146" t="s">
        <v>596</v>
      </c>
      <c r="B17" s="146"/>
      <c r="C17" s="146"/>
      <c r="D17" s="146"/>
      <c r="E17" s="146"/>
      <c r="F17" s="146"/>
      <c r="G17" s="146"/>
    </row>
    <row r="19" spans="1:7">
      <c r="A19" s="2" t="s">
        <v>1257</v>
      </c>
    </row>
    <row r="22" spans="1:7">
      <c r="A22" s="2" t="s">
        <v>128</v>
      </c>
    </row>
  </sheetData>
  <mergeCells count="1">
    <mergeCell ref="A2:F2"/>
  </mergeCells>
  <phoneticPr fontId="0" type="noConversion"/>
  <pageMargins left="0.55000000000000004" right="0.55000000000000004" top="1.0900000000000001" bottom="0.49" header="0.53" footer="0.4921259845"/>
  <pageSetup paperSize="9" scale="86" orientation="portrait" horizontalDpi="4294967292" verticalDpi="4294967292"/>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3A9F2-2F85-D244-A34F-E871963EF73C}">
  <sheetPr>
    <pageSetUpPr fitToPage="1"/>
  </sheetPr>
  <dimension ref="A1:K25"/>
  <sheetViews>
    <sheetView topLeftCell="A5" zoomScale="75" workbookViewId="0">
      <selection activeCell="A3" sqref="A3"/>
    </sheetView>
  </sheetViews>
  <sheetFormatPr baseColWidth="10" defaultColWidth="11.3984375" defaultRowHeight="13"/>
  <cols>
    <col min="1" max="1" width="14.3984375" style="2" customWidth="1"/>
    <col min="2" max="2" width="15.59765625" style="2" customWidth="1"/>
    <col min="3" max="5" width="15.3984375" style="2" customWidth="1"/>
    <col min="6" max="6" width="15.3984375" style="210" customWidth="1"/>
    <col min="7" max="7" width="15.3984375" style="2" customWidth="1"/>
    <col min="8" max="16384" width="11.3984375" style="2"/>
  </cols>
  <sheetData>
    <row r="1" spans="1:11" s="1" customFormat="1" ht="14" customHeight="1">
      <c r="F1" s="191"/>
    </row>
    <row r="2" spans="1:11" s="1" customFormat="1" ht="28" customHeight="1">
      <c r="A2" s="124" t="s">
        <v>1985</v>
      </c>
      <c r="F2" s="191"/>
      <c r="G2" s="192">
        <v>2005</v>
      </c>
    </row>
    <row r="3" spans="1:11" ht="24" customHeight="1">
      <c r="A3" s="125" t="s">
        <v>1254</v>
      </c>
      <c r="B3" s="126" t="s">
        <v>1986</v>
      </c>
      <c r="C3" s="127" t="s">
        <v>265</v>
      </c>
      <c r="D3" s="126" t="s">
        <v>1993</v>
      </c>
      <c r="E3" s="127" t="s">
        <v>265</v>
      </c>
      <c r="F3" s="193" t="s">
        <v>1987</v>
      </c>
      <c r="G3" s="127" t="s">
        <v>265</v>
      </c>
    </row>
    <row r="4" spans="1:11" ht="15" customHeight="1">
      <c r="A4" s="212"/>
      <c r="B4" s="155" t="s">
        <v>2220</v>
      </c>
      <c r="C4" s="131" t="s">
        <v>267</v>
      </c>
      <c r="D4" s="155" t="s">
        <v>1988</v>
      </c>
      <c r="E4" s="131" t="s">
        <v>267</v>
      </c>
      <c r="F4" s="194" t="s">
        <v>2198</v>
      </c>
      <c r="G4" s="131" t="s">
        <v>267</v>
      </c>
    </row>
    <row r="5" spans="1:11" ht="15" customHeight="1">
      <c r="A5" s="212"/>
      <c r="B5" s="129" t="s">
        <v>699</v>
      </c>
      <c r="C5" s="131" t="s">
        <v>268</v>
      </c>
      <c r="D5" s="129" t="s">
        <v>1989</v>
      </c>
      <c r="E5" s="131" t="s">
        <v>268</v>
      </c>
      <c r="F5" s="194"/>
      <c r="G5" s="131" t="s">
        <v>268</v>
      </c>
    </row>
    <row r="6" spans="1:11" ht="24" customHeight="1">
      <c r="A6" s="214"/>
      <c r="B6" s="135"/>
      <c r="C6" s="134"/>
      <c r="D6" s="135" t="s">
        <v>180</v>
      </c>
      <c r="E6" s="134"/>
      <c r="F6" s="195"/>
      <c r="G6" s="134"/>
    </row>
    <row r="7" spans="1:11" ht="23.25" customHeight="1" thickBot="1">
      <c r="A7" s="216">
        <v>1996</v>
      </c>
      <c r="B7" s="157">
        <v>2856077149.5999999</v>
      </c>
      <c r="C7" s="158" t="s">
        <v>861</v>
      </c>
      <c r="D7" s="157">
        <v>396.96661617617502</v>
      </c>
      <c r="E7" s="158" t="s">
        <v>861</v>
      </c>
      <c r="F7" s="300">
        <v>0.25659604678130066</v>
      </c>
      <c r="G7" s="158" t="s">
        <v>861</v>
      </c>
    </row>
    <row r="8" spans="1:11" ht="20" customHeight="1" thickBot="1">
      <c r="A8" s="218">
        <v>1997</v>
      </c>
      <c r="B8" s="159">
        <v>2991879965.3000002</v>
      </c>
      <c r="C8" s="160">
        <v>4.7548721055738909E-2</v>
      </c>
      <c r="D8" s="159">
        <v>414.68618560030387</v>
      </c>
      <c r="E8" s="160">
        <v>4.4637429703320061E-2</v>
      </c>
      <c r="F8" s="301">
        <v>0.24848089473110047</v>
      </c>
      <c r="G8" s="160">
        <v>-3.1626177222897033E-2</v>
      </c>
      <c r="I8" s="10"/>
      <c r="J8" s="10"/>
      <c r="K8" s="10"/>
    </row>
    <row r="9" spans="1:11" ht="20" customHeight="1" thickBot="1">
      <c r="A9" s="218">
        <v>1998</v>
      </c>
      <c r="B9" s="159">
        <v>2985530959.1999998</v>
      </c>
      <c r="C9" s="160">
        <v>-2.1220791521172401E-3</v>
      </c>
      <c r="D9" s="159">
        <v>411.87673806939074</v>
      </c>
      <c r="E9" s="160">
        <v>-6.7748761074501391E-3</v>
      </c>
      <c r="F9" s="301">
        <v>0.23492819435144413</v>
      </c>
      <c r="G9" s="160">
        <v>-5.4542223032167977E-2</v>
      </c>
    </row>
    <row r="10" spans="1:11" ht="20" customHeight="1" thickBot="1">
      <c r="A10" s="218">
        <v>1999</v>
      </c>
      <c r="B10" s="159">
        <v>3077412147.1999998</v>
      </c>
      <c r="C10" s="160">
        <v>3.0775493289347901E-2</v>
      </c>
      <c r="D10" s="159">
        <v>423.5048163539866</v>
      </c>
      <c r="E10" s="160">
        <v>2.823193739734052E-2</v>
      </c>
      <c r="F10" s="301">
        <v>0.23610935015841622</v>
      </c>
      <c r="G10" s="160">
        <v>5.0277311764680014E-3</v>
      </c>
    </row>
    <row r="11" spans="1:11" ht="20" customHeight="1" thickBot="1">
      <c r="A11" s="218">
        <v>2000</v>
      </c>
      <c r="B11" s="159">
        <v>2832106458.9000001</v>
      </c>
      <c r="C11" s="160">
        <v>-7.971167869834804E-2</v>
      </c>
      <c r="D11" s="159">
        <v>389.66197116417186</v>
      </c>
      <c r="E11" s="160">
        <v>-7.9911358461451809E-2</v>
      </c>
      <c r="F11" s="301">
        <v>0.21069626660407667</v>
      </c>
      <c r="G11" s="160">
        <v>-0.10763268602996361</v>
      </c>
    </row>
    <row r="12" spans="1:11" ht="20" customHeight="1" thickBot="1">
      <c r="A12" s="218">
        <v>2001</v>
      </c>
      <c r="B12" s="159">
        <v>2102639270.2</v>
      </c>
      <c r="C12" s="160">
        <v>-0.25757053955638648</v>
      </c>
      <c r="D12" s="159">
        <v>287.19530735511393</v>
      </c>
      <c r="E12" s="160">
        <v>-0.26296295607940356</v>
      </c>
      <c r="F12" s="301">
        <v>0.15021735666544661</v>
      </c>
      <c r="G12" s="160">
        <v>-0.28704310196571786</v>
      </c>
    </row>
    <row r="13" spans="1:11" ht="20" customHeight="1" thickBot="1">
      <c r="A13" s="218">
        <v>2002</v>
      </c>
      <c r="B13" s="159">
        <v>1965532086</v>
      </c>
      <c r="C13" s="160">
        <v>-6.5207183249725284E-2</v>
      </c>
      <c r="D13" s="159">
        <v>267.07903276981096</v>
      </c>
      <c r="E13" s="160">
        <v>-7.0043883274281363E-2</v>
      </c>
      <c r="F13" s="301">
        <v>0.12800562007019203</v>
      </c>
      <c r="G13" s="160">
        <v>-0.14786398248721</v>
      </c>
    </row>
    <row r="14" spans="1:11" ht="20" customHeight="1" thickBot="1">
      <c r="A14" s="218">
        <v>2003</v>
      </c>
      <c r="B14" s="159">
        <v>2393706072.8000002</v>
      </c>
      <c r="C14" s="160">
        <v>0.2178412603130612</v>
      </c>
      <c r="D14" s="159">
        <v>323.77183872505339</v>
      </c>
      <c r="E14" s="160">
        <v>0.21226977410879197</v>
      </c>
      <c r="F14" s="301">
        <v>0.14231214354211111</v>
      </c>
      <c r="G14" s="160">
        <v>0.11176480738950427</v>
      </c>
    </row>
    <row r="15" spans="1:11" ht="20" customHeight="1" thickBot="1">
      <c r="A15" s="218">
        <v>2004</v>
      </c>
      <c r="B15" s="159">
        <v>2968481015</v>
      </c>
      <c r="C15" s="160">
        <v>0.24011926473815803</v>
      </c>
      <c r="D15" s="159">
        <v>400.06622866872578</v>
      </c>
      <c r="E15" s="160">
        <v>0.23564245193190347</v>
      </c>
      <c r="F15" s="301">
        <v>0.16464390527007836</v>
      </c>
      <c r="G15" s="160">
        <v>0.15692098490076592</v>
      </c>
    </row>
    <row r="16" spans="1:11" ht="30" customHeight="1" thickBot="1">
      <c r="A16" s="220">
        <v>2005</v>
      </c>
      <c r="B16" s="221">
        <v>3184488330</v>
      </c>
      <c r="C16" s="162">
        <v>7.2766951820980405E-2</v>
      </c>
      <c r="D16" s="221">
        <v>426.96239244617698</v>
      </c>
      <c r="E16" s="162">
        <v>6.72292781796449E-2</v>
      </c>
      <c r="F16" s="302">
        <v>0.17216782468933323</v>
      </c>
      <c r="G16" s="162">
        <v>4.5698135056458929E-2</v>
      </c>
    </row>
    <row r="17" spans="1:7" ht="20" customHeight="1">
      <c r="A17" s="146" t="s">
        <v>2010</v>
      </c>
      <c r="B17" s="146"/>
      <c r="C17" s="146"/>
      <c r="D17" s="146"/>
      <c r="E17" s="146"/>
      <c r="F17" s="281"/>
      <c r="G17" s="146"/>
    </row>
    <row r="18" spans="1:7" ht="14.25" customHeight="1">
      <c r="A18" s="4"/>
      <c r="B18" s="4"/>
      <c r="C18" s="4"/>
      <c r="D18" s="4"/>
      <c r="E18" s="4"/>
      <c r="F18" s="282"/>
      <c r="G18" s="4"/>
    </row>
    <row r="19" spans="1:7" ht="12.75" customHeight="1">
      <c r="A19" s="4" t="s">
        <v>1990</v>
      </c>
      <c r="B19" s="4"/>
      <c r="C19" s="4"/>
      <c r="D19" s="4"/>
      <c r="E19" s="4"/>
      <c r="F19" s="282"/>
      <c r="G19" s="4"/>
    </row>
    <row r="20" spans="1:7">
      <c r="A20" s="2" t="s">
        <v>1991</v>
      </c>
    </row>
    <row r="22" spans="1:7">
      <c r="A22" s="2" t="s">
        <v>1992</v>
      </c>
    </row>
    <row r="25" spans="1:7">
      <c r="A25" s="2" t="s">
        <v>128</v>
      </c>
    </row>
  </sheetData>
  <phoneticPr fontId="0" type="noConversion"/>
  <pageMargins left="0.57999999999999996" right="0.69" top="0.94" bottom="0.49" header="0.53" footer="0.4921259845"/>
  <pageSetup paperSize="9" scale="84" orientation="portrait" horizontalDpi="4294967292" verticalDpi="4294967292"/>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6DE31-31AE-A94E-B308-8F89061A33F6}">
  <sheetPr>
    <pageSetUpPr fitToPage="1"/>
  </sheetPr>
  <dimension ref="A1:K25"/>
  <sheetViews>
    <sheetView topLeftCell="A4" zoomScale="75" workbookViewId="0">
      <selection activeCell="A15" sqref="A15:IV15"/>
    </sheetView>
  </sheetViews>
  <sheetFormatPr baseColWidth="10" defaultColWidth="11.3984375" defaultRowHeight="13"/>
  <cols>
    <col min="1" max="1" width="15.19921875" style="2" customWidth="1"/>
    <col min="2" max="2" width="16.796875" style="2" customWidth="1"/>
    <col min="3" max="5" width="15.19921875" style="2" customWidth="1"/>
    <col min="6" max="6" width="15.19921875" style="210" customWidth="1"/>
    <col min="7" max="7" width="15.19921875" style="2" customWidth="1"/>
    <col min="8" max="16384" width="11.3984375" style="2"/>
  </cols>
  <sheetData>
    <row r="1" spans="1:11" s="1" customFormat="1" ht="14" customHeight="1">
      <c r="F1" s="191"/>
    </row>
    <row r="2" spans="1:11" s="1" customFormat="1" ht="37.5" customHeight="1">
      <c r="A2" s="1606" t="s">
        <v>1994</v>
      </c>
      <c r="B2" s="1610"/>
      <c r="C2" s="1610"/>
      <c r="D2" s="1610"/>
      <c r="E2" s="1610"/>
      <c r="F2" s="1610"/>
      <c r="G2" s="192">
        <v>2005</v>
      </c>
    </row>
    <row r="3" spans="1:11" ht="24" customHeight="1">
      <c r="A3" s="125" t="s">
        <v>1254</v>
      </c>
      <c r="B3" s="126" t="s">
        <v>1986</v>
      </c>
      <c r="C3" s="127" t="s">
        <v>265</v>
      </c>
      <c r="D3" s="126" t="s">
        <v>1995</v>
      </c>
      <c r="E3" s="127" t="s">
        <v>265</v>
      </c>
      <c r="F3" s="193" t="s">
        <v>1996</v>
      </c>
      <c r="G3" s="127" t="s">
        <v>265</v>
      </c>
    </row>
    <row r="4" spans="1:11" ht="15" customHeight="1">
      <c r="A4" s="212"/>
      <c r="B4" s="155" t="s">
        <v>1997</v>
      </c>
      <c r="C4" s="131" t="s">
        <v>267</v>
      </c>
      <c r="D4" s="155" t="s">
        <v>1998</v>
      </c>
      <c r="E4" s="131" t="s">
        <v>267</v>
      </c>
      <c r="F4" s="194" t="s">
        <v>1999</v>
      </c>
      <c r="G4" s="131" t="s">
        <v>267</v>
      </c>
    </row>
    <row r="5" spans="1:11" ht="15" customHeight="1">
      <c r="A5" s="212"/>
      <c r="B5" s="129" t="s">
        <v>2000</v>
      </c>
      <c r="C5" s="131" t="s">
        <v>268</v>
      </c>
      <c r="D5" s="129" t="s">
        <v>169</v>
      </c>
      <c r="E5" s="131" t="s">
        <v>268</v>
      </c>
      <c r="F5" s="194" t="s">
        <v>2001</v>
      </c>
      <c r="G5" s="131" t="s">
        <v>268</v>
      </c>
    </row>
    <row r="6" spans="1:11" ht="24" customHeight="1">
      <c r="A6" s="214"/>
      <c r="B6" s="135" t="s">
        <v>699</v>
      </c>
      <c r="C6" s="134"/>
      <c r="D6" s="135" t="s">
        <v>2004</v>
      </c>
      <c r="E6" s="134"/>
      <c r="F6" s="195" t="s">
        <v>2005</v>
      </c>
      <c r="G6" s="134"/>
    </row>
    <row r="7" spans="1:11" ht="23.25" customHeight="1" thickBot="1">
      <c r="A7" s="216">
        <v>1996</v>
      </c>
      <c r="B7" s="157">
        <v>3454536792</v>
      </c>
      <c r="C7" s="158" t="s">
        <v>861</v>
      </c>
      <c r="D7" s="157">
        <v>480.14661682664899</v>
      </c>
      <c r="E7" s="158" t="s">
        <v>861</v>
      </c>
      <c r="F7" s="300">
        <v>0.3204435263250443</v>
      </c>
      <c r="G7" s="158" t="s">
        <v>861</v>
      </c>
    </row>
    <row r="8" spans="1:11" ht="20" customHeight="1" thickBot="1">
      <c r="A8" s="218">
        <v>1997</v>
      </c>
      <c r="B8" s="159">
        <v>3507897754</v>
      </c>
      <c r="C8" s="160">
        <v>1.5446632996809605E-2</v>
      </c>
      <c r="D8" s="159">
        <v>486.20825566318149</v>
      </c>
      <c r="E8" s="160">
        <v>1.2624558049777898E-2</v>
      </c>
      <c r="F8" s="301">
        <v>0.30878035637656381</v>
      </c>
      <c r="G8" s="160">
        <v>-3.6396959184158598E-2</v>
      </c>
      <c r="I8" s="10"/>
      <c r="J8" s="10"/>
      <c r="K8" s="10"/>
    </row>
    <row r="9" spans="1:11" ht="20" customHeight="1" thickBot="1">
      <c r="A9" s="218">
        <v>1998</v>
      </c>
      <c r="B9" s="159">
        <v>3693957839</v>
      </c>
      <c r="C9" s="160">
        <v>5.3040338700818361E-2</v>
      </c>
      <c r="D9" s="159">
        <v>509.60962257141136</v>
      </c>
      <c r="E9" s="160">
        <v>4.8130336405560879E-2</v>
      </c>
      <c r="F9" s="301">
        <v>0.30971755221728081</v>
      </c>
      <c r="G9" s="160">
        <v>3.0351536986182783E-3</v>
      </c>
    </row>
    <row r="10" spans="1:11" ht="20" customHeight="1" thickBot="1">
      <c r="A10" s="218">
        <v>1999</v>
      </c>
      <c r="B10" s="159">
        <v>3810018376.6999998</v>
      </c>
      <c r="C10" s="160">
        <v>3.1419020670636247E-2</v>
      </c>
      <c r="D10" s="159">
        <v>524.32402803041998</v>
      </c>
      <c r="E10" s="160">
        <v>2.8873876801544685E-2</v>
      </c>
      <c r="F10" s="301">
        <v>0.30650294561819263</v>
      </c>
      <c r="G10" s="160">
        <v>-1.037915538229808E-2</v>
      </c>
    </row>
    <row r="11" spans="1:11" ht="20" customHeight="1" thickBot="1">
      <c r="A11" s="218">
        <v>2000</v>
      </c>
      <c r="B11" s="159">
        <v>3956218486.3000002</v>
      </c>
      <c r="C11" s="160">
        <v>3.8372547096906601E-2</v>
      </c>
      <c r="D11" s="159">
        <v>544.32554570231525</v>
      </c>
      <c r="E11" s="160">
        <v>3.8147245982659471E-2</v>
      </c>
      <c r="F11" s="301">
        <v>0.29993370263899466</v>
      </c>
      <c r="G11" s="160">
        <v>-2.1432886936692642E-2</v>
      </c>
    </row>
    <row r="12" spans="1:11" ht="20" customHeight="1" thickBot="1">
      <c r="A12" s="218">
        <v>2001</v>
      </c>
      <c r="B12" s="159">
        <v>3996358840.3000002</v>
      </c>
      <c r="C12" s="160">
        <v>1.0146141862235905E-2</v>
      </c>
      <c r="D12" s="159">
        <v>545.85468925067414</v>
      </c>
      <c r="E12" s="160">
        <v>2.8092445053004324E-3</v>
      </c>
      <c r="F12" s="301">
        <v>0.28573440049664334</v>
      </c>
      <c r="G12" s="160">
        <v>-4.7341469189415654E-2</v>
      </c>
    </row>
    <row r="13" spans="1:11" ht="20" customHeight="1" thickBot="1">
      <c r="A13" s="218">
        <v>2002</v>
      </c>
      <c r="B13" s="159">
        <v>4018023804.0999999</v>
      </c>
      <c r="C13" s="160">
        <v>5.4211757917047706E-3</v>
      </c>
      <c r="D13" s="159">
        <v>545.974252411723</v>
      </c>
      <c r="E13" s="160">
        <v>2.1903844265401507E-4</v>
      </c>
      <c r="F13" s="301">
        <v>0.27534370592196139</v>
      </c>
      <c r="G13" s="160">
        <v>-3.6364870861266885E-2</v>
      </c>
    </row>
    <row r="14" spans="1:11" ht="20" customHeight="1" thickBot="1">
      <c r="A14" s="218">
        <v>2003</v>
      </c>
      <c r="B14" s="159">
        <v>4264253540.5999999</v>
      </c>
      <c r="C14" s="160">
        <v>6.1281303572354812E-2</v>
      </c>
      <c r="D14" s="159">
        <v>576.78142914802106</v>
      </c>
      <c r="E14" s="160">
        <v>5.6426061485892479E-2</v>
      </c>
      <c r="F14" s="301">
        <v>0.27806202962780097</v>
      </c>
      <c r="G14" s="160">
        <v>9.8724744650963998E-3</v>
      </c>
    </row>
    <row r="15" spans="1:11" ht="20" customHeight="1" thickBot="1">
      <c r="A15" s="218">
        <v>2004</v>
      </c>
      <c r="B15" s="159">
        <v>4487986097.3999996</v>
      </c>
      <c r="C15" s="160">
        <v>5.246699209365481E-2</v>
      </c>
      <c r="D15" s="159">
        <v>604.85199778328058</v>
      </c>
      <c r="E15" s="160">
        <v>4.866760130735015E-2</v>
      </c>
      <c r="F15" s="301">
        <v>0.27520979583864619</v>
      </c>
      <c r="G15" s="160">
        <v>-1.0257545026815158E-2</v>
      </c>
    </row>
    <row r="16" spans="1:11" ht="30" customHeight="1" thickBot="1">
      <c r="A16" s="220">
        <v>2005</v>
      </c>
      <c r="B16" s="221">
        <v>4710406318.5</v>
      </c>
      <c r="C16" s="162">
        <v>4.9559026314465161E-2</v>
      </c>
      <c r="D16" s="221">
        <v>631.55086240820003</v>
      </c>
      <c r="E16" s="162">
        <v>4.4141153080039422E-2</v>
      </c>
      <c r="F16" s="302">
        <v>0.27145060304290114</v>
      </c>
      <c r="G16" s="162">
        <v>-1.3659371332657938E-2</v>
      </c>
    </row>
    <row r="17" spans="1:7" ht="20" customHeight="1">
      <c r="A17" s="146" t="s">
        <v>2010</v>
      </c>
      <c r="B17" s="146"/>
      <c r="C17" s="146"/>
      <c r="D17" s="146"/>
      <c r="E17" s="146"/>
      <c r="F17" s="281"/>
      <c r="G17" s="146"/>
    </row>
    <row r="18" spans="1:7" ht="12.75" customHeight="1">
      <c r="A18" s="4"/>
      <c r="B18" s="4"/>
      <c r="C18" s="4"/>
      <c r="D18" s="4"/>
      <c r="E18" s="4"/>
      <c r="F18" s="282"/>
      <c r="G18" s="4"/>
    </row>
    <row r="19" spans="1:7" ht="12.75" customHeight="1">
      <c r="A19" s="2" t="s">
        <v>1990</v>
      </c>
      <c r="B19" s="4"/>
      <c r="C19" s="4"/>
      <c r="D19" s="4"/>
      <c r="E19" s="4"/>
      <c r="F19" s="282"/>
      <c r="G19" s="4"/>
    </row>
    <row r="20" spans="1:7" ht="12.75" customHeight="1">
      <c r="A20" s="2" t="s">
        <v>2002</v>
      </c>
    </row>
    <row r="22" spans="1:7">
      <c r="A22" s="2" t="s">
        <v>2003</v>
      </c>
    </row>
    <row r="25" spans="1:7">
      <c r="A25" s="2" t="s">
        <v>128</v>
      </c>
    </row>
  </sheetData>
  <mergeCells count="1">
    <mergeCell ref="A2:F2"/>
  </mergeCells>
  <phoneticPr fontId="0" type="noConversion"/>
  <pageMargins left="0.62" right="0.78740157480314965" top="0.99" bottom="0.49" header="0.6" footer="0.4921259845"/>
  <pageSetup paperSize="9" scale="82" orientation="portrait" horizontalDpi="4294967292" verticalDpi="4294967292"/>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A514E-C020-014C-8D00-E686DE70F97D}">
  <dimension ref="A1:B28"/>
  <sheetViews>
    <sheetView topLeftCell="A8" workbookViewId="0">
      <selection activeCell="A26" sqref="A26:IV26"/>
    </sheetView>
  </sheetViews>
  <sheetFormatPr baseColWidth="10" defaultColWidth="11.3984375" defaultRowHeight="13"/>
  <cols>
    <col min="1" max="1" width="5.59765625" style="361" customWidth="1"/>
    <col min="2" max="16384" width="11.3984375" style="361"/>
  </cols>
  <sheetData>
    <row r="1" spans="1:2" ht="16">
      <c r="A1" s="360" t="s">
        <v>2091</v>
      </c>
    </row>
    <row r="2" spans="1:2" ht="16">
      <c r="A2" s="360"/>
    </row>
    <row r="3" spans="1:2" s="364" customFormat="1">
      <c r="A3" s="362">
        <v>2.0099999999999998</v>
      </c>
      <c r="B3" s="363" t="s">
        <v>2092</v>
      </c>
    </row>
    <row r="4" spans="1:2" s="364" customFormat="1">
      <c r="A4" s="362">
        <v>2.02</v>
      </c>
      <c r="B4" s="363" t="s">
        <v>2093</v>
      </c>
    </row>
    <row r="5" spans="1:2" s="364" customFormat="1">
      <c r="A5" s="362">
        <v>2.0299999999999998</v>
      </c>
      <c r="B5" s="362" t="s">
        <v>379</v>
      </c>
    </row>
    <row r="6" spans="1:2" s="364" customFormat="1">
      <c r="A6" s="362">
        <v>2.04</v>
      </c>
      <c r="B6" s="362" t="s">
        <v>2094</v>
      </c>
    </row>
    <row r="7" spans="1:2" s="364" customFormat="1">
      <c r="A7" s="362">
        <v>2.0499999999999998</v>
      </c>
      <c r="B7" s="362" t="s">
        <v>2095</v>
      </c>
    </row>
    <row r="8" spans="1:2" s="364" customFormat="1">
      <c r="A8" s="362">
        <v>2.06</v>
      </c>
      <c r="B8" s="362" t="s">
        <v>2096</v>
      </c>
    </row>
    <row r="9" spans="1:2" s="364" customFormat="1">
      <c r="A9" s="362">
        <v>2.0699999999999998</v>
      </c>
      <c r="B9" s="362" t="s">
        <v>2097</v>
      </c>
    </row>
    <row r="10" spans="1:2" s="364" customFormat="1">
      <c r="A10" s="362">
        <v>2.08</v>
      </c>
      <c r="B10" s="362" t="s">
        <v>2098</v>
      </c>
    </row>
    <row r="11" spans="1:2" s="364" customFormat="1">
      <c r="A11" s="362">
        <v>2.09</v>
      </c>
      <c r="B11" s="362" t="s">
        <v>2099</v>
      </c>
    </row>
    <row r="12" spans="1:2">
      <c r="A12" s="365">
        <v>2.1</v>
      </c>
      <c r="B12" s="363" t="s">
        <v>2100</v>
      </c>
    </row>
    <row r="13" spans="1:2">
      <c r="A13" s="365">
        <v>2.11</v>
      </c>
      <c r="B13" s="363" t="s">
        <v>2101</v>
      </c>
    </row>
    <row r="14" spans="1:2">
      <c r="A14" s="362">
        <v>2.12</v>
      </c>
      <c r="B14" s="362" t="s">
        <v>2102</v>
      </c>
    </row>
    <row r="15" spans="1:2">
      <c r="A15" s="362">
        <v>2.13</v>
      </c>
      <c r="B15" s="363" t="s">
        <v>2103</v>
      </c>
    </row>
    <row r="16" spans="1:2">
      <c r="A16" s="362">
        <v>2.14</v>
      </c>
      <c r="B16" s="363" t="s">
        <v>2104</v>
      </c>
    </row>
    <row r="17" spans="1:2">
      <c r="A17" s="362">
        <v>2.15</v>
      </c>
      <c r="B17" s="363" t="s">
        <v>475</v>
      </c>
    </row>
    <row r="18" spans="1:2">
      <c r="A18" s="362">
        <v>2.16</v>
      </c>
      <c r="B18" s="363" t="s">
        <v>476</v>
      </c>
    </row>
    <row r="19" spans="1:2">
      <c r="A19" s="362">
        <v>2.17</v>
      </c>
      <c r="B19" s="363" t="s">
        <v>477</v>
      </c>
    </row>
    <row r="20" spans="1:2">
      <c r="A20" s="362">
        <v>2.1800000000000002</v>
      </c>
      <c r="B20" s="363" t="s">
        <v>1597</v>
      </c>
    </row>
    <row r="21" spans="1:2">
      <c r="A21" s="362">
        <v>2.19</v>
      </c>
      <c r="B21" s="363" t="s">
        <v>1598</v>
      </c>
    </row>
    <row r="22" spans="1:2">
      <c r="A22" s="366" t="s">
        <v>1777</v>
      </c>
      <c r="B22" s="363" t="s">
        <v>1599</v>
      </c>
    </row>
    <row r="23" spans="1:2">
      <c r="A23" s="362">
        <v>2.21</v>
      </c>
      <c r="B23" s="363" t="s">
        <v>376</v>
      </c>
    </row>
    <row r="24" spans="1:2">
      <c r="A24" s="362">
        <v>2.2200000000000002</v>
      </c>
      <c r="B24" s="363" t="s">
        <v>377</v>
      </c>
    </row>
    <row r="25" spans="1:2">
      <c r="A25" s="362">
        <v>2.23</v>
      </c>
      <c r="B25" s="363" t="s">
        <v>378</v>
      </c>
    </row>
    <row r="28" spans="1:2">
      <c r="A28" s="367" t="s">
        <v>128</v>
      </c>
    </row>
  </sheetData>
  <phoneticPr fontId="37" type="noConversion"/>
  <pageMargins left="0.46" right="0.35" top="0.88" bottom="0.984251969" header="0.4921259845" footer="0.4921259845"/>
  <pageSetup paperSize="9" orientation="portrait"/>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5E5A3-9EBA-BD40-A8E7-E0BA0545FF75}">
  <sheetPr>
    <pageSetUpPr fitToPage="1"/>
  </sheetPr>
  <dimension ref="A1:J22"/>
  <sheetViews>
    <sheetView zoomScale="75" workbookViewId="0">
      <selection activeCell="F19" sqref="F19"/>
    </sheetView>
  </sheetViews>
  <sheetFormatPr baseColWidth="10" defaultColWidth="11.3984375" defaultRowHeight="13"/>
  <cols>
    <col min="1" max="1" width="12.796875" style="2" customWidth="1"/>
    <col min="2" max="3" width="17" style="2" customWidth="1"/>
    <col min="4" max="4" width="15.796875" style="2" customWidth="1"/>
    <col min="5" max="5" width="16.19921875" style="2" customWidth="1"/>
    <col min="6" max="6" width="17" style="2" customWidth="1"/>
    <col min="7" max="7" width="13.3984375" style="2" customWidth="1"/>
    <col min="8" max="16384" width="11.3984375" style="2"/>
  </cols>
  <sheetData>
    <row r="1" spans="1:10" s="1" customFormat="1" ht="14" customHeight="1">
      <c r="A1" s="404"/>
      <c r="B1" s="404"/>
      <c r="C1" s="404"/>
      <c r="D1" s="404"/>
      <c r="E1" s="404"/>
      <c r="F1" s="404"/>
      <c r="G1" s="404"/>
    </row>
    <row r="2" spans="1:10" s="1" customFormat="1" ht="28" customHeight="1">
      <c r="A2" s="1611" t="s">
        <v>1753</v>
      </c>
      <c r="B2" s="1610"/>
      <c r="C2" s="1610"/>
      <c r="D2" s="1610"/>
      <c r="E2" s="1610"/>
      <c r="F2" s="1610"/>
      <c r="G2" s="405">
        <v>2005</v>
      </c>
    </row>
    <row r="3" spans="1:10" ht="24" customHeight="1">
      <c r="A3" s="125" t="s">
        <v>1254</v>
      </c>
      <c r="B3" s="126" t="s">
        <v>329</v>
      </c>
      <c r="C3" s="127" t="s">
        <v>330</v>
      </c>
      <c r="D3" s="126" t="s">
        <v>331</v>
      </c>
      <c r="E3" s="127" t="s">
        <v>332</v>
      </c>
      <c r="F3" s="126" t="s">
        <v>43</v>
      </c>
      <c r="G3" s="127" t="s">
        <v>265</v>
      </c>
    </row>
    <row r="4" spans="1:10" ht="15" customHeight="1">
      <c r="A4" s="212"/>
      <c r="B4" s="129" t="s">
        <v>333</v>
      </c>
      <c r="C4" s="131" t="s">
        <v>334</v>
      </c>
      <c r="D4" s="129" t="s">
        <v>335</v>
      </c>
      <c r="E4" s="213" t="s">
        <v>336</v>
      </c>
      <c r="F4" s="129"/>
      <c r="G4" s="131" t="s">
        <v>267</v>
      </c>
    </row>
    <row r="5" spans="1:10" ht="15" customHeight="1">
      <c r="A5" s="212"/>
      <c r="B5" s="129" t="s">
        <v>337</v>
      </c>
      <c r="C5" s="131" t="s">
        <v>338</v>
      </c>
      <c r="D5" s="129" t="s">
        <v>339</v>
      </c>
      <c r="E5" s="213" t="s">
        <v>340</v>
      </c>
      <c r="F5" s="129"/>
      <c r="G5" s="131" t="s">
        <v>268</v>
      </c>
    </row>
    <row r="6" spans="1:10" ht="24" customHeight="1">
      <c r="A6" s="214"/>
      <c r="B6" s="135"/>
      <c r="C6" s="134"/>
      <c r="D6" s="135"/>
      <c r="E6" s="215" t="s">
        <v>341</v>
      </c>
      <c r="F6" s="135"/>
      <c r="G6" s="134"/>
    </row>
    <row r="7" spans="1:10" ht="23.25" customHeight="1" thickBot="1">
      <c r="A7" s="216">
        <v>1996</v>
      </c>
      <c r="B7" s="157">
        <v>1089264800.5</v>
      </c>
      <c r="C7" s="217">
        <v>580101661.80000019</v>
      </c>
      <c r="D7" s="157">
        <v>4375346.3499999996</v>
      </c>
      <c r="E7" s="217">
        <v>4789928.95</v>
      </c>
      <c r="F7" s="157">
        <v>1678531737.6000004</v>
      </c>
      <c r="G7" s="158">
        <v>0.30098972373189836</v>
      </c>
    </row>
    <row r="8" spans="1:10" ht="20" customHeight="1" thickBot="1">
      <c r="A8" s="218">
        <v>1997</v>
      </c>
      <c r="B8" s="159">
        <v>879950459</v>
      </c>
      <c r="C8" s="219">
        <v>850703379</v>
      </c>
      <c r="D8" s="159">
        <v>1704020</v>
      </c>
      <c r="E8" s="219">
        <v>45624484</v>
      </c>
      <c r="F8" s="159">
        <v>1777982343</v>
      </c>
      <c r="G8" s="160">
        <v>5.9248570147500512E-2</v>
      </c>
      <c r="H8" s="10"/>
      <c r="I8" s="10"/>
      <c r="J8" s="10"/>
    </row>
    <row r="9" spans="1:10" ht="20" customHeight="1" thickBot="1">
      <c r="A9" s="218">
        <v>1998</v>
      </c>
      <c r="B9" s="159">
        <v>1013899968</v>
      </c>
      <c r="C9" s="219">
        <v>981741080</v>
      </c>
      <c r="D9" s="159">
        <v>1294283</v>
      </c>
      <c r="E9" s="219">
        <v>100297469</v>
      </c>
      <c r="F9" s="159">
        <v>2097232800</v>
      </c>
      <c r="G9" s="160">
        <v>0.17955772072591381</v>
      </c>
    </row>
    <row r="10" spans="1:10" ht="20" customHeight="1" thickBot="1">
      <c r="A10" s="218">
        <v>1999</v>
      </c>
      <c r="B10" s="159">
        <v>1011361150</v>
      </c>
      <c r="C10" s="219">
        <v>1055568640</v>
      </c>
      <c r="D10" s="159">
        <v>792455</v>
      </c>
      <c r="E10" s="219">
        <v>122178940</v>
      </c>
      <c r="F10" s="159">
        <v>2189901184</v>
      </c>
      <c r="G10" s="160">
        <v>4.4186026463061134E-2</v>
      </c>
    </row>
    <row r="11" spans="1:10" ht="20" customHeight="1" thickBot="1">
      <c r="A11" s="218">
        <v>2000</v>
      </c>
      <c r="B11" s="159">
        <v>1054450601</v>
      </c>
      <c r="C11" s="219">
        <v>1090720983</v>
      </c>
      <c r="D11" s="159">
        <v>1251221</v>
      </c>
      <c r="E11" s="219">
        <v>141594740</v>
      </c>
      <c r="F11" s="159">
        <v>2288017545</v>
      </c>
      <c r="G11" s="160">
        <v>4.4804012946732197E-2</v>
      </c>
    </row>
    <row r="12" spans="1:10" ht="20" customHeight="1" thickBot="1">
      <c r="A12" s="218">
        <v>2001</v>
      </c>
      <c r="B12" s="159">
        <v>1083514122</v>
      </c>
      <c r="C12" s="219">
        <v>1158413361</v>
      </c>
      <c r="D12" s="159">
        <v>1268100.93</v>
      </c>
      <c r="E12" s="219">
        <v>156993944.90000001</v>
      </c>
      <c r="F12" s="159">
        <v>2400189528.8299999</v>
      </c>
      <c r="G12" s="160">
        <v>4.9025840765569706E-2</v>
      </c>
    </row>
    <row r="13" spans="1:10" ht="20" customHeight="1" thickBot="1">
      <c r="A13" s="218">
        <v>2002</v>
      </c>
      <c r="B13" s="159">
        <v>1089828946</v>
      </c>
      <c r="C13" s="219">
        <v>1244155033</v>
      </c>
      <c r="D13" s="159">
        <v>1260300.6499999999</v>
      </c>
      <c r="E13" s="219">
        <v>167586086.80000001</v>
      </c>
      <c r="F13" s="159">
        <v>2502830366.4500003</v>
      </c>
      <c r="G13" s="160">
        <v>4.2763638615669564E-2</v>
      </c>
    </row>
    <row r="14" spans="1:10" ht="20" customHeight="1" thickBot="1">
      <c r="A14" s="218">
        <v>2003</v>
      </c>
      <c r="B14" s="159">
        <v>1079925866</v>
      </c>
      <c r="C14" s="219">
        <v>1341491360</v>
      </c>
      <c r="D14" s="159">
        <v>1220652.32</v>
      </c>
      <c r="E14" s="219">
        <v>165861773.30000001</v>
      </c>
      <c r="F14" s="159">
        <v>2588499651.6200004</v>
      </c>
      <c r="G14" s="160">
        <v>3.4228961865886642E-2</v>
      </c>
    </row>
    <row r="15" spans="1:10" ht="20" customHeight="1" thickBot="1">
      <c r="A15" s="218">
        <v>2004</v>
      </c>
      <c r="B15" s="159">
        <v>1255470263</v>
      </c>
      <c r="C15" s="219">
        <v>1341301393</v>
      </c>
      <c r="D15" s="159">
        <v>1377606.76</v>
      </c>
      <c r="E15" s="219">
        <v>234163133</v>
      </c>
      <c r="F15" s="159">
        <v>2832312395.7600002</v>
      </c>
      <c r="G15" s="160">
        <v>9.4190757950232129E-2</v>
      </c>
    </row>
    <row r="16" spans="1:10" ht="30" customHeight="1" thickBot="1">
      <c r="A16" s="220">
        <v>2005</v>
      </c>
      <c r="B16" s="221">
        <v>1328024632.3900001</v>
      </c>
      <c r="C16" s="222">
        <v>1371822959.2</v>
      </c>
      <c r="D16" s="221">
        <v>1400318.04</v>
      </c>
      <c r="E16" s="222">
        <v>293738700.04000002</v>
      </c>
      <c r="F16" s="221">
        <v>2994986609.6700001</v>
      </c>
      <c r="G16" s="162">
        <v>5.7435124089251222E-2</v>
      </c>
    </row>
    <row r="17" spans="1:7" ht="20" customHeight="1">
      <c r="A17" s="406" t="s">
        <v>596</v>
      </c>
      <c r="B17" s="406"/>
      <c r="C17" s="406"/>
      <c r="D17" s="406"/>
      <c r="E17" s="406"/>
      <c r="F17" s="406"/>
      <c r="G17" s="406"/>
    </row>
    <row r="19" spans="1:7">
      <c r="A19" s="2" t="s">
        <v>1754</v>
      </c>
    </row>
    <row r="22" spans="1:7">
      <c r="A22" s="2" t="s">
        <v>128</v>
      </c>
    </row>
  </sheetData>
  <mergeCells count="1">
    <mergeCell ref="A2:F2"/>
  </mergeCells>
  <phoneticPr fontId="0" type="noConversion"/>
  <pageMargins left="0.53" right="0.6" top="1.1200000000000001" bottom="0.49" header="0.63" footer="0.4921259845"/>
  <pageSetup paperSize="9" scale="85" orientation="portrait" horizontalDpi="4294967292" verticalDpi="4294967292"/>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E85CB-E739-2649-8A1C-46EAB8BD4ED8}">
  <sheetPr>
    <pageSetUpPr fitToPage="1"/>
  </sheetPr>
  <dimension ref="A1:J80"/>
  <sheetViews>
    <sheetView zoomScale="75" workbookViewId="0">
      <selection activeCell="H10" sqref="H10"/>
    </sheetView>
  </sheetViews>
  <sheetFormatPr baseColWidth="10" defaultColWidth="11.3984375" defaultRowHeight="13"/>
  <cols>
    <col min="1" max="1" width="21.796875" style="2" customWidth="1"/>
    <col min="2" max="3" width="15.796875" style="2" customWidth="1"/>
    <col min="4" max="6" width="14.19921875" style="2" customWidth="1"/>
    <col min="7" max="7" width="16.19921875" style="2" customWidth="1"/>
    <col min="8" max="10" width="13.19921875" style="2" customWidth="1"/>
    <col min="11" max="16384" width="11.3984375" style="2"/>
  </cols>
  <sheetData>
    <row r="1" spans="1:10" s="1" customFormat="1" ht="14" customHeight="1"/>
    <row r="2" spans="1:10" s="1" customFormat="1" ht="39.75" customHeight="1">
      <c r="A2" s="1606" t="s">
        <v>1610</v>
      </c>
      <c r="B2" s="1610"/>
      <c r="C2" s="1610"/>
      <c r="D2" s="1610"/>
      <c r="E2" s="1610"/>
      <c r="F2" s="124"/>
      <c r="G2" s="124">
        <v>2005</v>
      </c>
    </row>
    <row r="3" spans="1:10" ht="24" customHeight="1">
      <c r="A3" s="267" t="s">
        <v>1604</v>
      </c>
      <c r="B3" s="126" t="s">
        <v>329</v>
      </c>
      <c r="C3" s="127" t="s">
        <v>330</v>
      </c>
      <c r="D3" s="126" t="s">
        <v>331</v>
      </c>
      <c r="E3" s="127" t="s">
        <v>332</v>
      </c>
      <c r="F3" s="126" t="s">
        <v>43</v>
      </c>
      <c r="G3" s="840" t="s">
        <v>265</v>
      </c>
    </row>
    <row r="4" spans="1:10" ht="15" customHeight="1">
      <c r="A4" s="212"/>
      <c r="B4" s="129" t="s">
        <v>333</v>
      </c>
      <c r="C4" s="131" t="s">
        <v>334</v>
      </c>
      <c r="D4" s="129" t="s">
        <v>335</v>
      </c>
      <c r="E4" s="213" t="s">
        <v>336</v>
      </c>
      <c r="F4" s="129"/>
      <c r="G4" s="841" t="s">
        <v>267</v>
      </c>
    </row>
    <row r="5" spans="1:10" ht="15" customHeight="1">
      <c r="A5" s="212"/>
      <c r="B5" s="129" t="s">
        <v>337</v>
      </c>
      <c r="C5" s="131" t="s">
        <v>338</v>
      </c>
      <c r="D5" s="129" t="s">
        <v>339</v>
      </c>
      <c r="E5" s="213" t="s">
        <v>340</v>
      </c>
      <c r="F5" s="129"/>
      <c r="G5" s="841" t="s">
        <v>268</v>
      </c>
    </row>
    <row r="6" spans="1:10" ht="24" customHeight="1">
      <c r="A6" s="308" t="s">
        <v>328</v>
      </c>
      <c r="B6" s="135"/>
      <c r="C6" s="134"/>
      <c r="D6" s="135"/>
      <c r="E6" s="215" t="s">
        <v>341</v>
      </c>
      <c r="F6" s="135"/>
      <c r="G6" s="842"/>
    </row>
    <row r="7" spans="1:10" ht="20" customHeight="1" thickBot="1">
      <c r="A7" s="216">
        <v>1996</v>
      </c>
      <c r="B7" s="157">
        <v>1702.3967710627812</v>
      </c>
      <c r="C7" s="217">
        <v>1118.4503276245528</v>
      </c>
      <c r="D7" s="157">
        <v>913.3581285036654</v>
      </c>
      <c r="E7" s="217">
        <v>884.25178045691541</v>
      </c>
      <c r="F7" s="157">
        <v>1498.3813913582035</v>
      </c>
      <c r="G7" s="843">
        <v>7.1498194564757866E-2</v>
      </c>
    </row>
    <row r="8" spans="1:10" ht="20" customHeight="1" thickBot="1">
      <c r="A8" s="218">
        <v>1997</v>
      </c>
      <c r="B8" s="159">
        <v>1745.983981062986</v>
      </c>
      <c r="C8" s="219">
        <v>1412.2354387062539</v>
      </c>
      <c r="D8" s="159">
        <v>1182.8879415347137</v>
      </c>
      <c r="E8" s="219">
        <v>919.26816725964716</v>
      </c>
      <c r="F8" s="159">
        <v>1574.6087651710613</v>
      </c>
      <c r="G8" s="844">
        <v>5.087314501667816E-2</v>
      </c>
      <c r="H8" s="10"/>
      <c r="I8" s="10"/>
      <c r="J8" s="10"/>
    </row>
    <row r="9" spans="1:10" ht="20" customHeight="1" thickBot="1">
      <c r="A9" s="218">
        <v>1998</v>
      </c>
      <c r="B9" s="159">
        <v>1748.1463682568913</v>
      </c>
      <c r="C9" s="219">
        <v>1581.8024755837955</v>
      </c>
      <c r="D9" s="159">
        <v>542.70265471761923</v>
      </c>
      <c r="E9" s="219">
        <v>1187.5240122257308</v>
      </c>
      <c r="F9" s="159">
        <v>1645.4011693011744</v>
      </c>
      <c r="G9" s="844">
        <v>4.495872606324678E-2</v>
      </c>
    </row>
    <row r="10" spans="1:10" ht="20" customHeight="1" thickBot="1">
      <c r="A10" s="218">
        <v>1999</v>
      </c>
      <c r="B10" s="159">
        <v>1945.0393238476881</v>
      </c>
      <c r="C10" s="219">
        <v>1446.870467830443</v>
      </c>
      <c r="D10" s="159">
        <v>631.70598557223627</v>
      </c>
      <c r="E10" s="219">
        <v>1323.5762903910388</v>
      </c>
      <c r="F10" s="159">
        <v>1710.6655434351508</v>
      </c>
      <c r="G10" s="844">
        <v>3.9664718459933461E-2</v>
      </c>
    </row>
    <row r="11" spans="1:10" ht="20" customHeight="1" thickBot="1">
      <c r="A11" s="218">
        <v>2000</v>
      </c>
      <c r="B11" s="159">
        <v>2060.9067893531742</v>
      </c>
      <c r="C11" s="219">
        <v>1558.8767513165483</v>
      </c>
      <c r="D11" s="159">
        <v>640.59184384874118</v>
      </c>
      <c r="E11" s="219">
        <v>1386.3522668173425</v>
      </c>
      <c r="F11" s="159">
        <v>1814.8195448294614</v>
      </c>
      <c r="G11" s="844">
        <v>6.0885075866531579E-2</v>
      </c>
    </row>
    <row r="12" spans="1:10" ht="20" customHeight="1" thickBot="1">
      <c r="A12" s="218">
        <v>2001</v>
      </c>
      <c r="B12" s="159">
        <v>2209.1289366236747</v>
      </c>
      <c r="C12" s="219">
        <v>1597.0298108275201</v>
      </c>
      <c r="D12" s="159">
        <v>759.38935231773905</v>
      </c>
      <c r="E12" s="219">
        <v>1472.0109294743254</v>
      </c>
      <c r="F12" s="159">
        <v>1910.356919929515</v>
      </c>
      <c r="G12" s="844">
        <v>5.2642906217450547E-2</v>
      </c>
    </row>
    <row r="13" spans="1:10" ht="20" customHeight="1" thickBot="1">
      <c r="A13" s="218">
        <v>2002</v>
      </c>
      <c r="B13" s="159">
        <v>2331.8704675326376</v>
      </c>
      <c r="C13" s="219">
        <v>1605.519277312954</v>
      </c>
      <c r="D13" s="159">
        <v>758.34075155631012</v>
      </c>
      <c r="E13" s="219">
        <v>1632.983378800255</v>
      </c>
      <c r="F13" s="159">
        <v>1982.8826323942353</v>
      </c>
      <c r="G13" s="844">
        <v>3.7964482818946849E-2</v>
      </c>
    </row>
    <row r="14" spans="1:10" ht="20" customHeight="1" thickBot="1">
      <c r="A14" s="218">
        <v>2003</v>
      </c>
      <c r="B14" s="159">
        <v>2536.6892155448563</v>
      </c>
      <c r="C14" s="219">
        <v>1651.8968388498977</v>
      </c>
      <c r="D14" s="159">
        <v>849.86835156907534</v>
      </c>
      <c r="E14" s="219">
        <v>1450.6391888040509</v>
      </c>
      <c r="F14" s="159">
        <v>2074.2905096394138</v>
      </c>
      <c r="G14" s="844">
        <v>4.609848094478889E-2</v>
      </c>
    </row>
    <row r="15" spans="1:10" ht="20" customHeight="1" thickBot="1">
      <c r="A15" s="218">
        <v>2004</v>
      </c>
      <c r="B15" s="159">
        <v>2744.6766061593935</v>
      </c>
      <c r="C15" s="219">
        <v>1748.8078790725936</v>
      </c>
      <c r="D15" s="159">
        <v>900.77272659916025</v>
      </c>
      <c r="E15" s="219">
        <v>1366.3551172425598</v>
      </c>
      <c r="F15" s="159">
        <v>2197.7851331204129</v>
      </c>
      <c r="G15" s="844">
        <v>5.9535837871845083E-2</v>
      </c>
    </row>
    <row r="16" spans="1:10" ht="30" customHeight="1" thickBot="1">
      <c r="A16" s="220">
        <v>2005</v>
      </c>
      <c r="B16" s="221">
        <v>3036.5114491740296</v>
      </c>
      <c r="C16" s="222">
        <v>1737.34954015773</v>
      </c>
      <c r="D16" s="221">
        <v>999.4707067825185</v>
      </c>
      <c r="E16" s="222">
        <v>1424.1459018135706</v>
      </c>
      <c r="F16" s="221">
        <v>2326.5774889746231</v>
      </c>
      <c r="G16" s="845">
        <v>5.8600976916861273E-2</v>
      </c>
    </row>
    <row r="17" spans="1:7" ht="20" customHeight="1">
      <c r="A17" s="146" t="s">
        <v>596</v>
      </c>
      <c r="B17" s="146"/>
      <c r="C17" s="146"/>
      <c r="D17" s="146"/>
      <c r="E17" s="146"/>
      <c r="F17" s="146"/>
      <c r="G17" s="846"/>
    </row>
    <row r="18" spans="1:7">
      <c r="G18" s="847"/>
    </row>
    <row r="19" spans="1:7">
      <c r="A19" s="2" t="s">
        <v>1605</v>
      </c>
      <c r="G19" s="847"/>
    </row>
    <row r="20" spans="1:7">
      <c r="G20" s="847"/>
    </row>
    <row r="21" spans="1:7">
      <c r="G21" s="847"/>
    </row>
    <row r="22" spans="1:7" ht="18">
      <c r="A22" s="816" t="s">
        <v>1611</v>
      </c>
      <c r="G22" s="847"/>
    </row>
    <row r="23" spans="1:7">
      <c r="G23" s="847"/>
    </row>
    <row r="24" spans="1:7" ht="18" customHeight="1">
      <c r="A24" s="267" t="s">
        <v>223</v>
      </c>
      <c r="B24" s="126" t="s">
        <v>329</v>
      </c>
      <c r="C24" s="127" t="s">
        <v>330</v>
      </c>
      <c r="D24" s="126" t="s">
        <v>331</v>
      </c>
      <c r="E24" s="127" t="s">
        <v>332</v>
      </c>
      <c r="F24" s="126" t="s">
        <v>43</v>
      </c>
      <c r="G24" s="853" t="s">
        <v>265</v>
      </c>
    </row>
    <row r="25" spans="1:7" ht="18" customHeight="1">
      <c r="A25" s="807" t="s">
        <v>287</v>
      </c>
      <c r="B25" s="129" t="s">
        <v>333</v>
      </c>
      <c r="C25" s="131" t="s">
        <v>334</v>
      </c>
      <c r="D25" s="129" t="s">
        <v>335</v>
      </c>
      <c r="E25" s="213" t="s">
        <v>336</v>
      </c>
      <c r="F25" s="129"/>
      <c r="G25" s="854" t="s">
        <v>267</v>
      </c>
    </row>
    <row r="26" spans="1:7" ht="18" customHeight="1">
      <c r="A26" s="212"/>
      <c r="B26" s="129" t="s">
        <v>337</v>
      </c>
      <c r="C26" s="131" t="s">
        <v>338</v>
      </c>
      <c r="D26" s="129" t="s">
        <v>339</v>
      </c>
      <c r="E26" s="213" t="s">
        <v>340</v>
      </c>
      <c r="F26" s="129"/>
      <c r="G26" s="854" t="s">
        <v>268</v>
      </c>
    </row>
    <row r="27" spans="1:7" ht="18" customHeight="1">
      <c r="A27" s="214" t="s">
        <v>1254</v>
      </c>
      <c r="B27" s="135"/>
      <c r="C27" s="134"/>
      <c r="D27" s="135"/>
      <c r="E27" s="215" t="s">
        <v>341</v>
      </c>
      <c r="F27" s="135"/>
      <c r="G27" s="855"/>
    </row>
    <row r="28" spans="1:7" ht="18" customHeight="1" thickBot="1">
      <c r="A28" s="216">
        <v>1996</v>
      </c>
      <c r="B28" s="157" t="s">
        <v>1646</v>
      </c>
      <c r="C28" s="217" t="s">
        <v>1646</v>
      </c>
      <c r="D28" s="157" t="s">
        <v>1646</v>
      </c>
      <c r="E28" s="217" t="s">
        <v>1646</v>
      </c>
      <c r="F28" s="157" t="s">
        <v>1646</v>
      </c>
      <c r="G28" s="843" t="s">
        <v>1646</v>
      </c>
    </row>
    <row r="29" spans="1:7" ht="18" customHeight="1" thickBot="1">
      <c r="A29" s="218">
        <v>1997</v>
      </c>
      <c r="B29" s="159">
        <v>545.11</v>
      </c>
      <c r="C29" s="219">
        <v>379.19</v>
      </c>
      <c r="D29" s="159" t="s">
        <v>1646</v>
      </c>
      <c r="E29" s="219">
        <v>330.14</v>
      </c>
      <c r="F29" s="159">
        <v>514.44000000000005</v>
      </c>
      <c r="G29" s="844" t="s">
        <v>1646</v>
      </c>
    </row>
    <row r="30" spans="1:7" ht="18" customHeight="1" thickBot="1">
      <c r="A30" s="218">
        <v>1998</v>
      </c>
      <c r="B30" s="159">
        <v>582.69000000000005</v>
      </c>
      <c r="C30" s="219">
        <v>427.79</v>
      </c>
      <c r="D30" s="159">
        <v>363.44</v>
      </c>
      <c r="E30" s="219">
        <v>409.2</v>
      </c>
      <c r="F30" s="159">
        <v>551.9</v>
      </c>
      <c r="G30" s="844">
        <v>7.2817043775756041E-2</v>
      </c>
    </row>
    <row r="31" spans="1:7" ht="18" customHeight="1" thickBot="1">
      <c r="A31" s="218">
        <v>1999</v>
      </c>
      <c r="B31" s="159">
        <v>596.71</v>
      </c>
      <c r="C31" s="219">
        <v>438.27</v>
      </c>
      <c r="D31" s="159">
        <v>362.08</v>
      </c>
      <c r="E31" s="219">
        <v>442.11</v>
      </c>
      <c r="F31" s="159">
        <v>566.42999999999995</v>
      </c>
      <c r="G31" s="844">
        <v>2.6327233194419319E-2</v>
      </c>
    </row>
    <row r="32" spans="1:7" ht="18" customHeight="1" thickBot="1">
      <c r="A32" s="218">
        <v>2000</v>
      </c>
      <c r="B32" s="159">
        <v>629.75</v>
      </c>
      <c r="C32" s="219">
        <v>473.1</v>
      </c>
      <c r="D32" s="159">
        <v>328.35</v>
      </c>
      <c r="E32" s="219">
        <v>456.68</v>
      </c>
      <c r="F32" s="159">
        <v>597.91</v>
      </c>
      <c r="G32" s="844">
        <v>5.5576152393058242E-2</v>
      </c>
    </row>
    <row r="33" spans="1:7" ht="18" customHeight="1" thickBot="1">
      <c r="A33" s="218">
        <v>2001</v>
      </c>
      <c r="B33" s="159">
        <v>660.68</v>
      </c>
      <c r="C33" s="219">
        <v>493.06</v>
      </c>
      <c r="D33" s="159">
        <v>453.48</v>
      </c>
      <c r="E33" s="219">
        <v>481.08</v>
      </c>
      <c r="F33" s="159">
        <v>627.16</v>
      </c>
      <c r="G33" s="844">
        <v>4.8920406081182755E-2</v>
      </c>
    </row>
    <row r="34" spans="1:7" ht="18" customHeight="1" thickBot="1">
      <c r="A34" s="218">
        <v>2002</v>
      </c>
      <c r="B34" s="159">
        <v>673.37</v>
      </c>
      <c r="C34" s="219">
        <v>493.13</v>
      </c>
      <c r="D34" s="159">
        <v>415</v>
      </c>
      <c r="E34" s="219">
        <v>513.34</v>
      </c>
      <c r="F34" s="159">
        <v>640.42999999999995</v>
      </c>
      <c r="G34" s="844">
        <v>2.1158874928247862E-2</v>
      </c>
    </row>
    <row r="35" spans="1:7" ht="18" customHeight="1" thickBot="1">
      <c r="A35" s="218">
        <v>2003</v>
      </c>
      <c r="B35" s="159">
        <v>704.56</v>
      </c>
      <c r="C35" s="219">
        <v>488.81</v>
      </c>
      <c r="D35" s="159">
        <v>444.03</v>
      </c>
      <c r="E35" s="219">
        <v>517.22</v>
      </c>
      <c r="F35" s="159">
        <v>664.36</v>
      </c>
      <c r="G35" s="844">
        <v>3.73655200412224E-2</v>
      </c>
    </row>
    <row r="36" spans="1:7" ht="18" customHeight="1" thickBot="1">
      <c r="A36" s="218">
        <v>2004</v>
      </c>
      <c r="B36" s="159">
        <v>747.91</v>
      </c>
      <c r="C36" s="219">
        <v>490.78</v>
      </c>
      <c r="D36" s="159">
        <v>416.4</v>
      </c>
      <c r="E36" s="219">
        <v>551.54</v>
      </c>
      <c r="F36" s="159">
        <v>701.54</v>
      </c>
      <c r="G36" s="844">
        <v>5.5963634174242882E-2</v>
      </c>
    </row>
    <row r="37" spans="1:7" ht="18" customHeight="1" thickBot="1">
      <c r="A37" s="817">
        <v>2005</v>
      </c>
      <c r="B37" s="206">
        <v>816.65</v>
      </c>
      <c r="C37" s="207">
        <v>483.47</v>
      </c>
      <c r="D37" s="206">
        <v>403.89</v>
      </c>
      <c r="E37" s="207">
        <v>570.5</v>
      </c>
      <c r="F37" s="206">
        <v>754.24</v>
      </c>
      <c r="G37" s="845">
        <v>7.5120449297260361E-2</v>
      </c>
    </row>
    <row r="38" spans="1:7">
      <c r="A38" s="146"/>
      <c r="G38" s="847"/>
    </row>
    <row r="39" spans="1:7">
      <c r="G39" s="847"/>
    </row>
    <row r="40" spans="1:7" ht="18" customHeight="1">
      <c r="A40" s="267" t="s">
        <v>347</v>
      </c>
      <c r="B40" s="126" t="s">
        <v>329</v>
      </c>
      <c r="C40" s="127" t="s">
        <v>330</v>
      </c>
      <c r="D40" s="126" t="s">
        <v>331</v>
      </c>
      <c r="E40" s="127" t="s">
        <v>332</v>
      </c>
      <c r="F40" s="126" t="s">
        <v>43</v>
      </c>
      <c r="G40" s="853" t="s">
        <v>265</v>
      </c>
    </row>
    <row r="41" spans="1:7" ht="18" customHeight="1">
      <c r="A41" s="807" t="s">
        <v>288</v>
      </c>
      <c r="B41" s="129" t="s">
        <v>333</v>
      </c>
      <c r="C41" s="131" t="s">
        <v>334</v>
      </c>
      <c r="D41" s="129" t="s">
        <v>335</v>
      </c>
      <c r="E41" s="213" t="s">
        <v>336</v>
      </c>
      <c r="F41" s="129"/>
      <c r="G41" s="854" t="s">
        <v>267</v>
      </c>
    </row>
    <row r="42" spans="1:7" ht="18" customHeight="1">
      <c r="A42" s="212"/>
      <c r="B42" s="129" t="s">
        <v>337</v>
      </c>
      <c r="C42" s="131" t="s">
        <v>338</v>
      </c>
      <c r="D42" s="129" t="s">
        <v>339</v>
      </c>
      <c r="E42" s="213" t="s">
        <v>340</v>
      </c>
      <c r="F42" s="129"/>
      <c r="G42" s="854" t="s">
        <v>268</v>
      </c>
    </row>
    <row r="43" spans="1:7" ht="18" customHeight="1">
      <c r="A43" s="214" t="s">
        <v>1254</v>
      </c>
      <c r="B43" s="135"/>
      <c r="C43" s="134"/>
      <c r="D43" s="135"/>
      <c r="E43" s="215" t="s">
        <v>341</v>
      </c>
      <c r="F43" s="135"/>
      <c r="G43" s="855"/>
    </row>
    <row r="44" spans="1:7" ht="18" customHeight="1" thickBot="1">
      <c r="A44" s="216">
        <v>1996</v>
      </c>
      <c r="B44" s="157" t="s">
        <v>1646</v>
      </c>
      <c r="C44" s="217" t="s">
        <v>1646</v>
      </c>
      <c r="D44" s="157" t="s">
        <v>1646</v>
      </c>
      <c r="E44" s="217" t="s">
        <v>1646</v>
      </c>
      <c r="F44" s="157" t="s">
        <v>1646</v>
      </c>
      <c r="G44" s="843" t="s">
        <v>1646</v>
      </c>
    </row>
    <row r="45" spans="1:7" ht="18" customHeight="1" thickBot="1">
      <c r="A45" s="218">
        <v>1997</v>
      </c>
      <c r="B45" s="159">
        <v>828.31</v>
      </c>
      <c r="C45" s="219">
        <v>559.74</v>
      </c>
      <c r="D45" s="159" t="s">
        <v>1646</v>
      </c>
      <c r="E45" s="219">
        <v>403.15</v>
      </c>
      <c r="F45" s="159">
        <v>710.67</v>
      </c>
      <c r="G45" s="844" t="s">
        <v>1646</v>
      </c>
    </row>
    <row r="46" spans="1:7" ht="18" customHeight="1" thickBot="1">
      <c r="A46" s="218">
        <v>1998</v>
      </c>
      <c r="B46" s="159">
        <v>873.53</v>
      </c>
      <c r="C46" s="219">
        <v>593.55999999999995</v>
      </c>
      <c r="D46" s="159">
        <v>462.8</v>
      </c>
      <c r="E46" s="219">
        <v>440.16</v>
      </c>
      <c r="F46" s="159">
        <v>720.82</v>
      </c>
      <c r="G46" s="844">
        <v>1.4282296987350174E-2</v>
      </c>
    </row>
    <row r="47" spans="1:7" ht="18" customHeight="1" thickBot="1">
      <c r="A47" s="218">
        <v>1999</v>
      </c>
      <c r="B47" s="159">
        <v>856.59</v>
      </c>
      <c r="C47" s="219">
        <v>636.57000000000005</v>
      </c>
      <c r="D47" s="159">
        <v>495.98</v>
      </c>
      <c r="E47" s="219">
        <v>488.53</v>
      </c>
      <c r="F47" s="159">
        <v>737.62</v>
      </c>
      <c r="G47" s="844">
        <v>2.3306789489747626E-2</v>
      </c>
    </row>
    <row r="48" spans="1:7" ht="18" customHeight="1" thickBot="1">
      <c r="A48" s="218">
        <v>2000</v>
      </c>
      <c r="B48" s="159">
        <v>917.29</v>
      </c>
      <c r="C48" s="219">
        <v>673.97</v>
      </c>
      <c r="D48" s="159">
        <v>496.44</v>
      </c>
      <c r="E48" s="219">
        <v>543.66</v>
      </c>
      <c r="F48" s="159">
        <v>787.29</v>
      </c>
      <c r="G48" s="844">
        <v>6.7338195818985369E-2</v>
      </c>
    </row>
    <row r="49" spans="1:7" ht="18" customHeight="1" thickBot="1">
      <c r="A49" s="218">
        <v>2001</v>
      </c>
      <c r="B49" s="159">
        <v>985.66</v>
      </c>
      <c r="C49" s="219">
        <v>660.7</v>
      </c>
      <c r="D49" s="159" t="s">
        <v>1646</v>
      </c>
      <c r="E49" s="219">
        <v>575.52</v>
      </c>
      <c r="F49" s="159">
        <v>820.79</v>
      </c>
      <c r="G49" s="844">
        <v>4.2551029480877522E-2</v>
      </c>
    </row>
    <row r="50" spans="1:7" ht="18" customHeight="1" thickBot="1">
      <c r="A50" s="218">
        <v>2002</v>
      </c>
      <c r="B50" s="159">
        <v>1055.77</v>
      </c>
      <c r="C50" s="219">
        <v>633.61</v>
      </c>
      <c r="D50" s="159" t="s">
        <v>1646</v>
      </c>
      <c r="E50" s="219">
        <v>590.74</v>
      </c>
      <c r="F50" s="159">
        <v>831.97</v>
      </c>
      <c r="G50" s="844">
        <v>1.3621023647949038E-2</v>
      </c>
    </row>
    <row r="51" spans="1:7" ht="18" customHeight="1" thickBot="1">
      <c r="A51" s="218">
        <v>2003</v>
      </c>
      <c r="B51" s="159">
        <v>1148.42</v>
      </c>
      <c r="C51" s="219">
        <v>614.30999999999995</v>
      </c>
      <c r="D51" s="159" t="s">
        <v>1646</v>
      </c>
      <c r="E51" s="219">
        <v>584.67999999999995</v>
      </c>
      <c r="F51" s="159">
        <v>853.64</v>
      </c>
      <c r="G51" s="844">
        <v>2.6046612257653479E-2</v>
      </c>
    </row>
    <row r="52" spans="1:7" ht="18" customHeight="1" thickBot="1">
      <c r="A52" s="218">
        <v>2004</v>
      </c>
      <c r="B52" s="159">
        <v>1173.74</v>
      </c>
      <c r="C52" s="219">
        <v>628.03</v>
      </c>
      <c r="D52" s="159" t="s">
        <v>1646</v>
      </c>
      <c r="E52" s="219">
        <v>605.5</v>
      </c>
      <c r="F52" s="159">
        <v>876.55</v>
      </c>
      <c r="G52" s="844">
        <v>2.6838011339674672E-2</v>
      </c>
    </row>
    <row r="53" spans="1:7" ht="18" customHeight="1" thickBot="1">
      <c r="A53" s="817">
        <v>2005</v>
      </c>
      <c r="B53" s="206">
        <v>1262.96</v>
      </c>
      <c r="C53" s="207">
        <v>584.52</v>
      </c>
      <c r="D53" s="206">
        <v>714.96</v>
      </c>
      <c r="E53" s="207">
        <v>580.20000000000005</v>
      </c>
      <c r="F53" s="206">
        <v>890.22</v>
      </c>
      <c r="G53" s="845">
        <v>1.5595231304546209E-2</v>
      </c>
    </row>
    <row r="54" spans="1:7">
      <c r="D54" s="5"/>
      <c r="E54" s="5"/>
      <c r="F54" s="5"/>
      <c r="G54" s="847"/>
    </row>
    <row r="55" spans="1:7">
      <c r="D55" s="5"/>
      <c r="E55" s="5"/>
      <c r="F55" s="5"/>
      <c r="G55" s="847"/>
    </row>
    <row r="56" spans="1:7" ht="18.75" customHeight="1">
      <c r="A56" s="267" t="s">
        <v>1602</v>
      </c>
      <c r="B56" s="126" t="s">
        <v>329</v>
      </c>
      <c r="C56" s="127" t="s">
        <v>330</v>
      </c>
      <c r="D56" s="126" t="s">
        <v>331</v>
      </c>
      <c r="E56" s="127" t="s">
        <v>332</v>
      </c>
      <c r="F56" s="126" t="s">
        <v>43</v>
      </c>
      <c r="G56" s="853" t="s">
        <v>265</v>
      </c>
    </row>
    <row r="57" spans="1:7" ht="18.75" customHeight="1">
      <c r="A57" s="807" t="s">
        <v>1603</v>
      </c>
      <c r="B57" s="129" t="s">
        <v>333</v>
      </c>
      <c r="C57" s="131" t="s">
        <v>334</v>
      </c>
      <c r="D57" s="129" t="s">
        <v>335</v>
      </c>
      <c r="E57" s="213" t="s">
        <v>336</v>
      </c>
      <c r="F57" s="129"/>
      <c r="G57" s="854" t="s">
        <v>267</v>
      </c>
    </row>
    <row r="58" spans="1:7" ht="18.75" customHeight="1">
      <c r="A58" s="212"/>
      <c r="B58" s="129" t="s">
        <v>337</v>
      </c>
      <c r="C58" s="131" t="s">
        <v>338</v>
      </c>
      <c r="D58" s="129" t="s">
        <v>339</v>
      </c>
      <c r="E58" s="213" t="s">
        <v>340</v>
      </c>
      <c r="F58" s="129"/>
      <c r="G58" s="854" t="s">
        <v>268</v>
      </c>
    </row>
    <row r="59" spans="1:7" ht="18.75" customHeight="1">
      <c r="A59" s="214" t="s">
        <v>1254</v>
      </c>
      <c r="B59" s="135"/>
      <c r="C59" s="134"/>
      <c r="D59" s="135"/>
      <c r="E59" s="215" t="s">
        <v>341</v>
      </c>
      <c r="F59" s="135"/>
      <c r="G59" s="855"/>
    </row>
    <row r="60" spans="1:7" ht="18.75" customHeight="1" thickBot="1">
      <c r="A60" s="216">
        <v>1996</v>
      </c>
      <c r="B60" s="157" t="s">
        <v>1646</v>
      </c>
      <c r="C60" s="217" t="s">
        <v>1646</v>
      </c>
      <c r="D60" s="157" t="s">
        <v>1646</v>
      </c>
      <c r="E60" s="217" t="s">
        <v>1646</v>
      </c>
      <c r="F60" s="157" t="s">
        <v>1646</v>
      </c>
      <c r="G60" s="843" t="s">
        <v>1646</v>
      </c>
    </row>
    <row r="61" spans="1:7" ht="18.75" customHeight="1" thickBot="1">
      <c r="A61" s="218">
        <v>1997</v>
      </c>
      <c r="B61" s="159">
        <v>2553.6</v>
      </c>
      <c r="C61" s="219">
        <v>1490.87</v>
      </c>
      <c r="D61" s="159" t="s">
        <v>1646</v>
      </c>
      <c r="E61" s="219">
        <v>999.25</v>
      </c>
      <c r="F61" s="159">
        <v>1974.25</v>
      </c>
      <c r="G61" s="844" t="s">
        <v>1646</v>
      </c>
    </row>
    <row r="62" spans="1:7" ht="18.75" customHeight="1" thickBot="1">
      <c r="A62" s="218">
        <v>1998</v>
      </c>
      <c r="B62" s="159">
        <v>2601.9299999999998</v>
      </c>
      <c r="C62" s="219">
        <v>1682.57</v>
      </c>
      <c r="D62" s="159">
        <v>581.41</v>
      </c>
      <c r="E62" s="219">
        <v>1300.21</v>
      </c>
      <c r="F62" s="159">
        <v>2092.48</v>
      </c>
      <c r="G62" s="844">
        <v>5.9886032670634526E-2</v>
      </c>
    </row>
    <row r="63" spans="1:7" ht="18.75" customHeight="1" thickBot="1">
      <c r="A63" s="218">
        <v>1999</v>
      </c>
      <c r="B63" s="159">
        <v>2790.72</v>
      </c>
      <c r="C63" s="219">
        <v>1676.63</v>
      </c>
      <c r="D63" s="159">
        <v>628.47</v>
      </c>
      <c r="E63" s="219">
        <v>1466.13</v>
      </c>
      <c r="F63" s="159">
        <v>2185.0300000000002</v>
      </c>
      <c r="G63" s="844">
        <v>4.4229813427129727E-2</v>
      </c>
    </row>
    <row r="64" spans="1:7" ht="18.75" customHeight="1" thickBot="1">
      <c r="A64" s="218">
        <v>2000</v>
      </c>
      <c r="B64" s="159">
        <v>3052.4</v>
      </c>
      <c r="C64" s="219">
        <v>1789.05</v>
      </c>
      <c r="D64" s="159">
        <v>575.94000000000005</v>
      </c>
      <c r="E64" s="219">
        <v>1591.54</v>
      </c>
      <c r="F64" s="159">
        <v>2348.13</v>
      </c>
      <c r="G64" s="844">
        <v>7.4644284060173094E-2</v>
      </c>
    </row>
    <row r="65" spans="1:7" ht="18.75" customHeight="1" thickBot="1">
      <c r="A65" s="218">
        <v>2001</v>
      </c>
      <c r="B65" s="159">
        <v>3292.81</v>
      </c>
      <c r="C65" s="219">
        <v>1845.88</v>
      </c>
      <c r="D65" s="159">
        <v>742.01</v>
      </c>
      <c r="E65" s="219">
        <v>1662.99</v>
      </c>
      <c r="F65" s="159">
        <v>2475.4499999999998</v>
      </c>
      <c r="G65" s="844">
        <v>5.4221870169028019E-2</v>
      </c>
    </row>
    <row r="66" spans="1:7" ht="18.75" customHeight="1" thickBot="1">
      <c r="A66" s="218">
        <v>2002</v>
      </c>
      <c r="B66" s="159">
        <v>3510.96</v>
      </c>
      <c r="C66" s="219">
        <v>1862.31</v>
      </c>
      <c r="D66" s="159">
        <v>758.7</v>
      </c>
      <c r="E66" s="219">
        <v>1701.35</v>
      </c>
      <c r="F66" s="159">
        <v>2560.0700000000002</v>
      </c>
      <c r="G66" s="844">
        <v>3.4183683774667406E-2</v>
      </c>
    </row>
    <row r="67" spans="1:7" ht="18.75" customHeight="1" thickBot="1">
      <c r="A67" s="218">
        <v>2003</v>
      </c>
      <c r="B67" s="159">
        <v>3846.7</v>
      </c>
      <c r="C67" s="219">
        <v>1889.85</v>
      </c>
      <c r="D67" s="159">
        <v>849.57</v>
      </c>
      <c r="E67" s="219">
        <v>1588.19</v>
      </c>
      <c r="F67" s="159">
        <v>2673.16</v>
      </c>
      <c r="G67" s="844">
        <v>4.417457335150976E-2</v>
      </c>
    </row>
    <row r="68" spans="1:7" ht="18.75" customHeight="1" thickBot="1">
      <c r="A68" s="218">
        <v>2004</v>
      </c>
      <c r="B68" s="159">
        <v>3993.1</v>
      </c>
      <c r="C68" s="219">
        <v>1997.31</v>
      </c>
      <c r="D68" s="159">
        <v>973.4</v>
      </c>
      <c r="E68" s="219">
        <v>1687.36</v>
      </c>
      <c r="F68" s="159">
        <v>2810.53</v>
      </c>
      <c r="G68" s="844">
        <v>5.1388618713432921E-2</v>
      </c>
    </row>
    <row r="69" spans="1:7" ht="18.75" customHeight="1" thickBot="1">
      <c r="A69" s="817">
        <v>2005</v>
      </c>
      <c r="B69" s="206">
        <v>4332.03</v>
      </c>
      <c r="C69" s="207">
        <v>1958.97</v>
      </c>
      <c r="D69" s="206">
        <v>1024.46</v>
      </c>
      <c r="E69" s="207">
        <v>1745.99</v>
      </c>
      <c r="F69" s="206">
        <v>2951.91</v>
      </c>
      <c r="G69" s="845">
        <v>5.0303679377199151E-2</v>
      </c>
    </row>
    <row r="70" spans="1:7" ht="15" customHeight="1">
      <c r="A70" s="227" t="s">
        <v>1606</v>
      </c>
    </row>
    <row r="72" spans="1:7">
      <c r="A72" s="85" t="s">
        <v>1607</v>
      </c>
    </row>
    <row r="73" spans="1:7">
      <c r="A73" s="79" t="s">
        <v>98</v>
      </c>
    </row>
    <row r="75" spans="1:7">
      <c r="A75" s="211" t="s">
        <v>1933</v>
      </c>
    </row>
    <row r="76" spans="1:7" ht="12" customHeight="1">
      <c r="A76" s="76" t="s">
        <v>1608</v>
      </c>
      <c r="B76" s="163"/>
      <c r="F76" s="163"/>
      <c r="G76" s="644"/>
    </row>
    <row r="77" spans="1:7" ht="12" customHeight="1">
      <c r="A77" s="76" t="s">
        <v>1609</v>
      </c>
      <c r="B77" s="163"/>
      <c r="F77" s="163"/>
      <c r="G77" s="644"/>
    </row>
    <row r="80" spans="1:7">
      <c r="A80" s="2" t="s">
        <v>128</v>
      </c>
    </row>
  </sheetData>
  <mergeCells count="1">
    <mergeCell ref="A2:E2"/>
  </mergeCells>
  <phoneticPr fontId="0" type="noConversion"/>
  <pageMargins left="0.56000000000000005" right="0.38" top="0.64" bottom="0.49" header="0.36" footer="0.4921259845"/>
  <pageSetup paperSize="9" scale="55" orientation="portrait" horizontalDpi="1200" verticalDpi="120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C924B-DB57-9D42-8223-DB6464CC5109}">
  <sheetPr>
    <pageSetUpPr fitToPage="1"/>
  </sheetPr>
  <dimension ref="A1:K41"/>
  <sheetViews>
    <sheetView zoomScale="75" workbookViewId="0">
      <selection activeCell="A3" sqref="A3"/>
    </sheetView>
  </sheetViews>
  <sheetFormatPr baseColWidth="10" defaultColWidth="11.3984375" defaultRowHeight="13"/>
  <cols>
    <col min="1" max="1" width="12.3984375" style="2" customWidth="1"/>
    <col min="2" max="11" width="10.3984375" style="2" customWidth="1"/>
    <col min="12" max="16384" width="11.3984375" style="2"/>
  </cols>
  <sheetData>
    <row r="1" spans="1:11" s="1" customFormat="1" ht="14" customHeight="1"/>
    <row r="2" spans="1:11" s="1" customFormat="1" ht="33" customHeight="1">
      <c r="A2" s="1606" t="s">
        <v>2235</v>
      </c>
      <c r="B2" s="1610"/>
      <c r="C2" s="1610"/>
      <c r="D2" s="1610"/>
      <c r="E2" s="1610"/>
      <c r="F2" s="1610"/>
      <c r="G2" s="1610"/>
      <c r="H2" s="1610"/>
      <c r="I2" s="1610"/>
      <c r="J2" s="124"/>
      <c r="K2" s="124">
        <v>2005</v>
      </c>
    </row>
    <row r="3" spans="1:11" ht="24" customHeight="1">
      <c r="A3" s="125" t="s">
        <v>222</v>
      </c>
      <c r="B3" s="126">
        <v>1996</v>
      </c>
      <c r="C3" s="127">
        <v>1997</v>
      </c>
      <c r="D3" s="126">
        <v>1998</v>
      </c>
      <c r="E3" s="127">
        <v>1999</v>
      </c>
      <c r="F3" s="126">
        <v>2000</v>
      </c>
      <c r="G3" s="127">
        <v>2001</v>
      </c>
      <c r="H3" s="126">
        <v>2002</v>
      </c>
      <c r="I3" s="127">
        <v>2003</v>
      </c>
      <c r="J3" s="126">
        <v>2004</v>
      </c>
      <c r="K3" s="127">
        <v>2005</v>
      </c>
    </row>
    <row r="4" spans="1:11" ht="15" customHeight="1">
      <c r="A4" s="212"/>
      <c r="B4" s="129"/>
      <c r="C4" s="131"/>
      <c r="D4" s="129"/>
      <c r="E4" s="131"/>
      <c r="F4" s="155"/>
      <c r="G4" s="213"/>
      <c r="H4" s="129"/>
      <c r="I4" s="131"/>
      <c r="J4" s="129"/>
      <c r="K4" s="131"/>
    </row>
    <row r="5" spans="1:11" ht="16" customHeight="1">
      <c r="A5" s="214"/>
      <c r="B5" s="135"/>
      <c r="C5" s="134"/>
      <c r="D5" s="135"/>
      <c r="E5" s="134"/>
      <c r="F5" s="156"/>
      <c r="G5" s="215"/>
      <c r="H5" s="135"/>
      <c r="I5" s="134"/>
      <c r="J5" s="135"/>
      <c r="K5" s="134"/>
    </row>
    <row r="6" spans="1:11" ht="30" customHeight="1" thickBot="1">
      <c r="A6" s="654" t="s">
        <v>230</v>
      </c>
      <c r="B6" s="310">
        <v>1549.9656909542132</v>
      </c>
      <c r="C6" s="311">
        <v>1574.74</v>
      </c>
      <c r="D6" s="310">
        <v>1712.02</v>
      </c>
      <c r="E6" s="311">
        <v>1767.1</v>
      </c>
      <c r="F6" s="310">
        <v>1853.81</v>
      </c>
      <c r="G6" s="311">
        <v>1945.7</v>
      </c>
      <c r="H6" s="310">
        <v>1997.6</v>
      </c>
      <c r="I6" s="217">
        <v>2040.72</v>
      </c>
      <c r="J6" s="157">
        <v>2204.77</v>
      </c>
      <c r="K6" s="217">
        <v>2262.65</v>
      </c>
    </row>
    <row r="7" spans="1:11" ht="20" customHeight="1" thickBot="1">
      <c r="A7" s="655" t="s">
        <v>231</v>
      </c>
      <c r="B7" s="159">
        <v>1408.151066328636</v>
      </c>
      <c r="C7" s="219">
        <v>1405.21</v>
      </c>
      <c r="D7" s="159">
        <v>1555.67</v>
      </c>
      <c r="E7" s="219">
        <v>1637.63</v>
      </c>
      <c r="F7" s="159">
        <v>1832.02</v>
      </c>
      <c r="G7" s="219">
        <v>1887.26</v>
      </c>
      <c r="H7" s="159">
        <v>1965.91</v>
      </c>
      <c r="I7" s="217">
        <v>2126.35</v>
      </c>
      <c r="J7" s="157">
        <v>2366.1</v>
      </c>
      <c r="K7" s="217">
        <v>2494.56</v>
      </c>
    </row>
    <row r="8" spans="1:11" ht="20" customHeight="1" thickBot="1">
      <c r="A8" s="655" t="s">
        <v>232</v>
      </c>
      <c r="B8" s="159">
        <v>1131.4590410167589</v>
      </c>
      <c r="C8" s="219">
        <v>1184.71</v>
      </c>
      <c r="D8" s="159">
        <v>1246.68</v>
      </c>
      <c r="E8" s="219">
        <v>1319.84</v>
      </c>
      <c r="F8" s="159">
        <v>1425.18</v>
      </c>
      <c r="G8" s="219">
        <v>1529.85</v>
      </c>
      <c r="H8" s="159">
        <v>1579.99</v>
      </c>
      <c r="I8" s="217">
        <v>1686.93</v>
      </c>
      <c r="J8" s="157">
        <v>1800.15</v>
      </c>
      <c r="K8" s="217">
        <v>1960.76</v>
      </c>
    </row>
    <row r="9" spans="1:11" ht="20" customHeight="1" thickBot="1">
      <c r="A9" s="655" t="s">
        <v>233</v>
      </c>
      <c r="B9" s="159">
        <v>1141.6866160362115</v>
      </c>
      <c r="C9" s="219">
        <v>1223.1600000000001</v>
      </c>
      <c r="D9" s="159">
        <v>1225.93</v>
      </c>
      <c r="E9" s="219">
        <v>1305.03</v>
      </c>
      <c r="F9" s="159">
        <v>1419.01</v>
      </c>
      <c r="G9" s="219">
        <v>1569.55</v>
      </c>
      <c r="H9" s="159">
        <v>1489.15</v>
      </c>
      <c r="I9" s="217">
        <v>1621.62</v>
      </c>
      <c r="J9" s="157">
        <v>1668.24</v>
      </c>
      <c r="K9" s="217">
        <v>1854.56</v>
      </c>
    </row>
    <row r="10" spans="1:11" ht="20" customHeight="1" thickBot="1">
      <c r="A10" s="655" t="s">
        <v>234</v>
      </c>
      <c r="B10" s="159">
        <v>1184.2057139739125</v>
      </c>
      <c r="C10" s="219">
        <v>1225.3599999999999</v>
      </c>
      <c r="D10" s="159">
        <v>1219.58</v>
      </c>
      <c r="E10" s="219">
        <v>1329.14</v>
      </c>
      <c r="F10" s="159">
        <v>1433.5</v>
      </c>
      <c r="G10" s="219">
        <v>1590.79</v>
      </c>
      <c r="H10" s="159">
        <v>1578.63</v>
      </c>
      <c r="I10" s="217">
        <v>1700.18</v>
      </c>
      <c r="J10" s="157">
        <v>1790.74</v>
      </c>
      <c r="K10" s="217">
        <v>1891.09</v>
      </c>
    </row>
    <row r="11" spans="1:11" ht="20" customHeight="1" thickBot="1">
      <c r="A11" s="655" t="s">
        <v>235</v>
      </c>
      <c r="B11" s="159">
        <v>1136.7895750681751</v>
      </c>
      <c r="C11" s="219">
        <v>1181.44</v>
      </c>
      <c r="D11" s="159">
        <v>1263.81</v>
      </c>
      <c r="E11" s="219">
        <v>1289.94</v>
      </c>
      <c r="F11" s="159">
        <v>1396.65</v>
      </c>
      <c r="G11" s="219">
        <v>1431.96</v>
      </c>
      <c r="H11" s="159">
        <v>1455.13</v>
      </c>
      <c r="I11" s="217">
        <v>1567.61</v>
      </c>
      <c r="J11" s="157">
        <v>1619.38</v>
      </c>
      <c r="K11" s="217">
        <v>1745.05</v>
      </c>
    </row>
    <row r="12" spans="1:11" ht="20" customHeight="1" thickBot="1">
      <c r="A12" s="655" t="s">
        <v>236</v>
      </c>
      <c r="B12" s="159">
        <v>1092.8342113620542</v>
      </c>
      <c r="C12" s="219">
        <v>1090.96</v>
      </c>
      <c r="D12" s="159">
        <v>1128.8900000000001</v>
      </c>
      <c r="E12" s="219">
        <v>1207.8499999999999</v>
      </c>
      <c r="F12" s="159">
        <v>1351.49</v>
      </c>
      <c r="G12" s="219">
        <v>1381.42</v>
      </c>
      <c r="H12" s="159">
        <v>1410.12</v>
      </c>
      <c r="I12" s="217">
        <v>1526.73</v>
      </c>
      <c r="J12" s="157">
        <v>1555.61</v>
      </c>
      <c r="K12" s="217">
        <v>1650.2</v>
      </c>
    </row>
    <row r="13" spans="1:11" ht="20" customHeight="1" thickBot="1">
      <c r="A13" s="655" t="s">
        <v>237</v>
      </c>
      <c r="B13" s="159">
        <v>1227.2463426697566</v>
      </c>
      <c r="C13" s="219">
        <v>1304</v>
      </c>
      <c r="D13" s="159">
        <v>1339.52</v>
      </c>
      <c r="E13" s="219">
        <v>1481.14</v>
      </c>
      <c r="F13" s="159">
        <v>1589.34</v>
      </c>
      <c r="G13" s="219">
        <v>1656.5</v>
      </c>
      <c r="H13" s="159">
        <v>1719.94</v>
      </c>
      <c r="I13" s="217">
        <v>1747.83</v>
      </c>
      <c r="J13" s="157">
        <v>1865.56</v>
      </c>
      <c r="K13" s="217">
        <v>1970.12</v>
      </c>
    </row>
    <row r="14" spans="1:11" ht="20" customHeight="1" thickBot="1">
      <c r="A14" s="655" t="s">
        <v>238</v>
      </c>
      <c r="B14" s="159">
        <v>1146.3266629686498</v>
      </c>
      <c r="C14" s="219">
        <v>1159.56</v>
      </c>
      <c r="D14" s="159">
        <v>1229.81</v>
      </c>
      <c r="E14" s="219">
        <v>1290.81</v>
      </c>
      <c r="F14" s="159">
        <v>1395.64</v>
      </c>
      <c r="G14" s="219">
        <v>1563.95</v>
      </c>
      <c r="H14" s="159">
        <v>1651.83</v>
      </c>
      <c r="I14" s="217">
        <v>1695.75</v>
      </c>
      <c r="J14" s="157">
        <v>1773.25</v>
      </c>
      <c r="K14" s="217">
        <v>1866.95</v>
      </c>
    </row>
    <row r="15" spans="1:11" ht="20" customHeight="1" thickBot="1">
      <c r="A15" s="655" t="s">
        <v>239</v>
      </c>
      <c r="B15" s="159">
        <v>1415.2903794584126</v>
      </c>
      <c r="C15" s="219">
        <v>1675.91</v>
      </c>
      <c r="D15" s="159">
        <v>1574.84</v>
      </c>
      <c r="E15" s="219">
        <v>1642.48</v>
      </c>
      <c r="F15" s="159">
        <v>1704.33</v>
      </c>
      <c r="G15" s="219">
        <v>1823.19</v>
      </c>
      <c r="H15" s="159">
        <v>1920.23</v>
      </c>
      <c r="I15" s="217">
        <v>1947.27</v>
      </c>
      <c r="J15" s="157">
        <v>2008.7</v>
      </c>
      <c r="K15" s="217">
        <v>2140.27</v>
      </c>
    </row>
    <row r="16" spans="1:11" ht="20" customHeight="1" thickBot="1">
      <c r="A16" s="655" t="s">
        <v>240</v>
      </c>
      <c r="B16" s="159">
        <v>1431.3195165662285</v>
      </c>
      <c r="C16" s="219">
        <v>1324.05</v>
      </c>
      <c r="D16" s="159">
        <v>1482.28</v>
      </c>
      <c r="E16" s="219">
        <v>1547.69</v>
      </c>
      <c r="F16" s="159">
        <v>1646.33</v>
      </c>
      <c r="G16" s="219">
        <v>1724.47</v>
      </c>
      <c r="H16" s="159">
        <v>1839.3</v>
      </c>
      <c r="I16" s="217">
        <v>2005.14</v>
      </c>
      <c r="J16" s="157">
        <v>2081.4</v>
      </c>
      <c r="K16" s="217">
        <v>2189.8200000000002</v>
      </c>
    </row>
    <row r="17" spans="1:11" ht="20" customHeight="1" thickBot="1">
      <c r="A17" s="655" t="s">
        <v>241</v>
      </c>
      <c r="B17" s="159">
        <v>2130.3652186055947</v>
      </c>
      <c r="C17" s="219">
        <v>2231.2399999999998</v>
      </c>
      <c r="D17" s="159">
        <v>2342.92</v>
      </c>
      <c r="E17" s="219">
        <v>2423.2199999999998</v>
      </c>
      <c r="F17" s="159">
        <v>2585.5100000000002</v>
      </c>
      <c r="G17" s="219">
        <v>2736.33</v>
      </c>
      <c r="H17" s="159">
        <v>2755.5</v>
      </c>
      <c r="I17" s="217">
        <v>2805.3</v>
      </c>
      <c r="J17" s="157">
        <v>2883.22</v>
      </c>
      <c r="K17" s="217">
        <v>3141.52</v>
      </c>
    </row>
    <row r="18" spans="1:11" ht="20" customHeight="1" thickBot="1">
      <c r="A18" s="655" t="s">
        <v>242</v>
      </c>
      <c r="B18" s="159">
        <v>1577.9818446320662</v>
      </c>
      <c r="C18" s="219">
        <v>1605.13</v>
      </c>
      <c r="D18" s="159">
        <v>1649.3</v>
      </c>
      <c r="E18" s="219">
        <v>1769.72</v>
      </c>
      <c r="F18" s="159">
        <v>1894.49</v>
      </c>
      <c r="G18" s="219">
        <v>2012</v>
      </c>
      <c r="H18" s="159">
        <v>2085.25</v>
      </c>
      <c r="I18" s="217">
        <v>2167.37</v>
      </c>
      <c r="J18" s="157">
        <v>2197.11</v>
      </c>
      <c r="K18" s="217">
        <v>2359.2199999999998</v>
      </c>
    </row>
    <row r="19" spans="1:11" ht="20" customHeight="1" thickBot="1">
      <c r="A19" s="655" t="s">
        <v>243</v>
      </c>
      <c r="B19" s="159">
        <v>1356.1690949674651</v>
      </c>
      <c r="C19" s="219">
        <v>1457.88</v>
      </c>
      <c r="D19" s="159">
        <v>1533.8</v>
      </c>
      <c r="E19" s="219">
        <v>1735.7</v>
      </c>
      <c r="F19" s="159">
        <v>1831.18</v>
      </c>
      <c r="G19" s="219">
        <v>1926.28</v>
      </c>
      <c r="H19" s="159">
        <v>1971.15</v>
      </c>
      <c r="I19" s="217">
        <v>2049.35</v>
      </c>
      <c r="J19" s="157">
        <v>2120.3000000000002</v>
      </c>
      <c r="K19" s="217">
        <v>2204.77</v>
      </c>
    </row>
    <row r="20" spans="1:11" ht="20" customHeight="1" thickBot="1">
      <c r="A20" s="655" t="s">
        <v>244</v>
      </c>
      <c r="B20" s="159">
        <v>1093.0240406812793</v>
      </c>
      <c r="C20" s="219">
        <v>1156.06</v>
      </c>
      <c r="D20" s="159">
        <v>1200.6099999999999</v>
      </c>
      <c r="E20" s="219">
        <v>1317.39</v>
      </c>
      <c r="F20" s="159">
        <v>1421.13</v>
      </c>
      <c r="G20" s="219">
        <v>1480.04</v>
      </c>
      <c r="H20" s="159">
        <v>1518.84</v>
      </c>
      <c r="I20" s="217">
        <v>1649</v>
      </c>
      <c r="J20" s="157">
        <v>1698.48</v>
      </c>
      <c r="K20" s="217">
        <v>1773.7</v>
      </c>
    </row>
    <row r="21" spans="1:11" ht="20" customHeight="1" thickBot="1">
      <c r="A21" s="655" t="s">
        <v>245</v>
      </c>
      <c r="B21" s="159">
        <v>937.42437897050047</v>
      </c>
      <c r="C21" s="219">
        <v>977.88</v>
      </c>
      <c r="D21" s="159">
        <v>980.34</v>
      </c>
      <c r="E21" s="219">
        <v>1110.8599999999999</v>
      </c>
      <c r="F21" s="159">
        <v>1222.43</v>
      </c>
      <c r="G21" s="219">
        <v>1303.8599999999999</v>
      </c>
      <c r="H21" s="159">
        <v>1422.39</v>
      </c>
      <c r="I21" s="217">
        <v>1474.35</v>
      </c>
      <c r="J21" s="157">
        <v>1464.82</v>
      </c>
      <c r="K21" s="217">
        <v>1571.68</v>
      </c>
    </row>
    <row r="22" spans="1:11" ht="20" customHeight="1" thickBot="1">
      <c r="A22" s="655" t="s">
        <v>246</v>
      </c>
      <c r="B22" s="159">
        <v>1137.9708474039455</v>
      </c>
      <c r="C22" s="219">
        <v>1220.83</v>
      </c>
      <c r="D22" s="159">
        <v>1268.57</v>
      </c>
      <c r="E22" s="219">
        <v>1372.38</v>
      </c>
      <c r="F22" s="159">
        <v>1447.46</v>
      </c>
      <c r="G22" s="219">
        <v>1518.72</v>
      </c>
      <c r="H22" s="159">
        <v>1603.49</v>
      </c>
      <c r="I22" s="217">
        <v>1748.34</v>
      </c>
      <c r="J22" s="157">
        <v>1828.82</v>
      </c>
      <c r="K22" s="217">
        <v>1892.44</v>
      </c>
    </row>
    <row r="23" spans="1:11" ht="20" customHeight="1" thickBot="1">
      <c r="A23" s="655" t="s">
        <v>247</v>
      </c>
      <c r="B23" s="159">
        <v>1090.0492624648118</v>
      </c>
      <c r="C23" s="219">
        <v>1241.78</v>
      </c>
      <c r="D23" s="159">
        <v>1273.6199999999999</v>
      </c>
      <c r="E23" s="219">
        <v>1397.39</v>
      </c>
      <c r="F23" s="159">
        <v>1553.84</v>
      </c>
      <c r="G23" s="219">
        <v>1573.39</v>
      </c>
      <c r="H23" s="159">
        <v>1596.96</v>
      </c>
      <c r="I23" s="217">
        <v>1798.77</v>
      </c>
      <c r="J23" s="157">
        <v>1865.58</v>
      </c>
      <c r="K23" s="217">
        <v>1943.18</v>
      </c>
    </row>
    <row r="24" spans="1:11" ht="20" customHeight="1" thickBot="1">
      <c r="A24" s="655" t="s">
        <v>248</v>
      </c>
      <c r="B24" s="159">
        <v>1235.8587040964603</v>
      </c>
      <c r="C24" s="219">
        <v>1261.31</v>
      </c>
      <c r="D24" s="159">
        <v>1367.78</v>
      </c>
      <c r="E24" s="219">
        <v>1484.07</v>
      </c>
      <c r="F24" s="159">
        <v>1600.06</v>
      </c>
      <c r="G24" s="219">
        <v>1688.86</v>
      </c>
      <c r="H24" s="159">
        <v>1759.97</v>
      </c>
      <c r="I24" s="217">
        <v>1853.89</v>
      </c>
      <c r="J24" s="157">
        <v>1912.21</v>
      </c>
      <c r="K24" s="217">
        <v>2044</v>
      </c>
    </row>
    <row r="25" spans="1:11" ht="20" customHeight="1" thickBot="1">
      <c r="A25" s="655" t="s">
        <v>249</v>
      </c>
      <c r="B25" s="159">
        <v>1183.2025693703608</v>
      </c>
      <c r="C25" s="219">
        <v>1446.55</v>
      </c>
      <c r="D25" s="159">
        <v>1489.6</v>
      </c>
      <c r="E25" s="219">
        <v>1562.52</v>
      </c>
      <c r="F25" s="159">
        <v>1631.21</v>
      </c>
      <c r="G25" s="219">
        <v>1694.01</v>
      </c>
      <c r="H25" s="159">
        <v>1826.69</v>
      </c>
      <c r="I25" s="217">
        <v>1914.58</v>
      </c>
      <c r="J25" s="157">
        <v>1906.85</v>
      </c>
      <c r="K25" s="217">
        <v>1972.24</v>
      </c>
    </row>
    <row r="26" spans="1:11" ht="20" customHeight="1" thickBot="1">
      <c r="A26" s="655" t="s">
        <v>250</v>
      </c>
      <c r="B26" s="159">
        <v>1908.365144989446</v>
      </c>
      <c r="C26" s="219">
        <v>1954.92</v>
      </c>
      <c r="D26" s="159">
        <v>1985.34</v>
      </c>
      <c r="E26" s="219">
        <v>2047.88</v>
      </c>
      <c r="F26" s="159">
        <v>2244.37</v>
      </c>
      <c r="G26" s="219">
        <v>2358.9899999999998</v>
      </c>
      <c r="H26" s="159">
        <v>2511</v>
      </c>
      <c r="I26" s="217">
        <v>2651.52</v>
      </c>
      <c r="J26" s="157">
        <v>2632.57</v>
      </c>
      <c r="K26" s="217">
        <v>2809.82</v>
      </c>
    </row>
    <row r="27" spans="1:11" ht="20" customHeight="1" thickBot="1">
      <c r="A27" s="655" t="s">
        <v>251</v>
      </c>
      <c r="B27" s="159">
        <v>1892.6037074686208</v>
      </c>
      <c r="C27" s="219">
        <v>2044.73</v>
      </c>
      <c r="D27" s="159">
        <v>2059.25</v>
      </c>
      <c r="E27" s="219">
        <v>2097.46</v>
      </c>
      <c r="F27" s="159">
        <v>2268.5100000000002</v>
      </c>
      <c r="G27" s="219">
        <v>2422.64</v>
      </c>
      <c r="H27" s="159">
        <v>2479.8000000000002</v>
      </c>
      <c r="I27" s="217">
        <v>2575.5300000000002</v>
      </c>
      <c r="J27" s="157">
        <v>2616.02</v>
      </c>
      <c r="K27" s="217">
        <v>2740.2</v>
      </c>
    </row>
    <row r="28" spans="1:11" ht="20" customHeight="1" thickBot="1">
      <c r="A28" s="655" t="s">
        <v>252</v>
      </c>
      <c r="B28" s="159">
        <v>1297.6860350834741</v>
      </c>
      <c r="C28" s="219">
        <v>1415.95</v>
      </c>
      <c r="D28" s="159">
        <v>1391.67</v>
      </c>
      <c r="E28" s="219">
        <v>1477.29</v>
      </c>
      <c r="F28" s="159">
        <v>1625.44</v>
      </c>
      <c r="G28" s="219">
        <v>1716.24</v>
      </c>
      <c r="H28" s="159">
        <v>1795.24</v>
      </c>
      <c r="I28" s="217">
        <v>1906.24</v>
      </c>
      <c r="J28" s="157">
        <v>1912.21</v>
      </c>
      <c r="K28" s="217">
        <v>2033.28</v>
      </c>
    </row>
    <row r="29" spans="1:11" ht="20" customHeight="1" thickBot="1">
      <c r="A29" s="655" t="s">
        <v>253</v>
      </c>
      <c r="B29" s="159">
        <v>1799.8782022959908</v>
      </c>
      <c r="C29" s="219">
        <v>1793.44</v>
      </c>
      <c r="D29" s="159">
        <v>2003.05</v>
      </c>
      <c r="E29" s="219">
        <v>1859.86</v>
      </c>
      <c r="F29" s="159">
        <v>2231.21</v>
      </c>
      <c r="G29" s="219">
        <v>2345.88</v>
      </c>
      <c r="H29" s="159">
        <v>2370.9899999999998</v>
      </c>
      <c r="I29" s="217">
        <v>2463.52</v>
      </c>
      <c r="J29" s="157">
        <v>2659.11</v>
      </c>
      <c r="K29" s="217">
        <v>2678.97</v>
      </c>
    </row>
    <row r="30" spans="1:11" ht="20" customHeight="1" thickBot="1">
      <c r="A30" s="655" t="s">
        <v>254</v>
      </c>
      <c r="B30" s="159">
        <v>2223.6590110457428</v>
      </c>
      <c r="C30" s="219">
        <v>2354.1799999999998</v>
      </c>
      <c r="D30" s="159">
        <v>2570.25</v>
      </c>
      <c r="E30" s="219">
        <v>2550.08</v>
      </c>
      <c r="F30" s="159">
        <v>2671.53</v>
      </c>
      <c r="G30" s="219">
        <v>2915.74</v>
      </c>
      <c r="H30" s="159">
        <v>3015.51</v>
      </c>
      <c r="I30" s="217">
        <v>2871.83</v>
      </c>
      <c r="J30" s="157">
        <v>2997.66</v>
      </c>
      <c r="K30" s="217">
        <v>3226.97</v>
      </c>
    </row>
    <row r="31" spans="1:11" ht="20" customHeight="1" thickBot="1">
      <c r="A31" s="655" t="s">
        <v>255</v>
      </c>
      <c r="B31" s="159">
        <v>1667.2287091725777</v>
      </c>
      <c r="C31" s="219">
        <v>1743.78</v>
      </c>
      <c r="D31" s="159">
        <v>1825.7</v>
      </c>
      <c r="E31" s="219">
        <v>2010.66</v>
      </c>
      <c r="F31" s="159">
        <v>2029.99</v>
      </c>
      <c r="G31" s="219">
        <v>2178.44</v>
      </c>
      <c r="H31" s="159">
        <v>2254.27</v>
      </c>
      <c r="I31" s="217">
        <v>2091.5700000000002</v>
      </c>
      <c r="J31" s="157">
        <v>2253.96</v>
      </c>
      <c r="K31" s="217">
        <v>2461.69</v>
      </c>
    </row>
    <row r="32" spans="1:11" ht="30" customHeight="1" thickBot="1">
      <c r="A32" s="143" t="s">
        <v>256</v>
      </c>
      <c r="B32" s="221">
        <v>1499.0281923645668</v>
      </c>
      <c r="C32" s="222">
        <v>1557.27</v>
      </c>
      <c r="D32" s="221">
        <v>1647.56</v>
      </c>
      <c r="E32" s="222">
        <v>1717.23</v>
      </c>
      <c r="F32" s="221">
        <v>1846.79</v>
      </c>
      <c r="G32" s="222">
        <v>1946.82</v>
      </c>
      <c r="H32" s="221">
        <v>2014.31</v>
      </c>
      <c r="I32" s="506">
        <v>2108.92</v>
      </c>
      <c r="J32" s="206">
        <v>2211.54</v>
      </c>
      <c r="K32" s="207">
        <v>2330.34</v>
      </c>
    </row>
    <row r="33" spans="1:9" ht="20" customHeight="1">
      <c r="A33" s="146" t="s">
        <v>2011</v>
      </c>
      <c r="B33" s="223"/>
      <c r="C33" s="223"/>
      <c r="D33" s="223"/>
      <c r="E33" s="223"/>
      <c r="F33" s="223"/>
      <c r="G33" s="223"/>
      <c r="H33" s="223"/>
      <c r="I33" s="224"/>
    </row>
    <row r="34" spans="1:9" ht="15.75" customHeight="1">
      <c r="A34" s="4"/>
      <c r="B34" s="225"/>
      <c r="C34" s="225"/>
      <c r="D34" s="225"/>
      <c r="E34" s="225"/>
      <c r="F34" s="225"/>
      <c r="G34" s="225"/>
      <c r="H34" s="225"/>
      <c r="I34" s="226"/>
    </row>
    <row r="35" spans="1:9" ht="14.25" customHeight="1">
      <c r="A35" s="4" t="s">
        <v>1982</v>
      </c>
      <c r="B35" s="225"/>
      <c r="C35" s="225"/>
      <c r="D35" s="225"/>
      <c r="E35" s="225"/>
      <c r="F35" s="225"/>
      <c r="G35" s="225"/>
      <c r="H35" s="225"/>
      <c r="I35" s="226"/>
    </row>
    <row r="36" spans="1:9" ht="13.5" customHeight="1">
      <c r="A36" s="4"/>
      <c r="B36" s="225"/>
      <c r="C36" s="225"/>
      <c r="D36" s="225"/>
      <c r="E36" s="225"/>
      <c r="F36" s="225"/>
      <c r="G36" s="225"/>
      <c r="H36" s="225"/>
      <c r="I36" s="226"/>
    </row>
    <row r="37" spans="1:9" ht="12.75" customHeight="1">
      <c r="A37" s="4" t="s">
        <v>1983</v>
      </c>
      <c r="B37" s="225"/>
      <c r="C37" s="225"/>
      <c r="D37" s="225"/>
      <c r="E37" s="225"/>
      <c r="F37" s="225"/>
      <c r="G37" s="225"/>
      <c r="H37" s="225"/>
      <c r="I37" s="226"/>
    </row>
    <row r="38" spans="1:9" ht="12.75" customHeight="1">
      <c r="A38" s="4" t="s">
        <v>1984</v>
      </c>
      <c r="B38" s="225"/>
      <c r="C38" s="225"/>
      <c r="D38" s="225"/>
      <c r="E38" s="225"/>
      <c r="F38" s="225"/>
      <c r="G38" s="225"/>
      <c r="H38" s="225"/>
      <c r="I38" s="226"/>
    </row>
    <row r="40" spans="1:9">
      <c r="A40" s="4"/>
    </row>
    <row r="41" spans="1:9">
      <c r="A41" s="4" t="s">
        <v>128</v>
      </c>
    </row>
  </sheetData>
  <mergeCells count="1">
    <mergeCell ref="A2:I2"/>
  </mergeCells>
  <phoneticPr fontId="0" type="noConversion"/>
  <pageMargins left="0.45" right="0.49" top="0.76" bottom="0.49" header="0.56000000000000005" footer="0.4921259845"/>
  <pageSetup paperSize="9" scale="81" orientation="portrait" horizontalDpi="4294967292" verticalDpi="4294967292"/>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6B2BB-3C61-3A46-B815-31CD92627BE9}">
  <dimension ref="A1:I42"/>
  <sheetViews>
    <sheetView topLeftCell="A19" zoomScale="75" workbookViewId="0">
      <selection activeCell="I29" sqref="I29"/>
    </sheetView>
  </sheetViews>
  <sheetFormatPr baseColWidth="10" defaultColWidth="11.3984375" defaultRowHeight="13"/>
  <cols>
    <col min="1" max="3" width="14.796875" style="2" customWidth="1"/>
    <col min="4" max="4" width="16" style="2" customWidth="1"/>
    <col min="5" max="5" width="17" style="2" customWidth="1"/>
    <col min="6" max="6" width="16.3984375" style="2" customWidth="1"/>
    <col min="7" max="7" width="14.796875" style="21" customWidth="1"/>
    <col min="8" max="8" width="11.3984375" style="2"/>
    <col min="9" max="9" width="14.59765625" style="2" customWidth="1"/>
    <col min="10" max="16384" width="11.3984375" style="2"/>
  </cols>
  <sheetData>
    <row r="1" spans="1:9" s="1" customFormat="1" ht="14" customHeight="1">
      <c r="G1" s="305"/>
    </row>
    <row r="2" spans="1:9" s="1" customFormat="1" ht="28" customHeight="1">
      <c r="A2" s="124" t="s">
        <v>1384</v>
      </c>
      <c r="G2" s="124">
        <v>2005</v>
      </c>
    </row>
    <row r="3" spans="1:9" ht="27" customHeight="1">
      <c r="A3" s="125" t="s">
        <v>222</v>
      </c>
      <c r="B3" s="126" t="s">
        <v>223</v>
      </c>
      <c r="C3" s="127" t="s">
        <v>224</v>
      </c>
      <c r="D3" s="126" t="s">
        <v>225</v>
      </c>
      <c r="E3" s="127" t="s">
        <v>43</v>
      </c>
      <c r="F3" s="126" t="s">
        <v>43</v>
      </c>
      <c r="G3" s="329" t="s">
        <v>265</v>
      </c>
    </row>
    <row r="4" spans="1:9" ht="15" customHeight="1">
      <c r="A4" s="128"/>
      <c r="B4" s="129"/>
      <c r="C4" s="128"/>
      <c r="D4" s="130"/>
      <c r="E4" s="131" t="s">
        <v>226</v>
      </c>
      <c r="F4" s="129" t="s">
        <v>227</v>
      </c>
      <c r="G4" s="128" t="s">
        <v>267</v>
      </c>
    </row>
    <row r="5" spans="1:9" ht="15" customHeight="1">
      <c r="A5" s="128"/>
      <c r="B5" s="129"/>
      <c r="C5" s="128"/>
      <c r="D5" s="130"/>
      <c r="E5" s="131" t="s">
        <v>228</v>
      </c>
      <c r="F5" s="129" t="s">
        <v>229</v>
      </c>
      <c r="G5" s="128" t="s">
        <v>268</v>
      </c>
    </row>
    <row r="6" spans="1:9" ht="24" customHeight="1">
      <c r="A6" s="132"/>
      <c r="B6" s="133"/>
      <c r="C6" s="132"/>
      <c r="D6" s="133"/>
      <c r="E6" s="134"/>
      <c r="F6" s="135"/>
      <c r="G6" s="132"/>
    </row>
    <row r="7" spans="1:9" ht="30" customHeight="1" thickBot="1">
      <c r="A7" s="137" t="s">
        <v>230</v>
      </c>
      <c r="B7" s="138">
        <v>210371369</v>
      </c>
      <c r="C7" s="139">
        <v>1292544627</v>
      </c>
      <c r="D7" s="138">
        <v>1903818365</v>
      </c>
      <c r="E7" s="139">
        <v>3196362992</v>
      </c>
      <c r="F7" s="138">
        <v>3406734361</v>
      </c>
      <c r="G7" s="455">
        <v>4.033161205999472E-2</v>
      </c>
      <c r="I7" s="140"/>
    </row>
    <row r="8" spans="1:9" ht="20" customHeight="1" thickBot="1">
      <c r="A8" s="141" t="s">
        <v>231</v>
      </c>
      <c r="B8" s="138">
        <v>131152311</v>
      </c>
      <c r="C8" s="139">
        <v>1084854429</v>
      </c>
      <c r="D8" s="138">
        <v>1548395511</v>
      </c>
      <c r="E8" s="139">
        <v>2633249940</v>
      </c>
      <c r="F8" s="138">
        <v>2764402251</v>
      </c>
      <c r="G8" s="455">
        <v>5.647004790616169E-2</v>
      </c>
      <c r="I8" s="140"/>
    </row>
    <row r="9" spans="1:9" ht="20" customHeight="1" thickBot="1">
      <c r="A9" s="141" t="s">
        <v>232</v>
      </c>
      <c r="B9" s="138">
        <v>51707185</v>
      </c>
      <c r="C9" s="139">
        <v>314328496</v>
      </c>
      <c r="D9" s="138">
        <v>450118172</v>
      </c>
      <c r="E9" s="139">
        <v>764446668</v>
      </c>
      <c r="F9" s="138">
        <v>816153853</v>
      </c>
      <c r="G9" s="455">
        <v>7.9656257854969839E-2</v>
      </c>
      <c r="I9" s="140"/>
    </row>
    <row r="10" spans="1:9" ht="20" customHeight="1" thickBot="1">
      <c r="A10" s="141" t="s">
        <v>233</v>
      </c>
      <c r="B10" s="138">
        <v>4500426</v>
      </c>
      <c r="C10" s="139">
        <v>30070025</v>
      </c>
      <c r="D10" s="138">
        <v>42573483</v>
      </c>
      <c r="E10" s="139">
        <v>72643508</v>
      </c>
      <c r="F10" s="138">
        <v>77143934</v>
      </c>
      <c r="G10" s="455">
        <v>0.10460594612535622</v>
      </c>
      <c r="I10" s="140"/>
    </row>
    <row r="11" spans="1:9" ht="20" customHeight="1" thickBot="1">
      <c r="A11" s="141" t="s">
        <v>234</v>
      </c>
      <c r="B11" s="138">
        <v>24774898</v>
      </c>
      <c r="C11" s="139">
        <v>120850775</v>
      </c>
      <c r="D11" s="138">
        <v>161732147</v>
      </c>
      <c r="E11" s="139">
        <v>282582922</v>
      </c>
      <c r="F11" s="138">
        <v>307357820</v>
      </c>
      <c r="G11" s="455">
        <v>6.6644027851877799E-2</v>
      </c>
      <c r="I11" s="140"/>
    </row>
    <row r="12" spans="1:9" ht="20" customHeight="1" thickBot="1">
      <c r="A12" s="141" t="s">
        <v>235</v>
      </c>
      <c r="B12" s="138">
        <v>4988116</v>
      </c>
      <c r="C12" s="139">
        <v>26914892</v>
      </c>
      <c r="D12" s="138">
        <v>38406201</v>
      </c>
      <c r="E12" s="139">
        <v>65321093</v>
      </c>
      <c r="F12" s="138">
        <v>70309209</v>
      </c>
      <c r="G12" s="455">
        <v>7.8867845350080984E-2</v>
      </c>
      <c r="I12" s="140"/>
    </row>
    <row r="13" spans="1:9" ht="20" customHeight="1" thickBot="1">
      <c r="A13" s="141" t="s">
        <v>236</v>
      </c>
      <c r="B13" s="138">
        <v>5085072</v>
      </c>
      <c r="C13" s="139">
        <v>30804735</v>
      </c>
      <c r="D13" s="138">
        <v>41592733</v>
      </c>
      <c r="E13" s="139">
        <v>72397468</v>
      </c>
      <c r="F13" s="138">
        <v>77482540</v>
      </c>
      <c r="G13" s="455">
        <v>7.2818387050216107E-2</v>
      </c>
      <c r="I13" s="140"/>
    </row>
    <row r="14" spans="1:9" ht="20" customHeight="1" thickBot="1">
      <c r="A14" s="141" t="s">
        <v>237</v>
      </c>
      <c r="B14" s="138">
        <v>7018332</v>
      </c>
      <c r="C14" s="139">
        <v>35030405</v>
      </c>
      <c r="D14" s="138">
        <v>48043721</v>
      </c>
      <c r="E14" s="139">
        <v>83074126</v>
      </c>
      <c r="F14" s="138">
        <v>90092458</v>
      </c>
      <c r="G14" s="455">
        <v>5.542932168123043E-2</v>
      </c>
      <c r="I14" s="140"/>
    </row>
    <row r="15" spans="1:9" ht="20" customHeight="1" thickBot="1">
      <c r="A15" s="141" t="s">
        <v>238</v>
      </c>
      <c r="B15" s="138">
        <v>14002575</v>
      </c>
      <c r="C15" s="139">
        <v>89536687</v>
      </c>
      <c r="D15" s="138">
        <v>128897817</v>
      </c>
      <c r="E15" s="139">
        <v>218434504</v>
      </c>
      <c r="F15" s="138">
        <v>232437079</v>
      </c>
      <c r="G15" s="455">
        <v>6.9994350097362698E-2</v>
      </c>
      <c r="I15" s="140"/>
    </row>
    <row r="16" spans="1:9" ht="20" customHeight="1" thickBot="1">
      <c r="A16" s="141" t="s">
        <v>239</v>
      </c>
      <c r="B16" s="138">
        <v>47736195</v>
      </c>
      <c r="C16" s="139">
        <v>241945678</v>
      </c>
      <c r="D16" s="138">
        <v>349854027</v>
      </c>
      <c r="E16" s="139">
        <v>591799705</v>
      </c>
      <c r="F16" s="138">
        <v>639535900</v>
      </c>
      <c r="G16" s="455">
        <v>7.4292203342298441E-2</v>
      </c>
      <c r="I16" s="140"/>
    </row>
    <row r="17" spans="1:9" ht="20" customHeight="1" thickBot="1">
      <c r="A17" s="141" t="s">
        <v>240</v>
      </c>
      <c r="B17" s="138">
        <v>40169753</v>
      </c>
      <c r="C17" s="139">
        <v>254660352</v>
      </c>
      <c r="D17" s="138">
        <v>346556492</v>
      </c>
      <c r="E17" s="139">
        <v>601216844</v>
      </c>
      <c r="F17" s="138">
        <v>641386597</v>
      </c>
      <c r="G17" s="455">
        <v>5.591838339606707E-2</v>
      </c>
      <c r="I17" s="140"/>
    </row>
    <row r="18" spans="1:9" ht="20" customHeight="1" thickBot="1">
      <c r="A18" s="141" t="s">
        <v>241</v>
      </c>
      <c r="B18" s="138">
        <v>32969252</v>
      </c>
      <c r="C18" s="139">
        <v>256776537</v>
      </c>
      <c r="D18" s="138">
        <v>395876187</v>
      </c>
      <c r="E18" s="139">
        <v>652652724</v>
      </c>
      <c r="F18" s="138">
        <v>685621976</v>
      </c>
      <c r="G18" s="455">
        <v>8.6455116327525824E-2</v>
      </c>
      <c r="I18" s="140"/>
    </row>
    <row r="19" spans="1:9" ht="20" customHeight="1" thickBot="1">
      <c r="A19" s="141" t="s">
        <v>242</v>
      </c>
      <c r="B19" s="138">
        <v>49221790</v>
      </c>
      <c r="C19" s="139">
        <v>294826699</v>
      </c>
      <c r="D19" s="138">
        <v>413044994</v>
      </c>
      <c r="E19" s="139">
        <v>707871693</v>
      </c>
      <c r="F19" s="138">
        <v>757093483</v>
      </c>
      <c r="G19" s="455">
        <v>7.7747341019186705E-2</v>
      </c>
      <c r="I19" s="140"/>
    </row>
    <row r="20" spans="1:9" ht="20" customHeight="1" thickBot="1">
      <c r="A20" s="141" t="s">
        <v>243</v>
      </c>
      <c r="B20" s="138">
        <v>10081875</v>
      </c>
      <c r="C20" s="139">
        <v>73196076</v>
      </c>
      <c r="D20" s="138">
        <v>112384897</v>
      </c>
      <c r="E20" s="139">
        <v>185580973</v>
      </c>
      <c r="F20" s="138">
        <v>195662848</v>
      </c>
      <c r="G20" s="455">
        <v>4.0132513696460252E-2</v>
      </c>
      <c r="I20" s="140"/>
    </row>
    <row r="21" spans="1:9" ht="20" customHeight="1" thickBot="1">
      <c r="A21" s="141" t="s">
        <v>244</v>
      </c>
      <c r="B21" s="138">
        <v>7753529</v>
      </c>
      <c r="C21" s="139">
        <v>43171798</v>
      </c>
      <c r="D21" s="138">
        <v>60348705</v>
      </c>
      <c r="E21" s="139">
        <v>103520503</v>
      </c>
      <c r="F21" s="138">
        <v>111274032</v>
      </c>
      <c r="G21" s="455">
        <v>4.693112955682914E-2</v>
      </c>
      <c r="I21" s="140"/>
    </row>
    <row r="22" spans="1:9" ht="20" customHeight="1" thickBot="1">
      <c r="A22" s="141" t="s">
        <v>245</v>
      </c>
      <c r="B22" s="138">
        <v>2078617</v>
      </c>
      <c r="C22" s="139">
        <v>11573224</v>
      </c>
      <c r="D22" s="138">
        <v>14379540</v>
      </c>
      <c r="E22" s="139">
        <v>25952764</v>
      </c>
      <c r="F22" s="138">
        <v>28031381</v>
      </c>
      <c r="G22" s="455">
        <v>7.9939934719826217E-2</v>
      </c>
      <c r="I22" s="140"/>
    </row>
    <row r="23" spans="1:9" ht="20" customHeight="1" thickBot="1">
      <c r="A23" s="141" t="s">
        <v>246</v>
      </c>
      <c r="B23" s="138">
        <v>75636087</v>
      </c>
      <c r="C23" s="139">
        <v>400292498</v>
      </c>
      <c r="D23" s="138">
        <v>564794026</v>
      </c>
      <c r="E23" s="139">
        <v>965086524</v>
      </c>
      <c r="F23" s="138">
        <v>1040722611</v>
      </c>
      <c r="G23" s="455">
        <v>4.3263438416990485E-2</v>
      </c>
      <c r="I23" s="140"/>
    </row>
    <row r="24" spans="1:9" ht="20" customHeight="1" thickBot="1">
      <c r="A24" s="141" t="s">
        <v>247</v>
      </c>
      <c r="B24" s="138">
        <v>28624558</v>
      </c>
      <c r="C24" s="139">
        <v>171393351</v>
      </c>
      <c r="D24" s="138">
        <v>240863037</v>
      </c>
      <c r="E24" s="139">
        <v>412256388</v>
      </c>
      <c r="F24" s="138">
        <v>440880946</v>
      </c>
      <c r="G24" s="455">
        <v>3.4464523697414269E-2</v>
      </c>
      <c r="I24" s="140"/>
    </row>
    <row r="25" spans="1:9" ht="20" customHeight="1" thickBot="1">
      <c r="A25" s="141" t="s">
        <v>248</v>
      </c>
      <c r="B25" s="138">
        <v>90484701</v>
      </c>
      <c r="C25" s="139">
        <v>536750361</v>
      </c>
      <c r="D25" s="138">
        <v>742180556</v>
      </c>
      <c r="E25" s="139">
        <v>1278930917</v>
      </c>
      <c r="F25" s="138">
        <v>1369415618</v>
      </c>
      <c r="G25" s="455">
        <v>7.5273853281490444E-2</v>
      </c>
      <c r="I25" s="140"/>
    </row>
    <row r="26" spans="1:9" ht="20" customHeight="1" thickBot="1">
      <c r="A26" s="141" t="s">
        <v>249</v>
      </c>
      <c r="B26" s="138">
        <v>39871663</v>
      </c>
      <c r="C26" s="139">
        <v>215353214</v>
      </c>
      <c r="D26" s="138">
        <v>290471397</v>
      </c>
      <c r="E26" s="139">
        <v>505824611</v>
      </c>
      <c r="F26" s="138">
        <v>545696274</v>
      </c>
      <c r="G26" s="455">
        <v>4.7736030019360935E-2</v>
      </c>
      <c r="I26" s="140"/>
    </row>
    <row r="27" spans="1:9" ht="20" customHeight="1" thickBot="1">
      <c r="A27" s="141" t="s">
        <v>250</v>
      </c>
      <c r="B27" s="138">
        <v>53876192</v>
      </c>
      <c r="C27" s="139">
        <v>409764115</v>
      </c>
      <c r="D27" s="138">
        <v>574771904</v>
      </c>
      <c r="E27" s="139">
        <v>984536019</v>
      </c>
      <c r="F27" s="138">
        <v>1038412211</v>
      </c>
      <c r="G27" s="455">
        <v>7.7705502338625609E-2</v>
      </c>
      <c r="I27" s="140"/>
    </row>
    <row r="28" spans="1:9" ht="20" customHeight="1" thickBot="1">
      <c r="A28" s="141" t="s">
        <v>251</v>
      </c>
      <c r="B28" s="138">
        <v>147628766</v>
      </c>
      <c r="C28" s="139">
        <v>765148936</v>
      </c>
      <c r="D28" s="138">
        <v>1164495242</v>
      </c>
      <c r="E28" s="139">
        <v>1929644178</v>
      </c>
      <c r="F28" s="138">
        <v>2077272944</v>
      </c>
      <c r="G28" s="455">
        <v>5.3460201406443926E-2</v>
      </c>
      <c r="I28" s="140"/>
    </row>
    <row r="29" spans="1:9" ht="20" customHeight="1" thickBot="1">
      <c r="A29" s="141" t="s">
        <v>252</v>
      </c>
      <c r="B29" s="138">
        <v>46833870</v>
      </c>
      <c r="C29" s="139">
        <v>277185622</v>
      </c>
      <c r="D29" s="138">
        <v>379427883</v>
      </c>
      <c r="E29" s="139">
        <v>656613505</v>
      </c>
      <c r="F29" s="138">
        <v>703447375</v>
      </c>
      <c r="G29" s="455">
        <v>8.0896262211743633E-2</v>
      </c>
      <c r="I29" s="140"/>
    </row>
    <row r="30" spans="1:9" ht="20" customHeight="1" thickBot="1">
      <c r="A30" s="141" t="s">
        <v>253</v>
      </c>
      <c r="B30" s="138">
        <v>32321084</v>
      </c>
      <c r="C30" s="139">
        <v>196415646</v>
      </c>
      <c r="D30" s="138">
        <v>297991739</v>
      </c>
      <c r="E30" s="139">
        <v>494407385</v>
      </c>
      <c r="F30" s="138">
        <v>526728469</v>
      </c>
      <c r="G30" s="455">
        <v>8.9508604123412737E-3</v>
      </c>
      <c r="I30" s="140"/>
    </row>
    <row r="31" spans="1:9" ht="20" customHeight="1" thickBot="1">
      <c r="A31" s="141" t="s">
        <v>254</v>
      </c>
      <c r="B31" s="138">
        <v>102881709</v>
      </c>
      <c r="C31" s="139">
        <v>540567634</v>
      </c>
      <c r="D31" s="138">
        <v>855748277</v>
      </c>
      <c r="E31" s="139">
        <v>1396315911</v>
      </c>
      <c r="F31" s="138">
        <v>1499197620</v>
      </c>
      <c r="G31" s="455">
        <v>6.8412794027772811E-2</v>
      </c>
      <c r="I31" s="140"/>
    </row>
    <row r="32" spans="1:9" ht="20" customHeight="1" thickBot="1">
      <c r="A32" s="142" t="s">
        <v>255</v>
      </c>
      <c r="B32" s="138">
        <v>13770976</v>
      </c>
      <c r="C32" s="139">
        <v>78321790</v>
      </c>
      <c r="D32" s="138">
        <v>111712972</v>
      </c>
      <c r="E32" s="139">
        <v>190034762</v>
      </c>
      <c r="F32" s="138">
        <v>203805738</v>
      </c>
      <c r="G32" s="455">
        <v>7.3876531123430011E-2</v>
      </c>
      <c r="I32" s="140"/>
    </row>
    <row r="33" spans="1:9" ht="30" customHeight="1" thickBot="1">
      <c r="A33" s="143" t="s">
        <v>256</v>
      </c>
      <c r="B33" s="144">
        <v>1275540901</v>
      </c>
      <c r="C33" s="145">
        <v>7792278602</v>
      </c>
      <c r="D33" s="144">
        <v>11278480025</v>
      </c>
      <c r="E33" s="145">
        <v>19070758627</v>
      </c>
      <c r="F33" s="144">
        <v>20346299528</v>
      </c>
      <c r="G33" s="446">
        <v>5.8532898967820282E-2</v>
      </c>
      <c r="I33" s="140"/>
    </row>
    <row r="34" spans="1:9" ht="20" customHeight="1">
      <c r="A34" s="146" t="s">
        <v>688</v>
      </c>
      <c r="B34" s="146"/>
      <c r="C34" s="146"/>
      <c r="D34" s="146"/>
      <c r="E34" s="146"/>
      <c r="F34" s="146"/>
      <c r="G34" s="344"/>
    </row>
    <row r="35" spans="1:9" ht="13.5" customHeight="1">
      <c r="A35" s="4"/>
      <c r="B35" s="4"/>
      <c r="C35" s="4"/>
      <c r="D35" s="4"/>
      <c r="E35" s="4"/>
      <c r="F35" s="4"/>
      <c r="G35" s="448"/>
    </row>
    <row r="36" spans="1:9" ht="13.5" customHeight="1">
      <c r="A36" s="4" t="s">
        <v>257</v>
      </c>
      <c r="B36" s="4"/>
      <c r="C36" s="4"/>
      <c r="D36" s="4"/>
      <c r="E36" s="4"/>
      <c r="F36" s="4"/>
      <c r="G36" s="448"/>
    </row>
    <row r="37" spans="1:9" ht="12.75" customHeight="1">
      <c r="A37" s="4"/>
      <c r="B37" s="4"/>
      <c r="C37" s="4"/>
      <c r="D37" s="4"/>
      <c r="E37" s="4"/>
      <c r="F37" s="4"/>
      <c r="G37" s="448"/>
    </row>
    <row r="38" spans="1:9" ht="12" customHeight="1">
      <c r="A38" s="4" t="s">
        <v>1385</v>
      </c>
    </row>
    <row r="39" spans="1:9" ht="12" customHeight="1">
      <c r="A39" s="2" t="s">
        <v>1383</v>
      </c>
    </row>
    <row r="40" spans="1:9" ht="12" customHeight="1"/>
    <row r="41" spans="1:9" ht="12" customHeight="1"/>
    <row r="42" spans="1:9">
      <c r="A42" s="4" t="s">
        <v>128</v>
      </c>
    </row>
  </sheetData>
  <phoneticPr fontId="0" type="noConversion"/>
  <pageMargins left="0.56000000000000005" right="0.64" top="0.81" bottom="0.49" header="0.44" footer="0.4921259845"/>
  <pageSetup paperSize="9" scale="80" orientation="portrait" horizontalDpi="1200" verticalDpi="1200"/>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05C77-9D93-1142-B195-4F23844A61CA}">
  <dimension ref="A1:I41"/>
  <sheetViews>
    <sheetView topLeftCell="A20" zoomScale="75" workbookViewId="0">
      <selection activeCell="A37" sqref="A37"/>
    </sheetView>
  </sheetViews>
  <sheetFormatPr baseColWidth="10" defaultColWidth="11.3984375" defaultRowHeight="13"/>
  <cols>
    <col min="1" max="1" width="14.796875" style="2" customWidth="1"/>
    <col min="2" max="6" width="14.796875" style="9" customWidth="1"/>
    <col min="7" max="7" width="14.796875" style="170" customWidth="1"/>
    <col min="8" max="8" width="11.3984375" style="2"/>
    <col min="9" max="9" width="0" style="2" hidden="1" customWidth="1"/>
    <col min="10" max="16384" width="11.3984375" style="2"/>
  </cols>
  <sheetData>
    <row r="1" spans="1:9" s="1" customFormat="1" ht="14" customHeight="1">
      <c r="B1" s="306"/>
      <c r="C1" s="306"/>
      <c r="D1" s="306"/>
      <c r="E1" s="306"/>
      <c r="F1" s="306"/>
      <c r="G1" s="150"/>
    </row>
    <row r="2" spans="1:9" s="1" customFormat="1" ht="39.75" customHeight="1">
      <c r="A2" s="1606" t="s">
        <v>682</v>
      </c>
      <c r="B2" s="1610"/>
      <c r="C2" s="1610"/>
      <c r="D2" s="1610"/>
      <c r="E2" s="1610"/>
      <c r="F2" s="1610"/>
      <c r="G2" s="629">
        <v>2005</v>
      </c>
      <c r="H2" s="629"/>
    </row>
    <row r="3" spans="1:9" ht="27" customHeight="1">
      <c r="A3" s="125" t="s">
        <v>222</v>
      </c>
      <c r="B3" s="154" t="s">
        <v>223</v>
      </c>
      <c r="C3" s="262" t="s">
        <v>224</v>
      </c>
      <c r="D3" s="154" t="s">
        <v>225</v>
      </c>
      <c r="E3" s="262" t="s">
        <v>43</v>
      </c>
      <c r="F3" s="154" t="s">
        <v>43</v>
      </c>
      <c r="G3" s="127" t="s">
        <v>265</v>
      </c>
    </row>
    <row r="4" spans="1:9" ht="15" customHeight="1">
      <c r="A4" s="128"/>
      <c r="B4" s="155"/>
      <c r="C4" s="638"/>
      <c r="D4" s="639"/>
      <c r="E4" s="213" t="s">
        <v>226</v>
      </c>
      <c r="F4" s="155" t="s">
        <v>227</v>
      </c>
      <c r="G4" s="131" t="s">
        <v>267</v>
      </c>
    </row>
    <row r="5" spans="1:9" ht="15" customHeight="1">
      <c r="A5" s="128"/>
      <c r="B5" s="155"/>
      <c r="C5" s="638"/>
      <c r="D5" s="639"/>
      <c r="E5" s="213" t="s">
        <v>228</v>
      </c>
      <c r="F5" s="155" t="s">
        <v>229</v>
      </c>
      <c r="G5" s="131" t="s">
        <v>268</v>
      </c>
    </row>
    <row r="6" spans="1:9" ht="24" customHeight="1">
      <c r="A6" s="132"/>
      <c r="B6" s="425"/>
      <c r="C6" s="468"/>
      <c r="D6" s="425"/>
      <c r="E6" s="215"/>
      <c r="F6" s="156"/>
      <c r="G6" s="134"/>
    </row>
    <row r="7" spans="1:9" ht="30" customHeight="1" thickBot="1">
      <c r="A7" s="137" t="s">
        <v>230</v>
      </c>
      <c r="B7" s="248">
        <v>72.45570404567259</v>
      </c>
      <c r="C7" s="249">
        <v>215.35820488930389</v>
      </c>
      <c r="D7" s="248">
        <v>297.96680311217204</v>
      </c>
      <c r="E7" s="249">
        <v>257.95427335528439</v>
      </c>
      <c r="F7" s="248">
        <v>222.7402919635679</v>
      </c>
      <c r="G7" s="158">
        <v>3.3483426557314212E-2</v>
      </c>
      <c r="I7" s="140">
        <v>172.8785586534616</v>
      </c>
    </row>
    <row r="8" spans="1:9" ht="20" customHeight="1" thickBot="1">
      <c r="A8" s="141" t="s">
        <v>231</v>
      </c>
      <c r="B8" s="248">
        <v>58.389567528582113</v>
      </c>
      <c r="C8" s="249">
        <v>244.68045834686586</v>
      </c>
      <c r="D8" s="248">
        <v>321.11969790106065</v>
      </c>
      <c r="E8" s="249">
        <v>284.50232269289762</v>
      </c>
      <c r="F8" s="248">
        <v>240.34526877367674</v>
      </c>
      <c r="G8" s="160">
        <v>5.6336677908158002E-2</v>
      </c>
      <c r="I8" s="140">
        <v>161.49387493756916</v>
      </c>
    </row>
    <row r="9" spans="1:9" ht="20" customHeight="1" thickBot="1">
      <c r="A9" s="141" t="s">
        <v>232</v>
      </c>
      <c r="B9" s="248">
        <v>54.860803424026756</v>
      </c>
      <c r="C9" s="249">
        <v>191.69410760242476</v>
      </c>
      <c r="D9" s="248">
        <v>260.5882027376577</v>
      </c>
      <c r="E9" s="249">
        <v>227.03630220714282</v>
      </c>
      <c r="F9" s="248">
        <v>189.38112193659526</v>
      </c>
      <c r="G9" s="160">
        <v>7.5802189371598591E-2</v>
      </c>
      <c r="I9" s="140">
        <v>129.41591119853354</v>
      </c>
    </row>
    <row r="10" spans="1:9" ht="20" customHeight="1" thickBot="1">
      <c r="A10" s="141" t="s">
        <v>233</v>
      </c>
      <c r="B10" s="248">
        <v>49.256041502495407</v>
      </c>
      <c r="C10" s="249">
        <v>182.44160296080574</v>
      </c>
      <c r="D10" s="248">
        <v>255.4756426874055</v>
      </c>
      <c r="E10" s="249">
        <v>219.16750540048031</v>
      </c>
      <c r="F10" s="248">
        <v>182.4510051558583</v>
      </c>
      <c r="G10" s="160">
        <v>0.10886950249467801</v>
      </c>
      <c r="I10" s="140">
        <v>126.90557061409594</v>
      </c>
    </row>
    <row r="11" spans="1:9" ht="20" customHeight="1" thickBot="1">
      <c r="A11" s="141" t="s">
        <v>234</v>
      </c>
      <c r="B11" s="248">
        <v>68.277492999977952</v>
      </c>
      <c r="C11" s="249">
        <v>186.46357927544281</v>
      </c>
      <c r="D11" s="248">
        <v>254.3342186870974</v>
      </c>
      <c r="E11" s="249">
        <v>220.07604374996106</v>
      </c>
      <c r="F11" s="248">
        <v>186.62900785236675</v>
      </c>
      <c r="G11" s="160">
        <v>5.9175087005005171E-2</v>
      </c>
      <c r="I11" s="140">
        <v>131.64111605385247</v>
      </c>
    </row>
    <row r="12" spans="1:9" ht="20" customHeight="1" thickBot="1">
      <c r="A12" s="141" t="s">
        <v>235</v>
      </c>
      <c r="B12" s="248">
        <v>53.858037488122996</v>
      </c>
      <c r="C12" s="249">
        <v>171.73871873404798</v>
      </c>
      <c r="D12" s="248">
        <v>243.6446977771011</v>
      </c>
      <c r="E12" s="249">
        <v>207.79601529495596</v>
      </c>
      <c r="F12" s="248">
        <v>172.76348263254113</v>
      </c>
      <c r="G12" s="160">
        <v>7.9058716585326011E-2</v>
      </c>
      <c r="I12" s="140">
        <v>125.19129183854066</v>
      </c>
    </row>
    <row r="13" spans="1:9" ht="20" customHeight="1" thickBot="1">
      <c r="A13" s="141" t="s">
        <v>236</v>
      </c>
      <c r="B13" s="248">
        <v>52.141749723145068</v>
      </c>
      <c r="C13" s="249">
        <v>164.2288561192502</v>
      </c>
      <c r="D13" s="248">
        <v>222.3972462838199</v>
      </c>
      <c r="E13" s="249">
        <v>193.2640014522002</v>
      </c>
      <c r="F13" s="248">
        <v>164.11341839501151</v>
      </c>
      <c r="G13" s="160">
        <v>6.5101642348731489E-2</v>
      </c>
      <c r="I13" s="140">
        <v>117.8833340734285</v>
      </c>
    </row>
    <row r="14" spans="1:9" ht="20" customHeight="1" thickBot="1">
      <c r="A14" s="141" t="s">
        <v>237</v>
      </c>
      <c r="B14" s="248">
        <v>71.463954056695997</v>
      </c>
      <c r="C14" s="249">
        <v>196.1169241966185</v>
      </c>
      <c r="D14" s="248">
        <v>258.96787947391118</v>
      </c>
      <c r="E14" s="249">
        <v>228.13035765284826</v>
      </c>
      <c r="F14" s="248">
        <v>194.8534864607665</v>
      </c>
      <c r="G14" s="160">
        <v>6.1784359382503297E-2</v>
      </c>
      <c r="I14" s="140">
        <v>140.25371771237261</v>
      </c>
    </row>
    <row r="15" spans="1:9" ht="20" customHeight="1" thickBot="1">
      <c r="A15" s="141" t="s">
        <v>238</v>
      </c>
      <c r="B15" s="248">
        <v>54.816613426034671</v>
      </c>
      <c r="C15" s="249">
        <v>177.38186057753265</v>
      </c>
      <c r="D15" s="248">
        <v>255.45768526445966</v>
      </c>
      <c r="E15" s="249">
        <v>216.4097741530243</v>
      </c>
      <c r="F15" s="248">
        <v>183.77378162555343</v>
      </c>
      <c r="G15" s="160">
        <v>5.3609427127180961E-2</v>
      </c>
      <c r="I15" s="140">
        <v>131.3336445580656</v>
      </c>
    </row>
    <row r="16" spans="1:9" ht="20" customHeight="1" thickBot="1">
      <c r="A16" s="141" t="s">
        <v>239</v>
      </c>
      <c r="B16" s="248">
        <v>66.68593784051096</v>
      </c>
      <c r="C16" s="249">
        <v>211.29667298952361</v>
      </c>
      <c r="D16" s="248">
        <v>294.90696186526401</v>
      </c>
      <c r="E16" s="249">
        <v>253.8405106151539</v>
      </c>
      <c r="F16" s="248">
        <v>209.87519772120163</v>
      </c>
      <c r="G16" s="160">
        <v>5.9400563529886298E-2</v>
      </c>
      <c r="I16" s="140">
        <v>163.19734143075968</v>
      </c>
    </row>
    <row r="17" spans="1:9" ht="20" customHeight="1" thickBot="1">
      <c r="A17" s="141" t="s">
        <v>240</v>
      </c>
      <c r="B17" s="248">
        <v>65.635564335339822</v>
      </c>
      <c r="C17" s="249">
        <v>219.40238821400877</v>
      </c>
      <c r="D17" s="248">
        <v>283.2899206100081</v>
      </c>
      <c r="E17" s="249">
        <v>252.18911976214687</v>
      </c>
      <c r="F17" s="248">
        <v>214.07983034803553</v>
      </c>
      <c r="G17" s="160">
        <v>5.4797621537919748E-2</v>
      </c>
      <c r="I17" s="140">
        <v>156.59253023292777</v>
      </c>
    </row>
    <row r="18" spans="1:9" ht="20" customHeight="1" thickBot="1">
      <c r="A18" s="141" t="s">
        <v>241</v>
      </c>
      <c r="B18" s="248">
        <v>94.729430288820694</v>
      </c>
      <c r="C18" s="249">
        <v>297.33960605850069</v>
      </c>
      <c r="D18" s="248">
        <v>405.5975490557687</v>
      </c>
      <c r="E18" s="249">
        <v>354.77506490456744</v>
      </c>
      <c r="F18" s="248">
        <v>313.4025466340475</v>
      </c>
      <c r="G18" s="160">
        <v>9.2504022798362853E-2</v>
      </c>
      <c r="I18" s="140">
        <v>239.48436004651805</v>
      </c>
    </row>
    <row r="19" spans="1:9" ht="20" customHeight="1" thickBot="1">
      <c r="A19" s="141" t="s">
        <v>242</v>
      </c>
      <c r="B19" s="248">
        <v>80.388355381349015</v>
      </c>
      <c r="C19" s="249">
        <v>235.7881705518607</v>
      </c>
      <c r="D19" s="248">
        <v>310.42383945696025</v>
      </c>
      <c r="E19" s="249">
        <v>274.26299498333202</v>
      </c>
      <c r="F19" s="248">
        <v>237.08841366412636</v>
      </c>
      <c r="G19" s="160">
        <v>7.6698381343701785E-2</v>
      </c>
      <c r="I19" s="140">
        <v>177.06647582891381</v>
      </c>
    </row>
    <row r="20" spans="1:9" ht="20" customHeight="1" thickBot="1">
      <c r="A20" s="141" t="s">
        <v>243</v>
      </c>
      <c r="B20" s="248">
        <v>57.153486394557824</v>
      </c>
      <c r="C20" s="249">
        <v>209.45240711489598</v>
      </c>
      <c r="D20" s="248">
        <v>299.56843819637697</v>
      </c>
      <c r="E20" s="249">
        <v>256.12495790618465</v>
      </c>
      <c r="F20" s="248">
        <v>217.16862233232553</v>
      </c>
      <c r="G20" s="160">
        <v>4.4163873980495642E-2</v>
      </c>
      <c r="I20" s="140">
        <v>165.60622548393192</v>
      </c>
    </row>
    <row r="21" spans="1:9" ht="20" customHeight="1" thickBot="1">
      <c r="A21" s="141" t="s">
        <v>244</v>
      </c>
      <c r="B21" s="248">
        <v>54.816952292073189</v>
      </c>
      <c r="C21" s="249">
        <v>176.65847450691547</v>
      </c>
      <c r="D21" s="248">
        <v>236.45017396210449</v>
      </c>
      <c r="E21" s="249">
        <v>207.20345350754994</v>
      </c>
      <c r="F21" s="248">
        <v>173.5803522959136</v>
      </c>
      <c r="G21" s="160">
        <v>5.0184355207910814E-2</v>
      </c>
      <c r="I21" s="140">
        <v>125.02923450612184</v>
      </c>
    </row>
    <row r="22" spans="1:9" ht="20" customHeight="1" thickBot="1">
      <c r="A22" s="141" t="s">
        <v>245</v>
      </c>
      <c r="B22" s="248">
        <v>45.946441202475683</v>
      </c>
      <c r="C22" s="249">
        <v>166.36800644011271</v>
      </c>
      <c r="D22" s="248">
        <v>214.82520616708499</v>
      </c>
      <c r="E22" s="249">
        <v>190.14685540120743</v>
      </c>
      <c r="F22" s="248">
        <v>154.24910305511534</v>
      </c>
      <c r="G22" s="160">
        <v>6.9385846609780338E-2</v>
      </c>
      <c r="I22" s="140">
        <v>109.87124540182084</v>
      </c>
    </row>
    <row r="23" spans="1:9" ht="20" customHeight="1" thickBot="1">
      <c r="A23" s="141" t="s">
        <v>246</v>
      </c>
      <c r="B23" s="248">
        <v>61.088082361720893</v>
      </c>
      <c r="C23" s="249">
        <v>189.92306998865089</v>
      </c>
      <c r="D23" s="248">
        <v>255.31706393120109</v>
      </c>
      <c r="E23" s="249">
        <v>223.41020825983449</v>
      </c>
      <c r="F23" s="248">
        <v>187.24916336149477</v>
      </c>
      <c r="G23" s="160">
        <v>4.0402794179887E-2</v>
      </c>
      <c r="I23" s="140">
        <v>134.24530167185685</v>
      </c>
    </row>
    <row r="24" spans="1:9" ht="20" customHeight="1" thickBot="1">
      <c r="A24" s="141" t="s">
        <v>247</v>
      </c>
      <c r="B24" s="248">
        <v>63.147050518420478</v>
      </c>
      <c r="C24" s="249">
        <v>185.73426507496845</v>
      </c>
      <c r="D24" s="248">
        <v>254.84592310915301</v>
      </c>
      <c r="E24" s="249">
        <v>220.70203197975084</v>
      </c>
      <c r="F24" s="248">
        <v>189.93402899839396</v>
      </c>
      <c r="G24" s="160">
        <v>3.8015488583656179E-2</v>
      </c>
      <c r="I24" s="140">
        <v>132.91701511018809</v>
      </c>
    </row>
    <row r="25" spans="1:9" ht="20" customHeight="1" thickBot="1">
      <c r="A25" s="141" t="s">
        <v>248</v>
      </c>
      <c r="B25" s="248">
        <v>62.2262619969136</v>
      </c>
      <c r="C25" s="249">
        <v>200.46608978783289</v>
      </c>
      <c r="D25" s="248">
        <v>269.18454603749387</v>
      </c>
      <c r="E25" s="249">
        <v>235.32981018769991</v>
      </c>
      <c r="F25" s="248">
        <v>198.78997281947568</v>
      </c>
      <c r="G25" s="160">
        <v>6.746492517720494E-2</v>
      </c>
      <c r="I25" s="140">
        <v>145.05617363699608</v>
      </c>
    </row>
    <row r="26" spans="1:9" ht="20" customHeight="1" thickBot="1">
      <c r="A26" s="141" t="s">
        <v>249</v>
      </c>
      <c r="B26" s="248">
        <v>62.100751034190587</v>
      </c>
      <c r="C26" s="249">
        <v>200.31590001748725</v>
      </c>
      <c r="D26" s="248">
        <v>262.11098808879262</v>
      </c>
      <c r="E26" s="249">
        <v>231.67978035004023</v>
      </c>
      <c r="F26" s="248">
        <v>193.14439739386012</v>
      </c>
      <c r="G26" s="160">
        <v>4.1924273273785478E-2</v>
      </c>
      <c r="I26" s="140">
        <v>145.7338374894791</v>
      </c>
    </row>
    <row r="27" spans="1:9" ht="20" customHeight="1" thickBot="1">
      <c r="A27" s="141" t="s">
        <v>250</v>
      </c>
      <c r="B27" s="248">
        <v>77.9228815569479</v>
      </c>
      <c r="C27" s="249">
        <v>277.89812154801047</v>
      </c>
      <c r="D27" s="248">
        <v>349.03706726518402</v>
      </c>
      <c r="E27" s="249">
        <v>315.43388241490806</v>
      </c>
      <c r="F27" s="248">
        <v>272.36212904735225</v>
      </c>
      <c r="G27" s="160">
        <v>7.2780290706311188E-2</v>
      </c>
      <c r="I27" s="140">
        <v>199.67764846714121</v>
      </c>
    </row>
    <row r="28" spans="1:9" ht="20" customHeight="1" thickBot="1">
      <c r="A28" s="141" t="s">
        <v>251</v>
      </c>
      <c r="B28" s="248">
        <v>86.717210129604041</v>
      </c>
      <c r="C28" s="249">
        <v>264.43716467945393</v>
      </c>
      <c r="D28" s="248">
        <v>367.22447235509003</v>
      </c>
      <c r="E28" s="249">
        <v>318.18307672825057</v>
      </c>
      <c r="F28" s="248">
        <v>267.44897043744629</v>
      </c>
      <c r="G28" s="160">
        <v>4.4633745634048649E-2</v>
      </c>
      <c r="I28" s="140">
        <v>203.24357993536964</v>
      </c>
    </row>
    <row r="29" spans="1:9" ht="20" customHeight="1" thickBot="1">
      <c r="A29" s="141" t="s">
        <v>252</v>
      </c>
      <c r="B29" s="248">
        <v>62.917291354322835</v>
      </c>
      <c r="C29" s="249">
        <v>201.87025303549373</v>
      </c>
      <c r="D29" s="248">
        <v>263.92265909318553</v>
      </c>
      <c r="E29" s="249">
        <v>233.60810182912164</v>
      </c>
      <c r="F29" s="248">
        <v>197.8681452615543</v>
      </c>
      <c r="G29" s="160">
        <v>6.9593334656878419E-2</v>
      </c>
      <c r="I29" s="140">
        <v>144.85185631308477</v>
      </c>
    </row>
    <row r="30" spans="1:9" ht="20" customHeight="1" thickBot="1">
      <c r="A30" s="141" t="s">
        <v>253</v>
      </c>
      <c r="B30" s="248">
        <v>74.546059247368376</v>
      </c>
      <c r="C30" s="249">
        <v>258.70851773408361</v>
      </c>
      <c r="D30" s="248">
        <v>357.32480886190092</v>
      </c>
      <c r="E30" s="249">
        <v>310.32972354453517</v>
      </c>
      <c r="F30" s="248">
        <v>259.88951172819401</v>
      </c>
      <c r="G30" s="160">
        <v>9.237604491797698E-3</v>
      </c>
      <c r="I30" s="140">
        <v>184.5803903521614</v>
      </c>
    </row>
    <row r="31" spans="1:9" ht="20" customHeight="1" thickBot="1">
      <c r="A31" s="141" t="s">
        <v>254</v>
      </c>
      <c r="B31" s="248">
        <v>99.597771285184876</v>
      </c>
      <c r="C31" s="249">
        <v>302.69249730102626</v>
      </c>
      <c r="D31" s="248">
        <v>428.1481533181236</v>
      </c>
      <c r="E31" s="249">
        <v>368.94832060802452</v>
      </c>
      <c r="F31" s="248">
        <v>311.19464309288776</v>
      </c>
      <c r="G31" s="160">
        <v>6.2770841660209895E-2</v>
      </c>
      <c r="I31" s="140">
        <v>244.01642882305748</v>
      </c>
    </row>
    <row r="32" spans="1:9" ht="20" customHeight="1" thickBot="1">
      <c r="A32" s="142" t="s">
        <v>255</v>
      </c>
      <c r="B32" s="248">
        <v>73.122297268595219</v>
      </c>
      <c r="C32" s="249">
        <v>250.25174776018301</v>
      </c>
      <c r="D32" s="248">
        <v>335.20863939699456</v>
      </c>
      <c r="E32" s="249">
        <v>294.04218888290598</v>
      </c>
      <c r="F32" s="248">
        <v>244.19219709278084</v>
      </c>
      <c r="G32" s="160">
        <v>7.5667586285977195E-2</v>
      </c>
      <c r="I32" s="140">
        <v>200.58331332206401</v>
      </c>
    </row>
    <row r="33" spans="1:9" s="280" customFormat="1" ht="30" customHeight="1" thickBot="1">
      <c r="A33" s="143" t="s">
        <v>256</v>
      </c>
      <c r="B33" s="641">
        <v>69.617645244877068</v>
      </c>
      <c r="C33" s="642">
        <v>226.64319463568233</v>
      </c>
      <c r="D33" s="641">
        <v>307.87406758637331</v>
      </c>
      <c r="E33" s="642">
        <v>268.54652779913482</v>
      </c>
      <c r="F33" s="641">
        <v>227.74807292326389</v>
      </c>
      <c r="G33" s="162">
        <v>5.3839786771915144E-2</v>
      </c>
      <c r="I33" s="643">
        <v>167.9825427102873</v>
      </c>
    </row>
    <row r="34" spans="1:9" ht="20" customHeight="1">
      <c r="A34" s="146" t="s">
        <v>688</v>
      </c>
      <c r="B34" s="345"/>
      <c r="C34" s="345"/>
      <c r="D34" s="345"/>
      <c r="E34" s="345"/>
      <c r="F34" s="345"/>
      <c r="G34" s="166"/>
    </row>
    <row r="35" spans="1:9" ht="14.25" customHeight="1">
      <c r="A35" s="4"/>
      <c r="B35" s="449"/>
      <c r="C35" s="449"/>
      <c r="D35" s="449"/>
      <c r="E35" s="449"/>
      <c r="F35" s="449"/>
      <c r="G35" s="168"/>
    </row>
    <row r="36" spans="1:9" ht="20" customHeight="1">
      <c r="A36" s="4" t="s">
        <v>1386</v>
      </c>
      <c r="B36" s="449"/>
      <c r="C36" s="449"/>
      <c r="D36" s="449"/>
      <c r="E36" s="449"/>
      <c r="F36" s="449"/>
      <c r="G36" s="168"/>
    </row>
    <row r="37" spans="1:9" ht="9.75" customHeight="1">
      <c r="A37" s="4"/>
      <c r="B37" s="449"/>
      <c r="C37" s="449"/>
      <c r="D37" s="449"/>
      <c r="E37" s="449"/>
      <c r="F37" s="449"/>
      <c r="G37" s="168"/>
    </row>
    <row r="38" spans="1:9" ht="12" customHeight="1">
      <c r="A38" s="4" t="s">
        <v>683</v>
      </c>
    </row>
    <row r="39" spans="1:9" ht="12" customHeight="1"/>
    <row r="40" spans="1:9" ht="12" customHeight="1"/>
    <row r="41" spans="1:9">
      <c r="A41" s="4" t="s">
        <v>128</v>
      </c>
    </row>
  </sheetData>
  <mergeCells count="1">
    <mergeCell ref="A2:F2"/>
  </mergeCells>
  <phoneticPr fontId="0" type="noConversion"/>
  <pageMargins left="0.78740157480314965" right="0.78740157480314965" top="1.48" bottom="0.49" header="0.92" footer="0.4921259845"/>
  <pageSetup paperSize="9" scale="80" orientation="portrait" horizontalDpi="4294967292" verticalDpi="4294967292"/>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7CEDD-C75E-A446-A11C-61E46A7EFC1F}">
  <dimension ref="A1:K31"/>
  <sheetViews>
    <sheetView topLeftCell="A20" zoomScale="75" workbookViewId="0">
      <selection activeCell="B41" sqref="B41"/>
    </sheetView>
  </sheetViews>
  <sheetFormatPr baseColWidth="10" defaultColWidth="11.3984375" defaultRowHeight="13"/>
  <cols>
    <col min="1" max="1" width="13.796875" style="2" customWidth="1"/>
    <col min="2" max="2" width="14.796875" style="169" customWidth="1"/>
    <col min="3" max="3" width="14.796875" style="170" customWidth="1"/>
    <col min="4" max="4" width="14.796875" style="169" customWidth="1"/>
    <col min="5" max="5" width="14.796875" style="170" customWidth="1"/>
    <col min="6" max="6" width="14.796875" style="169" customWidth="1"/>
    <col min="7" max="7" width="14.796875" style="170" customWidth="1"/>
    <col min="8" max="8" width="7.3984375" style="2" customWidth="1"/>
    <col min="9" max="9" width="8" style="2" customWidth="1"/>
    <col min="10" max="10" width="7.796875" style="2" customWidth="1"/>
    <col min="11" max="11" width="9" style="2" customWidth="1"/>
    <col min="12" max="16384" width="11.3984375" style="2"/>
  </cols>
  <sheetData>
    <row r="1" spans="1:11" s="1" customFormat="1" ht="14.25" customHeight="1">
      <c r="A1" s="148"/>
      <c r="B1" s="149"/>
      <c r="C1" s="150"/>
      <c r="D1" s="151"/>
      <c r="E1" s="150"/>
      <c r="F1" s="151"/>
      <c r="G1" s="150"/>
    </row>
    <row r="2" spans="1:11" s="1" customFormat="1" ht="43.5" customHeight="1">
      <c r="A2" s="1612" t="s">
        <v>684</v>
      </c>
      <c r="B2" s="1610"/>
      <c r="C2" s="1610"/>
      <c r="D2" s="1610"/>
      <c r="E2" s="1610"/>
      <c r="F2" s="1610"/>
      <c r="G2" s="629">
        <v>2005</v>
      </c>
    </row>
    <row r="3" spans="1:11" ht="27" customHeight="1">
      <c r="A3" s="125" t="s">
        <v>261</v>
      </c>
      <c r="B3" s="154" t="s">
        <v>262</v>
      </c>
      <c r="C3" s="127" t="s">
        <v>265</v>
      </c>
      <c r="D3" s="154" t="s">
        <v>264</v>
      </c>
      <c r="E3" s="127" t="s">
        <v>265</v>
      </c>
      <c r="F3" s="154" t="s">
        <v>43</v>
      </c>
      <c r="G3" s="127" t="s">
        <v>265</v>
      </c>
    </row>
    <row r="4" spans="1:11" ht="15" customHeight="1">
      <c r="A4" s="128"/>
      <c r="B4" s="155"/>
      <c r="C4" s="131" t="s">
        <v>267</v>
      </c>
      <c r="D4" s="155"/>
      <c r="E4" s="131" t="s">
        <v>267</v>
      </c>
      <c r="F4" s="155"/>
      <c r="G4" s="131" t="s">
        <v>267</v>
      </c>
    </row>
    <row r="5" spans="1:11" ht="15" customHeight="1">
      <c r="A5" s="128"/>
      <c r="B5" s="155"/>
      <c r="C5" s="131" t="s">
        <v>268</v>
      </c>
      <c r="D5" s="155"/>
      <c r="E5" s="131" t="s">
        <v>268</v>
      </c>
      <c r="F5" s="155"/>
      <c r="G5" s="131" t="s">
        <v>268</v>
      </c>
    </row>
    <row r="6" spans="1:11" ht="19.5" customHeight="1">
      <c r="A6" s="132"/>
      <c r="B6" s="156"/>
      <c r="C6" s="134"/>
      <c r="D6" s="156"/>
      <c r="E6" s="134"/>
      <c r="F6" s="156"/>
      <c r="G6" s="134"/>
    </row>
    <row r="7" spans="1:11" ht="30" customHeight="1" thickBot="1">
      <c r="A7" s="137" t="s">
        <v>269</v>
      </c>
      <c r="B7" s="157">
        <v>71.031967346135559</v>
      </c>
      <c r="C7" s="158">
        <v>6.8270140139451846E-2</v>
      </c>
      <c r="D7" s="157">
        <v>68.130353504749394</v>
      </c>
      <c r="E7" s="158">
        <v>6.1351140979968258E-2</v>
      </c>
      <c r="F7" s="157">
        <v>69.617554053254551</v>
      </c>
      <c r="G7" s="158">
        <v>6.495437477143147E-2</v>
      </c>
      <c r="I7" s="3"/>
      <c r="J7" s="3"/>
      <c r="K7" s="3"/>
    </row>
    <row r="8" spans="1:11" ht="20" customHeight="1" thickBot="1">
      <c r="A8" s="141" t="s">
        <v>270</v>
      </c>
      <c r="B8" s="159">
        <v>73.862854656027253</v>
      </c>
      <c r="C8" s="160">
        <v>1.226514258616601E-2</v>
      </c>
      <c r="D8" s="159">
        <v>126.43331019361496</v>
      </c>
      <c r="E8" s="160">
        <v>2.7724802318438484E-2</v>
      </c>
      <c r="F8" s="159">
        <v>99.978507979889017</v>
      </c>
      <c r="G8" s="160">
        <v>2.2991180220383163E-2</v>
      </c>
      <c r="I8" s="3"/>
      <c r="J8" s="3"/>
      <c r="K8" s="3"/>
    </row>
    <row r="9" spans="1:11" ht="20" customHeight="1" thickBot="1">
      <c r="A9" s="141" t="s">
        <v>271</v>
      </c>
      <c r="B9" s="159">
        <v>82.289742930846032</v>
      </c>
      <c r="C9" s="160">
        <v>3.7013411397875465E-2</v>
      </c>
      <c r="D9" s="159">
        <v>176.37369980891694</v>
      </c>
      <c r="E9" s="160">
        <v>4.3412383201247642E-2</v>
      </c>
      <c r="F9" s="159">
        <v>129.39029198014393</v>
      </c>
      <c r="G9" s="160">
        <v>4.1750639180092211E-2</v>
      </c>
      <c r="I9" s="3"/>
      <c r="J9" s="3"/>
      <c r="K9" s="3"/>
    </row>
    <row r="10" spans="1:11" ht="20" customHeight="1" thickBot="1">
      <c r="A10" s="141" t="s">
        <v>272</v>
      </c>
      <c r="B10" s="159">
        <v>96.018639063944519</v>
      </c>
      <c r="C10" s="160">
        <v>3.8240223474284005E-2</v>
      </c>
      <c r="D10" s="159">
        <v>198.32675319506643</v>
      </c>
      <c r="E10" s="160">
        <v>4.8490313021061909E-2</v>
      </c>
      <c r="F10" s="159">
        <v>147.29839114617707</v>
      </c>
      <c r="G10" s="160">
        <v>4.480358124713537E-2</v>
      </c>
      <c r="I10" s="3"/>
      <c r="J10" s="3"/>
      <c r="K10" s="3"/>
    </row>
    <row r="11" spans="1:11" ht="20" customHeight="1" thickBot="1">
      <c r="A11" s="141" t="s">
        <v>273</v>
      </c>
      <c r="B11" s="159">
        <v>113.16694684880645</v>
      </c>
      <c r="C11" s="160">
        <v>4.5663001716890667E-2</v>
      </c>
      <c r="D11" s="159">
        <v>187.5880480343059</v>
      </c>
      <c r="E11" s="160">
        <v>5.6779476429231104E-2</v>
      </c>
      <c r="F11" s="159">
        <v>150.29398416097541</v>
      </c>
      <c r="G11" s="160">
        <v>5.3317315196239737E-2</v>
      </c>
      <c r="I11" s="3"/>
      <c r="J11" s="3"/>
      <c r="K11" s="3"/>
    </row>
    <row r="12" spans="1:11" ht="20" customHeight="1" thickBot="1">
      <c r="A12" s="141" t="s">
        <v>274</v>
      </c>
      <c r="B12" s="159">
        <v>134.51401406559859</v>
      </c>
      <c r="C12" s="160">
        <v>4.2666970360548333E-2</v>
      </c>
      <c r="D12" s="159">
        <v>185.63201318529025</v>
      </c>
      <c r="E12" s="160">
        <v>4.3925714302218144E-2</v>
      </c>
      <c r="F12" s="159">
        <v>159.80671987409232</v>
      </c>
      <c r="G12" s="160">
        <v>4.3150183342600415E-2</v>
      </c>
      <c r="I12" s="3"/>
      <c r="J12" s="3"/>
      <c r="K12" s="3"/>
    </row>
    <row r="13" spans="1:11" ht="20" customHeight="1" thickBot="1">
      <c r="A13" s="141" t="s">
        <v>275</v>
      </c>
      <c r="B13" s="159">
        <v>165.04521220202051</v>
      </c>
      <c r="C13" s="160">
        <v>4.8630554649030801E-2</v>
      </c>
      <c r="D13" s="159">
        <v>215.54614819359188</v>
      </c>
      <c r="E13" s="160">
        <v>4.7997336779820605E-2</v>
      </c>
      <c r="F13" s="159">
        <v>189.94298558878981</v>
      </c>
      <c r="G13" s="160">
        <v>4.8166068435261937E-2</v>
      </c>
      <c r="I13" s="3"/>
      <c r="J13" s="3"/>
      <c r="K13" s="3"/>
    </row>
    <row r="14" spans="1:11" ht="20" customHeight="1" thickBot="1">
      <c r="A14" s="141" t="s">
        <v>276</v>
      </c>
      <c r="B14" s="159">
        <v>208.59742370760307</v>
      </c>
      <c r="C14" s="160">
        <v>4.127399693465135E-2</v>
      </c>
      <c r="D14" s="159">
        <v>253.35253487427204</v>
      </c>
      <c r="E14" s="160">
        <v>3.7740737336638824E-2</v>
      </c>
      <c r="F14" s="159">
        <v>230.91115017037845</v>
      </c>
      <c r="G14" s="160">
        <v>3.9268102121206377E-2</v>
      </c>
      <c r="I14" s="3"/>
      <c r="J14" s="3"/>
      <c r="K14" s="3"/>
    </row>
    <row r="15" spans="1:11" ht="20" customHeight="1" thickBot="1">
      <c r="A15" s="141" t="s">
        <v>277</v>
      </c>
      <c r="B15" s="159">
        <v>270.42817381383571</v>
      </c>
      <c r="C15" s="160">
        <v>4.1187800351536026E-2</v>
      </c>
      <c r="D15" s="159">
        <v>295.14039304172763</v>
      </c>
      <c r="E15" s="160">
        <v>3.2214221165248365E-2</v>
      </c>
      <c r="F15" s="159">
        <v>282.80147452770854</v>
      </c>
      <c r="G15" s="160">
        <v>3.6509586547093048E-2</v>
      </c>
      <c r="I15" s="3"/>
      <c r="J15" s="3"/>
      <c r="K15" s="3"/>
    </row>
    <row r="16" spans="1:11" ht="20" customHeight="1" thickBot="1">
      <c r="A16" s="141" t="s">
        <v>278</v>
      </c>
      <c r="B16" s="159">
        <v>342.32848271060965</v>
      </c>
      <c r="C16" s="160">
        <v>6.1808707092934359E-2</v>
      </c>
      <c r="D16" s="159">
        <v>348.59967032018358</v>
      </c>
      <c r="E16" s="160">
        <v>5.2607604611118609E-2</v>
      </c>
      <c r="F16" s="159">
        <v>345.52920359904692</v>
      </c>
      <c r="G16" s="160">
        <v>5.6989871124668925E-2</v>
      </c>
      <c r="I16" s="3"/>
      <c r="J16" s="3"/>
      <c r="K16" s="3"/>
    </row>
    <row r="17" spans="1:11" ht="20" customHeight="1" thickBot="1">
      <c r="A17" s="141" t="s">
        <v>279</v>
      </c>
      <c r="B17" s="159">
        <v>430.16264284915582</v>
      </c>
      <c r="C17" s="160">
        <v>4.9377493221222452E-2</v>
      </c>
      <c r="D17" s="159">
        <v>410.94170612713447</v>
      </c>
      <c r="E17" s="160">
        <v>4.4324137164423003E-2</v>
      </c>
      <c r="F17" s="159">
        <v>419.93298004889698</v>
      </c>
      <c r="G17" s="160">
        <v>4.6776975560988594E-2</v>
      </c>
      <c r="I17" s="3"/>
      <c r="J17" s="3"/>
      <c r="K17" s="3"/>
    </row>
    <row r="18" spans="1:11" ht="20" customHeight="1" thickBot="1">
      <c r="A18" s="141" t="s">
        <v>280</v>
      </c>
      <c r="B18" s="159">
        <v>538.33198259705489</v>
      </c>
      <c r="C18" s="160">
        <v>6.5901423734449349E-2</v>
      </c>
      <c r="D18" s="159">
        <v>499.93779380973382</v>
      </c>
      <c r="E18" s="160">
        <v>4.287082727918938E-2</v>
      </c>
      <c r="F18" s="159">
        <v>516.94916599345891</v>
      </c>
      <c r="G18" s="160">
        <v>5.3605482773612434E-2</v>
      </c>
      <c r="I18" s="3"/>
      <c r="J18" s="3"/>
      <c r="K18" s="3"/>
    </row>
    <row r="19" spans="1:11" ht="20" customHeight="1" thickBot="1">
      <c r="A19" s="141" t="s">
        <v>281</v>
      </c>
      <c r="B19" s="159">
        <v>642.0598849763752</v>
      </c>
      <c r="C19" s="160">
        <v>7.3362785700492844E-2</v>
      </c>
      <c r="D19" s="159">
        <v>616.96928409291866</v>
      </c>
      <c r="E19" s="160">
        <v>4.3372386808109557E-2</v>
      </c>
      <c r="F19" s="159">
        <v>627.12371381929506</v>
      </c>
      <c r="G19" s="160">
        <v>5.563834713099472E-2</v>
      </c>
      <c r="I19" s="3"/>
      <c r="J19" s="3"/>
      <c r="K19" s="3"/>
    </row>
    <row r="20" spans="1:11" ht="20" customHeight="1" thickBot="1">
      <c r="A20" s="141" t="s">
        <v>282</v>
      </c>
      <c r="B20" s="159">
        <v>746.70010166994882</v>
      </c>
      <c r="C20" s="160">
        <v>5.9457641548213806E-2</v>
      </c>
      <c r="D20" s="159">
        <v>788.41335169645333</v>
      </c>
      <c r="E20" s="160">
        <v>4.1504150582524102E-2</v>
      </c>
      <c r="F20" s="159">
        <v>773.24288774111892</v>
      </c>
      <c r="G20" s="160">
        <v>4.7821662759952643E-2</v>
      </c>
      <c r="I20" s="3"/>
      <c r="J20" s="3"/>
      <c r="K20" s="3"/>
    </row>
    <row r="21" spans="1:11" ht="20" customHeight="1" thickBot="1">
      <c r="A21" s="141" t="s">
        <v>283</v>
      </c>
      <c r="B21" s="159">
        <v>900.9173862188909</v>
      </c>
      <c r="C21" s="160">
        <v>4.4427466000641777E-2</v>
      </c>
      <c r="D21" s="159">
        <v>1042.7051533082611</v>
      </c>
      <c r="E21" s="160">
        <v>2.7184046179213869E-2</v>
      </c>
      <c r="F21" s="159">
        <v>997.40337747411422</v>
      </c>
      <c r="G21" s="160">
        <v>3.1636885581027625E-2</v>
      </c>
      <c r="I21" s="3"/>
      <c r="J21" s="3"/>
      <c r="K21" s="3"/>
    </row>
    <row r="22" spans="1:11" ht="20" customHeight="1" thickBot="1">
      <c r="A22" s="141" t="s">
        <v>284</v>
      </c>
      <c r="B22" s="159">
        <v>1161.7728936120382</v>
      </c>
      <c r="C22" s="160">
        <v>5.1675979148847806E-2</v>
      </c>
      <c r="D22" s="159">
        <v>1426.6127046056517</v>
      </c>
      <c r="E22" s="160">
        <v>3.2082575036032679E-2</v>
      </c>
      <c r="F22" s="159">
        <v>1361.5849704563097</v>
      </c>
      <c r="G22" s="160">
        <v>3.5642290920178794E-2</v>
      </c>
      <c r="I22" s="3"/>
      <c r="J22" s="3"/>
      <c r="K22" s="3"/>
    </row>
    <row r="23" spans="1:11" s="163" customFormat="1" ht="21" customHeight="1" thickBot="1">
      <c r="A23" s="143" t="s">
        <v>43</v>
      </c>
      <c r="B23" s="161">
        <v>193.25838853513255</v>
      </c>
      <c r="C23" s="162">
        <v>6.1987301111303954E-2</v>
      </c>
      <c r="D23" s="161">
        <v>260.88126742139173</v>
      </c>
      <c r="E23" s="162">
        <v>4.8128466091594352E-2</v>
      </c>
      <c r="F23" s="161">
        <v>227.74825647429756</v>
      </c>
      <c r="G23" s="162">
        <v>5.3841062658829646E-2</v>
      </c>
      <c r="I23" s="164"/>
      <c r="J23" s="164"/>
      <c r="K23" s="164"/>
    </row>
    <row r="24" spans="1:11" ht="20" customHeight="1">
      <c r="A24" s="146" t="s">
        <v>688</v>
      </c>
      <c r="B24" s="165"/>
      <c r="C24" s="166"/>
      <c r="D24" s="165"/>
      <c r="E24" s="166"/>
      <c r="F24" s="165"/>
      <c r="G24" s="166"/>
    </row>
    <row r="25" spans="1:11" ht="12.75" customHeight="1">
      <c r="A25" s="4"/>
      <c r="B25" s="167"/>
      <c r="C25" s="168"/>
      <c r="D25" s="167"/>
      <c r="E25" s="168"/>
      <c r="F25" s="167"/>
      <c r="G25" s="168"/>
    </row>
    <row r="26" spans="1:11" ht="13.5" customHeight="1">
      <c r="A26" s="4" t="s">
        <v>257</v>
      </c>
      <c r="B26" s="167"/>
      <c r="C26" s="168"/>
      <c r="D26" s="167"/>
      <c r="E26" s="168"/>
      <c r="F26" s="167"/>
      <c r="G26" s="168"/>
    </row>
    <row r="28" spans="1:11" ht="15.75" customHeight="1">
      <c r="A28" s="637" t="s">
        <v>683</v>
      </c>
      <c r="B28" s="167"/>
      <c r="C28" s="168"/>
      <c r="D28" s="167"/>
      <c r="E28" s="168"/>
      <c r="F28" s="167"/>
      <c r="G28" s="168"/>
    </row>
    <row r="29" spans="1:11" ht="12" customHeight="1">
      <c r="B29" s="163"/>
      <c r="C29" s="2"/>
      <c r="D29" s="2"/>
      <c r="E29" s="2"/>
      <c r="F29" s="163"/>
      <c r="G29" s="644"/>
    </row>
    <row r="30" spans="1:11" ht="13.5" customHeight="1">
      <c r="A30" s="637"/>
      <c r="B30" s="167"/>
      <c r="C30" s="168"/>
      <c r="D30" s="167"/>
      <c r="E30" s="168"/>
      <c r="F30" s="167"/>
      <c r="G30" s="168"/>
    </row>
    <row r="31" spans="1:11" ht="18" customHeight="1">
      <c r="A31" s="4" t="s">
        <v>128</v>
      </c>
    </row>
  </sheetData>
  <mergeCells count="1">
    <mergeCell ref="A2:F2"/>
  </mergeCells>
  <phoneticPr fontId="0" type="noConversion"/>
  <pageMargins left="0.6" right="0.56999999999999995" top="0.78" bottom="0.49" header="0.38" footer="0.4921259845"/>
  <pageSetup paperSize="9" scale="80" orientation="portrait" horizontalDpi="1200" verticalDpi="1200"/>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379F7-41D9-E94E-9149-C6893BD26DF7}">
  <dimension ref="A1:I42"/>
  <sheetViews>
    <sheetView topLeftCell="A21" zoomScale="75" workbookViewId="0">
      <selection activeCell="A40" sqref="A40"/>
    </sheetView>
  </sheetViews>
  <sheetFormatPr baseColWidth="10" defaultColWidth="11.3984375" defaultRowHeight="13"/>
  <cols>
    <col min="1" max="4" width="14.796875" style="2" customWidth="1"/>
    <col min="5" max="5" width="15.59765625" style="2" customWidth="1"/>
    <col min="6" max="6" width="16.19921875" style="2" customWidth="1"/>
    <col min="7" max="7" width="14.796875" style="170" customWidth="1"/>
    <col min="8" max="8" width="11.3984375" style="2"/>
    <col min="9" max="9" width="15.19921875" style="2" hidden="1" customWidth="1"/>
    <col min="10" max="16384" width="11.3984375" style="2"/>
  </cols>
  <sheetData>
    <row r="1" spans="1:9" s="1" customFormat="1" ht="14" customHeight="1">
      <c r="G1" s="150"/>
    </row>
    <row r="2" spans="1:9" s="1" customFormat="1" ht="28" customHeight="1">
      <c r="A2" s="124" t="s">
        <v>1293</v>
      </c>
      <c r="G2" s="124">
        <v>2005</v>
      </c>
    </row>
    <row r="3" spans="1:9" ht="27" customHeight="1">
      <c r="A3" s="125" t="s">
        <v>222</v>
      </c>
      <c r="B3" s="126" t="s">
        <v>223</v>
      </c>
      <c r="C3" s="127" t="s">
        <v>224</v>
      </c>
      <c r="D3" s="126" t="s">
        <v>225</v>
      </c>
      <c r="E3" s="127" t="s">
        <v>43</v>
      </c>
      <c r="F3" s="126" t="s">
        <v>43</v>
      </c>
      <c r="G3" s="127" t="s">
        <v>265</v>
      </c>
    </row>
    <row r="4" spans="1:9" ht="15" customHeight="1">
      <c r="A4" s="128"/>
      <c r="B4" s="129"/>
      <c r="C4" s="128"/>
      <c r="D4" s="130"/>
      <c r="E4" s="131" t="s">
        <v>226</v>
      </c>
      <c r="F4" s="129" t="s">
        <v>227</v>
      </c>
      <c r="G4" s="131" t="s">
        <v>267</v>
      </c>
    </row>
    <row r="5" spans="1:9" ht="15" customHeight="1">
      <c r="A5" s="128"/>
      <c r="B5" s="129"/>
      <c r="C5" s="128"/>
      <c r="D5" s="130"/>
      <c r="E5" s="131" t="s">
        <v>228</v>
      </c>
      <c r="F5" s="129" t="s">
        <v>229</v>
      </c>
      <c r="G5" s="131" t="s">
        <v>268</v>
      </c>
    </row>
    <row r="6" spans="1:9" ht="24" customHeight="1">
      <c r="A6" s="132"/>
      <c r="B6" s="133"/>
      <c r="C6" s="132"/>
      <c r="D6" s="133"/>
      <c r="E6" s="134"/>
      <c r="F6" s="135"/>
      <c r="G6" s="134"/>
    </row>
    <row r="7" spans="1:9" ht="30" customHeight="1" thickBot="1">
      <c r="A7" s="137" t="s">
        <v>230</v>
      </c>
      <c r="B7" s="248">
        <v>189455293</v>
      </c>
      <c r="C7" s="249">
        <v>1082102675</v>
      </c>
      <c r="D7" s="248">
        <v>1616956889</v>
      </c>
      <c r="E7" s="249">
        <v>2699059564</v>
      </c>
      <c r="F7" s="248">
        <v>2888514857</v>
      </c>
      <c r="G7" s="158">
        <v>3.9464826091069896E-2</v>
      </c>
      <c r="I7" s="9">
        <v>2156035045</v>
      </c>
    </row>
    <row r="8" spans="1:9" ht="20" customHeight="1" thickBot="1">
      <c r="A8" s="141" t="s">
        <v>231</v>
      </c>
      <c r="B8" s="197">
        <v>117282890</v>
      </c>
      <c r="C8" s="198">
        <v>926157579</v>
      </c>
      <c r="D8" s="197">
        <v>1331497642</v>
      </c>
      <c r="E8" s="198">
        <v>2257655221</v>
      </c>
      <c r="F8" s="197">
        <v>2374938111</v>
      </c>
      <c r="G8" s="160">
        <v>5.8280951338927481E-2</v>
      </c>
      <c r="I8" s="9">
        <v>1563935884</v>
      </c>
    </row>
    <row r="9" spans="1:9" ht="20" customHeight="1" thickBot="1">
      <c r="A9" s="141" t="s">
        <v>232</v>
      </c>
      <c r="B9" s="197">
        <v>46560960</v>
      </c>
      <c r="C9" s="198">
        <v>264682914</v>
      </c>
      <c r="D9" s="197">
        <v>384445382</v>
      </c>
      <c r="E9" s="198">
        <v>649128296</v>
      </c>
      <c r="F9" s="197">
        <v>695689256</v>
      </c>
      <c r="G9" s="160">
        <v>8.3384665126133309E-2</v>
      </c>
      <c r="I9" s="9">
        <v>464604355</v>
      </c>
    </row>
    <row r="10" spans="1:9" ht="20" customHeight="1" thickBot="1">
      <c r="A10" s="141" t="s">
        <v>233</v>
      </c>
      <c r="B10" s="197">
        <v>3979384</v>
      </c>
      <c r="C10" s="198">
        <v>25031856</v>
      </c>
      <c r="D10" s="197">
        <v>36132219</v>
      </c>
      <c r="E10" s="198">
        <v>61164075</v>
      </c>
      <c r="F10" s="197">
        <v>65143459</v>
      </c>
      <c r="G10" s="160">
        <v>0.11292418371670289</v>
      </c>
      <c r="I10" s="9">
        <v>45901795</v>
      </c>
    </row>
    <row r="11" spans="1:9" ht="20" customHeight="1" thickBot="1">
      <c r="A11" s="141" t="s">
        <v>234</v>
      </c>
      <c r="B11" s="197">
        <v>22398543</v>
      </c>
      <c r="C11" s="198">
        <v>99437729</v>
      </c>
      <c r="D11" s="197">
        <v>135917120</v>
      </c>
      <c r="E11" s="198">
        <v>235354849</v>
      </c>
      <c r="F11" s="197">
        <v>257753392</v>
      </c>
      <c r="G11" s="160">
        <v>6.516488452772802E-2</v>
      </c>
      <c r="I11" s="9">
        <v>171549320</v>
      </c>
    </row>
    <row r="12" spans="1:9" ht="20" customHeight="1" thickBot="1">
      <c r="A12" s="141" t="s">
        <v>235</v>
      </c>
      <c r="B12" s="197">
        <v>4518531</v>
      </c>
      <c r="C12" s="198">
        <v>22164691</v>
      </c>
      <c r="D12" s="197">
        <v>32396830</v>
      </c>
      <c r="E12" s="198">
        <v>54561521</v>
      </c>
      <c r="F12" s="197">
        <v>59080052</v>
      </c>
      <c r="G12" s="160">
        <v>8.119219158855176E-2</v>
      </c>
      <c r="I12" s="9">
        <v>41764939</v>
      </c>
    </row>
    <row r="13" spans="1:9" ht="20" customHeight="1" thickBot="1">
      <c r="A13" s="141" t="s">
        <v>236</v>
      </c>
      <c r="B13" s="197">
        <v>4557583</v>
      </c>
      <c r="C13" s="198">
        <v>25413490</v>
      </c>
      <c r="D13" s="197">
        <v>34718896</v>
      </c>
      <c r="E13" s="198">
        <v>60132386</v>
      </c>
      <c r="F13" s="197">
        <v>64689969</v>
      </c>
      <c r="G13" s="160">
        <v>7.4843754213538241E-2</v>
      </c>
      <c r="I13" s="9">
        <v>44323506</v>
      </c>
    </row>
    <row r="14" spans="1:9" ht="20" customHeight="1" thickBot="1">
      <c r="A14" s="141" t="s">
        <v>237</v>
      </c>
      <c r="B14" s="197">
        <v>6339273</v>
      </c>
      <c r="C14" s="198">
        <v>28954891</v>
      </c>
      <c r="D14" s="197">
        <v>40261359</v>
      </c>
      <c r="E14" s="198">
        <v>69216250</v>
      </c>
      <c r="F14" s="197">
        <v>75555523</v>
      </c>
      <c r="G14" s="160">
        <v>5.4530879089684389E-2</v>
      </c>
      <c r="I14" s="9">
        <v>55927154</v>
      </c>
    </row>
    <row r="15" spans="1:9" ht="20" customHeight="1" thickBot="1">
      <c r="A15" s="141" t="s">
        <v>238</v>
      </c>
      <c r="B15" s="197">
        <v>12563722</v>
      </c>
      <c r="C15" s="198">
        <v>74057257</v>
      </c>
      <c r="D15" s="197">
        <v>108789360</v>
      </c>
      <c r="E15" s="198">
        <v>182846617</v>
      </c>
      <c r="F15" s="197">
        <v>195410339</v>
      </c>
      <c r="G15" s="160">
        <v>6.9118872008616355E-2</v>
      </c>
      <c r="I15" s="9">
        <v>128772453</v>
      </c>
    </row>
    <row r="16" spans="1:9" ht="20" customHeight="1" thickBot="1">
      <c r="A16" s="141" t="s">
        <v>239</v>
      </c>
      <c r="B16" s="197">
        <v>42825815</v>
      </c>
      <c r="C16" s="198">
        <v>201843309</v>
      </c>
      <c r="D16" s="197">
        <v>296345223</v>
      </c>
      <c r="E16" s="198">
        <v>498188532</v>
      </c>
      <c r="F16" s="197">
        <v>541014347</v>
      </c>
      <c r="G16" s="160">
        <v>7.719160602641939E-2</v>
      </c>
      <c r="I16" s="9">
        <v>391250033</v>
      </c>
    </row>
    <row r="17" spans="1:9" ht="20" customHeight="1" thickBot="1">
      <c r="A17" s="141" t="s">
        <v>240</v>
      </c>
      <c r="B17" s="197">
        <v>36284398</v>
      </c>
      <c r="C17" s="198">
        <v>214361430</v>
      </c>
      <c r="D17" s="197">
        <v>293670648</v>
      </c>
      <c r="E17" s="198">
        <v>508032078</v>
      </c>
      <c r="F17" s="197">
        <v>544316476</v>
      </c>
      <c r="G17" s="160">
        <v>5.4875985833213715E-2</v>
      </c>
      <c r="I17" s="9">
        <v>393696828</v>
      </c>
    </row>
    <row r="18" spans="1:9" ht="20" customHeight="1" thickBot="1">
      <c r="A18" s="141" t="s">
        <v>241</v>
      </c>
      <c r="B18" s="197">
        <v>29692632</v>
      </c>
      <c r="C18" s="198">
        <v>221622368</v>
      </c>
      <c r="D18" s="197">
        <v>344665299</v>
      </c>
      <c r="E18" s="198">
        <v>566287667</v>
      </c>
      <c r="F18" s="197">
        <v>595980299</v>
      </c>
      <c r="G18" s="160">
        <v>9.2353240460101488E-2</v>
      </c>
      <c r="I18" s="9">
        <v>473520714</v>
      </c>
    </row>
    <row r="19" spans="1:9" ht="20" customHeight="1" thickBot="1">
      <c r="A19" s="141" t="s">
        <v>242</v>
      </c>
      <c r="B19" s="197">
        <v>44121104</v>
      </c>
      <c r="C19" s="198">
        <v>246268426</v>
      </c>
      <c r="D19" s="197">
        <v>348493564</v>
      </c>
      <c r="E19" s="198">
        <v>594761990</v>
      </c>
      <c r="F19" s="197">
        <v>638883094</v>
      </c>
      <c r="G19" s="160">
        <v>8.0063505424951414E-2</v>
      </c>
      <c r="I19" s="9">
        <v>469771093</v>
      </c>
    </row>
    <row r="20" spans="1:9" ht="20" customHeight="1" thickBot="1">
      <c r="A20" s="141" t="s">
        <v>243</v>
      </c>
      <c r="B20" s="197">
        <v>9066068</v>
      </c>
      <c r="C20" s="198">
        <v>61303987</v>
      </c>
      <c r="D20" s="197">
        <v>95646270</v>
      </c>
      <c r="E20" s="198">
        <v>156950257</v>
      </c>
      <c r="F20" s="197">
        <v>166016325</v>
      </c>
      <c r="G20" s="160">
        <v>3.7451237712598472E-2</v>
      </c>
      <c r="I20" s="9">
        <v>127694959</v>
      </c>
    </row>
    <row r="21" spans="1:9" ht="20" customHeight="1" thickBot="1">
      <c r="A21" s="141" t="s">
        <v>244</v>
      </c>
      <c r="B21" s="197">
        <v>6991531</v>
      </c>
      <c r="C21" s="198">
        <v>35828877</v>
      </c>
      <c r="D21" s="197">
        <v>50456153</v>
      </c>
      <c r="E21" s="198">
        <v>86285030</v>
      </c>
      <c r="F21" s="197">
        <v>93276561</v>
      </c>
      <c r="G21" s="160">
        <v>4.6658509281604477E-2</v>
      </c>
      <c r="I21" s="9">
        <v>69489100</v>
      </c>
    </row>
    <row r="22" spans="1:9" ht="20" customHeight="1" thickBot="1">
      <c r="A22" s="141" t="s">
        <v>245</v>
      </c>
      <c r="B22" s="197">
        <v>1878437</v>
      </c>
      <c r="C22" s="198">
        <v>9635597</v>
      </c>
      <c r="D22" s="197">
        <v>12053497</v>
      </c>
      <c r="E22" s="198">
        <v>21689094</v>
      </c>
      <c r="F22" s="197">
        <v>23567531</v>
      </c>
      <c r="G22" s="160">
        <v>8.0063549402891884E-2</v>
      </c>
      <c r="I22" s="9">
        <v>16712649</v>
      </c>
    </row>
    <row r="23" spans="1:9" ht="20" customHeight="1" thickBot="1">
      <c r="A23" s="141" t="s">
        <v>246</v>
      </c>
      <c r="B23" s="197">
        <v>67942789</v>
      </c>
      <c r="C23" s="198">
        <v>330233705</v>
      </c>
      <c r="D23" s="197">
        <v>474582110</v>
      </c>
      <c r="E23" s="198">
        <v>804815815</v>
      </c>
      <c r="F23" s="197">
        <v>872758604</v>
      </c>
      <c r="G23" s="160">
        <v>4.1099174598467902E-2</v>
      </c>
      <c r="I23" s="9">
        <v>615853738</v>
      </c>
    </row>
    <row r="24" spans="1:9" ht="20" customHeight="1" thickBot="1">
      <c r="A24" s="141" t="s">
        <v>247</v>
      </c>
      <c r="B24" s="197">
        <v>25832650</v>
      </c>
      <c r="C24" s="198">
        <v>142273614</v>
      </c>
      <c r="D24" s="197">
        <v>203162585</v>
      </c>
      <c r="E24" s="198">
        <v>345436199</v>
      </c>
      <c r="F24" s="197">
        <v>371268849</v>
      </c>
      <c r="G24" s="160">
        <v>3.3799216044905392E-2</v>
      </c>
      <c r="I24" s="9">
        <v>264690646</v>
      </c>
    </row>
    <row r="25" spans="1:9" ht="20" customHeight="1" thickBot="1">
      <c r="A25" s="141" t="s">
        <v>248</v>
      </c>
      <c r="B25" s="197">
        <v>81749674</v>
      </c>
      <c r="C25" s="198">
        <v>449317866</v>
      </c>
      <c r="D25" s="197">
        <v>627807197</v>
      </c>
      <c r="E25" s="198">
        <v>1077125063</v>
      </c>
      <c r="F25" s="197">
        <v>1158874737</v>
      </c>
      <c r="G25" s="160">
        <v>7.6490357265594028E-2</v>
      </c>
      <c r="I25" s="9">
        <v>819222625</v>
      </c>
    </row>
    <row r="26" spans="1:9" ht="20" customHeight="1" thickBot="1">
      <c r="A26" s="141" t="s">
        <v>249</v>
      </c>
      <c r="B26" s="197">
        <v>35847370</v>
      </c>
      <c r="C26" s="198">
        <v>181161477</v>
      </c>
      <c r="D26" s="197">
        <v>245678817</v>
      </c>
      <c r="E26" s="198">
        <v>426840294</v>
      </c>
      <c r="F26" s="197">
        <v>462687664</v>
      </c>
      <c r="G26" s="160">
        <v>4.6443443088749529E-2</v>
      </c>
      <c r="I26" s="9">
        <v>344655658</v>
      </c>
    </row>
    <row r="27" spans="1:9" ht="20" customHeight="1" thickBot="1">
      <c r="A27" s="141" t="s">
        <v>250</v>
      </c>
      <c r="B27" s="197">
        <v>47559198</v>
      </c>
      <c r="C27" s="198">
        <v>348403561</v>
      </c>
      <c r="D27" s="197">
        <v>490572707</v>
      </c>
      <c r="E27" s="198">
        <v>838976268</v>
      </c>
      <c r="F27" s="197">
        <v>886535466</v>
      </c>
      <c r="G27" s="160">
        <v>7.774168851142832E-2</v>
      </c>
      <c r="I27" s="9">
        <v>627641817</v>
      </c>
    </row>
    <row r="28" spans="1:9" ht="20" customHeight="1" thickBot="1">
      <c r="A28" s="141" t="s">
        <v>251</v>
      </c>
      <c r="B28" s="197">
        <v>128968194</v>
      </c>
      <c r="C28" s="198">
        <v>652275007</v>
      </c>
      <c r="D28" s="197">
        <v>1002579805</v>
      </c>
      <c r="E28" s="198">
        <v>1654854812</v>
      </c>
      <c r="F28" s="197">
        <v>1783823006</v>
      </c>
      <c r="G28" s="160">
        <v>5.6758415935062104E-2</v>
      </c>
      <c r="I28" s="9">
        <v>1280335377</v>
      </c>
    </row>
    <row r="29" spans="1:9" ht="20" customHeight="1" thickBot="1">
      <c r="A29" s="141" t="s">
        <v>252</v>
      </c>
      <c r="B29" s="197">
        <v>41815987</v>
      </c>
      <c r="C29" s="198">
        <v>233046391</v>
      </c>
      <c r="D29" s="197">
        <v>320658893</v>
      </c>
      <c r="E29" s="198">
        <v>553705284</v>
      </c>
      <c r="F29" s="197">
        <v>595521271</v>
      </c>
      <c r="G29" s="160">
        <v>8.4470365968104699E-2</v>
      </c>
      <c r="I29" s="9">
        <v>410743307</v>
      </c>
    </row>
    <row r="30" spans="1:9" ht="20" customHeight="1" thickBot="1">
      <c r="A30" s="141" t="s">
        <v>253</v>
      </c>
      <c r="B30" s="197">
        <v>28843083</v>
      </c>
      <c r="C30" s="198">
        <v>168904964</v>
      </c>
      <c r="D30" s="197">
        <v>258481482</v>
      </c>
      <c r="E30" s="198">
        <v>427386446</v>
      </c>
      <c r="F30" s="197">
        <v>456229529</v>
      </c>
      <c r="G30" s="160">
        <v>7.0863896916276347E-3</v>
      </c>
      <c r="I30" s="9">
        <v>318756043</v>
      </c>
    </row>
    <row r="31" spans="1:9" ht="20" customHeight="1" thickBot="1">
      <c r="A31" s="141" t="s">
        <v>254</v>
      </c>
      <c r="B31" s="197">
        <v>91647226</v>
      </c>
      <c r="C31" s="198">
        <v>463419807</v>
      </c>
      <c r="D31" s="197">
        <v>742458678</v>
      </c>
      <c r="E31" s="198">
        <v>1205878485</v>
      </c>
      <c r="F31" s="197">
        <v>1297525711</v>
      </c>
      <c r="G31" s="160">
        <v>7.2654915825340088E-2</v>
      </c>
      <c r="I31" s="9">
        <v>966736347</v>
      </c>
    </row>
    <row r="32" spans="1:9" ht="20" customHeight="1" thickBot="1">
      <c r="A32" s="142" t="s">
        <v>255</v>
      </c>
      <c r="B32" s="197">
        <v>12209839</v>
      </c>
      <c r="C32" s="198">
        <v>66511213</v>
      </c>
      <c r="D32" s="197">
        <v>95838122</v>
      </c>
      <c r="E32" s="198">
        <v>162349335</v>
      </c>
      <c r="F32" s="197">
        <v>174559174</v>
      </c>
      <c r="G32" s="160">
        <v>7.1825934055192109E-2</v>
      </c>
      <c r="I32" s="9">
        <v>146808815</v>
      </c>
    </row>
    <row r="33" spans="1:9" ht="30" customHeight="1" thickBot="1">
      <c r="A33" s="143" t="s">
        <v>256</v>
      </c>
      <c r="B33" s="610">
        <v>1140932174</v>
      </c>
      <c r="C33" s="609">
        <v>6574414681</v>
      </c>
      <c r="D33" s="610">
        <v>9624266747</v>
      </c>
      <c r="E33" s="609">
        <v>16198681428</v>
      </c>
      <c r="F33" s="610">
        <v>17339613602</v>
      </c>
      <c r="G33" s="162">
        <v>5.9709452789321174E-2</v>
      </c>
      <c r="I33" s="9">
        <v>12410394200</v>
      </c>
    </row>
    <row r="34" spans="1:9" ht="20" customHeight="1">
      <c r="A34" s="146" t="s">
        <v>688</v>
      </c>
      <c r="B34" s="146"/>
      <c r="C34" s="146"/>
      <c r="D34" s="146"/>
      <c r="E34" s="146"/>
      <c r="F34" s="146"/>
      <c r="G34" s="166"/>
    </row>
    <row r="35" spans="1:9" ht="12.75" customHeight="1">
      <c r="A35" s="4"/>
      <c r="B35" s="4"/>
      <c r="C35" s="4"/>
      <c r="D35" s="4"/>
      <c r="E35" s="4"/>
      <c r="F35" s="4"/>
      <c r="G35" s="168"/>
    </row>
    <row r="36" spans="1:9" ht="14.25" customHeight="1">
      <c r="A36" s="4" t="s">
        <v>257</v>
      </c>
      <c r="B36" s="4"/>
      <c r="C36" s="4"/>
      <c r="D36" s="4"/>
      <c r="E36" s="4"/>
      <c r="F36" s="4"/>
      <c r="G36" s="168"/>
    </row>
    <row r="37" spans="1:9" ht="10.5" customHeight="1">
      <c r="A37" s="4"/>
      <c r="B37" s="4"/>
      <c r="C37" s="4"/>
      <c r="D37" s="4"/>
      <c r="E37" s="4"/>
      <c r="F37" s="4"/>
      <c r="G37" s="168"/>
    </row>
    <row r="38" spans="1:9" ht="15" customHeight="1">
      <c r="A38" s="4" t="s">
        <v>1294</v>
      </c>
      <c r="B38" s="4"/>
      <c r="C38" s="4"/>
      <c r="D38" s="4"/>
      <c r="E38" s="4"/>
      <c r="F38" s="4"/>
      <c r="G38" s="168"/>
    </row>
    <row r="39" spans="1:9" ht="13.5" customHeight="1">
      <c r="A39" s="2" t="s">
        <v>1292</v>
      </c>
    </row>
    <row r="40" spans="1:9" ht="12" customHeight="1"/>
    <row r="41" spans="1:9" ht="12" customHeight="1"/>
    <row r="42" spans="1:9" ht="12" customHeight="1">
      <c r="A42" s="4" t="s">
        <v>128</v>
      </c>
    </row>
  </sheetData>
  <phoneticPr fontId="0" type="noConversion"/>
  <pageMargins left="0.6" right="0.59" top="0.76" bottom="0.49" header="0.35" footer="0.4921259845"/>
  <pageSetup paperSize="9" scale="80" orientation="portrait" horizontalDpi="4294967292" verticalDpi="4294967292"/>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2ED8A-121A-1E4B-8EF2-D04F6695A0CD}">
  <dimension ref="A1:H41"/>
  <sheetViews>
    <sheetView zoomScale="75" workbookViewId="0"/>
  </sheetViews>
  <sheetFormatPr baseColWidth="10" defaultColWidth="11.3984375" defaultRowHeight="13"/>
  <cols>
    <col min="1" max="1" width="14.796875" style="2" customWidth="1"/>
    <col min="2" max="5" width="14.796875" style="169" customWidth="1"/>
    <col min="6" max="6" width="15.3984375" style="169" customWidth="1"/>
    <col min="7" max="7" width="11.3984375" style="2"/>
    <col min="8" max="8" width="0" style="2" hidden="1" customWidth="1"/>
    <col min="9" max="16384" width="11.3984375" style="2"/>
  </cols>
  <sheetData>
    <row r="1" spans="1:8" s="1" customFormat="1" ht="14" customHeight="1">
      <c r="B1" s="151"/>
      <c r="C1" s="151"/>
      <c r="D1" s="151"/>
      <c r="E1" s="151"/>
      <c r="F1" s="151"/>
    </row>
    <row r="2" spans="1:8" s="1" customFormat="1" ht="42" customHeight="1">
      <c r="A2" s="1606" t="s">
        <v>686</v>
      </c>
      <c r="B2" s="1610"/>
      <c r="C2" s="1610"/>
      <c r="D2" s="1610"/>
      <c r="E2" s="1610"/>
      <c r="F2" s="629">
        <v>2005</v>
      </c>
    </row>
    <row r="3" spans="1:8" ht="27" customHeight="1">
      <c r="A3" s="125" t="s">
        <v>222</v>
      </c>
      <c r="B3" s="154" t="s">
        <v>223</v>
      </c>
      <c r="C3" s="262" t="s">
        <v>224</v>
      </c>
      <c r="D3" s="154" t="s">
        <v>225</v>
      </c>
      <c r="E3" s="262" t="s">
        <v>43</v>
      </c>
      <c r="F3" s="154" t="s">
        <v>43</v>
      </c>
    </row>
    <row r="4" spans="1:8" ht="15" customHeight="1">
      <c r="A4" s="128"/>
      <c r="B4" s="155"/>
      <c r="C4" s="213"/>
      <c r="D4" s="155"/>
      <c r="E4" s="213" t="s">
        <v>226</v>
      </c>
      <c r="F4" s="155" t="s">
        <v>227</v>
      </c>
    </row>
    <row r="5" spans="1:8" ht="15" customHeight="1">
      <c r="A5" s="128"/>
      <c r="B5" s="155"/>
      <c r="C5" s="213"/>
      <c r="D5" s="155"/>
      <c r="E5" s="213" t="s">
        <v>228</v>
      </c>
      <c r="F5" s="155" t="s">
        <v>229</v>
      </c>
    </row>
    <row r="6" spans="1:8" ht="24" customHeight="1">
      <c r="A6" s="132"/>
      <c r="B6" s="156"/>
      <c r="C6" s="215"/>
      <c r="D6" s="156"/>
      <c r="E6" s="215"/>
      <c r="F6" s="156"/>
    </row>
    <row r="7" spans="1:8" ht="30" customHeight="1" thickBot="1">
      <c r="A7" s="137" t="s">
        <v>230</v>
      </c>
      <c r="B7" s="157">
        <v>65.251829204449322</v>
      </c>
      <c r="C7" s="217">
        <v>180.29527547903675</v>
      </c>
      <c r="D7" s="157">
        <v>253.07008475334945</v>
      </c>
      <c r="E7" s="217">
        <v>217.82067628639678</v>
      </c>
      <c r="F7" s="157">
        <v>188.85788394737821</v>
      </c>
      <c r="H7" s="140">
        <v>147.6535284720232</v>
      </c>
    </row>
    <row r="8" spans="1:8" ht="20" customHeight="1" thickBot="1">
      <c r="A8" s="141" t="s">
        <v>231</v>
      </c>
      <c r="B8" s="157">
        <v>52.214842219610354</v>
      </c>
      <c r="C8" s="217">
        <v>208.88762111616325</v>
      </c>
      <c r="D8" s="157">
        <v>276.13753560863603</v>
      </c>
      <c r="E8" s="217">
        <v>243.92221355723152</v>
      </c>
      <c r="F8" s="157">
        <v>206.48411004681358</v>
      </c>
      <c r="H8" s="140">
        <v>136.00843900520724</v>
      </c>
    </row>
    <row r="9" spans="1:8" ht="20" customHeight="1" thickBot="1">
      <c r="A9" s="141" t="s">
        <v>232</v>
      </c>
      <c r="B9" s="157">
        <v>49.400710438867883</v>
      </c>
      <c r="C9" s="217">
        <v>161.41761132862527</v>
      </c>
      <c r="D9" s="157">
        <v>222.5680662947602</v>
      </c>
      <c r="E9" s="217">
        <v>192.78740316500884</v>
      </c>
      <c r="F9" s="157">
        <v>161.42840144199533</v>
      </c>
      <c r="H9" s="140">
        <v>109.8632844875566</v>
      </c>
    </row>
    <row r="10" spans="1:8" ht="20" customHeight="1" thickBot="1">
      <c r="A10" s="141" t="s">
        <v>233</v>
      </c>
      <c r="B10" s="157">
        <v>43.553366605376063</v>
      </c>
      <c r="C10" s="217">
        <v>151.87389879868948</v>
      </c>
      <c r="D10" s="157">
        <v>216.82280190105857</v>
      </c>
      <c r="E10" s="217">
        <v>184.53373339126028</v>
      </c>
      <c r="F10" s="157">
        <v>154.06901045362093</v>
      </c>
      <c r="H10" s="140">
        <v>106.3151780359856</v>
      </c>
    </row>
    <row r="11" spans="1:8" ht="20" customHeight="1" thickBot="1">
      <c r="A11" s="141" t="s">
        <v>234</v>
      </c>
      <c r="B11" s="157">
        <v>61.728462530590654</v>
      </c>
      <c r="C11" s="217">
        <v>153.4248734802197</v>
      </c>
      <c r="D11" s="157">
        <v>213.73842592592595</v>
      </c>
      <c r="E11" s="217">
        <v>183.29474293315388</v>
      </c>
      <c r="F11" s="157">
        <v>156.50898298127626</v>
      </c>
      <c r="H11" s="140">
        <v>110.98351281141051</v>
      </c>
    </row>
    <row r="12" spans="1:8" ht="20" customHeight="1" thickBot="1">
      <c r="A12" s="141" t="s">
        <v>235</v>
      </c>
      <c r="B12" s="157">
        <v>48.787801243845557</v>
      </c>
      <c r="C12" s="217">
        <v>141.42860515569168</v>
      </c>
      <c r="D12" s="157">
        <v>205.52191179455949</v>
      </c>
      <c r="E12" s="217">
        <v>173.56823242734262</v>
      </c>
      <c r="F12" s="157">
        <v>145.17124687936152</v>
      </c>
      <c r="H12" s="140">
        <v>105.19977836100999</v>
      </c>
    </row>
    <row r="13" spans="1:8" ht="20" customHeight="1" thickBot="1">
      <c r="A13" s="141" t="s">
        <v>236</v>
      </c>
      <c r="B13" s="157">
        <v>46.732937533325128</v>
      </c>
      <c r="C13" s="217">
        <v>135.48658648412342</v>
      </c>
      <c r="D13" s="157">
        <v>185.64269062132394</v>
      </c>
      <c r="E13" s="217">
        <v>160.52254113677375</v>
      </c>
      <c r="F13" s="157">
        <v>137.01786168157787</v>
      </c>
      <c r="H13" s="140">
        <v>98.806061539893719</v>
      </c>
    </row>
    <row r="14" spans="1:8" ht="20" customHeight="1" thickBot="1">
      <c r="A14" s="141" t="s">
        <v>237</v>
      </c>
      <c r="B14" s="157">
        <v>64.54945625610948</v>
      </c>
      <c r="C14" s="217">
        <v>162.10329750307918</v>
      </c>
      <c r="D14" s="157">
        <v>217.01896830530401</v>
      </c>
      <c r="E14" s="217">
        <v>190.07516092181288</v>
      </c>
      <c r="F14" s="157">
        <v>163.41275845661389</v>
      </c>
      <c r="H14" s="140">
        <v>118.50730828724598</v>
      </c>
    </row>
    <row r="15" spans="1:8" ht="20" customHeight="1" thickBot="1">
      <c r="A15" s="141" t="s">
        <v>238</v>
      </c>
      <c r="B15" s="157">
        <v>49.183860259000021</v>
      </c>
      <c r="C15" s="217">
        <v>146.71543560606059</v>
      </c>
      <c r="D15" s="157">
        <v>215.60549847793001</v>
      </c>
      <c r="E15" s="217">
        <v>181.15176112293383</v>
      </c>
      <c r="F15" s="157">
        <v>154.49900300442758</v>
      </c>
      <c r="H15" s="140">
        <v>109.7243161119399</v>
      </c>
    </row>
    <row r="16" spans="1:8" ht="20" customHeight="1" thickBot="1">
      <c r="A16" s="141" t="s">
        <v>239</v>
      </c>
      <c r="B16" s="157">
        <v>59.826294011477493</v>
      </c>
      <c r="C16" s="217">
        <v>176.27436046572555</v>
      </c>
      <c r="D16" s="157">
        <v>249.80209639894801</v>
      </c>
      <c r="E16" s="217">
        <v>213.68789182734375</v>
      </c>
      <c r="F16" s="157">
        <v>177.54357972184482</v>
      </c>
      <c r="H16" s="140">
        <v>137.47395057718248</v>
      </c>
    </row>
    <row r="17" spans="1:8" ht="20" customHeight="1" thickBot="1">
      <c r="A17" s="141" t="s">
        <v>240</v>
      </c>
      <c r="B17" s="157">
        <v>59.287069534584283</v>
      </c>
      <c r="C17" s="217">
        <v>184.68288963556475</v>
      </c>
      <c r="D17" s="157">
        <v>240.05879698658086</v>
      </c>
      <c r="E17" s="217">
        <v>213.10141896449318</v>
      </c>
      <c r="F17" s="157">
        <v>181.68009650148733</v>
      </c>
      <c r="H17" s="140">
        <v>132.71022733455214</v>
      </c>
    </row>
    <row r="18" spans="1:8" ht="20" customHeight="1" thickBot="1">
      <c r="A18" s="141" t="s">
        <v>241</v>
      </c>
      <c r="B18" s="157">
        <v>85.314829500396513</v>
      </c>
      <c r="C18" s="217">
        <v>256.63212209638942</v>
      </c>
      <c r="D18" s="157">
        <v>353.1290972017311</v>
      </c>
      <c r="E18" s="217">
        <v>307.82794038346964</v>
      </c>
      <c r="F18" s="157">
        <v>272.42671616220349</v>
      </c>
      <c r="H18" s="140">
        <v>208.35408965566106</v>
      </c>
    </row>
    <row r="19" spans="1:8" ht="20" customHeight="1" thickBot="1">
      <c r="A19" s="141" t="s">
        <v>242</v>
      </c>
      <c r="B19" s="157">
        <v>72.057984648048347</v>
      </c>
      <c r="C19" s="217">
        <v>196.95360640057325</v>
      </c>
      <c r="D19" s="157">
        <v>261.910231898174</v>
      </c>
      <c r="E19" s="217">
        <v>230.43894295070584</v>
      </c>
      <c r="F19" s="157">
        <v>200.07011376333421</v>
      </c>
      <c r="H19" s="140">
        <v>149.99608447175385</v>
      </c>
    </row>
    <row r="20" spans="1:8" ht="20" customHeight="1" thickBot="1">
      <c r="A20" s="141" t="s">
        <v>243</v>
      </c>
      <c r="B20" s="157">
        <v>51.394943310657595</v>
      </c>
      <c r="C20" s="217">
        <v>175.42289620676237</v>
      </c>
      <c r="D20" s="157">
        <v>254.95066052522148</v>
      </c>
      <c r="E20" s="217">
        <v>216.6109882799777</v>
      </c>
      <c r="F20" s="157">
        <v>184.26357866837148</v>
      </c>
      <c r="H20" s="140">
        <v>141.06151978810024</v>
      </c>
    </row>
    <row r="21" spans="1:8" ht="20" customHeight="1" thickBot="1">
      <c r="A21" s="141" t="s">
        <v>244</v>
      </c>
      <c r="B21" s="157">
        <v>49.429675348547839</v>
      </c>
      <c r="C21" s="217">
        <v>146.61133071446108</v>
      </c>
      <c r="D21" s="157">
        <v>197.69050809472313</v>
      </c>
      <c r="E21" s="217">
        <v>172.7054610814879</v>
      </c>
      <c r="F21" s="157">
        <v>145.50545197581474</v>
      </c>
      <c r="H21" s="140">
        <v>105.54236904359847</v>
      </c>
    </row>
    <row r="22" spans="1:8" ht="20" customHeight="1" thickBot="1">
      <c r="A22" s="141" t="s">
        <v>245</v>
      </c>
      <c r="B22" s="157">
        <v>41.521595932802832</v>
      </c>
      <c r="C22" s="217">
        <v>138.51413087229028</v>
      </c>
      <c r="D22" s="157">
        <v>180.07495219313969</v>
      </c>
      <c r="E22" s="217">
        <v>158.90843151046246</v>
      </c>
      <c r="F22" s="157">
        <v>129.68574462933614</v>
      </c>
      <c r="H22" s="140">
        <v>93.290141615544769</v>
      </c>
    </row>
    <row r="23" spans="1:8" ht="20" customHeight="1" thickBot="1">
      <c r="A23" s="141" t="s">
        <v>246</v>
      </c>
      <c r="B23" s="157">
        <v>54.874529539279628</v>
      </c>
      <c r="C23" s="217">
        <v>156.68292406350943</v>
      </c>
      <c r="D23" s="157">
        <v>214.53645991552025</v>
      </c>
      <c r="E23" s="217">
        <v>186.30875508936072</v>
      </c>
      <c r="F23" s="157">
        <v>157.02869975940794</v>
      </c>
      <c r="H23" s="140">
        <v>113.07027159885389</v>
      </c>
    </row>
    <row r="24" spans="1:8" ht="20" customHeight="1" thickBot="1">
      <c r="A24" s="141" t="s">
        <v>247</v>
      </c>
      <c r="B24" s="157">
        <v>56.987977057136554</v>
      </c>
      <c r="C24" s="217">
        <v>154.1780062159456</v>
      </c>
      <c r="D24" s="157">
        <v>214.95683671698768</v>
      </c>
      <c r="E24" s="217">
        <v>184.92975065473476</v>
      </c>
      <c r="F24" s="157">
        <v>159.94474012076344</v>
      </c>
      <c r="H24" s="140">
        <v>112.93207174435962</v>
      </c>
    </row>
    <row r="25" spans="1:8" ht="20" customHeight="1" thickBot="1">
      <c r="A25" s="141" t="s">
        <v>248</v>
      </c>
      <c r="B25" s="157">
        <v>56.219190385414173</v>
      </c>
      <c r="C25" s="217">
        <v>167.81170952735226</v>
      </c>
      <c r="D25" s="157">
        <v>227.70199779191799</v>
      </c>
      <c r="E25" s="217">
        <v>198.19650401351922</v>
      </c>
      <c r="F25" s="157">
        <v>168.22699729820593</v>
      </c>
      <c r="H25" s="140">
        <v>123.10137008461707</v>
      </c>
    </row>
    <row r="26" spans="1:8" ht="20" customHeight="1" thickBot="1">
      <c r="A26" s="141" t="s">
        <v>249</v>
      </c>
      <c r="B26" s="157">
        <v>55.832850503389153</v>
      </c>
      <c r="C26" s="217">
        <v>168.51164484479122</v>
      </c>
      <c r="D26" s="157">
        <v>221.69176773145639</v>
      </c>
      <c r="E26" s="217">
        <v>195.5030724245772</v>
      </c>
      <c r="F26" s="157">
        <v>163.76422985225079</v>
      </c>
      <c r="H26" s="140">
        <v>124.89094208425395</v>
      </c>
    </row>
    <row r="27" spans="1:8" ht="20" customHeight="1" thickBot="1">
      <c r="A27" s="141" t="s">
        <v>250</v>
      </c>
      <c r="B27" s="157">
        <v>68.786408525261649</v>
      </c>
      <c r="C27" s="217">
        <v>236.28397802120296</v>
      </c>
      <c r="D27" s="157">
        <v>297.90610456077962</v>
      </c>
      <c r="E27" s="217">
        <v>268.7982322251741</v>
      </c>
      <c r="F27" s="157">
        <v>232.52681780698606</v>
      </c>
      <c r="H27" s="140">
        <v>168.72622344599318</v>
      </c>
    </row>
    <row r="28" spans="1:8" ht="20" customHeight="1" thickBot="1">
      <c r="A28" s="141" t="s">
        <v>251</v>
      </c>
      <c r="B28" s="157">
        <v>75.755980911833532</v>
      </c>
      <c r="C28" s="217">
        <v>225.427685156385</v>
      </c>
      <c r="D28" s="157">
        <v>316.16431446526599</v>
      </c>
      <c r="E28" s="217">
        <v>272.87248168543471</v>
      </c>
      <c r="F28" s="157">
        <v>229.66727977434755</v>
      </c>
      <c r="H28" s="140">
        <v>172.20627180427857</v>
      </c>
    </row>
    <row r="29" spans="1:8" ht="20" customHeight="1" thickBot="1">
      <c r="A29" s="141" t="s">
        <v>252</v>
      </c>
      <c r="B29" s="157">
        <v>56.176195504398343</v>
      </c>
      <c r="C29" s="217">
        <v>169.72429370877904</v>
      </c>
      <c r="D29" s="157">
        <v>223.04409215607714</v>
      </c>
      <c r="E29" s="217">
        <v>196.99570505787071</v>
      </c>
      <c r="F29" s="157">
        <v>167.51031213468306</v>
      </c>
      <c r="H29" s="140">
        <v>121.13256050394979</v>
      </c>
    </row>
    <row r="30" spans="1:8" ht="20" customHeight="1" thickBot="1">
      <c r="A30" s="141" t="s">
        <v>253</v>
      </c>
      <c r="B30" s="157">
        <v>66.524321220004978</v>
      </c>
      <c r="C30" s="217">
        <v>222.47287201534212</v>
      </c>
      <c r="D30" s="157">
        <v>309.94767324738115</v>
      </c>
      <c r="E30" s="217">
        <v>268.26200752211946</v>
      </c>
      <c r="F30" s="157">
        <v>225.10510919012799</v>
      </c>
      <c r="H30" s="140">
        <v>157.34667902077535</v>
      </c>
    </row>
    <row r="31" spans="1:8" ht="20" customHeight="1" thickBot="1">
      <c r="A31" s="141" t="s">
        <v>254</v>
      </c>
      <c r="B31" s="157">
        <v>88.721887911773024</v>
      </c>
      <c r="C31" s="217">
        <v>259.49333599870988</v>
      </c>
      <c r="D31" s="157">
        <v>371.46707792987513</v>
      </c>
      <c r="E31" s="217">
        <v>318.62907125327382</v>
      </c>
      <c r="F31" s="157">
        <v>269.33277184530908</v>
      </c>
      <c r="H31" s="140">
        <v>209.96444334691634</v>
      </c>
    </row>
    <row r="32" spans="1:8" ht="20" customHeight="1" thickBot="1">
      <c r="A32" s="142" t="s">
        <v>255</v>
      </c>
      <c r="B32" s="157">
        <v>64.832839514039335</v>
      </c>
      <c r="C32" s="217">
        <v>212.51489909640478</v>
      </c>
      <c r="D32" s="157">
        <v>287.57418142973739</v>
      </c>
      <c r="E32" s="217">
        <v>251.2043234862692</v>
      </c>
      <c r="F32" s="157">
        <v>209.15008890358635</v>
      </c>
      <c r="H32" s="140">
        <v>173.66487176423698</v>
      </c>
    </row>
    <row r="33" spans="1:8" ht="30" customHeight="1" thickBot="1">
      <c r="A33" s="143" t="s">
        <v>256</v>
      </c>
      <c r="B33" s="343">
        <v>62.270846254892724</v>
      </c>
      <c r="C33" s="506">
        <v>191.22087675088116</v>
      </c>
      <c r="D33" s="343">
        <v>262.71821596236441</v>
      </c>
      <c r="E33" s="506">
        <v>228.10312570654358</v>
      </c>
      <c r="F33" s="343">
        <v>194.09247257246582</v>
      </c>
      <c r="H33" s="140">
        <v>142.67390401114693</v>
      </c>
    </row>
    <row r="34" spans="1:8" ht="20" customHeight="1">
      <c r="A34" s="146" t="s">
        <v>688</v>
      </c>
      <c r="B34" s="165"/>
      <c r="C34" s="165"/>
      <c r="D34" s="165"/>
      <c r="E34" s="165"/>
      <c r="F34" s="165"/>
    </row>
    <row r="35" spans="1:8" ht="14.25" customHeight="1">
      <c r="A35" s="4"/>
      <c r="B35" s="167"/>
      <c r="C35" s="167"/>
      <c r="D35" s="167"/>
      <c r="E35" s="167"/>
      <c r="F35" s="167"/>
    </row>
    <row r="36" spans="1:8" ht="16.5" customHeight="1">
      <c r="A36" s="4" t="s">
        <v>685</v>
      </c>
      <c r="B36" s="167"/>
      <c r="C36" s="167"/>
      <c r="D36" s="167"/>
      <c r="E36" s="167"/>
      <c r="F36" s="167"/>
    </row>
    <row r="37" spans="1:8" ht="12.75" customHeight="1">
      <c r="A37" s="4"/>
      <c r="B37" s="167"/>
      <c r="C37" s="167"/>
      <c r="D37" s="167"/>
      <c r="E37" s="167"/>
      <c r="F37" s="167"/>
    </row>
    <row r="38" spans="1:8" ht="15.75" customHeight="1">
      <c r="A38" s="4" t="s">
        <v>687</v>
      </c>
    </row>
    <row r="39" spans="1:8" ht="12" customHeight="1"/>
    <row r="40" spans="1:8" ht="12" customHeight="1"/>
    <row r="41" spans="1:8">
      <c r="A41" s="4" t="s">
        <v>128</v>
      </c>
    </row>
  </sheetData>
  <mergeCells count="1">
    <mergeCell ref="A2:E2"/>
  </mergeCells>
  <phoneticPr fontId="0" type="noConversion"/>
  <pageMargins left="0.6" right="0.61" top="0.74" bottom="0.49" header="0.42" footer="0.4921259845"/>
  <pageSetup paperSize="9" scale="80" orientation="portrait" horizontalDpi="4294967292" verticalDpi="4294967292"/>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DA9C6-B1A0-2346-B98F-C93B0316EC25}">
  <sheetPr>
    <pageSetUpPr fitToPage="1"/>
  </sheetPr>
  <dimension ref="A1:J31"/>
  <sheetViews>
    <sheetView topLeftCell="A10" zoomScale="75" workbookViewId="0">
      <selection activeCell="F23" sqref="F23"/>
    </sheetView>
  </sheetViews>
  <sheetFormatPr baseColWidth="10" defaultColWidth="11.3984375" defaultRowHeight="13"/>
  <cols>
    <col min="1" max="1" width="14.796875" style="2" customWidth="1"/>
    <col min="2" max="2" width="14.796875" style="169" customWidth="1"/>
    <col min="3" max="3" width="14.796875" style="170" customWidth="1"/>
    <col min="4" max="4" width="14.796875" style="169" customWidth="1"/>
    <col min="5" max="5" width="14.796875" style="170" customWidth="1"/>
    <col min="6" max="6" width="14.796875" style="169" customWidth="1"/>
    <col min="7" max="7" width="14.796875" style="170" customWidth="1"/>
    <col min="8" max="8" width="7.59765625" style="2" customWidth="1"/>
    <col min="9" max="9" width="6.3984375" style="2" customWidth="1"/>
    <col min="10" max="10" width="8.796875" style="2" customWidth="1"/>
    <col min="11" max="16384" width="11.3984375" style="2"/>
  </cols>
  <sheetData>
    <row r="1" spans="1:10" s="1" customFormat="1" ht="18.75" customHeight="1">
      <c r="A1" s="148"/>
      <c r="B1" s="149"/>
      <c r="C1" s="634"/>
      <c r="D1" s="635"/>
      <c r="E1" s="634"/>
      <c r="F1" s="635"/>
      <c r="G1" s="634"/>
    </row>
    <row r="2" spans="1:10" s="1" customFormat="1" ht="40.5" customHeight="1">
      <c r="A2" s="1612" t="s">
        <v>1931</v>
      </c>
      <c r="B2" s="1610"/>
      <c r="C2" s="1610"/>
      <c r="D2" s="1610"/>
      <c r="E2" s="1610"/>
      <c r="F2" s="1610"/>
      <c r="G2" s="629">
        <v>2005</v>
      </c>
    </row>
    <row r="3" spans="1:10" ht="27" customHeight="1">
      <c r="A3" s="125" t="s">
        <v>261</v>
      </c>
      <c r="B3" s="154" t="s">
        <v>262</v>
      </c>
      <c r="C3" s="127" t="s">
        <v>265</v>
      </c>
      <c r="D3" s="154" t="s">
        <v>264</v>
      </c>
      <c r="E3" s="127" t="s">
        <v>265</v>
      </c>
      <c r="F3" s="154" t="s">
        <v>43</v>
      </c>
      <c r="G3" s="127" t="s">
        <v>265</v>
      </c>
    </row>
    <row r="4" spans="1:10" ht="15" customHeight="1">
      <c r="A4" s="128"/>
      <c r="B4" s="155"/>
      <c r="C4" s="131" t="s">
        <v>267</v>
      </c>
      <c r="D4" s="155"/>
      <c r="E4" s="131" t="s">
        <v>267</v>
      </c>
      <c r="F4" s="155"/>
      <c r="G4" s="131" t="s">
        <v>267</v>
      </c>
    </row>
    <row r="5" spans="1:10" ht="15" customHeight="1">
      <c r="A5" s="128"/>
      <c r="B5" s="155"/>
      <c r="C5" s="131" t="s">
        <v>268</v>
      </c>
      <c r="D5" s="155"/>
      <c r="E5" s="131" t="s">
        <v>268</v>
      </c>
      <c r="F5" s="155"/>
      <c r="G5" s="131" t="s">
        <v>268</v>
      </c>
    </row>
    <row r="6" spans="1:10" ht="23" customHeight="1">
      <c r="A6" s="132"/>
      <c r="B6" s="156"/>
      <c r="C6" s="134"/>
      <c r="D6" s="156"/>
      <c r="E6" s="134"/>
      <c r="F6" s="156"/>
      <c r="G6" s="134"/>
    </row>
    <row r="7" spans="1:10" ht="30" customHeight="1" thickBot="1">
      <c r="A7" s="137" t="s">
        <v>269</v>
      </c>
      <c r="B7" s="157">
        <v>63.541215057528255</v>
      </c>
      <c r="C7" s="158">
        <v>6.6598508287195476E-2</v>
      </c>
      <c r="D7" s="157">
        <v>60.934935549909461</v>
      </c>
      <c r="E7" s="158">
        <v>5.8834468392938571E-2</v>
      </c>
      <c r="F7" s="157">
        <v>62.270764686786173</v>
      </c>
      <c r="G7" s="158">
        <v>6.2877101647621433E-2</v>
      </c>
      <c r="H7" s="636"/>
      <c r="I7" s="636"/>
      <c r="J7" s="636"/>
    </row>
    <row r="8" spans="1:10" ht="20" customHeight="1" thickBot="1">
      <c r="A8" s="141" t="s">
        <v>270</v>
      </c>
      <c r="B8" s="159">
        <v>53.494520070872362</v>
      </c>
      <c r="C8" s="160">
        <v>2.5137552330961235E-3</v>
      </c>
      <c r="D8" s="159">
        <v>96.07827077480664</v>
      </c>
      <c r="E8" s="160">
        <v>2.5485976432289947E-2</v>
      </c>
      <c r="F8" s="159">
        <v>74.649034697791507</v>
      </c>
      <c r="G8" s="160">
        <v>1.8223885821411726E-2</v>
      </c>
      <c r="H8" s="636"/>
      <c r="I8" s="636"/>
      <c r="J8" s="636"/>
    </row>
    <row r="9" spans="1:10" ht="20" customHeight="1" thickBot="1">
      <c r="A9" s="141" t="s">
        <v>271</v>
      </c>
      <c r="B9" s="159">
        <v>60.749491723157604</v>
      </c>
      <c r="C9" s="160">
        <v>3.88936631623817E-2</v>
      </c>
      <c r="D9" s="159">
        <v>141.1241761043062</v>
      </c>
      <c r="E9" s="160">
        <v>4.5948069374325322E-2</v>
      </c>
      <c r="F9" s="159">
        <v>100.98687001414757</v>
      </c>
      <c r="G9" s="160">
        <v>4.4234834311706293E-2</v>
      </c>
      <c r="H9" s="636"/>
      <c r="I9" s="636"/>
      <c r="J9" s="636"/>
    </row>
    <row r="10" spans="1:10" ht="20" customHeight="1" thickBot="1">
      <c r="A10" s="141" t="s">
        <v>272</v>
      </c>
      <c r="B10" s="159">
        <v>72.136446208706175</v>
      </c>
      <c r="C10" s="160">
        <v>3.6411361550165645E-2</v>
      </c>
      <c r="D10" s="159">
        <v>160.45336064699785</v>
      </c>
      <c r="E10" s="160">
        <v>4.6600078578757961E-2</v>
      </c>
      <c r="F10" s="159">
        <v>116.40340895673387</v>
      </c>
      <c r="G10" s="160">
        <v>4.3066938505045955E-2</v>
      </c>
      <c r="H10" s="636"/>
      <c r="I10" s="636"/>
      <c r="J10" s="636"/>
    </row>
    <row r="11" spans="1:10" ht="20" customHeight="1" thickBot="1">
      <c r="A11" s="141" t="s">
        <v>273</v>
      </c>
      <c r="B11" s="159">
        <v>87.124409692590987</v>
      </c>
      <c r="C11" s="160">
        <v>4.6091710097953181E-2</v>
      </c>
      <c r="D11" s="159">
        <v>149.87088712432245</v>
      </c>
      <c r="E11" s="160">
        <v>5.8042235738637267E-2</v>
      </c>
      <c r="F11" s="159">
        <v>118.42723606448791</v>
      </c>
      <c r="G11" s="160">
        <v>5.4419073449149598E-2</v>
      </c>
      <c r="H11" s="636"/>
      <c r="I11" s="636"/>
      <c r="J11" s="636"/>
    </row>
    <row r="12" spans="1:10" ht="20" customHeight="1" thickBot="1">
      <c r="A12" s="141" t="s">
        <v>274</v>
      </c>
      <c r="B12" s="159">
        <v>105.97774514902812</v>
      </c>
      <c r="C12" s="160">
        <v>4.1754306931458693E-2</v>
      </c>
      <c r="D12" s="159">
        <v>147.31958246580902</v>
      </c>
      <c r="E12" s="160">
        <v>4.3491666534899893E-2</v>
      </c>
      <c r="F12" s="159">
        <v>126.43329792580226</v>
      </c>
      <c r="G12" s="160">
        <v>4.2510491798416608E-2</v>
      </c>
      <c r="H12" s="636"/>
      <c r="I12" s="636"/>
      <c r="J12" s="636"/>
    </row>
    <row r="13" spans="1:10" ht="20" customHeight="1" thickBot="1">
      <c r="A13" s="141" t="s">
        <v>275</v>
      </c>
      <c r="B13" s="159">
        <v>132.93800456904907</v>
      </c>
      <c r="C13" s="160">
        <v>5.0288966902086868E-2</v>
      </c>
      <c r="D13" s="159">
        <v>174.20514376981063</v>
      </c>
      <c r="E13" s="160">
        <v>4.8405316727088414E-2</v>
      </c>
      <c r="F13" s="159">
        <v>153.2833676789983</v>
      </c>
      <c r="G13" s="160">
        <v>4.9120614500970231E-2</v>
      </c>
      <c r="H13" s="636"/>
      <c r="I13" s="636"/>
      <c r="J13" s="636"/>
    </row>
    <row r="14" spans="1:10" ht="20" customHeight="1" thickBot="1">
      <c r="A14" s="141" t="s">
        <v>276</v>
      </c>
      <c r="B14" s="159">
        <v>171.53982643352174</v>
      </c>
      <c r="C14" s="160">
        <v>4.0979128215184568E-2</v>
      </c>
      <c r="D14" s="159">
        <v>208.21368896403885</v>
      </c>
      <c r="E14" s="160">
        <v>3.8581135589838084E-2</v>
      </c>
      <c r="F14" s="159">
        <v>189.82445394325813</v>
      </c>
      <c r="G14" s="160">
        <v>3.9596817590683377E-2</v>
      </c>
      <c r="H14" s="636"/>
      <c r="I14" s="636"/>
      <c r="J14" s="636"/>
    </row>
    <row r="15" spans="1:10" ht="20" customHeight="1" thickBot="1">
      <c r="A15" s="141" t="s">
        <v>277</v>
      </c>
      <c r="B15" s="159">
        <v>227.4868423098836</v>
      </c>
      <c r="C15" s="160">
        <v>4.1948319020012642E-2</v>
      </c>
      <c r="D15" s="159">
        <v>247.17346161220561</v>
      </c>
      <c r="E15" s="160">
        <v>3.3205391342897003E-2</v>
      </c>
      <c r="F15" s="159">
        <v>237.34384699330892</v>
      </c>
      <c r="G15" s="160">
        <v>3.7399881434105012E-2</v>
      </c>
      <c r="H15" s="636"/>
      <c r="I15" s="636"/>
      <c r="J15" s="636"/>
    </row>
    <row r="16" spans="1:10" ht="20" customHeight="1" thickBot="1">
      <c r="A16" s="141" t="s">
        <v>278</v>
      </c>
      <c r="B16" s="159">
        <v>293.48115740858651</v>
      </c>
      <c r="C16" s="160">
        <v>6.5048861893535453E-2</v>
      </c>
      <c r="D16" s="159">
        <v>297.36773266941293</v>
      </c>
      <c r="E16" s="160">
        <v>5.568850250376392E-2</v>
      </c>
      <c r="F16" s="159">
        <v>295.46480761908566</v>
      </c>
      <c r="G16" s="160">
        <v>6.0169980726587247E-2</v>
      </c>
      <c r="H16" s="636"/>
      <c r="I16" s="636"/>
      <c r="J16" s="636"/>
    </row>
    <row r="17" spans="1:10" ht="20" customHeight="1" thickBot="1">
      <c r="A17" s="141" t="s">
        <v>279</v>
      </c>
      <c r="B17" s="159">
        <v>376.08842558425584</v>
      </c>
      <c r="C17" s="160">
        <v>5.0671605991260818E-2</v>
      </c>
      <c r="D17" s="159">
        <v>356.51311827132685</v>
      </c>
      <c r="E17" s="160">
        <v>4.5888558993620036E-2</v>
      </c>
      <c r="F17" s="159">
        <v>365.67016158813755</v>
      </c>
      <c r="G17" s="160">
        <v>4.8229157085220825E-2</v>
      </c>
      <c r="H17" s="636"/>
      <c r="I17" s="636"/>
      <c r="J17" s="636"/>
    </row>
    <row r="18" spans="1:10" ht="20" customHeight="1" thickBot="1">
      <c r="A18" s="141" t="s">
        <v>280</v>
      </c>
      <c r="B18" s="159">
        <v>479.10428781793843</v>
      </c>
      <c r="C18" s="160">
        <v>6.9605000407313697E-2</v>
      </c>
      <c r="D18" s="159">
        <v>441.43218227013352</v>
      </c>
      <c r="E18" s="160">
        <v>4.4125403520882851E-2</v>
      </c>
      <c r="F18" s="159">
        <v>458.12361992410251</v>
      </c>
      <c r="G18" s="160">
        <v>5.603825025131965E-2</v>
      </c>
      <c r="H18" s="636"/>
      <c r="I18" s="636"/>
      <c r="J18" s="636"/>
    </row>
    <row r="19" spans="1:10" ht="20" customHeight="1" thickBot="1">
      <c r="A19" s="141" t="s">
        <v>281</v>
      </c>
      <c r="B19" s="159">
        <v>577.88520977201949</v>
      </c>
      <c r="C19" s="160">
        <v>7.6935640308772923E-2</v>
      </c>
      <c r="D19" s="159">
        <v>553.24385645520374</v>
      </c>
      <c r="E19" s="160">
        <v>4.4255675081819539E-2</v>
      </c>
      <c r="F19" s="159">
        <v>563.2164709725148</v>
      </c>
      <c r="G19" s="160">
        <v>5.7632318913718332E-2</v>
      </c>
      <c r="H19" s="636"/>
      <c r="I19" s="636"/>
      <c r="J19" s="636"/>
    </row>
    <row r="20" spans="1:10" ht="20" customHeight="1" thickBot="1">
      <c r="A20" s="141" t="s">
        <v>282</v>
      </c>
      <c r="B20" s="159">
        <v>677.03775130623205</v>
      </c>
      <c r="C20" s="160">
        <v>6.083490593843232E-2</v>
      </c>
      <c r="D20" s="159">
        <v>718.00506892270721</v>
      </c>
      <c r="E20" s="160">
        <v>4.1559516257978379E-2</v>
      </c>
      <c r="F20" s="159">
        <v>703.10588904934377</v>
      </c>
      <c r="G20" s="160">
        <v>4.8317972518285873E-2</v>
      </c>
      <c r="H20" s="636"/>
      <c r="I20" s="636"/>
      <c r="J20" s="636"/>
    </row>
    <row r="21" spans="1:10" ht="20" customHeight="1" thickBot="1">
      <c r="A21" s="141" t="s">
        <v>283</v>
      </c>
      <c r="B21" s="159">
        <v>824.93216000391931</v>
      </c>
      <c r="C21" s="160">
        <v>4.4385374652587538E-2</v>
      </c>
      <c r="D21" s="159">
        <v>964.6380320647736</v>
      </c>
      <c r="E21" s="160">
        <v>2.6467476230897274E-2</v>
      </c>
      <c r="F21" s="159">
        <v>920.00143027087097</v>
      </c>
      <c r="G21" s="160">
        <v>3.1042891331998671E-2</v>
      </c>
      <c r="H21" s="636"/>
      <c r="I21" s="636"/>
      <c r="J21" s="636"/>
    </row>
    <row r="22" spans="1:10" ht="20" customHeight="1" thickBot="1">
      <c r="A22" s="141" t="s">
        <v>284</v>
      </c>
      <c r="B22" s="159">
        <v>1075.5742432226712</v>
      </c>
      <c r="C22" s="160">
        <v>5.1791079363915353E-2</v>
      </c>
      <c r="D22" s="159">
        <v>1338.1796694868424</v>
      </c>
      <c r="E22" s="160">
        <v>3.1286439999356146E-2</v>
      </c>
      <c r="F22" s="159">
        <v>1273.7005574484604</v>
      </c>
      <c r="G22" s="160">
        <v>3.4959574553994732E-2</v>
      </c>
      <c r="H22" s="636"/>
      <c r="I22" s="636"/>
      <c r="J22" s="636"/>
    </row>
    <row r="23" spans="1:10" ht="30" customHeight="1" thickBot="1">
      <c r="A23" s="143" t="s">
        <v>43</v>
      </c>
      <c r="B23" s="161">
        <v>163.828503958364</v>
      </c>
      <c r="C23" s="162">
        <v>6.4092053964623169E-2</v>
      </c>
      <c r="D23" s="161">
        <v>223.16614090846522</v>
      </c>
      <c r="E23" s="162">
        <v>4.8710982661516335E-2</v>
      </c>
      <c r="F23" s="161">
        <v>194.0926289991416</v>
      </c>
      <c r="G23" s="162">
        <v>5.5012401528631932E-2</v>
      </c>
      <c r="H23" s="636"/>
      <c r="I23" s="636"/>
      <c r="J23" s="636"/>
    </row>
    <row r="24" spans="1:10" ht="20" customHeight="1">
      <c r="A24" s="146" t="s">
        <v>688</v>
      </c>
      <c r="B24" s="165"/>
      <c r="C24" s="166"/>
      <c r="D24" s="165"/>
      <c r="E24" s="166"/>
      <c r="F24" s="165"/>
      <c r="G24" s="166"/>
    </row>
    <row r="25" spans="1:10" ht="11.25" customHeight="1">
      <c r="A25" s="4"/>
      <c r="B25" s="167"/>
      <c r="C25" s="168"/>
      <c r="D25" s="167"/>
      <c r="E25" s="168"/>
      <c r="F25" s="167"/>
      <c r="G25" s="168"/>
    </row>
    <row r="26" spans="1:10" ht="16.5" customHeight="1">
      <c r="A26" s="4" t="s">
        <v>257</v>
      </c>
      <c r="B26" s="167"/>
      <c r="C26" s="168"/>
      <c r="D26" s="167"/>
      <c r="E26" s="168"/>
      <c r="F26" s="167"/>
      <c r="G26" s="168"/>
    </row>
    <row r="27" spans="1:10" ht="14.25" customHeight="1">
      <c r="A27" s="4"/>
      <c r="B27" s="167"/>
      <c r="C27" s="168"/>
      <c r="D27" s="167"/>
      <c r="E27" s="168"/>
      <c r="F27" s="167"/>
      <c r="G27" s="168"/>
    </row>
    <row r="28" spans="1:10">
      <c r="A28" s="637" t="s">
        <v>687</v>
      </c>
      <c r="B28" s="167"/>
      <c r="C28" s="168"/>
      <c r="D28" s="167"/>
      <c r="E28" s="168"/>
      <c r="F28" s="167"/>
      <c r="G28" s="168"/>
    </row>
    <row r="29" spans="1:10">
      <c r="A29" s="637"/>
      <c r="B29" s="167"/>
      <c r="C29" s="168"/>
      <c r="D29" s="167"/>
      <c r="E29" s="168"/>
      <c r="F29" s="167"/>
      <c r="G29" s="168"/>
    </row>
    <row r="30" spans="1:10">
      <c r="A30" s="637"/>
      <c r="B30" s="167"/>
      <c r="C30" s="168"/>
      <c r="D30" s="167"/>
      <c r="E30" s="168"/>
      <c r="F30" s="167"/>
      <c r="G30" s="168"/>
    </row>
    <row r="31" spans="1:10">
      <c r="A31" s="4" t="s">
        <v>128</v>
      </c>
    </row>
  </sheetData>
  <mergeCells count="1">
    <mergeCell ref="A2:F2"/>
  </mergeCells>
  <phoneticPr fontId="0" type="noConversion"/>
  <pageMargins left="0.62" right="0.54" top="0.74" bottom="0.65" header="0.4" footer="0.38"/>
  <pageSetup paperSize="9" scale="88" orientation="portrait" horizontalDpi="1200" verticalDpi="120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62D2B-AC78-FA49-8670-DC4A191019CC}">
  <dimension ref="A1:I42"/>
  <sheetViews>
    <sheetView zoomScale="75" workbookViewId="0">
      <selection activeCell="C7" sqref="C7"/>
    </sheetView>
  </sheetViews>
  <sheetFormatPr baseColWidth="10" defaultColWidth="11.3984375" defaultRowHeight="13"/>
  <cols>
    <col min="1" max="1" width="14.796875" style="2" customWidth="1"/>
    <col min="2" max="4" width="14.796875" style="169" customWidth="1"/>
    <col min="5" max="5" width="15.59765625" style="169" customWidth="1"/>
    <col min="6" max="6" width="16.19921875" style="169" customWidth="1"/>
    <col min="7" max="7" width="12.796875" style="170" customWidth="1"/>
    <col min="8" max="8" width="11.3984375" style="2"/>
    <col min="9" max="9" width="15.19921875" style="2" hidden="1" customWidth="1"/>
    <col min="10" max="16384" width="11.3984375" style="2"/>
  </cols>
  <sheetData>
    <row r="1" spans="1:9" s="1" customFormat="1" ht="14" customHeight="1">
      <c r="B1" s="151"/>
      <c r="C1" s="151"/>
      <c r="D1" s="151"/>
      <c r="E1" s="151"/>
      <c r="F1" s="151"/>
      <c r="G1" s="150"/>
    </row>
    <row r="2" spans="1:9" s="1" customFormat="1" ht="40.5" customHeight="1">
      <c r="A2" s="1606" t="s">
        <v>1934</v>
      </c>
      <c r="B2" s="1610"/>
      <c r="C2" s="1610"/>
      <c r="D2" s="1610"/>
      <c r="E2" s="1610"/>
      <c r="F2" s="629">
        <v>2005</v>
      </c>
    </row>
    <row r="3" spans="1:9" ht="27" customHeight="1">
      <c r="A3" s="125" t="s">
        <v>222</v>
      </c>
      <c r="B3" s="154" t="s">
        <v>223</v>
      </c>
      <c r="C3" s="262" t="s">
        <v>224</v>
      </c>
      <c r="D3" s="154" t="s">
        <v>225</v>
      </c>
      <c r="E3" s="262" t="s">
        <v>43</v>
      </c>
      <c r="F3" s="154" t="s">
        <v>43</v>
      </c>
      <c r="G3"/>
    </row>
    <row r="4" spans="1:9" ht="15" customHeight="1">
      <c r="A4" s="128"/>
      <c r="B4" s="155"/>
      <c r="C4" s="213"/>
      <c r="D4" s="155"/>
      <c r="E4" s="213" t="s">
        <v>226</v>
      </c>
      <c r="F4" s="155" t="s">
        <v>227</v>
      </c>
      <c r="G4"/>
    </row>
    <row r="5" spans="1:9" ht="15" customHeight="1">
      <c r="A5" s="128"/>
      <c r="B5" s="155"/>
      <c r="C5" s="213"/>
      <c r="D5" s="155"/>
      <c r="E5" s="213" t="s">
        <v>228</v>
      </c>
      <c r="F5" s="155" t="s">
        <v>229</v>
      </c>
      <c r="G5"/>
    </row>
    <row r="6" spans="1:9" ht="24" customHeight="1">
      <c r="A6" s="132"/>
      <c r="B6" s="156"/>
      <c r="C6" s="215"/>
      <c r="D6" s="156"/>
      <c r="E6" s="215"/>
      <c r="F6" s="156"/>
      <c r="G6"/>
    </row>
    <row r="7" spans="1:9" ht="30" customHeight="1" thickBot="1">
      <c r="A7" s="137" t="s">
        <v>230</v>
      </c>
      <c r="B7" s="157">
        <v>86.446498094679214</v>
      </c>
      <c r="C7" s="217">
        <v>420.75515292320574</v>
      </c>
      <c r="D7" s="157">
        <v>538.76062030587116</v>
      </c>
      <c r="E7" s="217">
        <v>481.60316482665132</v>
      </c>
      <c r="F7" s="157">
        <v>391.58739705125117</v>
      </c>
      <c r="G7"/>
      <c r="I7" s="9">
        <v>2156035045</v>
      </c>
    </row>
    <row r="8" spans="1:9" ht="20" customHeight="1" thickBot="1">
      <c r="A8" s="141" t="s">
        <v>231</v>
      </c>
      <c r="B8" s="159">
        <v>74.096703707661106</v>
      </c>
      <c r="C8" s="219">
        <v>429.5140467684314</v>
      </c>
      <c r="D8" s="159">
        <v>539.78594750909542</v>
      </c>
      <c r="E8" s="219">
        <v>486.96130962799327</v>
      </c>
      <c r="F8" s="159">
        <v>388.67709278957216</v>
      </c>
      <c r="G8"/>
      <c r="I8" s="9">
        <v>1563935884</v>
      </c>
    </row>
    <row r="9" spans="1:9" ht="20" customHeight="1" thickBot="1">
      <c r="A9" s="141" t="s">
        <v>232</v>
      </c>
      <c r="B9" s="159">
        <v>65.521115821906477</v>
      </c>
      <c r="C9" s="219">
        <v>363.31795528559394</v>
      </c>
      <c r="D9" s="159">
        <v>456.24163731476995</v>
      </c>
      <c r="E9" s="219">
        <v>410.98678850560782</v>
      </c>
      <c r="F9" s="159">
        <v>317.99452563923421</v>
      </c>
      <c r="G9"/>
      <c r="I9" s="9">
        <v>464604355</v>
      </c>
    </row>
    <row r="10" spans="1:9" ht="20" customHeight="1" thickBot="1">
      <c r="A10" s="141" t="s">
        <v>233</v>
      </c>
      <c r="B10" s="159">
        <v>68.43209876543213</v>
      </c>
      <c r="C10" s="219">
        <v>366.81244994539509</v>
      </c>
      <c r="D10" s="159">
        <v>463.83408943616314</v>
      </c>
      <c r="E10" s="219">
        <v>415.60526411064029</v>
      </c>
      <c r="F10" s="159">
        <v>319.6070227022135</v>
      </c>
      <c r="G10"/>
      <c r="I10" s="9">
        <v>45901795</v>
      </c>
    </row>
    <row r="11" spans="1:9" ht="20" customHeight="1" thickBot="1">
      <c r="A11" s="141" t="s">
        <v>234</v>
      </c>
      <c r="B11" s="159">
        <v>78.588365632647566</v>
      </c>
      <c r="C11" s="219">
        <v>396.46446954267731</v>
      </c>
      <c r="D11" s="159">
        <v>487.14951313405743</v>
      </c>
      <c r="E11" s="219">
        <v>441.3756098016861</v>
      </c>
      <c r="F11" s="159">
        <v>338.78464925154071</v>
      </c>
      <c r="G11"/>
      <c r="I11" s="9">
        <v>171549320</v>
      </c>
    </row>
    <row r="12" spans="1:9" ht="20" customHeight="1" thickBot="1">
      <c r="A12" s="141" t="s">
        <v>235</v>
      </c>
      <c r="B12" s="159">
        <v>60.842834931329264</v>
      </c>
      <c r="C12" s="219">
        <v>363.72136294027553</v>
      </c>
      <c r="D12" s="159">
        <v>457.47343179049938</v>
      </c>
      <c r="E12" s="219">
        <v>410.73339441136011</v>
      </c>
      <c r="F12" s="159">
        <v>310.31851415094332</v>
      </c>
      <c r="G12"/>
      <c r="I12" s="9">
        <v>41764939</v>
      </c>
    </row>
    <row r="13" spans="1:9" ht="20" customHeight="1" thickBot="1">
      <c r="A13" s="141" t="s">
        <v>236</v>
      </c>
      <c r="B13" s="159">
        <v>64.905746277839285</v>
      </c>
      <c r="C13" s="219">
        <v>344.90723562152129</v>
      </c>
      <c r="D13" s="159">
        <v>441.05466794995152</v>
      </c>
      <c r="E13" s="219">
        <v>392.89752378511741</v>
      </c>
      <c r="F13" s="159">
        <v>308.18179258083489</v>
      </c>
      <c r="G13"/>
      <c r="I13" s="9">
        <v>44323506</v>
      </c>
    </row>
    <row r="14" spans="1:9" ht="20" customHeight="1" thickBot="1">
      <c r="A14" s="141" t="s">
        <v>237</v>
      </c>
      <c r="B14" s="159">
        <v>82.973973607038204</v>
      </c>
      <c r="C14" s="219">
        <v>408.16352032247187</v>
      </c>
      <c r="D14" s="159">
        <v>503.38693402328602</v>
      </c>
      <c r="E14" s="219">
        <v>456.66236077242456</v>
      </c>
      <c r="F14" s="159">
        <v>353.76113203653074</v>
      </c>
      <c r="G14"/>
      <c r="I14" s="9">
        <v>55927154</v>
      </c>
    </row>
    <row r="15" spans="1:9" ht="20" customHeight="1" thickBot="1">
      <c r="A15" s="141" t="s">
        <v>238</v>
      </c>
      <c r="B15" s="159">
        <v>67.593038004415803</v>
      </c>
      <c r="C15" s="219">
        <v>367.99709965766465</v>
      </c>
      <c r="D15" s="159">
        <v>478.22624143835571</v>
      </c>
      <c r="E15" s="219">
        <v>423.0961563610856</v>
      </c>
      <c r="F15" s="159">
        <v>331.98179908658176</v>
      </c>
      <c r="G15"/>
      <c r="I15" s="9">
        <v>128772453</v>
      </c>
    </row>
    <row r="16" spans="1:9" ht="20" customHeight="1" thickBot="1">
      <c r="A16" s="141" t="s">
        <v>239</v>
      </c>
      <c r="B16" s="159">
        <v>82.315725948401592</v>
      </c>
      <c r="C16" s="219">
        <v>420.26775028557677</v>
      </c>
      <c r="D16" s="159">
        <v>541.25838559579199</v>
      </c>
      <c r="E16" s="219">
        <v>481.83142545372186</v>
      </c>
      <c r="F16" s="159">
        <v>371.63846414951183</v>
      </c>
      <c r="G16"/>
      <c r="I16" s="9">
        <v>391250033</v>
      </c>
    </row>
    <row r="17" spans="1:9" ht="20" customHeight="1" thickBot="1">
      <c r="A17" s="141" t="s">
        <v>240</v>
      </c>
      <c r="B17" s="159">
        <v>76.181937609066466</v>
      </c>
      <c r="C17" s="219">
        <v>416.63398294132821</v>
      </c>
      <c r="D17" s="159">
        <v>518.77348348112685</v>
      </c>
      <c r="E17" s="219">
        <v>469.05240957184435</v>
      </c>
      <c r="F17" s="159">
        <v>366.55603581352239</v>
      </c>
      <c r="G17"/>
      <c r="I17" s="9">
        <v>393696828</v>
      </c>
    </row>
    <row r="18" spans="1:9" ht="20" customHeight="1" thickBot="1">
      <c r="A18" s="141" t="s">
        <v>241</v>
      </c>
      <c r="B18" s="159">
        <v>112.97520946109017</v>
      </c>
      <c r="C18" s="219">
        <v>488.48980754533522</v>
      </c>
      <c r="D18" s="159">
        <v>629.62142224845115</v>
      </c>
      <c r="E18" s="219">
        <v>563.36549425317367</v>
      </c>
      <c r="F18" s="159">
        <v>466.23303931355406</v>
      </c>
      <c r="G18"/>
      <c r="I18" s="9">
        <v>473520714</v>
      </c>
    </row>
    <row r="19" spans="1:9" ht="20" customHeight="1" thickBot="1">
      <c r="A19" s="141" t="s">
        <v>242</v>
      </c>
      <c r="B19" s="159">
        <v>99.964448799608022</v>
      </c>
      <c r="C19" s="219">
        <v>466.01476981544943</v>
      </c>
      <c r="D19" s="159">
        <v>582.16329070543497</v>
      </c>
      <c r="E19" s="219">
        <v>525.88862439151421</v>
      </c>
      <c r="F19" s="159">
        <v>417.35748864957179</v>
      </c>
      <c r="G19"/>
      <c r="I19" s="9">
        <v>469771093</v>
      </c>
    </row>
    <row r="20" spans="1:9" ht="20" customHeight="1" thickBot="1">
      <c r="A20" s="141" t="s">
        <v>243</v>
      </c>
      <c r="B20" s="159">
        <v>69.102517006802742</v>
      </c>
      <c r="C20" s="219">
        <v>408.35413089760323</v>
      </c>
      <c r="D20" s="159">
        <v>535.41333205386593</v>
      </c>
      <c r="E20" s="219">
        <v>474.16763551448332</v>
      </c>
      <c r="F20" s="159">
        <v>372.68652815369137</v>
      </c>
      <c r="G20"/>
      <c r="I20" s="9">
        <v>127694959</v>
      </c>
    </row>
    <row r="21" spans="1:9" ht="20" customHeight="1" thickBot="1">
      <c r="A21" s="141" t="s">
        <v>244</v>
      </c>
      <c r="B21" s="159">
        <v>64.647323322304203</v>
      </c>
      <c r="C21" s="219">
        <v>360.5657255094527</v>
      </c>
      <c r="D21" s="159">
        <v>465.11599040857629</v>
      </c>
      <c r="E21" s="219">
        <v>413.97590911274449</v>
      </c>
      <c r="F21" s="159">
        <v>320.36661876947778</v>
      </c>
      <c r="G21"/>
      <c r="I21" s="9">
        <v>69489100</v>
      </c>
    </row>
    <row r="22" spans="1:9" ht="20" customHeight="1" thickBot="1">
      <c r="A22" s="141" t="s">
        <v>245</v>
      </c>
      <c r="B22" s="159">
        <v>53.098143236074208</v>
      </c>
      <c r="C22" s="219">
        <v>334.24650681386913</v>
      </c>
      <c r="D22" s="159">
        <v>417.0030476873435</v>
      </c>
      <c r="E22" s="219">
        <v>374.86108668893962</v>
      </c>
      <c r="F22" s="159">
        <v>275.80168044811961</v>
      </c>
      <c r="G22"/>
      <c r="I22" s="9">
        <v>16712649</v>
      </c>
    </row>
    <row r="23" spans="1:9" ht="20" customHeight="1" thickBot="1">
      <c r="A23" s="141" t="s">
        <v>246</v>
      </c>
      <c r="B23" s="159">
        <v>74.562633869295183</v>
      </c>
      <c r="C23" s="219">
        <v>398.88175110169755</v>
      </c>
      <c r="D23" s="159">
        <v>489.36724818817004</v>
      </c>
      <c r="E23" s="219">
        <v>445.2174380456853</v>
      </c>
      <c r="F23" s="159">
        <v>344.79755484495308</v>
      </c>
      <c r="G23"/>
      <c r="I23" s="9">
        <v>615853738</v>
      </c>
    </row>
    <row r="24" spans="1:9" ht="20" customHeight="1" thickBot="1">
      <c r="A24" s="141" t="s">
        <v>247</v>
      </c>
      <c r="B24" s="159">
        <v>73.90888153540709</v>
      </c>
      <c r="C24" s="219">
        <v>378.67510630827417</v>
      </c>
      <c r="D24" s="159">
        <v>478.6690367059839</v>
      </c>
      <c r="E24" s="219">
        <v>429.26737590019297</v>
      </c>
      <c r="F24" s="159">
        <v>345.50184441009765</v>
      </c>
      <c r="G24"/>
      <c r="I24" s="9">
        <v>264690646</v>
      </c>
    </row>
    <row r="25" spans="1:9" ht="20" customHeight="1" thickBot="1">
      <c r="A25" s="141" t="s">
        <v>248</v>
      </c>
      <c r="B25" s="159">
        <v>72.084859337993123</v>
      </c>
      <c r="C25" s="219">
        <v>391.85256312576746</v>
      </c>
      <c r="D25" s="159">
        <v>497.79057894691061</v>
      </c>
      <c r="E25" s="219">
        <v>445.59967409016826</v>
      </c>
      <c r="F25" s="159">
        <v>345.71346250355282</v>
      </c>
      <c r="G25"/>
      <c r="I25" s="9">
        <v>819222625</v>
      </c>
    </row>
    <row r="26" spans="1:9" ht="20" customHeight="1" thickBot="1">
      <c r="A26" s="141" t="s">
        <v>249</v>
      </c>
      <c r="B26" s="159">
        <v>75.214806369617207</v>
      </c>
      <c r="C26" s="219">
        <v>381.65106207235237</v>
      </c>
      <c r="D26" s="159">
        <v>485.03064428803475</v>
      </c>
      <c r="E26" s="219">
        <v>434.12049510555642</v>
      </c>
      <c r="F26" s="159">
        <v>336.04610528833416</v>
      </c>
      <c r="G26"/>
      <c r="I26" s="9">
        <v>344655658</v>
      </c>
    </row>
    <row r="27" spans="1:9" ht="20" customHeight="1" thickBot="1">
      <c r="A27" s="141" t="s">
        <v>250</v>
      </c>
      <c r="B27" s="159">
        <v>109.63767638023501</v>
      </c>
      <c r="C27" s="219">
        <v>499.36972232169012</v>
      </c>
      <c r="D27" s="159">
        <v>613.57155245285276</v>
      </c>
      <c r="E27" s="219">
        <v>559.62780227680742</v>
      </c>
      <c r="F27" s="159">
        <v>445.68065489176843</v>
      </c>
      <c r="G27"/>
      <c r="I27" s="9">
        <v>627641817</v>
      </c>
    </row>
    <row r="28" spans="1:9" ht="20" customHeight="1" thickBot="1">
      <c r="A28" s="141" t="s">
        <v>251</v>
      </c>
      <c r="B28" s="159">
        <v>131.5347506132461</v>
      </c>
      <c r="C28" s="219">
        <v>468.11375427682719</v>
      </c>
      <c r="D28" s="159">
        <v>612.72189467788849</v>
      </c>
      <c r="E28" s="219">
        <v>543.72714051379035</v>
      </c>
      <c r="F28" s="159">
        <v>442.24301134575364</v>
      </c>
      <c r="G28"/>
      <c r="I28" s="9">
        <v>1280335377</v>
      </c>
    </row>
    <row r="29" spans="1:9" ht="20" customHeight="1" thickBot="1">
      <c r="A29" s="141" t="s">
        <v>252</v>
      </c>
      <c r="B29" s="159">
        <v>80.893150199093895</v>
      </c>
      <c r="C29" s="219">
        <v>385.75151192057626</v>
      </c>
      <c r="D29" s="159">
        <v>490.54280324530066</v>
      </c>
      <c r="E29" s="219">
        <v>439.34876125501114</v>
      </c>
      <c r="F29" s="159">
        <v>346.78487394384683</v>
      </c>
      <c r="G29"/>
      <c r="I29" s="9">
        <v>410743307</v>
      </c>
    </row>
    <row r="30" spans="1:9" ht="20" customHeight="1" thickBot="1">
      <c r="A30" s="141" t="s">
        <v>253</v>
      </c>
      <c r="B30" s="159">
        <v>96.260856328360774</v>
      </c>
      <c r="C30" s="219">
        <v>434.82774862489794</v>
      </c>
      <c r="D30" s="159">
        <v>568.52562737423727</v>
      </c>
      <c r="E30" s="219">
        <v>504.81259226898851</v>
      </c>
      <c r="F30" s="159">
        <v>408.6370195864871</v>
      </c>
      <c r="G30"/>
      <c r="I30" s="9">
        <v>318756043</v>
      </c>
    </row>
    <row r="31" spans="1:9" ht="20" customHeight="1" thickBot="1">
      <c r="A31" s="141" t="s">
        <v>254</v>
      </c>
      <c r="B31" s="159">
        <v>130.51060048094223</v>
      </c>
      <c r="C31" s="219">
        <v>518.3899356277966</v>
      </c>
      <c r="D31" s="159">
        <v>680.17290465898168</v>
      </c>
      <c r="E31" s="219">
        <v>603.83099225700835</v>
      </c>
      <c r="F31" s="159">
        <v>484.69931612673861</v>
      </c>
      <c r="G31"/>
      <c r="I31" s="9">
        <v>966736347</v>
      </c>
    </row>
    <row r="32" spans="1:9" ht="20" customHeight="1" thickBot="1">
      <c r="A32" s="142" t="s">
        <v>255</v>
      </c>
      <c r="B32" s="159">
        <v>99.473493054670598</v>
      </c>
      <c r="C32" s="219">
        <v>452.84218396533879</v>
      </c>
      <c r="D32" s="159">
        <v>571.61349560708595</v>
      </c>
      <c r="E32" s="219">
        <v>514.05438475964127</v>
      </c>
      <c r="F32" s="159">
        <v>386.46102171759946</v>
      </c>
      <c r="G32"/>
      <c r="I32" s="9">
        <v>146808815</v>
      </c>
    </row>
    <row r="33" spans="1:9" ht="30" customHeight="1" thickBot="1">
      <c r="A33" s="143" t="s">
        <v>256</v>
      </c>
      <c r="B33" s="161">
        <v>88.161587879812117</v>
      </c>
      <c r="C33" s="487">
        <v>425.06781461761409</v>
      </c>
      <c r="D33" s="161">
        <v>541.87021948810684</v>
      </c>
      <c r="E33" s="487">
        <v>485.3208251110949</v>
      </c>
      <c r="F33" s="161">
        <v>385.68777567780353</v>
      </c>
      <c r="G33" s="271"/>
      <c r="I33" s="9">
        <v>12410394200</v>
      </c>
    </row>
    <row r="34" spans="1:9" ht="20" customHeight="1">
      <c r="A34" s="146" t="s">
        <v>688</v>
      </c>
      <c r="B34" s="165"/>
      <c r="C34" s="165"/>
      <c r="D34" s="165"/>
      <c r="E34" s="165"/>
      <c r="F34" s="165"/>
      <c r="G34" s="168"/>
    </row>
    <row r="35" spans="1:9" ht="14.25" customHeight="1">
      <c r="A35" s="4"/>
      <c r="B35" s="167"/>
      <c r="C35" s="167"/>
      <c r="D35" s="167"/>
      <c r="E35" s="167"/>
      <c r="F35" s="167"/>
      <c r="G35" s="168"/>
    </row>
    <row r="36" spans="1:9" ht="15.75" customHeight="1">
      <c r="A36" s="4" t="s">
        <v>1932</v>
      </c>
      <c r="B36" s="167"/>
      <c r="C36" s="167"/>
      <c r="D36" s="167"/>
      <c r="E36" s="167"/>
      <c r="F36" s="167"/>
      <c r="G36" s="168"/>
    </row>
    <row r="37" spans="1:9" ht="13.5" customHeight="1">
      <c r="A37" s="4"/>
      <c r="B37" s="167"/>
      <c r="C37" s="167"/>
      <c r="D37" s="167"/>
      <c r="E37" s="167"/>
      <c r="F37" s="167"/>
      <c r="G37" s="168"/>
    </row>
    <row r="38" spans="1:9" ht="11.25" customHeight="1">
      <c r="A38" s="211" t="s">
        <v>1933</v>
      </c>
      <c r="B38" s="647"/>
      <c r="C38" s="167"/>
      <c r="D38" s="167"/>
      <c r="E38" s="167"/>
      <c r="F38" s="167"/>
      <c r="G38" s="168"/>
    </row>
    <row r="39" spans="1:9" ht="12" customHeight="1"/>
    <row r="40" spans="1:9" ht="12" customHeight="1"/>
    <row r="41" spans="1:9" ht="12" customHeight="1">
      <c r="A41" s="4" t="s">
        <v>128</v>
      </c>
    </row>
    <row r="42" spans="1:9" ht="12" customHeight="1"/>
  </sheetData>
  <mergeCells count="1">
    <mergeCell ref="A2:E2"/>
  </mergeCells>
  <phoneticPr fontId="0" type="noConversion"/>
  <pageMargins left="0.62" right="0.56000000000000005" top="0.78" bottom="0.49" header="0.4" footer="0.4921259845"/>
  <pageSetup paperSize="9" scale="80" orientation="portrait" horizontalDpi="4294967292" verticalDpi="4294967292"/>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3E765-17B6-C743-9C39-952630FFBBC3}">
  <dimension ref="A1:K31"/>
  <sheetViews>
    <sheetView topLeftCell="A10" zoomScale="75" workbookViewId="0">
      <selection activeCell="C46" sqref="C46"/>
    </sheetView>
  </sheetViews>
  <sheetFormatPr baseColWidth="10" defaultColWidth="11.3984375" defaultRowHeight="13"/>
  <cols>
    <col min="1" max="1" width="14.796875" style="2" customWidth="1"/>
    <col min="2" max="2" width="14.796875" style="169" customWidth="1"/>
    <col min="3" max="3" width="14.796875" style="170" customWidth="1"/>
    <col min="4" max="4" width="14.796875" style="169" customWidth="1"/>
    <col min="5" max="5" width="14.796875" style="170" customWidth="1"/>
    <col min="6" max="6" width="14.796875" style="169" customWidth="1"/>
    <col min="7" max="7" width="14.796875" style="170" customWidth="1"/>
    <col min="8" max="8" width="11.3984375" style="2"/>
    <col min="9" max="9" width="7.59765625" style="2" customWidth="1"/>
    <col min="10" max="10" width="6.3984375" style="2" customWidth="1"/>
    <col min="11" max="11" width="8.796875" style="2" customWidth="1"/>
    <col min="12" max="16384" width="11.3984375" style="2"/>
  </cols>
  <sheetData>
    <row r="1" spans="1:11" s="1" customFormat="1" ht="15" customHeight="1">
      <c r="A1" s="148"/>
      <c r="B1" s="149"/>
      <c r="C1" s="634"/>
      <c r="D1" s="635"/>
      <c r="E1" s="634"/>
      <c r="F1" s="635"/>
      <c r="G1" s="634"/>
      <c r="H1" s="648"/>
    </row>
    <row r="2" spans="1:11" s="1" customFormat="1" ht="43.5" customHeight="1">
      <c r="A2" s="1612" t="s">
        <v>1937</v>
      </c>
      <c r="B2" s="1613"/>
      <c r="C2" s="1613"/>
      <c r="D2" s="1613"/>
      <c r="E2" s="1613"/>
      <c r="F2" s="1613"/>
      <c r="G2" s="629">
        <v>2005</v>
      </c>
      <c r="H2" s="648"/>
    </row>
    <row r="3" spans="1:11" ht="27" customHeight="1">
      <c r="A3" s="125" t="s">
        <v>261</v>
      </c>
      <c r="B3" s="154" t="s">
        <v>262</v>
      </c>
      <c r="C3" s="127" t="s">
        <v>265</v>
      </c>
      <c r="D3" s="154" t="s">
        <v>264</v>
      </c>
      <c r="E3" s="127" t="s">
        <v>265</v>
      </c>
      <c r="F3" s="154" t="s">
        <v>43</v>
      </c>
      <c r="G3" s="127" t="s">
        <v>265</v>
      </c>
    </row>
    <row r="4" spans="1:11" ht="15" customHeight="1">
      <c r="A4" s="128"/>
      <c r="B4" s="155"/>
      <c r="C4" s="131" t="s">
        <v>267</v>
      </c>
      <c r="D4" s="155"/>
      <c r="E4" s="131" t="s">
        <v>267</v>
      </c>
      <c r="F4" s="155"/>
      <c r="G4" s="131" t="s">
        <v>267</v>
      </c>
    </row>
    <row r="5" spans="1:11" ht="15" customHeight="1">
      <c r="A5" s="128"/>
      <c r="B5" s="155"/>
      <c r="C5" s="131" t="s">
        <v>268</v>
      </c>
      <c r="D5" s="155"/>
      <c r="E5" s="131" t="s">
        <v>268</v>
      </c>
      <c r="F5" s="155"/>
      <c r="G5" s="131" t="s">
        <v>268</v>
      </c>
    </row>
    <row r="6" spans="1:11" ht="23" customHeight="1">
      <c r="A6" s="132"/>
      <c r="B6" s="156"/>
      <c r="C6" s="134"/>
      <c r="D6" s="156"/>
      <c r="E6" s="134"/>
      <c r="F6" s="156"/>
      <c r="G6" s="134"/>
    </row>
    <row r="7" spans="1:11" ht="30" customHeight="1" thickBot="1">
      <c r="A7" s="137" t="s">
        <v>269</v>
      </c>
      <c r="B7" s="157">
        <v>89.889027463287647</v>
      </c>
      <c r="C7" s="158">
        <v>8.2663535518394227E-2</v>
      </c>
      <c r="D7" s="157">
        <v>86.345015458079189</v>
      </c>
      <c r="E7" s="158">
        <v>8.315326940757857E-2</v>
      </c>
      <c r="F7" s="157">
        <v>88.161472397620543</v>
      </c>
      <c r="G7" s="158">
        <v>8.289272914306782E-2</v>
      </c>
      <c r="I7" s="636"/>
      <c r="J7" s="636"/>
      <c r="K7" s="636"/>
    </row>
    <row r="8" spans="1:11" ht="20" customHeight="1" thickBot="1">
      <c r="A8" s="141" t="s">
        <v>270</v>
      </c>
      <c r="B8" s="159">
        <v>244.42001502185869</v>
      </c>
      <c r="C8" s="160">
        <v>3.8802823293407743E-2</v>
      </c>
      <c r="D8" s="159">
        <v>364.26047302569981</v>
      </c>
      <c r="E8" s="160">
        <v>3.4875908849126572E-2</v>
      </c>
      <c r="F8" s="159">
        <v>303.95367938517012</v>
      </c>
      <c r="G8" s="160">
        <v>3.730425325685769E-2</v>
      </c>
      <c r="I8" s="636"/>
      <c r="J8" s="636"/>
      <c r="K8" s="636"/>
    </row>
    <row r="9" spans="1:11" ht="20" customHeight="1" thickBot="1">
      <c r="A9" s="141" t="s">
        <v>271</v>
      </c>
      <c r="B9" s="159">
        <v>258.48301449226113</v>
      </c>
      <c r="C9" s="160">
        <v>3.1747057606488036E-2</v>
      </c>
      <c r="D9" s="159">
        <v>422.99428445532885</v>
      </c>
      <c r="E9" s="160">
        <v>3.3382528060857203E-2</v>
      </c>
      <c r="F9" s="159">
        <v>340.8410635919563</v>
      </c>
      <c r="G9" s="160">
        <v>3.3013130551075708E-2</v>
      </c>
      <c r="I9" s="636"/>
      <c r="J9" s="636"/>
      <c r="K9" s="636"/>
    </row>
    <row r="10" spans="1:11" ht="20" customHeight="1" thickBot="1">
      <c r="A10" s="141" t="s">
        <v>272</v>
      </c>
      <c r="B10" s="159">
        <v>286.58631426286013</v>
      </c>
      <c r="C10" s="160">
        <v>4.3803724045359017E-2</v>
      </c>
      <c r="D10" s="159">
        <v>454.48071057682296</v>
      </c>
      <c r="E10" s="160">
        <v>5.6574749353076652E-2</v>
      </c>
      <c r="F10" s="159">
        <v>370.73978627331837</v>
      </c>
      <c r="G10" s="160">
        <v>5.1399018956255468E-2</v>
      </c>
      <c r="I10" s="636"/>
      <c r="J10" s="636"/>
      <c r="K10" s="636"/>
    </row>
    <row r="11" spans="1:11" ht="20" customHeight="1" thickBot="1">
      <c r="A11" s="141" t="s">
        <v>273</v>
      </c>
      <c r="B11" s="159">
        <v>312.51044587458551</v>
      </c>
      <c r="C11" s="160">
        <v>4.4231323273560878E-2</v>
      </c>
      <c r="D11" s="159">
        <v>452.60593091980138</v>
      </c>
      <c r="E11" s="160">
        <v>5.1791487173823064E-2</v>
      </c>
      <c r="F11" s="159">
        <v>382.40097715784998</v>
      </c>
      <c r="G11" s="160">
        <v>4.9242921854733314E-2</v>
      </c>
      <c r="I11" s="636"/>
      <c r="J11" s="636"/>
      <c r="K11" s="636"/>
    </row>
    <row r="12" spans="1:11" ht="20" customHeight="1" thickBot="1">
      <c r="A12" s="141" t="s">
        <v>274</v>
      </c>
      <c r="B12" s="159">
        <v>342.43522699884556</v>
      </c>
      <c r="C12" s="160">
        <v>4.6070454772177596E-2</v>
      </c>
      <c r="D12" s="159">
        <v>459.74916863377473</v>
      </c>
      <c r="E12" s="160">
        <v>4.5598090954993939E-2</v>
      </c>
      <c r="F12" s="159">
        <v>400.4810633794807</v>
      </c>
      <c r="G12" s="160">
        <v>4.5580755304285354E-2</v>
      </c>
      <c r="I12" s="636"/>
      <c r="J12" s="636"/>
      <c r="K12" s="636"/>
    </row>
    <row r="13" spans="1:11" ht="20" customHeight="1" thickBot="1">
      <c r="A13" s="141" t="s">
        <v>275</v>
      </c>
      <c r="B13" s="159">
        <v>385.28649159565725</v>
      </c>
      <c r="C13" s="160">
        <v>4.1819368639251134E-2</v>
      </c>
      <c r="D13" s="159">
        <v>496.09205308537491</v>
      </c>
      <c r="E13" s="160">
        <v>4.6281649381567272E-2</v>
      </c>
      <c r="F13" s="159">
        <v>439.91541491749808</v>
      </c>
      <c r="G13" s="160">
        <v>4.4193607813544276E-2</v>
      </c>
      <c r="I13" s="636"/>
      <c r="J13" s="636"/>
      <c r="K13" s="636"/>
    </row>
    <row r="14" spans="1:11" ht="20" customHeight="1" thickBot="1">
      <c r="A14" s="141" t="s">
        <v>276</v>
      </c>
      <c r="B14" s="159">
        <v>444.69116728897598</v>
      </c>
      <c r="C14" s="160">
        <v>4.2641125135023571E-2</v>
      </c>
      <c r="D14" s="159">
        <v>541.66615092279824</v>
      </c>
      <c r="E14" s="160">
        <v>3.3881740664193034E-2</v>
      </c>
      <c r="F14" s="159">
        <v>493.04035472544376</v>
      </c>
      <c r="G14" s="160">
        <v>3.775210016977968E-2</v>
      </c>
      <c r="I14" s="636"/>
      <c r="J14" s="636"/>
      <c r="K14" s="636"/>
    </row>
    <row r="15" spans="1:11" ht="20" customHeight="1" thickBot="1">
      <c r="A15" s="141" t="s">
        <v>277</v>
      </c>
      <c r="B15" s="159">
        <v>515.29597804742536</v>
      </c>
      <c r="C15" s="160">
        <v>3.7177309926856993E-2</v>
      </c>
      <c r="D15" s="159">
        <v>575.60317715426424</v>
      </c>
      <c r="E15" s="160">
        <v>2.7136723606941467E-2</v>
      </c>
      <c r="F15" s="159">
        <v>545.49153041279544</v>
      </c>
      <c r="G15" s="160">
        <v>3.1885876782699676E-2</v>
      </c>
      <c r="I15" s="636"/>
      <c r="J15" s="636"/>
      <c r="K15" s="636"/>
    </row>
    <row r="16" spans="1:11" ht="20" customHeight="1" thickBot="1">
      <c r="A16" s="141" t="s">
        <v>278</v>
      </c>
      <c r="B16" s="159">
        <v>586.16790362427764</v>
      </c>
      <c r="C16" s="160">
        <v>4.2749033555101811E-2</v>
      </c>
      <c r="D16" s="159">
        <v>614.78325180924776</v>
      </c>
      <c r="E16" s="160">
        <v>3.5074207864217846E-2</v>
      </c>
      <c r="F16" s="159">
        <v>600.77275175953514</v>
      </c>
      <c r="G16" s="160">
        <v>3.8603619623116661E-2</v>
      </c>
      <c r="I16" s="636"/>
      <c r="J16" s="636"/>
      <c r="K16" s="636"/>
    </row>
    <row r="17" spans="1:11" ht="20" customHeight="1" thickBot="1">
      <c r="A17" s="141" t="s">
        <v>279</v>
      </c>
      <c r="B17" s="159">
        <v>648.89060717879966</v>
      </c>
      <c r="C17" s="160">
        <v>4.046432614126317E-2</v>
      </c>
      <c r="D17" s="159">
        <v>653.14305426969145</v>
      </c>
      <c r="E17" s="160">
        <v>3.4191606845641695E-2</v>
      </c>
      <c r="F17" s="159">
        <v>651.1538215291132</v>
      </c>
      <c r="G17" s="160">
        <v>3.7094858512705352E-2</v>
      </c>
      <c r="I17" s="636"/>
      <c r="J17" s="636"/>
      <c r="K17" s="636"/>
    </row>
    <row r="18" spans="1:11" ht="20" customHeight="1" thickBot="1">
      <c r="A18" s="141" t="s">
        <v>280</v>
      </c>
      <c r="B18" s="159">
        <v>710.73233734939754</v>
      </c>
      <c r="C18" s="160">
        <v>3.6859651305936665E-2</v>
      </c>
      <c r="D18" s="159">
        <v>702.06733847520354</v>
      </c>
      <c r="E18" s="160">
        <v>3.3501209933767512E-2</v>
      </c>
      <c r="F18" s="159">
        <v>705.9065528322767</v>
      </c>
      <c r="G18" s="160">
        <v>3.5036280712693199E-2</v>
      </c>
      <c r="I18" s="636"/>
      <c r="J18" s="636"/>
      <c r="K18" s="636"/>
    </row>
    <row r="19" spans="1:11" ht="20" customHeight="1" thickBot="1">
      <c r="A19" s="141" t="s">
        <v>281</v>
      </c>
      <c r="B19" s="159">
        <v>770.0961024522685</v>
      </c>
      <c r="C19" s="160">
        <v>4.2226583414864356E-2</v>
      </c>
      <c r="D19" s="159">
        <v>764.70513165257898</v>
      </c>
      <c r="E19" s="160">
        <v>3.5766300677031446E-2</v>
      </c>
      <c r="F19" s="159">
        <v>766.88691416136317</v>
      </c>
      <c r="G19" s="160">
        <v>3.838521077446478E-2</v>
      </c>
      <c r="I19" s="636"/>
      <c r="J19" s="636"/>
      <c r="K19" s="636"/>
    </row>
    <row r="20" spans="1:11" ht="20" customHeight="1" thickBot="1">
      <c r="A20" s="141" t="s">
        <v>282</v>
      </c>
      <c r="B20" s="159">
        <v>835.94820436460122</v>
      </c>
      <c r="C20" s="160">
        <v>4.6256170971253556E-2</v>
      </c>
      <c r="D20" s="159">
        <v>844.89939328495348</v>
      </c>
      <c r="E20" s="160">
        <v>4.0939881938406038E-2</v>
      </c>
      <c r="F20" s="159">
        <v>841.64398430130177</v>
      </c>
      <c r="G20" s="160">
        <v>4.2872127742320174E-2</v>
      </c>
      <c r="I20" s="636"/>
      <c r="J20" s="636"/>
      <c r="K20" s="636"/>
    </row>
    <row r="21" spans="1:11" ht="20" customHeight="1" thickBot="1">
      <c r="A21" s="141" t="s">
        <v>283</v>
      </c>
      <c r="B21" s="159">
        <v>911.82271457965908</v>
      </c>
      <c r="C21" s="160">
        <v>4.4884648372380945E-2</v>
      </c>
      <c r="D21" s="159">
        <v>936.80545492184956</v>
      </c>
      <c r="E21" s="160">
        <v>3.6121634677559751E-2</v>
      </c>
      <c r="F21" s="159">
        <v>928.82336643891904</v>
      </c>
      <c r="G21" s="160">
        <v>3.8749890599763442E-2</v>
      </c>
      <c r="I21" s="636"/>
      <c r="J21" s="636"/>
      <c r="K21" s="636"/>
    </row>
    <row r="22" spans="1:11" ht="20" customHeight="1" thickBot="1">
      <c r="A22" s="141" t="s">
        <v>284</v>
      </c>
      <c r="B22" s="159">
        <v>1034.383804672404</v>
      </c>
      <c r="C22" s="160">
        <v>5.0241890770237427E-2</v>
      </c>
      <c r="D22" s="159">
        <v>1061.1964214257123</v>
      </c>
      <c r="E22" s="160">
        <v>4.4281595230567544E-2</v>
      </c>
      <c r="F22" s="159">
        <v>1054.6129560941927</v>
      </c>
      <c r="G22" s="160">
        <v>4.5638933284335131E-2</v>
      </c>
      <c r="I22" s="636"/>
      <c r="J22" s="636"/>
      <c r="K22" s="636"/>
    </row>
    <row r="23" spans="1:11" ht="30" customHeight="1" thickBot="1">
      <c r="A23" s="143" t="s">
        <v>43</v>
      </c>
      <c r="B23" s="161">
        <v>353.15861492122269</v>
      </c>
      <c r="C23" s="162">
        <v>5.042121825331379E-2</v>
      </c>
      <c r="D23" s="161">
        <v>452.58151815511803</v>
      </c>
      <c r="E23" s="162">
        <v>4.4694826988291934E-2</v>
      </c>
      <c r="F23" s="161">
        <v>403.8675297018716</v>
      </c>
      <c r="G23" s="162">
        <v>4.7136359100390622E-2</v>
      </c>
      <c r="I23" s="636"/>
      <c r="J23" s="636"/>
      <c r="K23" s="636"/>
    </row>
    <row r="24" spans="1:11" ht="20" customHeight="1">
      <c r="A24" s="146" t="s">
        <v>688</v>
      </c>
      <c r="B24" s="165"/>
      <c r="C24" s="166"/>
      <c r="D24" s="165"/>
      <c r="E24" s="166"/>
      <c r="F24" s="165"/>
      <c r="G24" s="166"/>
    </row>
    <row r="25" spans="1:11" ht="14.25" customHeight="1">
      <c r="A25" s="4"/>
      <c r="B25" s="167"/>
      <c r="C25" s="168"/>
      <c r="D25" s="167"/>
      <c r="E25" s="168"/>
      <c r="F25" s="167"/>
      <c r="G25" s="168"/>
    </row>
    <row r="26" spans="1:11" ht="12.75" customHeight="1">
      <c r="A26" s="4" t="s">
        <v>1935</v>
      </c>
      <c r="B26" s="167"/>
      <c r="C26" s="168"/>
      <c r="D26" s="167"/>
      <c r="E26" s="168"/>
      <c r="F26" s="167"/>
      <c r="G26" s="168"/>
    </row>
    <row r="28" spans="1:11">
      <c r="A28" s="640" t="s">
        <v>1936</v>
      </c>
      <c r="B28" s="167"/>
      <c r="C28" s="168"/>
      <c r="D28" s="167"/>
      <c r="E28" s="168"/>
      <c r="F28" s="167"/>
      <c r="G28" s="168"/>
    </row>
    <row r="29" spans="1:11">
      <c r="A29" s="640"/>
      <c r="B29" s="167"/>
      <c r="C29" s="168"/>
      <c r="D29" s="167"/>
      <c r="E29" s="168"/>
      <c r="F29" s="167"/>
      <c r="G29" s="168"/>
    </row>
    <row r="30" spans="1:11">
      <c r="A30" s="640"/>
      <c r="B30" s="167"/>
      <c r="C30" s="168"/>
      <c r="D30" s="167"/>
      <c r="E30" s="168"/>
      <c r="F30" s="167"/>
      <c r="G30" s="168"/>
    </row>
    <row r="31" spans="1:11">
      <c r="A31" s="4" t="s">
        <v>128</v>
      </c>
    </row>
  </sheetData>
  <mergeCells count="1">
    <mergeCell ref="A2:F2"/>
  </mergeCells>
  <phoneticPr fontId="0" type="noConversion"/>
  <pageMargins left="0.62" right="0.66" top="0.83" bottom="0.86614173228346458" header="0.44" footer="0.51181102362204722"/>
  <pageSetup paperSize="9" scale="80" orientation="portrait" horizontalDpi="1200" verticalDpi="1200"/>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249FC-5467-DF4B-9BE5-405171ABA20D}">
  <sheetPr>
    <pageSetUpPr fitToPage="1"/>
  </sheetPr>
  <dimension ref="A1:H39"/>
  <sheetViews>
    <sheetView topLeftCell="A16" zoomScale="75" workbookViewId="0">
      <selection activeCell="D33" sqref="D33"/>
    </sheetView>
  </sheetViews>
  <sheetFormatPr baseColWidth="10" defaultColWidth="11.3984375" defaultRowHeight="13"/>
  <cols>
    <col min="1" max="2" width="14.796875" style="2" customWidth="1"/>
    <col min="3" max="3" width="15.796875" style="2" customWidth="1"/>
    <col min="4" max="5" width="16" style="2" customWidth="1"/>
    <col min="6" max="6" width="16.59765625" style="2" customWidth="1"/>
    <col min="7" max="7" width="16.796875" style="2" customWidth="1"/>
    <col min="8" max="8" width="12.19921875" style="2" customWidth="1"/>
    <col min="9" max="16384" width="11.3984375" style="2"/>
  </cols>
  <sheetData>
    <row r="1" spans="1:8" s="1" customFormat="1" ht="14" customHeight="1"/>
    <row r="2" spans="1:8" s="1" customFormat="1" ht="39" customHeight="1">
      <c r="A2" s="1606" t="s">
        <v>1938</v>
      </c>
      <c r="B2" s="1610"/>
      <c r="C2" s="1610"/>
      <c r="D2" s="1610"/>
      <c r="E2" s="1610"/>
      <c r="F2" s="124">
        <v>2005</v>
      </c>
    </row>
    <row r="3" spans="1:8" ht="27" customHeight="1">
      <c r="A3" s="125" t="s">
        <v>222</v>
      </c>
      <c r="B3" s="126" t="s">
        <v>223</v>
      </c>
      <c r="C3" s="127" t="s">
        <v>286</v>
      </c>
      <c r="D3" s="126" t="s">
        <v>229</v>
      </c>
      <c r="E3" s="127" t="s">
        <v>43</v>
      </c>
      <c r="F3" s="126" t="s">
        <v>265</v>
      </c>
    </row>
    <row r="4" spans="1:8" ht="15" customHeight="1">
      <c r="A4" s="128"/>
      <c r="B4" s="129"/>
      <c r="C4" s="131" t="s">
        <v>229</v>
      </c>
      <c r="D4" s="130"/>
      <c r="E4" s="131"/>
      <c r="F4" s="129" t="s">
        <v>267</v>
      </c>
    </row>
    <row r="5" spans="1:8" ht="15" customHeight="1">
      <c r="A5" s="128"/>
      <c r="B5" s="129" t="s">
        <v>287</v>
      </c>
      <c r="C5" s="131" t="s">
        <v>288</v>
      </c>
      <c r="D5" s="129" t="s">
        <v>289</v>
      </c>
      <c r="E5" s="131"/>
      <c r="F5" s="129" t="s">
        <v>268</v>
      </c>
    </row>
    <row r="6" spans="1:8" ht="24" customHeight="1">
      <c r="A6" s="132"/>
      <c r="B6" s="133"/>
      <c r="C6" s="132"/>
      <c r="D6" s="133"/>
      <c r="E6" s="134"/>
      <c r="F6" s="135"/>
      <c r="H6" s="136"/>
    </row>
    <row r="7" spans="1:8" ht="30" customHeight="1" thickBot="1">
      <c r="A7" s="137" t="s">
        <v>230</v>
      </c>
      <c r="B7" s="138">
        <v>65.251829204449336</v>
      </c>
      <c r="C7" s="139">
        <v>77.302676652448497</v>
      </c>
      <c r="D7" s="138">
        <v>233.0232643621417</v>
      </c>
      <c r="E7" s="139">
        <v>188.85788394737821</v>
      </c>
      <c r="F7" s="172">
        <v>3.2622346375887797E-2</v>
      </c>
      <c r="H7" s="140"/>
    </row>
    <row r="8" spans="1:8" ht="20" customHeight="1" thickBot="1">
      <c r="A8" s="141" t="s">
        <v>231</v>
      </c>
      <c r="B8" s="138">
        <v>52.214842219610354</v>
      </c>
      <c r="C8" s="139">
        <v>74.448326682291338</v>
      </c>
      <c r="D8" s="138">
        <v>263.24347228159974</v>
      </c>
      <c r="E8" s="139">
        <v>206.48411004681358</v>
      </c>
      <c r="F8" s="172">
        <v>5.8147352730384801E-2</v>
      </c>
      <c r="H8" s="140"/>
    </row>
    <row r="9" spans="1:8" ht="20" customHeight="1" thickBot="1">
      <c r="A9" s="141" t="s">
        <v>232</v>
      </c>
      <c r="B9" s="138">
        <v>49.400710438867883</v>
      </c>
      <c r="C9" s="139">
        <v>62.057691141696473</v>
      </c>
      <c r="D9" s="138">
        <v>210.20338875807911</v>
      </c>
      <c r="E9" s="139">
        <v>161.42840144199531</v>
      </c>
      <c r="F9" s="172">
        <v>7.9517287279849011E-2</v>
      </c>
      <c r="H9" s="140"/>
    </row>
    <row r="10" spans="1:8" ht="20" customHeight="1" thickBot="1">
      <c r="A10" s="141" t="s">
        <v>233</v>
      </c>
      <c r="B10" s="138">
        <v>43.553366605376063</v>
      </c>
      <c r="C10" s="139">
        <v>57.976291079812206</v>
      </c>
      <c r="D10" s="138">
        <v>201.08785720134281</v>
      </c>
      <c r="E10" s="139">
        <v>154.06901045362093</v>
      </c>
      <c r="F10" s="172">
        <v>0.11721984680696745</v>
      </c>
      <c r="H10" s="140"/>
    </row>
    <row r="11" spans="1:8" ht="20" customHeight="1" thickBot="1">
      <c r="A11" s="141" t="s">
        <v>234</v>
      </c>
      <c r="B11" s="138">
        <v>61.728462530590654</v>
      </c>
      <c r="C11" s="139">
        <v>65.775948355622845</v>
      </c>
      <c r="D11" s="138">
        <v>197.98235626020707</v>
      </c>
      <c r="E11" s="139">
        <v>156.50898298127626</v>
      </c>
      <c r="F11" s="172">
        <v>5.7706301057546837E-2</v>
      </c>
      <c r="H11" s="140"/>
    </row>
    <row r="12" spans="1:8" ht="20" customHeight="1" thickBot="1">
      <c r="A12" s="141" t="s">
        <v>235</v>
      </c>
      <c r="B12" s="138">
        <v>48.787801243845557</v>
      </c>
      <c r="C12" s="139">
        <v>59.958320226486315</v>
      </c>
      <c r="D12" s="138">
        <v>189.25950022447179</v>
      </c>
      <c r="E12" s="139">
        <v>145.17124687936152</v>
      </c>
      <c r="F12" s="172">
        <v>8.1383474042686615E-2</v>
      </c>
      <c r="H12" s="140"/>
    </row>
    <row r="13" spans="1:8" ht="20" customHeight="1" thickBot="1">
      <c r="A13" s="141" t="s">
        <v>236</v>
      </c>
      <c r="B13" s="138">
        <v>46.732937533325128</v>
      </c>
      <c r="C13" s="139">
        <v>59.769305307096005</v>
      </c>
      <c r="D13" s="138">
        <v>172.65068071157688</v>
      </c>
      <c r="E13" s="139">
        <v>137.01786168157787</v>
      </c>
      <c r="F13" s="172">
        <v>6.7112441117705729E-2</v>
      </c>
      <c r="H13" s="140"/>
    </row>
    <row r="14" spans="1:8" ht="20" customHeight="1" thickBot="1">
      <c r="A14" s="141" t="s">
        <v>237</v>
      </c>
      <c r="B14" s="138">
        <v>64.54945625610948</v>
      </c>
      <c r="C14" s="139">
        <v>66.82171441564347</v>
      </c>
      <c r="D14" s="138">
        <v>207.00570630785953</v>
      </c>
      <c r="E14" s="139">
        <v>163.41275845661391</v>
      </c>
      <c r="F14" s="172">
        <v>6.0880507014647062E-2</v>
      </c>
      <c r="H14" s="140"/>
    </row>
    <row r="15" spans="1:8" ht="20" customHeight="1" thickBot="1">
      <c r="A15" s="141" t="s">
        <v>238</v>
      </c>
      <c r="B15" s="138">
        <v>49.183860259000021</v>
      </c>
      <c r="C15" s="139">
        <v>66.100562248995985</v>
      </c>
      <c r="D15" s="138">
        <v>193.74755538847776</v>
      </c>
      <c r="E15" s="139">
        <v>154.49900300442758</v>
      </c>
      <c r="F15" s="172">
        <v>5.2747355315808972E-2</v>
      </c>
      <c r="H15" s="140"/>
    </row>
    <row r="16" spans="1:8" ht="20" customHeight="1" thickBot="1">
      <c r="A16" s="141" t="s">
        <v>239</v>
      </c>
      <c r="B16" s="138">
        <v>59.826294011477493</v>
      </c>
      <c r="C16" s="139">
        <v>74.291672389847847</v>
      </c>
      <c r="D16" s="138">
        <v>231.34351217711176</v>
      </c>
      <c r="E16" s="139">
        <v>177.54357972184485</v>
      </c>
      <c r="F16" s="172">
        <v>6.2259775230298492E-2</v>
      </c>
      <c r="H16" s="140"/>
    </row>
    <row r="17" spans="1:8" ht="20" customHeight="1" thickBot="1">
      <c r="A17" s="141" t="s">
        <v>240</v>
      </c>
      <c r="B17" s="138">
        <v>59.287069534584283</v>
      </c>
      <c r="C17" s="139">
        <v>65.804874888082551</v>
      </c>
      <c r="D17" s="138">
        <v>230.71560502913562</v>
      </c>
      <c r="E17" s="139">
        <v>181.68009650148733</v>
      </c>
      <c r="F17" s="172">
        <v>5.3756330385796407E-2</v>
      </c>
      <c r="H17" s="140"/>
    </row>
    <row r="18" spans="1:8" ht="20" customHeight="1" thickBot="1">
      <c r="A18" s="141" t="s">
        <v>241</v>
      </c>
      <c r="B18" s="138">
        <v>85.314829500396499</v>
      </c>
      <c r="C18" s="139">
        <v>101.13546577693963</v>
      </c>
      <c r="D18" s="138">
        <v>328.25112711086899</v>
      </c>
      <c r="E18" s="139">
        <v>272.42671616220349</v>
      </c>
      <c r="F18" s="172">
        <v>9.8434985104090281E-2</v>
      </c>
      <c r="H18" s="140"/>
    </row>
    <row r="19" spans="1:8" ht="20" customHeight="1" thickBot="1">
      <c r="A19" s="141" t="s">
        <v>242</v>
      </c>
      <c r="B19" s="138">
        <v>72.057984648048347</v>
      </c>
      <c r="C19" s="139">
        <v>76.233696943771093</v>
      </c>
      <c r="D19" s="138">
        <v>247.15847136044746</v>
      </c>
      <c r="E19" s="139">
        <v>200.07011376333421</v>
      </c>
      <c r="F19" s="172">
        <v>7.9012291452034325E-2</v>
      </c>
      <c r="H19" s="140"/>
    </row>
    <row r="20" spans="1:8" ht="20" customHeight="1" thickBot="1">
      <c r="A20" s="141" t="s">
        <v>243</v>
      </c>
      <c r="B20" s="138">
        <v>51.394943310657595</v>
      </c>
      <c r="C20" s="139">
        <v>70.799418604651166</v>
      </c>
      <c r="D20" s="138">
        <v>234.04965295161102</v>
      </c>
      <c r="E20" s="139">
        <v>184.26357866837148</v>
      </c>
      <c r="F20" s="172">
        <v>4.1472205869314105E-2</v>
      </c>
      <c r="H20" s="140"/>
    </row>
    <row r="21" spans="1:8" ht="20" customHeight="1" thickBot="1">
      <c r="A21" s="141" t="s">
        <v>244</v>
      </c>
      <c r="B21" s="138">
        <v>49.429675348547839</v>
      </c>
      <c r="C21" s="139">
        <v>54.470303817565132</v>
      </c>
      <c r="D21" s="138">
        <v>187.45970102210813</v>
      </c>
      <c r="E21" s="139">
        <v>145.50545197581476</v>
      </c>
      <c r="F21" s="172">
        <v>4.9910887794562896E-2</v>
      </c>
      <c r="H21" s="140"/>
    </row>
    <row r="22" spans="1:8" ht="20" customHeight="1" thickBot="1">
      <c r="A22" s="141" t="s">
        <v>245</v>
      </c>
      <c r="B22" s="138">
        <v>41.521595932802825</v>
      </c>
      <c r="C22" s="139">
        <v>54.801766824217871</v>
      </c>
      <c r="D22" s="138">
        <v>174.49338758044408</v>
      </c>
      <c r="E22" s="139">
        <v>129.68574462933614</v>
      </c>
      <c r="F22" s="172">
        <v>6.950825322542023E-2</v>
      </c>
      <c r="H22" s="140"/>
    </row>
    <row r="23" spans="1:8" ht="20" customHeight="1" thickBot="1">
      <c r="A23" s="141" t="s">
        <v>246</v>
      </c>
      <c r="B23" s="138">
        <v>54.874529539279628</v>
      </c>
      <c r="C23" s="139">
        <v>62.347929808464272</v>
      </c>
      <c r="D23" s="138">
        <v>203.38863419187564</v>
      </c>
      <c r="E23" s="139">
        <v>157.02869975940794</v>
      </c>
      <c r="F23" s="172">
        <v>3.8244464805716687E-2</v>
      </c>
      <c r="H23" s="140"/>
    </row>
    <row r="24" spans="1:8" ht="20" customHeight="1" thickBot="1">
      <c r="A24" s="141" t="s">
        <v>247</v>
      </c>
      <c r="B24" s="138">
        <v>56.987977057136561</v>
      </c>
      <c r="C24" s="139">
        <v>55.578882554793005</v>
      </c>
      <c r="D24" s="138">
        <v>201.91543658955518</v>
      </c>
      <c r="E24" s="139">
        <v>159.94474012076344</v>
      </c>
      <c r="F24" s="172">
        <v>3.7347897156248776E-2</v>
      </c>
      <c r="H24" s="140"/>
    </row>
    <row r="25" spans="1:8" ht="20" customHeight="1" thickBot="1">
      <c r="A25" s="141" t="s">
        <v>248</v>
      </c>
      <c r="B25" s="138">
        <v>56.219190385414173</v>
      </c>
      <c r="C25" s="139">
        <v>70.18462470133197</v>
      </c>
      <c r="D25" s="138">
        <v>214.26288818640899</v>
      </c>
      <c r="E25" s="139">
        <v>168.22699729820593</v>
      </c>
      <c r="F25" s="172">
        <v>6.8672594581985671E-2</v>
      </c>
      <c r="H25" s="140"/>
    </row>
    <row r="26" spans="1:8" ht="20" customHeight="1" thickBot="1">
      <c r="A26" s="141" t="s">
        <v>249</v>
      </c>
      <c r="B26" s="138">
        <v>55.832850503389153</v>
      </c>
      <c r="C26" s="139">
        <v>68.449893897548719</v>
      </c>
      <c r="D26" s="138">
        <v>212.40731497453973</v>
      </c>
      <c r="E26" s="139">
        <v>163.76422985225079</v>
      </c>
      <c r="F26" s="172">
        <v>4.0638856279682868E-2</v>
      </c>
      <c r="H26" s="140"/>
    </row>
    <row r="27" spans="1:8" ht="20" customHeight="1" thickBot="1">
      <c r="A27" s="141" t="s">
        <v>250</v>
      </c>
      <c r="B27" s="138">
        <v>68.786408525261649</v>
      </c>
      <c r="C27" s="139">
        <v>72.175507227158207</v>
      </c>
      <c r="D27" s="138">
        <v>287.5292132323836</v>
      </c>
      <c r="E27" s="139">
        <v>232.52681780698606</v>
      </c>
      <c r="F27" s="172">
        <v>7.2816311505030915E-2</v>
      </c>
      <c r="H27" s="140"/>
    </row>
    <row r="28" spans="1:8" ht="20" customHeight="1" thickBot="1">
      <c r="A28" s="141" t="s">
        <v>251</v>
      </c>
      <c r="B28" s="138">
        <v>75.755980911833532</v>
      </c>
      <c r="C28" s="139">
        <v>90.333316778905683</v>
      </c>
      <c r="D28" s="138">
        <v>293.06586827882558</v>
      </c>
      <c r="E28" s="139">
        <v>229.66727977434755</v>
      </c>
      <c r="F28" s="172">
        <v>4.7904325948649025E-2</v>
      </c>
      <c r="H28" s="140"/>
    </row>
    <row r="29" spans="1:8" ht="20" customHeight="1" thickBot="1">
      <c r="A29" s="141" t="s">
        <v>252</v>
      </c>
      <c r="B29" s="138">
        <v>56.176195504398343</v>
      </c>
      <c r="C29" s="139">
        <v>63.038097131747719</v>
      </c>
      <c r="D29" s="138">
        <v>214.01388220594791</v>
      </c>
      <c r="E29" s="139">
        <v>167.51031213468306</v>
      </c>
      <c r="F29" s="172">
        <v>7.3130064025664951E-2</v>
      </c>
      <c r="H29" s="140"/>
    </row>
    <row r="30" spans="1:8" ht="20" customHeight="1" thickBot="1">
      <c r="A30" s="141" t="s">
        <v>253</v>
      </c>
      <c r="B30" s="138">
        <v>66.524321220004978</v>
      </c>
      <c r="C30" s="139">
        <v>85.806682160081962</v>
      </c>
      <c r="D30" s="138">
        <v>288.64108715372271</v>
      </c>
      <c r="E30" s="139">
        <v>225.10510919012799</v>
      </c>
      <c r="F30" s="172">
        <v>7.3726038880528085E-3</v>
      </c>
      <c r="H30" s="140"/>
    </row>
    <row r="31" spans="1:8" ht="20" customHeight="1" thickBot="1">
      <c r="A31" s="141" t="s">
        <v>254</v>
      </c>
      <c r="B31" s="138">
        <v>88.72188791177301</v>
      </c>
      <c r="C31" s="139">
        <v>111.9056975435344</v>
      </c>
      <c r="D31" s="138">
        <v>340.52532558840858</v>
      </c>
      <c r="E31" s="139">
        <v>269.33277184530908</v>
      </c>
      <c r="F31" s="172">
        <v>6.6990562145051391E-2</v>
      </c>
      <c r="H31" s="140"/>
    </row>
    <row r="32" spans="1:8" ht="20" customHeight="1" thickBot="1">
      <c r="A32" s="142" t="s">
        <v>255</v>
      </c>
      <c r="B32" s="138">
        <v>64.832839514039335</v>
      </c>
      <c r="C32" s="139">
        <v>74.750789889415486</v>
      </c>
      <c r="D32" s="138">
        <v>272.94591301869349</v>
      </c>
      <c r="E32" s="139">
        <v>209.15008890358635</v>
      </c>
      <c r="F32" s="172">
        <v>7.3613569148151328E-2</v>
      </c>
      <c r="H32" s="140"/>
    </row>
    <row r="33" spans="1:8" ht="30" customHeight="1" thickBot="1">
      <c r="A33" s="143" t="s">
        <v>256</v>
      </c>
      <c r="B33" s="144">
        <v>62.270846254892739</v>
      </c>
      <c r="C33" s="145">
        <v>74.649034697791521</v>
      </c>
      <c r="D33" s="144">
        <v>246.03213008920258</v>
      </c>
      <c r="E33" s="145">
        <v>194.09247257246582</v>
      </c>
      <c r="F33" s="173">
        <v>5.5011124223575882E-2</v>
      </c>
      <c r="H33" s="140"/>
    </row>
    <row r="34" spans="1:8" ht="20" customHeight="1">
      <c r="A34" s="146" t="s">
        <v>688</v>
      </c>
      <c r="B34" s="146"/>
      <c r="C34" s="146"/>
      <c r="D34" s="146"/>
      <c r="E34" s="146"/>
      <c r="F34" s="146"/>
      <c r="H34" s="136"/>
    </row>
    <row r="35" spans="1:8" ht="11.25" customHeight="1">
      <c r="A35" s="4"/>
      <c r="B35" s="4"/>
      <c r="C35" s="4"/>
      <c r="D35" s="4"/>
      <c r="E35" s="4"/>
      <c r="F35" s="4"/>
      <c r="H35" s="136"/>
    </row>
    <row r="36" spans="1:8" ht="14.25" customHeight="1">
      <c r="A36" s="4" t="s">
        <v>257</v>
      </c>
      <c r="B36" s="4"/>
      <c r="C36" s="4"/>
      <c r="D36" s="4"/>
      <c r="E36" s="4"/>
      <c r="F36" s="4"/>
      <c r="H36" s="136"/>
    </row>
    <row r="37" spans="1:8" ht="13.5" customHeight="1">
      <c r="A37" s="4"/>
      <c r="B37" s="4"/>
      <c r="C37" s="4"/>
      <c r="D37" s="4"/>
      <c r="E37" s="4"/>
      <c r="F37" s="4"/>
      <c r="H37" s="136"/>
    </row>
    <row r="38" spans="1:8" ht="12" customHeight="1"/>
    <row r="39" spans="1:8" ht="12" customHeight="1">
      <c r="A39" s="4" t="s">
        <v>128</v>
      </c>
    </row>
  </sheetData>
  <mergeCells count="1">
    <mergeCell ref="A2:E2"/>
  </mergeCells>
  <phoneticPr fontId="0" type="noConversion"/>
  <pageMargins left="0.65" right="0.5" top="0.87" bottom="0.49" header="0.51" footer="0.4921259845"/>
  <pageSetup paperSize="9" scale="83" orientation="portrait"/>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DED71-7ED5-5840-8F08-95CFD86E10CF}">
  <sheetPr>
    <pageSetUpPr fitToPage="1"/>
  </sheetPr>
  <dimension ref="A1:H41"/>
  <sheetViews>
    <sheetView zoomScale="75" workbookViewId="0">
      <selection activeCell="E17" sqref="E17"/>
    </sheetView>
  </sheetViews>
  <sheetFormatPr baseColWidth="10" defaultColWidth="11.3984375" defaultRowHeight="13"/>
  <cols>
    <col min="1" max="2" width="14.796875" style="2" customWidth="1"/>
    <col min="3" max="3" width="15.796875" style="2" customWidth="1"/>
    <col min="4" max="4" width="16" style="2" customWidth="1"/>
    <col min="5" max="5" width="15.3984375" style="2" customWidth="1"/>
    <col min="6" max="6" width="17.59765625" style="2" customWidth="1"/>
    <col min="7" max="7" width="16.796875" style="2" customWidth="1"/>
    <col min="8" max="8" width="12.19921875" style="2" customWidth="1"/>
    <col min="9" max="16384" width="11.3984375" style="2"/>
  </cols>
  <sheetData>
    <row r="1" spans="1:8" s="1" customFormat="1" ht="14" customHeight="1"/>
    <row r="2" spans="1:8" s="1" customFormat="1" ht="39" customHeight="1">
      <c r="A2" s="1606" t="s">
        <v>403</v>
      </c>
      <c r="B2" s="1610"/>
      <c r="C2" s="1610"/>
      <c r="D2" s="1610"/>
      <c r="E2" s="1610"/>
      <c r="F2" s="124">
        <v>2005</v>
      </c>
    </row>
    <row r="3" spans="1:8" ht="27" customHeight="1">
      <c r="A3" s="125" t="s">
        <v>222</v>
      </c>
      <c r="B3" s="126" t="s">
        <v>223</v>
      </c>
      <c r="C3" s="127" t="s">
        <v>286</v>
      </c>
      <c r="D3" s="126" t="s">
        <v>229</v>
      </c>
      <c r="E3" s="127" t="s">
        <v>43</v>
      </c>
      <c r="F3" s="126" t="s">
        <v>265</v>
      </c>
    </row>
    <row r="4" spans="1:8" ht="15" customHeight="1">
      <c r="A4" s="128"/>
      <c r="B4" s="129"/>
      <c r="C4" s="131" t="s">
        <v>229</v>
      </c>
      <c r="D4" s="130"/>
      <c r="E4" s="131"/>
      <c r="F4" s="129" t="s">
        <v>267</v>
      </c>
    </row>
    <row r="5" spans="1:8" ht="15" customHeight="1">
      <c r="A5" s="128"/>
      <c r="B5" s="129" t="s">
        <v>287</v>
      </c>
      <c r="C5" s="131" t="s">
        <v>288</v>
      </c>
      <c r="D5" s="129" t="s">
        <v>289</v>
      </c>
      <c r="E5" s="131"/>
      <c r="F5" s="129" t="s">
        <v>268</v>
      </c>
    </row>
    <row r="6" spans="1:8" ht="24" customHeight="1">
      <c r="A6" s="132"/>
      <c r="B6" s="133"/>
      <c r="C6" s="132"/>
      <c r="D6" s="133"/>
      <c r="E6" s="134"/>
      <c r="F6" s="135"/>
      <c r="H6" s="136"/>
    </row>
    <row r="7" spans="1:8" ht="30" customHeight="1" thickBot="1">
      <c r="A7" s="137" t="s">
        <v>230</v>
      </c>
      <c r="B7" s="138">
        <v>86.446498094679157</v>
      </c>
      <c r="C7" s="139">
        <v>309.42193234798134</v>
      </c>
      <c r="D7" s="138">
        <v>500.2313858272787</v>
      </c>
      <c r="E7" s="139">
        <v>406.58889619427657</v>
      </c>
      <c r="F7" s="172">
        <v>3.830945340935548E-2</v>
      </c>
      <c r="H7" s="140"/>
    </row>
    <row r="8" spans="1:8" ht="20" customHeight="1" thickBot="1">
      <c r="A8" s="141" t="s">
        <v>231</v>
      </c>
      <c r="B8" s="138">
        <v>74.096703707661078</v>
      </c>
      <c r="C8" s="139">
        <v>284.71574079939188</v>
      </c>
      <c r="D8" s="138">
        <v>510.01877903080441</v>
      </c>
      <c r="E8" s="139">
        <v>406.33390472235817</v>
      </c>
      <c r="F8" s="172">
        <v>4.5427971599924628E-2</v>
      </c>
      <c r="H8" s="140"/>
    </row>
    <row r="9" spans="1:8" ht="20" customHeight="1" thickBot="1">
      <c r="A9" s="141" t="s">
        <v>232</v>
      </c>
      <c r="B9" s="138">
        <v>65.521115821906477</v>
      </c>
      <c r="C9" s="139">
        <v>251.89910871278724</v>
      </c>
      <c r="D9" s="138">
        <v>432.18066016970715</v>
      </c>
      <c r="E9" s="139">
        <v>335.43264593519933</v>
      </c>
      <c r="F9" s="172">
        <v>5.4837800307759393E-2</v>
      </c>
      <c r="H9" s="140"/>
    </row>
    <row r="10" spans="1:8" ht="20" customHeight="1" thickBot="1">
      <c r="A10" s="141" t="s">
        <v>233</v>
      </c>
      <c r="B10" s="138">
        <v>68.432098765432102</v>
      </c>
      <c r="C10" s="139">
        <v>269.00469483568077</v>
      </c>
      <c r="D10" s="138">
        <v>434.7810939163187</v>
      </c>
      <c r="E10" s="139">
        <v>340.58393642684831</v>
      </c>
      <c r="F10" s="172">
        <v>6.5633456822315792E-2</v>
      </c>
      <c r="H10" s="140"/>
    </row>
    <row r="11" spans="1:8" ht="20" customHeight="1" thickBot="1">
      <c r="A11" s="141" t="s">
        <v>234</v>
      </c>
      <c r="B11" s="138">
        <v>78.588365632647665</v>
      </c>
      <c r="C11" s="139">
        <v>285.69829253932204</v>
      </c>
      <c r="D11" s="138">
        <v>460.83022478289212</v>
      </c>
      <c r="E11" s="139">
        <v>361.4402984530862</v>
      </c>
      <c r="F11" s="172">
        <v>6.6873305067384814E-2</v>
      </c>
      <c r="H11" s="140"/>
    </row>
    <row r="12" spans="1:8" ht="20" customHeight="1" thickBot="1">
      <c r="A12" s="141" t="s">
        <v>235</v>
      </c>
      <c r="B12" s="138">
        <v>60.842834931329357</v>
      </c>
      <c r="C12" s="139">
        <v>249.99245045611826</v>
      </c>
      <c r="D12" s="138">
        <v>432.93417908502414</v>
      </c>
      <c r="E12" s="139">
        <v>331.10682903815535</v>
      </c>
      <c r="F12" s="172">
        <v>6.6990250143761157E-2</v>
      </c>
      <c r="H12" s="140"/>
    </row>
    <row r="13" spans="1:8" ht="20" customHeight="1" thickBot="1">
      <c r="A13" s="141" t="s">
        <v>236</v>
      </c>
      <c r="B13" s="138">
        <v>64.905746277839299</v>
      </c>
      <c r="C13" s="139">
        <v>240.90310077519379</v>
      </c>
      <c r="D13" s="138">
        <v>411.19380540501743</v>
      </c>
      <c r="E13" s="139">
        <v>325.14668056120377</v>
      </c>
      <c r="F13" s="172">
        <v>5.5048313653762677E-2</v>
      </c>
      <c r="H13" s="140"/>
    </row>
    <row r="14" spans="1:8" ht="20" customHeight="1" thickBot="1">
      <c r="A14" s="141" t="s">
        <v>237</v>
      </c>
      <c r="B14" s="138">
        <v>82.973973607038118</v>
      </c>
      <c r="C14" s="139">
        <v>315.90859481582538</v>
      </c>
      <c r="D14" s="138">
        <v>475.99681421236085</v>
      </c>
      <c r="E14" s="139">
        <v>377.2887360498313</v>
      </c>
      <c r="F14" s="172">
        <v>6.6507035065884887E-2</v>
      </c>
      <c r="H14" s="140"/>
    </row>
    <row r="15" spans="1:8" ht="20" customHeight="1" thickBot="1">
      <c r="A15" s="141" t="s">
        <v>238</v>
      </c>
      <c r="B15" s="138">
        <v>67.593038004415845</v>
      </c>
      <c r="C15" s="139">
        <v>271.61879518072288</v>
      </c>
      <c r="D15" s="138">
        <v>439.67988339730653</v>
      </c>
      <c r="E15" s="139">
        <v>351.29734345351045</v>
      </c>
      <c r="F15" s="172">
        <v>5.8182540187665242E-2</v>
      </c>
      <c r="H15" s="140"/>
    </row>
    <row r="16" spans="1:8" ht="20" customHeight="1" thickBot="1">
      <c r="A16" s="141" t="s">
        <v>239</v>
      </c>
      <c r="B16" s="138">
        <v>82.315725948401592</v>
      </c>
      <c r="C16" s="139">
        <v>313.28853990201912</v>
      </c>
      <c r="D16" s="138">
        <v>503.17869880132918</v>
      </c>
      <c r="E16" s="139">
        <v>387.97941599228147</v>
      </c>
      <c r="F16" s="172">
        <v>4.397002307112001E-2</v>
      </c>
      <c r="H16" s="140"/>
    </row>
    <row r="17" spans="1:8" ht="20" customHeight="1" thickBot="1">
      <c r="A17" s="141" t="s">
        <v>240</v>
      </c>
      <c r="B17" s="138">
        <v>76.181937609066495</v>
      </c>
      <c r="C17" s="139">
        <v>281.37222562555957</v>
      </c>
      <c r="D17" s="138">
        <v>491.49468570720109</v>
      </c>
      <c r="E17" s="139">
        <v>388.79680615857859</v>
      </c>
      <c r="F17" s="172">
        <v>6.0674953273366437E-2</v>
      </c>
      <c r="H17" s="140"/>
    </row>
    <row r="18" spans="1:8" ht="20" customHeight="1" thickBot="1">
      <c r="A18" s="141" t="s">
        <v>241</v>
      </c>
      <c r="B18" s="138">
        <v>112.97520946109023</v>
      </c>
      <c r="C18" s="139">
        <v>346.49466889098426</v>
      </c>
      <c r="D18" s="138">
        <v>584.79267610883335</v>
      </c>
      <c r="E18" s="139">
        <v>491.70996566212852</v>
      </c>
      <c r="F18" s="172">
        <v>5.4644189064946981E-2</v>
      </c>
      <c r="H18" s="140"/>
    </row>
    <row r="19" spans="1:8" ht="20" customHeight="1" thickBot="1">
      <c r="A19" s="141" t="s">
        <v>242</v>
      </c>
      <c r="B19" s="138">
        <v>99.964448799608036</v>
      </c>
      <c r="C19" s="139">
        <v>325.79566519321259</v>
      </c>
      <c r="D19" s="138">
        <v>547.58347591267955</v>
      </c>
      <c r="E19" s="139">
        <v>444.2195988095059</v>
      </c>
      <c r="F19" s="172">
        <v>6.4362353355275598E-2</v>
      </c>
      <c r="H19" s="140"/>
    </row>
    <row r="20" spans="1:8" ht="20" customHeight="1" thickBot="1">
      <c r="A20" s="141" t="s">
        <v>243</v>
      </c>
      <c r="B20" s="138">
        <v>69.102517006802728</v>
      </c>
      <c r="C20" s="139">
        <v>279.90713178294573</v>
      </c>
      <c r="D20" s="138">
        <v>497.40066010272386</v>
      </c>
      <c r="E20" s="139">
        <v>394.8605239674485</v>
      </c>
      <c r="F20" s="172">
        <v>5.9497712255950415E-2</v>
      </c>
      <c r="H20" s="140"/>
    </row>
    <row r="21" spans="1:8" ht="20" customHeight="1" thickBot="1">
      <c r="A21" s="141" t="s">
        <v>244</v>
      </c>
      <c r="B21" s="138">
        <v>64.647323322304231</v>
      </c>
      <c r="C21" s="139">
        <v>263.32301363931589</v>
      </c>
      <c r="D21" s="138">
        <v>432.77546940429556</v>
      </c>
      <c r="E21" s="139">
        <v>336.89880384118607</v>
      </c>
      <c r="F21" s="172">
        <v>5.1603956539567758E-2</v>
      </c>
      <c r="H21" s="140"/>
    </row>
    <row r="22" spans="1:8" ht="20" customHeight="1" thickBot="1">
      <c r="A22" s="141" t="s">
        <v>245</v>
      </c>
      <c r="B22" s="138">
        <v>53.098143236074272</v>
      </c>
      <c r="C22" s="139">
        <v>236.5286968264686</v>
      </c>
      <c r="D22" s="138">
        <v>395.56969574446578</v>
      </c>
      <c r="E22" s="139">
        <v>294.76030110935022</v>
      </c>
      <c r="F22" s="172">
        <v>6.8740047669133011E-2</v>
      </c>
      <c r="H22" s="140"/>
    </row>
    <row r="23" spans="1:8" ht="20" customHeight="1" thickBot="1">
      <c r="A23" s="141" t="s">
        <v>246</v>
      </c>
      <c r="B23" s="138">
        <v>74.562633869295112</v>
      </c>
      <c r="C23" s="139">
        <v>298.28289941507052</v>
      </c>
      <c r="D23" s="138">
        <v>465.46202933730314</v>
      </c>
      <c r="E23" s="139">
        <v>362.64556322504171</v>
      </c>
      <c r="F23" s="172">
        <v>5.1763732454872709E-2</v>
      </c>
      <c r="H23" s="140"/>
    </row>
    <row r="24" spans="1:8" ht="20" customHeight="1" thickBot="1">
      <c r="A24" s="141" t="s">
        <v>247</v>
      </c>
      <c r="B24" s="138">
        <v>73.908881535407019</v>
      </c>
      <c r="C24" s="139">
        <v>267.22503874252823</v>
      </c>
      <c r="D24" s="138">
        <v>450.54593620314989</v>
      </c>
      <c r="E24" s="139">
        <v>359.871466531566</v>
      </c>
      <c r="F24" s="172">
        <v>4.1590580061887941E-2</v>
      </c>
      <c r="H24" s="140"/>
    </row>
    <row r="25" spans="1:8" ht="20" customHeight="1" thickBot="1">
      <c r="A25" s="141" t="s">
        <v>248</v>
      </c>
      <c r="B25" s="138">
        <v>72.08485933799318</v>
      </c>
      <c r="C25" s="139">
        <v>283.46039760801551</v>
      </c>
      <c r="D25" s="138">
        <v>465.94928476281365</v>
      </c>
      <c r="E25" s="139">
        <v>366.75570625523682</v>
      </c>
      <c r="F25" s="172">
        <v>6.0866139256776176E-2</v>
      </c>
      <c r="H25" s="140"/>
    </row>
    <row r="26" spans="1:8" ht="20" customHeight="1" thickBot="1">
      <c r="A26" s="141" t="s">
        <v>249</v>
      </c>
      <c r="B26" s="138">
        <v>75.214806369617222</v>
      </c>
      <c r="C26" s="139">
        <v>274.93778963628705</v>
      </c>
      <c r="D26" s="138">
        <v>455.30070308948353</v>
      </c>
      <c r="E26" s="139">
        <v>352.56201049931195</v>
      </c>
      <c r="F26" s="172">
        <v>4.9147735834661026E-2</v>
      </c>
      <c r="H26" s="140"/>
    </row>
    <row r="27" spans="1:8" ht="20" customHeight="1" thickBot="1">
      <c r="A27" s="141" t="s">
        <v>250</v>
      </c>
      <c r="B27" s="138">
        <v>109.63767638023501</v>
      </c>
      <c r="C27" s="139">
        <v>361.83335543473459</v>
      </c>
      <c r="D27" s="138">
        <v>578.47040567968406</v>
      </c>
      <c r="E27" s="139">
        <v>478.02373488439434</v>
      </c>
      <c r="F27" s="172">
        <v>7.2570078233439167E-2</v>
      </c>
      <c r="H27" s="140"/>
    </row>
    <row r="28" spans="1:8" ht="20" customHeight="1" thickBot="1">
      <c r="A28" s="141" t="s">
        <v>251</v>
      </c>
      <c r="B28" s="138">
        <v>131.5347506132461</v>
      </c>
      <c r="C28" s="139">
        <v>344.26138779077854</v>
      </c>
      <c r="D28" s="138">
        <v>565.79303009392538</v>
      </c>
      <c r="E28" s="139">
        <v>453.38028795718498</v>
      </c>
      <c r="F28" s="172">
        <v>2.5183612461257148E-2</v>
      </c>
      <c r="H28" s="140"/>
    </row>
    <row r="29" spans="1:8" ht="20" customHeight="1" thickBot="1">
      <c r="A29" s="141" t="s">
        <v>252</v>
      </c>
      <c r="B29" s="138">
        <v>80.893150199093995</v>
      </c>
      <c r="C29" s="139">
        <v>268.60986971670957</v>
      </c>
      <c r="D29" s="138">
        <v>461.03878244300523</v>
      </c>
      <c r="E29" s="139">
        <v>364.29399752245484</v>
      </c>
      <c r="F29" s="172">
        <v>5.0489871081986867E-2</v>
      </c>
      <c r="H29" s="140"/>
    </row>
    <row r="30" spans="1:8" ht="20" customHeight="1" thickBot="1">
      <c r="A30" s="141" t="s">
        <v>253</v>
      </c>
      <c r="B30" s="138">
        <v>96.260856328360688</v>
      </c>
      <c r="C30" s="139">
        <v>316.2620136442012</v>
      </c>
      <c r="D30" s="138">
        <v>525.87247226292652</v>
      </c>
      <c r="E30" s="139">
        <v>417.41283045679268</v>
      </c>
      <c r="F30" s="172">
        <v>2.1475809703157739E-2</v>
      </c>
      <c r="H30" s="140"/>
    </row>
    <row r="31" spans="1:8" ht="20" customHeight="1" thickBot="1">
      <c r="A31" s="141" t="s">
        <v>254</v>
      </c>
      <c r="B31" s="138">
        <v>130.51060048094237</v>
      </c>
      <c r="C31" s="139">
        <v>409.01767860689927</v>
      </c>
      <c r="D31" s="138">
        <v>624.46572642859144</v>
      </c>
      <c r="E31" s="139">
        <v>502.34245497094378</v>
      </c>
      <c r="F31" s="172">
        <v>3.6400172761111002E-2</v>
      </c>
      <c r="H31" s="140"/>
    </row>
    <row r="32" spans="1:8" ht="20" customHeight="1" thickBot="1">
      <c r="A32" s="142" t="s">
        <v>255</v>
      </c>
      <c r="B32" s="138">
        <v>99.47349305467057</v>
      </c>
      <c r="C32" s="139">
        <v>323.4537914691943</v>
      </c>
      <c r="D32" s="138">
        <v>537.53909362030493</v>
      </c>
      <c r="E32" s="139">
        <v>420.50529827033398</v>
      </c>
      <c r="F32" s="172">
        <v>8.8092393901530008E-2</v>
      </c>
      <c r="H32" s="140"/>
    </row>
    <row r="33" spans="1:8" ht="30" customHeight="1" thickBot="1">
      <c r="A33" s="143" t="s">
        <v>256</v>
      </c>
      <c r="B33" s="144">
        <v>88.161587879811975</v>
      </c>
      <c r="C33" s="145">
        <v>303.95367938517006</v>
      </c>
      <c r="D33" s="144">
        <v>506.51092398278854</v>
      </c>
      <c r="E33" s="145">
        <v>403.8672042095767</v>
      </c>
      <c r="F33" s="173">
        <v>4.7135091330868864E-2</v>
      </c>
      <c r="H33" s="140"/>
    </row>
    <row r="34" spans="1:8" ht="20" customHeight="1">
      <c r="A34" s="146" t="s">
        <v>688</v>
      </c>
      <c r="B34" s="146"/>
      <c r="C34" s="146"/>
      <c r="D34" s="146"/>
      <c r="E34" s="146"/>
      <c r="F34" s="146"/>
      <c r="H34" s="136"/>
    </row>
    <row r="35" spans="1:8" ht="11.25" customHeight="1">
      <c r="A35" s="4"/>
      <c r="B35" s="4"/>
      <c r="C35" s="4"/>
      <c r="D35" s="4"/>
      <c r="E35" s="4"/>
      <c r="F35" s="4"/>
      <c r="H35" s="136"/>
    </row>
    <row r="36" spans="1:8" ht="14.25" customHeight="1">
      <c r="A36" s="4" t="s">
        <v>257</v>
      </c>
      <c r="B36" s="4"/>
      <c r="C36" s="4"/>
      <c r="D36" s="4"/>
      <c r="E36" s="4"/>
      <c r="F36" s="4"/>
      <c r="H36" s="136"/>
    </row>
    <row r="37" spans="1:8" ht="13.5" customHeight="1">
      <c r="A37" s="4"/>
      <c r="B37" s="4"/>
      <c r="C37" s="4"/>
      <c r="D37" s="4"/>
      <c r="E37" s="4"/>
      <c r="F37" s="4"/>
      <c r="H37" s="136"/>
    </row>
    <row r="38" spans="1:8" ht="13.5" customHeight="1">
      <c r="A38" s="640" t="s">
        <v>1936</v>
      </c>
      <c r="B38" s="4"/>
      <c r="C38" s="4"/>
      <c r="D38" s="4"/>
      <c r="E38" s="4"/>
      <c r="F38" s="4"/>
      <c r="H38" s="136"/>
    </row>
    <row r="39" spans="1:8" ht="13.5" customHeight="1">
      <c r="A39" s="4"/>
      <c r="B39" s="4"/>
      <c r="C39" s="4"/>
      <c r="D39" s="4"/>
      <c r="E39" s="4"/>
      <c r="F39" s="4"/>
      <c r="H39" s="136"/>
    </row>
    <row r="40" spans="1:8" ht="12" customHeight="1"/>
    <row r="41" spans="1:8" ht="12" customHeight="1">
      <c r="A41" s="4" t="s">
        <v>128</v>
      </c>
    </row>
  </sheetData>
  <mergeCells count="1">
    <mergeCell ref="A2:E2"/>
  </mergeCells>
  <phoneticPr fontId="0" type="noConversion"/>
  <pageMargins left="0.65" right="0.5" top="0.87" bottom="0.49" header="0.51" footer="0.4921259845"/>
  <pageSetup paperSize="9" scale="83" orientation="portrait"/>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A2358-685A-A145-8573-B00E379F912A}">
  <sheetPr>
    <pageSetUpPr fitToPage="1"/>
  </sheetPr>
  <dimension ref="A1:K24"/>
  <sheetViews>
    <sheetView zoomScale="75" workbookViewId="0">
      <selection activeCell="A15" sqref="A15:IV15"/>
    </sheetView>
  </sheetViews>
  <sheetFormatPr baseColWidth="10" defaultColWidth="11.3984375" defaultRowHeight="13"/>
  <cols>
    <col min="1" max="1" width="15.796875" style="2" customWidth="1"/>
    <col min="2" max="2" width="17.19921875" style="2" customWidth="1"/>
    <col min="3" max="4" width="16.19921875" style="2" customWidth="1"/>
    <col min="5" max="5" width="16.796875" style="2" customWidth="1"/>
    <col min="6" max="6" width="17.796875" style="2" customWidth="1"/>
    <col min="7" max="7" width="15.19921875" style="2" customWidth="1"/>
    <col min="8" max="16384" width="11.3984375" style="2"/>
  </cols>
  <sheetData>
    <row r="1" spans="1:11" s="1" customFormat="1" ht="14" customHeight="1"/>
    <row r="2" spans="1:11" s="1" customFormat="1" ht="28" customHeight="1">
      <c r="A2" s="124" t="s">
        <v>1744</v>
      </c>
      <c r="G2" s="192">
        <v>2005</v>
      </c>
    </row>
    <row r="3" spans="1:11" ht="24" customHeight="1">
      <c r="A3" s="125" t="s">
        <v>1746</v>
      </c>
      <c r="B3" s="126" t="s">
        <v>329</v>
      </c>
      <c r="C3" s="127" t="s">
        <v>330</v>
      </c>
      <c r="D3" s="126" t="s">
        <v>331</v>
      </c>
      <c r="E3" s="127" t="s">
        <v>332</v>
      </c>
      <c r="F3" s="126" t="s">
        <v>43</v>
      </c>
      <c r="G3" s="127" t="s">
        <v>265</v>
      </c>
    </row>
    <row r="4" spans="1:11" ht="15" customHeight="1">
      <c r="A4" s="212"/>
      <c r="B4" s="129" t="s">
        <v>333</v>
      </c>
      <c r="C4" s="131" t="s">
        <v>334</v>
      </c>
      <c r="D4" s="129" t="s">
        <v>335</v>
      </c>
      <c r="E4" s="213" t="s">
        <v>336</v>
      </c>
      <c r="F4" s="129"/>
      <c r="G4" s="131" t="s">
        <v>267</v>
      </c>
    </row>
    <row r="5" spans="1:11" ht="15" customHeight="1">
      <c r="A5" s="212"/>
      <c r="B5" s="129" t="s">
        <v>337</v>
      </c>
      <c r="C5" s="131" t="s">
        <v>338</v>
      </c>
      <c r="D5" s="129" t="s">
        <v>339</v>
      </c>
      <c r="E5" s="213" t="s">
        <v>340</v>
      </c>
      <c r="F5" s="129"/>
      <c r="G5" s="131" t="s">
        <v>268</v>
      </c>
    </row>
    <row r="6" spans="1:11" ht="24" customHeight="1">
      <c r="A6" s="214"/>
      <c r="B6" s="135"/>
      <c r="C6" s="134"/>
      <c r="D6" s="135"/>
      <c r="E6" s="215" t="s">
        <v>341</v>
      </c>
      <c r="F6" s="135"/>
      <c r="G6" s="134"/>
    </row>
    <row r="7" spans="1:11" ht="23.25" customHeight="1" thickBot="1">
      <c r="A7" s="216">
        <v>1996</v>
      </c>
      <c r="B7" s="157">
        <v>9158012632.5</v>
      </c>
      <c r="C7" s="217">
        <v>3158899160.8000002</v>
      </c>
      <c r="D7" s="157">
        <v>29792276.350000001</v>
      </c>
      <c r="E7" s="217">
        <v>112313176.95</v>
      </c>
      <c r="F7" s="157">
        <v>12459017246.6</v>
      </c>
      <c r="G7" s="158">
        <v>0.10184652973212761</v>
      </c>
    </row>
    <row r="8" spans="1:11" ht="20" customHeight="1" thickBot="1">
      <c r="A8" s="218">
        <v>1997</v>
      </c>
      <c r="B8" s="159">
        <v>8010294124</v>
      </c>
      <c r="C8" s="219">
        <v>4715093593</v>
      </c>
      <c r="D8" s="159">
        <v>15300134</v>
      </c>
      <c r="E8" s="219">
        <v>397789684</v>
      </c>
      <c r="F8" s="159">
        <v>13138477535</v>
      </c>
      <c r="G8" s="160">
        <v>5.453562467661089E-2</v>
      </c>
      <c r="I8" s="10"/>
      <c r="J8" s="10"/>
      <c r="K8" s="10"/>
    </row>
    <row r="9" spans="1:11" ht="20" customHeight="1" thickBot="1">
      <c r="A9" s="218">
        <v>1998</v>
      </c>
      <c r="B9" s="159">
        <v>8034922538</v>
      </c>
      <c r="C9" s="219">
        <v>5294474912</v>
      </c>
      <c r="D9" s="159">
        <v>7713370</v>
      </c>
      <c r="E9" s="219">
        <v>686981832</v>
      </c>
      <c r="F9" s="159">
        <v>14024092652</v>
      </c>
      <c r="G9" s="160">
        <v>6.7406220746717593E-2</v>
      </c>
    </row>
    <row r="10" spans="1:11" ht="20" customHeight="1" thickBot="1">
      <c r="A10" s="218">
        <v>1999</v>
      </c>
      <c r="B10" s="159">
        <v>8789075476</v>
      </c>
      <c r="C10" s="219">
        <v>4984750851</v>
      </c>
      <c r="D10" s="159">
        <v>7272495</v>
      </c>
      <c r="E10" s="219">
        <v>839411696</v>
      </c>
      <c r="F10" s="159">
        <v>14620510518</v>
      </c>
      <c r="G10" s="160">
        <v>4.252808939585434E-2</v>
      </c>
    </row>
    <row r="11" spans="1:11" ht="20" customHeight="1" thickBot="1">
      <c r="A11" s="218">
        <v>2000</v>
      </c>
      <c r="B11" s="159">
        <v>9137162156</v>
      </c>
      <c r="C11" s="219">
        <v>5390943298</v>
      </c>
      <c r="D11" s="159">
        <v>7536068</v>
      </c>
      <c r="E11" s="219">
        <v>942685920</v>
      </c>
      <c r="F11" s="159">
        <v>15478327442</v>
      </c>
      <c r="G11" s="160">
        <v>5.8672159425890165E-2</v>
      </c>
    </row>
    <row r="12" spans="1:11" ht="20" customHeight="1" thickBot="1">
      <c r="A12" s="218">
        <v>2001</v>
      </c>
      <c r="B12" s="159">
        <v>9659774603</v>
      </c>
      <c r="C12" s="219">
        <v>5684101991</v>
      </c>
      <c r="D12" s="159">
        <v>8361556</v>
      </c>
      <c r="E12" s="219">
        <v>1034222666</v>
      </c>
      <c r="F12" s="159">
        <v>16386460817</v>
      </c>
      <c r="G12" s="160">
        <v>5.8671285925623075E-2</v>
      </c>
    </row>
    <row r="13" spans="1:11" ht="20" customHeight="1" thickBot="1">
      <c r="A13" s="218">
        <v>2002</v>
      </c>
      <c r="B13" s="159">
        <v>9980493100</v>
      </c>
      <c r="C13" s="219">
        <v>6029919077</v>
      </c>
      <c r="D13" s="159">
        <v>7960241</v>
      </c>
      <c r="E13" s="219">
        <v>1077214987</v>
      </c>
      <c r="F13" s="159">
        <v>17095587410</v>
      </c>
      <c r="G13" s="160">
        <v>4.3275152634809487E-2</v>
      </c>
    </row>
    <row r="14" spans="1:11" ht="20" customHeight="1" thickBot="1">
      <c r="A14" s="218">
        <v>2003</v>
      </c>
      <c r="B14" s="159">
        <v>10400406953</v>
      </c>
      <c r="C14" s="219">
        <v>6474095076</v>
      </c>
      <c r="D14" s="159">
        <v>8289006</v>
      </c>
      <c r="E14" s="219">
        <v>1041328328</v>
      </c>
      <c r="F14" s="159">
        <v>17924119349</v>
      </c>
      <c r="G14" s="160">
        <v>4.846466629835447E-2</v>
      </c>
    </row>
    <row r="15" spans="1:11" ht="20" customHeight="1" thickBot="1">
      <c r="A15" s="218">
        <v>2004</v>
      </c>
      <c r="B15" s="159">
        <v>11244136157.65</v>
      </c>
      <c r="C15" s="219">
        <v>6631135694.5500002</v>
      </c>
      <c r="D15" s="159">
        <v>8672065</v>
      </c>
      <c r="E15" s="219">
        <v>1255877035</v>
      </c>
      <c r="F15" s="159">
        <v>19139820943</v>
      </c>
      <c r="G15" s="160">
        <v>6.7824899529461399E-2</v>
      </c>
    </row>
    <row r="16" spans="1:11" ht="30" customHeight="1" thickBot="1">
      <c r="A16" s="220">
        <v>2005</v>
      </c>
      <c r="B16" s="221">
        <v>12276403510</v>
      </c>
      <c r="C16" s="222">
        <v>6478020085</v>
      </c>
      <c r="D16" s="221">
        <v>9107237</v>
      </c>
      <c r="E16" s="222">
        <v>1584175817</v>
      </c>
      <c r="F16" s="221">
        <v>20347706649</v>
      </c>
      <c r="G16" s="162">
        <v>6.3108516511057519E-2</v>
      </c>
    </row>
    <row r="17" spans="1:7" ht="19.5" customHeight="1">
      <c r="A17" s="146" t="s">
        <v>596</v>
      </c>
      <c r="B17" s="146"/>
      <c r="C17" s="146"/>
      <c r="D17" s="146"/>
      <c r="E17" s="146"/>
      <c r="F17" s="146"/>
      <c r="G17" s="146"/>
    </row>
    <row r="18" spans="1:7" ht="14.25" customHeight="1">
      <c r="A18" s="4"/>
      <c r="B18" s="4"/>
      <c r="C18" s="4"/>
      <c r="D18" s="4"/>
      <c r="E18" s="4"/>
      <c r="F18" s="4"/>
      <c r="G18" s="4"/>
    </row>
    <row r="19" spans="1:7" ht="13.5" customHeight="1">
      <c r="A19" s="241" t="s">
        <v>317</v>
      </c>
      <c r="B19" s="4"/>
      <c r="C19" s="4"/>
      <c r="D19" s="4"/>
      <c r="E19" s="4"/>
      <c r="F19" s="4"/>
      <c r="G19" s="4"/>
    </row>
    <row r="21" spans="1:7">
      <c r="A21" s="2" t="s">
        <v>1745</v>
      </c>
    </row>
    <row r="24" spans="1:7">
      <c r="A24" s="2" t="s">
        <v>128</v>
      </c>
      <c r="G24" s="5"/>
    </row>
  </sheetData>
  <phoneticPr fontId="0" type="noConversion"/>
  <pageMargins left="0.6" right="0.63" top="0.99" bottom="0.49" header="0.59" footer="0.4921259845"/>
  <pageSetup paperSize="9" scale="79" orientation="portrait" horizontalDpi="4294967292" verticalDpi="4294967292"/>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40892-E41F-7140-8CD8-142C8A4F526D}">
  <sheetPr>
    <pageSetUpPr fitToPage="1"/>
  </sheetPr>
  <dimension ref="A1:J75"/>
  <sheetViews>
    <sheetView topLeftCell="A12" zoomScale="75" workbookViewId="0">
      <selection activeCell="A23" sqref="A23"/>
    </sheetView>
  </sheetViews>
  <sheetFormatPr baseColWidth="10" defaultColWidth="11.3984375" defaultRowHeight="13"/>
  <cols>
    <col min="1" max="1" width="21.796875" style="2" customWidth="1"/>
    <col min="2" max="3" width="15.796875" style="2" customWidth="1"/>
    <col min="4" max="6" width="14.19921875" style="2" customWidth="1"/>
    <col min="7" max="7" width="16.19921875" style="2" customWidth="1"/>
    <col min="8" max="10" width="13.19921875" style="2" customWidth="1"/>
    <col min="11" max="16384" width="11.3984375" style="2"/>
  </cols>
  <sheetData>
    <row r="1" spans="1:10" s="1" customFormat="1" ht="14" customHeight="1"/>
    <row r="2" spans="1:10" s="1" customFormat="1" ht="39.75" customHeight="1">
      <c r="A2" s="1606" t="s">
        <v>678</v>
      </c>
      <c r="B2" s="1610"/>
      <c r="C2" s="1610"/>
      <c r="D2" s="1610"/>
      <c r="E2" s="1610"/>
      <c r="F2" s="1610"/>
      <c r="G2" s="124">
        <v>2005</v>
      </c>
    </row>
    <row r="3" spans="1:10" ht="24" customHeight="1">
      <c r="A3" s="267" t="s">
        <v>1604</v>
      </c>
      <c r="B3" s="126" t="s">
        <v>329</v>
      </c>
      <c r="C3" s="127" t="s">
        <v>330</v>
      </c>
      <c r="D3" s="126" t="s">
        <v>331</v>
      </c>
      <c r="E3" s="127" t="s">
        <v>332</v>
      </c>
      <c r="F3" s="126" t="s">
        <v>43</v>
      </c>
      <c r="G3" s="329" t="s">
        <v>265</v>
      </c>
    </row>
    <row r="4" spans="1:10" ht="15" customHeight="1">
      <c r="A4" s="212"/>
      <c r="B4" s="129" t="s">
        <v>333</v>
      </c>
      <c r="C4" s="131" t="s">
        <v>334</v>
      </c>
      <c r="D4" s="129" t="s">
        <v>335</v>
      </c>
      <c r="E4" s="213" t="s">
        <v>336</v>
      </c>
      <c r="F4" s="129"/>
      <c r="G4" s="128" t="s">
        <v>267</v>
      </c>
    </row>
    <row r="5" spans="1:10" ht="15" customHeight="1">
      <c r="A5" s="212"/>
      <c r="B5" s="129" t="s">
        <v>337</v>
      </c>
      <c r="C5" s="131" t="s">
        <v>338</v>
      </c>
      <c r="D5" s="129" t="s">
        <v>339</v>
      </c>
      <c r="E5" s="213" t="s">
        <v>340</v>
      </c>
      <c r="F5" s="129"/>
      <c r="G5" s="128" t="s">
        <v>268</v>
      </c>
    </row>
    <row r="6" spans="1:10" ht="24" customHeight="1">
      <c r="A6" s="308" t="s">
        <v>328</v>
      </c>
      <c r="B6" s="135"/>
      <c r="C6" s="134"/>
      <c r="D6" s="135"/>
      <c r="E6" s="215" t="s">
        <v>341</v>
      </c>
      <c r="F6" s="135"/>
      <c r="G6" s="468"/>
    </row>
    <row r="7" spans="1:10" ht="20" customHeight="1" thickBot="1">
      <c r="A7" s="216">
        <v>1996</v>
      </c>
      <c r="B7" s="157">
        <v>1932.22</v>
      </c>
      <c r="C7" s="217">
        <v>1370.05</v>
      </c>
      <c r="D7" s="157">
        <v>1070.5899999999999</v>
      </c>
      <c r="E7" s="217">
        <v>923.64</v>
      </c>
      <c r="F7" s="157">
        <v>1731.68</v>
      </c>
      <c r="G7" s="458">
        <v>9.7491025128858211E-2</v>
      </c>
    </row>
    <row r="8" spans="1:10" ht="20" customHeight="1" thickBot="1">
      <c r="A8" s="218">
        <v>1997</v>
      </c>
      <c r="B8" s="159">
        <v>1961.45</v>
      </c>
      <c r="C8" s="219">
        <v>1723.12</v>
      </c>
      <c r="D8" s="159">
        <v>1331.14</v>
      </c>
      <c r="E8" s="219">
        <v>1038.3599999999999</v>
      </c>
      <c r="F8" s="159">
        <v>1821.04</v>
      </c>
      <c r="G8" s="462">
        <v>5.1603067541347074E-2</v>
      </c>
      <c r="H8" s="10"/>
      <c r="I8" s="10"/>
      <c r="J8" s="10"/>
    </row>
    <row r="9" spans="1:10" ht="20" customHeight="1" thickBot="1">
      <c r="A9" s="218">
        <v>1998</v>
      </c>
      <c r="B9" s="159">
        <v>2000.59</v>
      </c>
      <c r="C9" s="219">
        <v>1941.88</v>
      </c>
      <c r="D9" s="159">
        <v>652.13</v>
      </c>
      <c r="E9" s="219">
        <v>1390.54</v>
      </c>
      <c r="F9" s="159">
        <v>1934.73</v>
      </c>
      <c r="G9" s="462">
        <v>6.2431357905372784E-2</v>
      </c>
    </row>
    <row r="10" spans="1:10" ht="20" customHeight="1" thickBot="1">
      <c r="A10" s="218">
        <v>1999</v>
      </c>
      <c r="B10" s="159">
        <v>2197.96</v>
      </c>
      <c r="C10" s="219">
        <v>1835.57</v>
      </c>
      <c r="D10" s="159">
        <v>708.96</v>
      </c>
      <c r="E10" s="219">
        <v>1549.04</v>
      </c>
      <c r="F10" s="159">
        <v>2012.03</v>
      </c>
      <c r="G10" s="462">
        <v>3.9953895375582096E-2</v>
      </c>
    </row>
    <row r="11" spans="1:10" ht="20" customHeight="1" thickBot="1">
      <c r="A11" s="218">
        <v>2000</v>
      </c>
      <c r="B11" s="159">
        <v>2329.77</v>
      </c>
      <c r="C11" s="219">
        <v>1954.27</v>
      </c>
      <c r="D11" s="159">
        <v>768.12</v>
      </c>
      <c r="E11" s="219">
        <v>1631.39</v>
      </c>
      <c r="F11" s="159">
        <v>2129.62</v>
      </c>
      <c r="G11" s="462">
        <v>5.8443462572625615E-2</v>
      </c>
    </row>
    <row r="12" spans="1:10" ht="20" customHeight="1" thickBot="1">
      <c r="A12" s="218">
        <v>2001</v>
      </c>
      <c r="B12" s="159">
        <v>2488.227550627983</v>
      </c>
      <c r="C12" s="219">
        <v>2005.8119479175782</v>
      </c>
      <c r="D12" s="159">
        <v>895.14570174499522</v>
      </c>
      <c r="E12" s="219">
        <v>1735.4505511470134</v>
      </c>
      <c r="F12" s="159">
        <v>2238.1940247664106</v>
      </c>
      <c r="G12" s="462">
        <v>5.0982816073482935E-2</v>
      </c>
    </row>
    <row r="13" spans="1:10" ht="20" customHeight="1" thickBot="1">
      <c r="A13" s="218">
        <v>2002</v>
      </c>
      <c r="B13" s="159">
        <v>2617.71</v>
      </c>
      <c r="C13" s="219">
        <v>2022.91</v>
      </c>
      <c r="D13" s="159">
        <v>900.99</v>
      </c>
      <c r="E13" s="219">
        <v>1933.84</v>
      </c>
      <c r="F13" s="159">
        <v>2322.9699999999998</v>
      </c>
      <c r="G13" s="462">
        <v>3.7876955391495534E-2</v>
      </c>
    </row>
    <row r="14" spans="1:10" ht="20" customHeight="1" thickBot="1">
      <c r="A14" s="218">
        <v>2003</v>
      </c>
      <c r="B14" s="159">
        <v>2830.6</v>
      </c>
      <c r="C14" s="219">
        <v>2083.65</v>
      </c>
      <c r="D14" s="159">
        <v>996.63</v>
      </c>
      <c r="E14" s="219">
        <v>1725.47</v>
      </c>
      <c r="F14" s="159">
        <v>2424.41</v>
      </c>
      <c r="G14" s="462">
        <v>4.3668235061150196E-2</v>
      </c>
    </row>
    <row r="15" spans="1:10" ht="20" customHeight="1" thickBot="1">
      <c r="A15" s="218">
        <v>2004</v>
      </c>
      <c r="B15" s="159">
        <v>3089.65</v>
      </c>
      <c r="C15" s="219">
        <v>2192.2399999999998</v>
      </c>
      <c r="D15" s="159">
        <v>1070.8900000000001</v>
      </c>
      <c r="E15" s="219">
        <v>1679.51</v>
      </c>
      <c r="F15" s="159">
        <v>2579.5</v>
      </c>
      <c r="G15" s="462">
        <v>6.3970203059713557E-2</v>
      </c>
    </row>
    <row r="16" spans="1:10" ht="30" customHeight="1" thickBot="1">
      <c r="A16" s="220">
        <v>2005</v>
      </c>
      <c r="B16" s="221">
        <v>3404.84</v>
      </c>
      <c r="C16" s="222">
        <v>2204.1</v>
      </c>
      <c r="D16" s="221">
        <v>1181.07</v>
      </c>
      <c r="E16" s="222">
        <v>1748.32</v>
      </c>
      <c r="F16" s="221">
        <v>2728.13</v>
      </c>
      <c r="G16" s="751">
        <v>5.761969373909677E-2</v>
      </c>
    </row>
    <row r="17" spans="1:7" ht="20" customHeight="1">
      <c r="A17" s="146" t="s">
        <v>596</v>
      </c>
      <c r="B17" s="146"/>
      <c r="C17" s="146"/>
      <c r="D17" s="146"/>
      <c r="E17" s="146"/>
      <c r="F17" s="146"/>
      <c r="G17" s="450"/>
    </row>
    <row r="18" spans="1:7">
      <c r="G18" s="451"/>
    </row>
    <row r="19" spans="1:7">
      <c r="A19" s="2" t="s">
        <v>1747</v>
      </c>
      <c r="G19" s="451"/>
    </row>
    <row r="20" spans="1:7">
      <c r="G20" s="451"/>
    </row>
    <row r="21" spans="1:7">
      <c r="G21" s="451"/>
    </row>
    <row r="22" spans="1:7" ht="16">
      <c r="A22" s="816" t="s">
        <v>1601</v>
      </c>
      <c r="G22" s="451"/>
    </row>
    <row r="23" spans="1:7">
      <c r="G23" s="451"/>
    </row>
    <row r="24" spans="1:7" ht="18" customHeight="1">
      <c r="A24" s="267" t="s">
        <v>223</v>
      </c>
      <c r="B24" s="126" t="s">
        <v>329</v>
      </c>
      <c r="C24" s="127" t="s">
        <v>330</v>
      </c>
      <c r="D24" s="126" t="s">
        <v>331</v>
      </c>
      <c r="E24" s="127" t="s">
        <v>332</v>
      </c>
      <c r="F24" s="126" t="s">
        <v>43</v>
      </c>
      <c r="G24" s="424" t="s">
        <v>265</v>
      </c>
    </row>
    <row r="25" spans="1:7" ht="18" customHeight="1">
      <c r="A25" s="807" t="s">
        <v>287</v>
      </c>
      <c r="B25" s="129" t="s">
        <v>333</v>
      </c>
      <c r="C25" s="131" t="s">
        <v>334</v>
      </c>
      <c r="D25" s="129" t="s">
        <v>335</v>
      </c>
      <c r="E25" s="213" t="s">
        <v>336</v>
      </c>
      <c r="F25" s="129"/>
      <c r="G25" s="480" t="s">
        <v>267</v>
      </c>
    </row>
    <row r="26" spans="1:7" ht="18" customHeight="1">
      <c r="A26" s="212"/>
      <c r="B26" s="129" t="s">
        <v>337</v>
      </c>
      <c r="C26" s="131" t="s">
        <v>338</v>
      </c>
      <c r="D26" s="129" t="s">
        <v>339</v>
      </c>
      <c r="E26" s="213" t="s">
        <v>340</v>
      </c>
      <c r="F26" s="129"/>
      <c r="G26" s="480" t="s">
        <v>268</v>
      </c>
    </row>
    <row r="27" spans="1:7" ht="18" customHeight="1">
      <c r="A27" s="214" t="s">
        <v>1254</v>
      </c>
      <c r="B27" s="135"/>
      <c r="C27" s="134"/>
      <c r="D27" s="135"/>
      <c r="E27" s="215" t="s">
        <v>341</v>
      </c>
      <c r="F27" s="135"/>
      <c r="G27" s="426"/>
    </row>
    <row r="28" spans="1:7" ht="18" customHeight="1" thickBot="1">
      <c r="A28" s="216">
        <v>1996</v>
      </c>
      <c r="B28" s="157" t="s">
        <v>1646</v>
      </c>
      <c r="C28" s="217" t="s">
        <v>1646</v>
      </c>
      <c r="D28" s="157" t="s">
        <v>1646</v>
      </c>
      <c r="E28" s="217" t="s">
        <v>1646</v>
      </c>
      <c r="F28" s="157" t="s">
        <v>1646</v>
      </c>
      <c r="G28" s="458" t="s">
        <v>1646</v>
      </c>
    </row>
    <row r="29" spans="1:7" ht="18" customHeight="1" thickBot="1">
      <c r="A29" s="218">
        <v>1997</v>
      </c>
      <c r="B29" s="159">
        <v>596.74</v>
      </c>
      <c r="C29" s="219">
        <v>527.92999999999995</v>
      </c>
      <c r="D29" s="159" t="s">
        <v>1646</v>
      </c>
      <c r="E29" s="219">
        <v>365.95</v>
      </c>
      <c r="F29" s="159">
        <v>578.16999999999996</v>
      </c>
      <c r="G29" s="462" t="s">
        <v>1646</v>
      </c>
    </row>
    <row r="30" spans="1:7" ht="18" customHeight="1" thickBot="1">
      <c r="A30" s="218">
        <v>1998</v>
      </c>
      <c r="B30" s="159">
        <v>637.61</v>
      </c>
      <c r="C30" s="219">
        <v>590.34</v>
      </c>
      <c r="D30" s="159">
        <v>395.42</v>
      </c>
      <c r="E30" s="219">
        <v>453.55</v>
      </c>
      <c r="F30" s="159">
        <v>619.65</v>
      </c>
      <c r="G30" s="462">
        <v>7.1743604822110951E-2</v>
      </c>
    </row>
    <row r="31" spans="1:7" ht="18" customHeight="1" thickBot="1">
      <c r="A31" s="218">
        <v>1999</v>
      </c>
      <c r="B31" s="159">
        <v>652.47</v>
      </c>
      <c r="C31" s="219">
        <v>604.53</v>
      </c>
      <c r="D31" s="159">
        <v>399.96</v>
      </c>
      <c r="E31" s="219">
        <v>488.89</v>
      </c>
      <c r="F31" s="159">
        <v>634.95000000000005</v>
      </c>
      <c r="G31" s="462">
        <v>2.4691358024691246E-2</v>
      </c>
    </row>
    <row r="32" spans="1:7" ht="18" customHeight="1" thickBot="1">
      <c r="A32" s="218">
        <v>2000</v>
      </c>
      <c r="B32" s="159">
        <v>688.04</v>
      </c>
      <c r="C32" s="219">
        <v>651.1</v>
      </c>
      <c r="D32" s="159">
        <v>361.07</v>
      </c>
      <c r="E32" s="219">
        <v>506.21</v>
      </c>
      <c r="F32" s="159">
        <v>669.86</v>
      </c>
      <c r="G32" s="462">
        <v>5.4980707142294749E-2</v>
      </c>
    </row>
    <row r="33" spans="1:7" ht="18" customHeight="1" thickBot="1">
      <c r="A33" s="218">
        <v>2001</v>
      </c>
      <c r="B33" s="159">
        <v>722.7</v>
      </c>
      <c r="C33" s="219">
        <v>674.86</v>
      </c>
      <c r="D33" s="159">
        <v>494.25</v>
      </c>
      <c r="E33" s="219">
        <v>533.4</v>
      </c>
      <c r="F33" s="159">
        <v>702.31</v>
      </c>
      <c r="G33" s="462">
        <v>4.8442958230077826E-2</v>
      </c>
    </row>
    <row r="34" spans="1:7" ht="18" customHeight="1" thickBot="1">
      <c r="A34" s="218">
        <v>2002</v>
      </c>
      <c r="B34" s="159">
        <v>735.79</v>
      </c>
      <c r="C34" s="219">
        <v>674.88</v>
      </c>
      <c r="D34" s="159">
        <v>456.36</v>
      </c>
      <c r="E34" s="219">
        <v>568.99</v>
      </c>
      <c r="F34" s="159">
        <v>715.59</v>
      </c>
      <c r="G34" s="462">
        <v>1.8909028776466164E-2</v>
      </c>
    </row>
    <row r="35" spans="1:7" ht="18" customHeight="1" thickBot="1">
      <c r="A35" s="218">
        <v>2003</v>
      </c>
      <c r="B35" s="159">
        <v>769.07</v>
      </c>
      <c r="C35" s="219">
        <v>671.1</v>
      </c>
      <c r="D35" s="159">
        <v>485.31</v>
      </c>
      <c r="E35" s="219">
        <v>575.24</v>
      </c>
      <c r="F35" s="159">
        <v>741.79</v>
      </c>
      <c r="G35" s="462">
        <v>3.6613144398328634E-2</v>
      </c>
    </row>
    <row r="36" spans="1:7" ht="18" customHeight="1" thickBot="1">
      <c r="A36" s="218">
        <v>2004</v>
      </c>
      <c r="B36" s="159">
        <v>816.02</v>
      </c>
      <c r="C36" s="219">
        <v>674.78</v>
      </c>
      <c r="D36" s="159">
        <v>457.35</v>
      </c>
      <c r="E36" s="219">
        <v>615.66999999999996</v>
      </c>
      <c r="F36" s="159">
        <v>782.37</v>
      </c>
      <c r="G36" s="462">
        <v>5.4705509645587069E-2</v>
      </c>
    </row>
    <row r="37" spans="1:7" ht="18" customHeight="1" thickBot="1">
      <c r="A37" s="817">
        <v>2005</v>
      </c>
      <c r="B37" s="206">
        <v>890.43</v>
      </c>
      <c r="C37" s="207">
        <v>685.95</v>
      </c>
      <c r="D37" s="206">
        <v>446.23</v>
      </c>
      <c r="E37" s="207">
        <v>640.28</v>
      </c>
      <c r="F37" s="206">
        <v>842.26</v>
      </c>
      <c r="G37" s="751">
        <v>7.6549458696013373E-2</v>
      </c>
    </row>
    <row r="38" spans="1:7">
      <c r="A38" s="146"/>
      <c r="G38" s="451"/>
    </row>
    <row r="39" spans="1:7">
      <c r="G39" s="451"/>
    </row>
    <row r="40" spans="1:7" ht="18" customHeight="1">
      <c r="A40" s="267" t="s">
        <v>347</v>
      </c>
      <c r="B40" s="126" t="s">
        <v>329</v>
      </c>
      <c r="C40" s="127" t="s">
        <v>330</v>
      </c>
      <c r="D40" s="126" t="s">
        <v>331</v>
      </c>
      <c r="E40" s="127" t="s">
        <v>332</v>
      </c>
      <c r="F40" s="126" t="s">
        <v>43</v>
      </c>
      <c r="G40" s="424" t="s">
        <v>265</v>
      </c>
    </row>
    <row r="41" spans="1:7" ht="18" customHeight="1">
      <c r="A41" s="807" t="s">
        <v>288</v>
      </c>
      <c r="B41" s="129" t="s">
        <v>333</v>
      </c>
      <c r="C41" s="131" t="s">
        <v>334</v>
      </c>
      <c r="D41" s="129" t="s">
        <v>335</v>
      </c>
      <c r="E41" s="213" t="s">
        <v>336</v>
      </c>
      <c r="F41" s="129"/>
      <c r="G41" s="480" t="s">
        <v>267</v>
      </c>
    </row>
    <row r="42" spans="1:7" ht="18" customHeight="1">
      <c r="A42" s="212"/>
      <c r="B42" s="129" t="s">
        <v>337</v>
      </c>
      <c r="C42" s="131" t="s">
        <v>338</v>
      </c>
      <c r="D42" s="129" t="s">
        <v>339</v>
      </c>
      <c r="E42" s="213" t="s">
        <v>340</v>
      </c>
      <c r="F42" s="129"/>
      <c r="G42" s="480" t="s">
        <v>268</v>
      </c>
    </row>
    <row r="43" spans="1:7" ht="18" customHeight="1">
      <c r="A43" s="214" t="s">
        <v>1254</v>
      </c>
      <c r="B43" s="135"/>
      <c r="C43" s="134"/>
      <c r="D43" s="135"/>
      <c r="E43" s="215" t="s">
        <v>341</v>
      </c>
      <c r="F43" s="135"/>
      <c r="G43" s="426"/>
    </row>
    <row r="44" spans="1:7" ht="18" customHeight="1" thickBot="1">
      <c r="A44" s="216">
        <v>1996</v>
      </c>
      <c r="B44" s="157" t="s">
        <v>1646</v>
      </c>
      <c r="C44" s="217" t="s">
        <v>1646</v>
      </c>
      <c r="D44" s="157" t="s">
        <v>1646</v>
      </c>
      <c r="E44" s="217" t="s">
        <v>1646</v>
      </c>
      <c r="F44" s="157" t="s">
        <v>1646</v>
      </c>
      <c r="G44" s="458" t="s">
        <v>1646</v>
      </c>
    </row>
    <row r="45" spans="1:7" ht="18" customHeight="1" thickBot="1">
      <c r="A45" s="218">
        <v>1997</v>
      </c>
      <c r="B45" s="159">
        <v>997.56</v>
      </c>
      <c r="C45" s="219">
        <v>764.51</v>
      </c>
      <c r="D45" s="159" t="s">
        <v>1646</v>
      </c>
      <c r="E45" s="219">
        <v>526.83000000000004</v>
      </c>
      <c r="F45" s="159">
        <v>891.7</v>
      </c>
      <c r="G45" s="462" t="s">
        <v>1646</v>
      </c>
    </row>
    <row r="46" spans="1:7" ht="18" customHeight="1" thickBot="1">
      <c r="A46" s="218">
        <v>1998</v>
      </c>
      <c r="B46" s="159">
        <v>1081</v>
      </c>
      <c r="C46" s="219">
        <v>834.49</v>
      </c>
      <c r="D46" s="159">
        <v>588.84</v>
      </c>
      <c r="E46" s="219">
        <v>612.65</v>
      </c>
      <c r="F46" s="159">
        <v>941.32</v>
      </c>
      <c r="G46" s="462">
        <v>5.564651788718189E-2</v>
      </c>
    </row>
    <row r="47" spans="1:7" ht="18" customHeight="1" thickBot="1">
      <c r="A47" s="218">
        <v>1999</v>
      </c>
      <c r="B47" s="159">
        <v>1070.72</v>
      </c>
      <c r="C47" s="219">
        <v>900.58</v>
      </c>
      <c r="D47" s="159">
        <v>625.08000000000004</v>
      </c>
      <c r="E47" s="219">
        <v>680.45</v>
      </c>
      <c r="F47" s="159">
        <v>971.45</v>
      </c>
      <c r="G47" s="462">
        <v>3.200824374282929E-2</v>
      </c>
    </row>
    <row r="48" spans="1:7" ht="18" customHeight="1" thickBot="1">
      <c r="A48" s="218">
        <v>2000</v>
      </c>
      <c r="B48" s="159">
        <v>1138.03</v>
      </c>
      <c r="C48" s="219">
        <v>947.86</v>
      </c>
      <c r="D48" s="159">
        <v>615.48</v>
      </c>
      <c r="E48" s="219">
        <v>742.68</v>
      </c>
      <c r="F48" s="159">
        <v>1028.6199999999999</v>
      </c>
      <c r="G48" s="462">
        <v>5.885017242266688E-2</v>
      </c>
    </row>
    <row r="49" spans="1:7" ht="18" customHeight="1" thickBot="1">
      <c r="A49" s="218">
        <v>2001</v>
      </c>
      <c r="B49" s="159">
        <v>1215.9000000000001</v>
      </c>
      <c r="C49" s="219">
        <v>948.16</v>
      </c>
      <c r="D49" s="159" t="s">
        <v>1646</v>
      </c>
      <c r="E49" s="219">
        <v>787.11</v>
      </c>
      <c r="F49" s="159">
        <v>1072.96</v>
      </c>
      <c r="G49" s="462">
        <v>4.3106297758161549E-2</v>
      </c>
    </row>
    <row r="50" spans="1:7" ht="18" customHeight="1" thickBot="1">
      <c r="A50" s="218">
        <v>2002</v>
      </c>
      <c r="B50" s="159">
        <v>1292.98</v>
      </c>
      <c r="C50" s="219">
        <v>920.85</v>
      </c>
      <c r="D50" s="159" t="s">
        <v>1646</v>
      </c>
      <c r="E50" s="219">
        <v>821.58</v>
      </c>
      <c r="F50" s="159">
        <v>1090.74</v>
      </c>
      <c r="G50" s="462">
        <v>1.6570981210855873E-2</v>
      </c>
    </row>
    <row r="51" spans="1:7" ht="18" customHeight="1" thickBot="1">
      <c r="A51" s="218">
        <v>2003</v>
      </c>
      <c r="B51" s="159">
        <v>1392.25</v>
      </c>
      <c r="C51" s="219">
        <v>911.16</v>
      </c>
      <c r="D51" s="159" t="s">
        <v>1646</v>
      </c>
      <c r="E51" s="219">
        <v>816.06</v>
      </c>
      <c r="F51" s="159">
        <v>1120.92</v>
      </c>
      <c r="G51" s="462">
        <v>2.7669288739754716E-2</v>
      </c>
    </row>
    <row r="52" spans="1:7" ht="18" customHeight="1" thickBot="1">
      <c r="A52" s="218">
        <v>2004</v>
      </c>
      <c r="B52" s="159">
        <v>1448.83</v>
      </c>
      <c r="C52" s="219">
        <v>940.01</v>
      </c>
      <c r="D52" s="159" t="s">
        <v>1646</v>
      </c>
      <c r="E52" s="219">
        <v>863.65</v>
      </c>
      <c r="F52" s="159">
        <v>1166.3800000000001</v>
      </c>
      <c r="G52" s="462">
        <v>4.0555971880241071E-2</v>
      </c>
    </row>
    <row r="53" spans="1:7" ht="18" customHeight="1" thickBot="1">
      <c r="A53" s="817">
        <v>2005</v>
      </c>
      <c r="B53" s="206">
        <v>1561.56</v>
      </c>
      <c r="C53" s="207">
        <v>904.06</v>
      </c>
      <c r="D53" s="206">
        <v>899.82</v>
      </c>
      <c r="E53" s="207">
        <v>834.89</v>
      </c>
      <c r="F53" s="206">
        <v>1192.9100000000001</v>
      </c>
      <c r="G53" s="751">
        <v>2.2745588916133874E-2</v>
      </c>
    </row>
    <row r="54" spans="1:7">
      <c r="D54" s="5"/>
      <c r="E54" s="5"/>
      <c r="F54" s="5"/>
      <c r="G54" s="451"/>
    </row>
    <row r="55" spans="1:7">
      <c r="D55" s="5"/>
      <c r="E55" s="5"/>
      <c r="F55" s="5"/>
      <c r="G55" s="451"/>
    </row>
    <row r="56" spans="1:7" ht="18.75" customHeight="1">
      <c r="A56" s="267" t="s">
        <v>1602</v>
      </c>
      <c r="B56" s="126" t="s">
        <v>329</v>
      </c>
      <c r="C56" s="127" t="s">
        <v>330</v>
      </c>
      <c r="D56" s="126" t="s">
        <v>331</v>
      </c>
      <c r="E56" s="127" t="s">
        <v>332</v>
      </c>
      <c r="F56" s="126" t="s">
        <v>43</v>
      </c>
      <c r="G56" s="424" t="s">
        <v>265</v>
      </c>
    </row>
    <row r="57" spans="1:7" ht="18.75" customHeight="1">
      <c r="A57" s="807" t="s">
        <v>1603</v>
      </c>
      <c r="B57" s="129" t="s">
        <v>333</v>
      </c>
      <c r="C57" s="131" t="s">
        <v>334</v>
      </c>
      <c r="D57" s="129" t="s">
        <v>335</v>
      </c>
      <c r="E57" s="213" t="s">
        <v>336</v>
      </c>
      <c r="F57" s="129"/>
      <c r="G57" s="480" t="s">
        <v>267</v>
      </c>
    </row>
    <row r="58" spans="1:7" ht="18.75" customHeight="1">
      <c r="A58" s="212"/>
      <c r="B58" s="129" t="s">
        <v>337</v>
      </c>
      <c r="C58" s="131" t="s">
        <v>338</v>
      </c>
      <c r="D58" s="129" t="s">
        <v>339</v>
      </c>
      <c r="E58" s="213" t="s">
        <v>340</v>
      </c>
      <c r="F58" s="129"/>
      <c r="G58" s="480" t="s">
        <v>268</v>
      </c>
    </row>
    <row r="59" spans="1:7" ht="18.75" customHeight="1">
      <c r="A59" s="214" t="s">
        <v>1254</v>
      </c>
      <c r="B59" s="135"/>
      <c r="C59" s="134"/>
      <c r="D59" s="135"/>
      <c r="E59" s="215" t="s">
        <v>341</v>
      </c>
      <c r="F59" s="135"/>
      <c r="G59" s="426"/>
    </row>
    <row r="60" spans="1:7" ht="18.75" customHeight="1" thickBot="1">
      <c r="A60" s="216">
        <v>1996</v>
      </c>
      <c r="B60" s="157" t="s">
        <v>1646</v>
      </c>
      <c r="C60" s="217" t="s">
        <v>1646</v>
      </c>
      <c r="D60" s="157" t="s">
        <v>1646</v>
      </c>
      <c r="E60" s="217" t="s">
        <v>1646</v>
      </c>
      <c r="F60" s="157" t="s">
        <v>1646</v>
      </c>
      <c r="G60" s="458" t="s">
        <v>1646</v>
      </c>
    </row>
    <row r="61" spans="1:7" ht="18.75" customHeight="1" thickBot="1">
      <c r="A61" s="218">
        <v>1997</v>
      </c>
      <c r="B61" s="159">
        <v>2863.7</v>
      </c>
      <c r="C61" s="219">
        <v>1824.46</v>
      </c>
      <c r="D61" s="159" t="s">
        <v>1646</v>
      </c>
      <c r="E61" s="219">
        <v>1189.1400000000001</v>
      </c>
      <c r="F61" s="159">
        <v>2289.58</v>
      </c>
      <c r="G61" s="462" t="s">
        <v>1646</v>
      </c>
    </row>
    <row r="62" spans="1:7" ht="18.75" customHeight="1" thickBot="1">
      <c r="A62" s="218">
        <v>1998</v>
      </c>
      <c r="B62" s="159">
        <v>2957.09</v>
      </c>
      <c r="C62" s="219">
        <v>2082.79</v>
      </c>
      <c r="D62" s="159">
        <v>696.67</v>
      </c>
      <c r="E62" s="219">
        <v>1575.21</v>
      </c>
      <c r="F62" s="159">
        <v>2462.12</v>
      </c>
      <c r="G62" s="462">
        <v>7.5358799430463197E-2</v>
      </c>
    </row>
    <row r="63" spans="1:7" ht="18.75" customHeight="1" thickBot="1">
      <c r="A63" s="218">
        <v>1999</v>
      </c>
      <c r="B63" s="159">
        <v>3163.19</v>
      </c>
      <c r="C63" s="219">
        <v>2089.84</v>
      </c>
      <c r="D63" s="159">
        <v>756.23</v>
      </c>
      <c r="E63" s="219">
        <v>1768.3</v>
      </c>
      <c r="F63" s="159">
        <v>2570.02</v>
      </c>
      <c r="G63" s="462">
        <v>4.382402157490306E-2</v>
      </c>
    </row>
    <row r="64" spans="1:7" ht="18.75" customHeight="1" thickBot="1">
      <c r="A64" s="218">
        <v>2000</v>
      </c>
      <c r="B64" s="159">
        <v>3444.92</v>
      </c>
      <c r="C64" s="219">
        <v>2223.37</v>
      </c>
      <c r="D64" s="159">
        <v>681.2</v>
      </c>
      <c r="E64" s="219">
        <v>1913.06</v>
      </c>
      <c r="F64" s="159">
        <v>2753.78</v>
      </c>
      <c r="G64" s="462">
        <v>7.1501389094248191E-2</v>
      </c>
    </row>
    <row r="65" spans="1:7" ht="18.75" customHeight="1" thickBot="1">
      <c r="A65" s="218">
        <v>2001</v>
      </c>
      <c r="B65" s="159">
        <v>3702.88</v>
      </c>
      <c r="C65" s="219">
        <v>2297.41</v>
      </c>
      <c r="D65" s="159">
        <v>875.75</v>
      </c>
      <c r="E65" s="219">
        <v>1996.67</v>
      </c>
      <c r="F65" s="159">
        <v>2898.13</v>
      </c>
      <c r="G65" s="462">
        <v>5.2418856989301821E-2</v>
      </c>
    </row>
    <row r="66" spans="1:7" ht="18.75" customHeight="1" thickBot="1">
      <c r="A66" s="218">
        <v>2002</v>
      </c>
      <c r="B66" s="159">
        <v>3932.43</v>
      </c>
      <c r="C66" s="219">
        <v>2322.62</v>
      </c>
      <c r="D66" s="159">
        <v>907.71</v>
      </c>
      <c r="E66" s="219">
        <v>2059.2199999999998</v>
      </c>
      <c r="F66" s="159">
        <v>2994.63</v>
      </c>
      <c r="G66" s="462">
        <v>3.3297333107900728E-2</v>
      </c>
    </row>
    <row r="67" spans="1:7" ht="18.75" customHeight="1" thickBot="1">
      <c r="A67" s="218">
        <v>2003</v>
      </c>
      <c r="B67" s="159">
        <v>4284.59</v>
      </c>
      <c r="C67" s="219">
        <v>2358.33</v>
      </c>
      <c r="D67" s="159">
        <v>997.68</v>
      </c>
      <c r="E67" s="219">
        <v>1931.51</v>
      </c>
      <c r="F67" s="159">
        <v>3118.37</v>
      </c>
      <c r="G67" s="462">
        <v>4.1320630595432339E-2</v>
      </c>
    </row>
    <row r="68" spans="1:7" ht="18.75" customHeight="1" thickBot="1">
      <c r="A68" s="218">
        <v>2004</v>
      </c>
      <c r="B68" s="159">
        <v>4496.54</v>
      </c>
      <c r="C68" s="219">
        <v>2484.79</v>
      </c>
      <c r="D68" s="159">
        <v>1160.92</v>
      </c>
      <c r="E68" s="219">
        <v>2082.36</v>
      </c>
      <c r="F68" s="159">
        <v>3296.18</v>
      </c>
      <c r="G68" s="462">
        <v>5.7020174001160884E-2</v>
      </c>
    </row>
    <row r="69" spans="1:7" ht="18.75" customHeight="1" thickBot="1">
      <c r="A69" s="817">
        <v>2005</v>
      </c>
      <c r="B69" s="206">
        <v>4862.6099999999997</v>
      </c>
      <c r="C69" s="207">
        <v>2462.3200000000002</v>
      </c>
      <c r="D69" s="206">
        <v>1216.48</v>
      </c>
      <c r="E69" s="207">
        <v>2150.5300000000002</v>
      </c>
      <c r="F69" s="206">
        <v>3456.92</v>
      </c>
      <c r="G69" s="751">
        <v>4.8765540716829703E-2</v>
      </c>
    </row>
    <row r="70" spans="1:7" ht="15" customHeight="1">
      <c r="A70" s="227" t="s">
        <v>1606</v>
      </c>
    </row>
    <row r="72" spans="1:7">
      <c r="A72" s="85" t="s">
        <v>2237</v>
      </c>
    </row>
    <row r="75" spans="1:7">
      <c r="A75" s="2" t="s">
        <v>128</v>
      </c>
    </row>
  </sheetData>
  <mergeCells count="1">
    <mergeCell ref="A2:F2"/>
  </mergeCells>
  <phoneticPr fontId="0" type="noConversion"/>
  <pageMargins left="0.56000000000000005" right="0.38" top="0.52" bottom="0.49" header="0.36" footer="0.4921259845"/>
  <pageSetup paperSize="9" scale="59" orientation="portrait" horizontalDpi="1200" verticalDpi="1200"/>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E809F-9623-2B43-AA68-7C55CEDB47A4}">
  <sheetPr>
    <pageSetUpPr fitToPage="1"/>
  </sheetPr>
  <dimension ref="A1:V54"/>
  <sheetViews>
    <sheetView topLeftCell="A2" zoomScale="75" workbookViewId="0">
      <selection activeCell="A37" sqref="A37"/>
    </sheetView>
  </sheetViews>
  <sheetFormatPr baseColWidth="10" defaultColWidth="11.3984375" defaultRowHeight="13"/>
  <cols>
    <col min="1" max="1" width="11.796875" style="2" customWidth="1"/>
    <col min="2" max="2" width="17" style="2" customWidth="1"/>
    <col min="3" max="3" width="13" style="210" customWidth="1"/>
    <col min="4" max="4" width="13" style="2" customWidth="1"/>
    <col min="5" max="5" width="14" style="210" customWidth="1"/>
    <col min="6" max="6" width="13" style="2" customWidth="1"/>
    <col min="7" max="7" width="13" style="210" customWidth="1"/>
    <col min="8" max="8" width="13" style="2" customWidth="1"/>
    <col min="9" max="9" width="15.3984375" style="2" customWidth="1"/>
    <col min="10" max="12" width="13" style="2" customWidth="1"/>
    <col min="13" max="13" width="14.19921875" style="2" customWidth="1"/>
    <col min="14" max="14" width="13" style="2" customWidth="1"/>
    <col min="15" max="15" width="14.796875" style="2" customWidth="1"/>
    <col min="16" max="16" width="13" style="2" customWidth="1"/>
    <col min="17" max="16384" width="11.3984375" style="2"/>
  </cols>
  <sheetData>
    <row r="1" spans="1:22" s="1" customFormat="1" ht="14" customHeight="1">
      <c r="A1" s="404"/>
      <c r="B1" s="404"/>
      <c r="C1" s="823"/>
      <c r="D1" s="404"/>
      <c r="E1" s="823"/>
      <c r="F1" s="404"/>
      <c r="G1" s="824"/>
      <c r="H1" s="824"/>
      <c r="I1" s="824"/>
      <c r="J1" s="824"/>
      <c r="K1" s="824"/>
      <c r="L1" s="824"/>
      <c r="M1" s="824"/>
      <c r="N1" s="824"/>
      <c r="O1" s="824"/>
      <c r="P1" s="824"/>
      <c r="Q1" s="824"/>
      <c r="R1" s="824"/>
      <c r="S1" s="824"/>
      <c r="T1" s="824"/>
      <c r="U1" s="824"/>
    </row>
    <row r="2" spans="1:22" s="1" customFormat="1" ht="28" customHeight="1">
      <c r="A2" s="124" t="s">
        <v>2128</v>
      </c>
      <c r="B2" s="404"/>
      <c r="C2" s="823"/>
      <c r="D2" s="404"/>
      <c r="E2" s="823"/>
      <c r="F2" s="404"/>
      <c r="G2" s="823"/>
      <c r="N2" s="405">
        <v>2005</v>
      </c>
    </row>
    <row r="3" spans="1:22" ht="24" customHeight="1">
      <c r="A3" s="125" t="s">
        <v>1800</v>
      </c>
      <c r="B3" s="268" t="s">
        <v>2129</v>
      </c>
      <c r="C3" s="127" t="s">
        <v>265</v>
      </c>
      <c r="D3" s="126"/>
      <c r="E3" s="270"/>
      <c r="F3" s="126"/>
      <c r="G3" s="270"/>
      <c r="H3" s="126"/>
      <c r="I3" s="270"/>
      <c r="J3" s="126"/>
      <c r="K3" s="270"/>
      <c r="L3" s="126"/>
      <c r="M3" s="270"/>
      <c r="N3" s="126"/>
      <c r="O3"/>
    </row>
    <row r="4" spans="1:22" ht="17.25" customHeight="1">
      <c r="A4" s="212"/>
      <c r="B4" s="587" t="s">
        <v>2151</v>
      </c>
      <c r="C4" s="131" t="s">
        <v>267</v>
      </c>
      <c r="D4" s="825" t="s">
        <v>1107</v>
      </c>
      <c r="E4" s="826" t="s">
        <v>1107</v>
      </c>
      <c r="F4" s="825" t="s">
        <v>1107</v>
      </c>
      <c r="G4" s="826" t="s">
        <v>1107</v>
      </c>
      <c r="H4" s="825" t="s">
        <v>1107</v>
      </c>
      <c r="I4" s="826" t="s">
        <v>1107</v>
      </c>
      <c r="J4" s="825" t="s">
        <v>1107</v>
      </c>
      <c r="K4" s="826" t="s">
        <v>1107</v>
      </c>
      <c r="L4" s="825" t="s">
        <v>1107</v>
      </c>
      <c r="M4" s="826" t="s">
        <v>1107</v>
      </c>
      <c r="N4" s="825" t="s">
        <v>1107</v>
      </c>
      <c r="O4"/>
    </row>
    <row r="5" spans="1:22" ht="15" customHeight="1">
      <c r="A5" s="212"/>
      <c r="B5" s="129"/>
      <c r="C5" s="131" t="s">
        <v>268</v>
      </c>
      <c r="D5" s="825" t="s">
        <v>2130</v>
      </c>
      <c r="E5" s="826" t="s">
        <v>2131</v>
      </c>
      <c r="F5" s="825" t="s">
        <v>2132</v>
      </c>
      <c r="G5" s="826" t="s">
        <v>2132</v>
      </c>
      <c r="H5" s="825" t="s">
        <v>387</v>
      </c>
      <c r="I5" s="826" t="s">
        <v>388</v>
      </c>
      <c r="J5" s="825" t="s">
        <v>389</v>
      </c>
      <c r="K5" s="826" t="s">
        <v>390</v>
      </c>
      <c r="L5" s="825" t="s">
        <v>2133</v>
      </c>
      <c r="M5" s="826" t="s">
        <v>2134</v>
      </c>
      <c r="N5" s="825" t="s">
        <v>2135</v>
      </c>
      <c r="O5"/>
    </row>
    <row r="6" spans="1:22" s="4" customFormat="1" ht="19.5" customHeight="1">
      <c r="A6" s="827"/>
      <c r="B6" s="353"/>
      <c r="C6" s="828"/>
      <c r="D6" s="818" t="s">
        <v>2136</v>
      </c>
      <c r="E6" s="819" t="s">
        <v>2136</v>
      </c>
      <c r="F6" s="818" t="s">
        <v>2137</v>
      </c>
      <c r="G6" s="819" t="s">
        <v>2138</v>
      </c>
      <c r="H6" s="818"/>
      <c r="I6" s="819"/>
      <c r="J6" s="818"/>
      <c r="K6" s="819"/>
      <c r="L6" s="818" t="s">
        <v>2139</v>
      </c>
      <c r="M6" s="819" t="s">
        <v>2140</v>
      </c>
      <c r="N6" s="818" t="s">
        <v>2141</v>
      </c>
      <c r="O6"/>
    </row>
    <row r="7" spans="1:22" ht="19.5" customHeight="1">
      <c r="A7" s="214"/>
      <c r="B7" s="135"/>
      <c r="C7" s="273"/>
      <c r="D7" s="353"/>
      <c r="E7" s="828"/>
      <c r="F7" s="353"/>
      <c r="G7" s="828"/>
      <c r="H7" s="353"/>
      <c r="I7" s="828"/>
      <c r="J7" s="353"/>
      <c r="K7" s="273"/>
      <c r="L7" s="353"/>
      <c r="M7" s="828"/>
      <c r="N7" s="353"/>
      <c r="O7"/>
    </row>
    <row r="8" spans="1:22" ht="20" customHeight="1" thickBot="1">
      <c r="A8" s="216">
        <v>1996</v>
      </c>
      <c r="B8" s="157">
        <v>8214.622179967444</v>
      </c>
      <c r="C8" s="158">
        <v>0.11122052660984157</v>
      </c>
      <c r="D8" s="310" t="s">
        <v>1646</v>
      </c>
      <c r="E8" s="311" t="s">
        <v>1646</v>
      </c>
      <c r="F8" s="310" t="s">
        <v>1646</v>
      </c>
      <c r="G8" s="311" t="s">
        <v>1646</v>
      </c>
      <c r="H8" s="310" t="s">
        <v>1646</v>
      </c>
      <c r="I8" s="311" t="s">
        <v>1646</v>
      </c>
      <c r="J8" s="310" t="s">
        <v>1646</v>
      </c>
      <c r="K8" s="217">
        <v>56.88</v>
      </c>
      <c r="L8" s="310" t="s">
        <v>1646</v>
      </c>
      <c r="M8" s="311" t="s">
        <v>1646</v>
      </c>
      <c r="N8" s="310" t="s">
        <v>1646</v>
      </c>
      <c r="O8"/>
    </row>
    <row r="9" spans="1:22" ht="20" customHeight="1" thickBot="1">
      <c r="A9" s="218">
        <v>1997</v>
      </c>
      <c r="B9" s="159">
        <v>8735.6547899365542</v>
      </c>
      <c r="C9" s="160">
        <v>6.3427458811158022E-2</v>
      </c>
      <c r="D9" s="310" t="s">
        <v>1646</v>
      </c>
      <c r="E9" s="311" t="s">
        <v>1646</v>
      </c>
      <c r="F9" s="310" t="s">
        <v>1646</v>
      </c>
      <c r="G9" s="311" t="s">
        <v>1646</v>
      </c>
      <c r="H9" s="310" t="s">
        <v>1646</v>
      </c>
      <c r="I9" s="311" t="s">
        <v>1646</v>
      </c>
      <c r="J9" s="310" t="s">
        <v>1646</v>
      </c>
      <c r="K9" s="219">
        <v>56.26</v>
      </c>
      <c r="L9" s="310" t="s">
        <v>1646</v>
      </c>
      <c r="M9" s="311" t="s">
        <v>1646</v>
      </c>
      <c r="N9" s="310" t="s">
        <v>1646</v>
      </c>
      <c r="O9"/>
      <c r="T9" s="10"/>
      <c r="U9" s="10"/>
      <c r="V9" s="10"/>
    </row>
    <row r="10" spans="1:22" ht="20" customHeight="1" thickBot="1">
      <c r="A10" s="218">
        <v>1998</v>
      </c>
      <c r="B10" s="159">
        <v>9332.6868080000004</v>
      </c>
      <c r="C10" s="160">
        <v>6.8344277838362513E-2</v>
      </c>
      <c r="D10" s="159">
        <v>3748.16</v>
      </c>
      <c r="E10" s="219">
        <v>1302.8</v>
      </c>
      <c r="F10" s="159">
        <v>933.79</v>
      </c>
      <c r="G10" s="219">
        <v>1787.54</v>
      </c>
      <c r="H10" s="159">
        <v>223.97</v>
      </c>
      <c r="I10" s="219">
        <v>417.71</v>
      </c>
      <c r="J10" s="159">
        <v>397.5</v>
      </c>
      <c r="K10" s="219">
        <v>56.3</v>
      </c>
      <c r="L10" s="159">
        <v>104.38</v>
      </c>
      <c r="M10" s="219">
        <v>87.2</v>
      </c>
      <c r="N10" s="159" t="s">
        <v>1646</v>
      </c>
      <c r="O10"/>
    </row>
    <row r="11" spans="1:22" ht="20" customHeight="1" thickBot="1">
      <c r="A11" s="218">
        <v>1999</v>
      </c>
      <c r="B11" s="159">
        <v>9826.7075550000009</v>
      </c>
      <c r="C11" s="160">
        <v>5.2934461121798788E-2</v>
      </c>
      <c r="D11" s="159">
        <v>3764.53</v>
      </c>
      <c r="E11" s="219">
        <v>1484.57</v>
      </c>
      <c r="F11" s="159">
        <v>1031.77</v>
      </c>
      <c r="G11" s="219">
        <v>1873.03</v>
      </c>
      <c r="H11" s="159">
        <v>235.27</v>
      </c>
      <c r="I11" s="219">
        <v>437.19</v>
      </c>
      <c r="J11" s="159">
        <v>413.87</v>
      </c>
      <c r="K11" s="219">
        <v>60.6</v>
      </c>
      <c r="L11" s="159">
        <v>125.04</v>
      </c>
      <c r="M11" s="219">
        <v>87.9</v>
      </c>
      <c r="N11" s="159" t="s">
        <v>1646</v>
      </c>
      <c r="O11"/>
    </row>
    <row r="12" spans="1:22" ht="20" customHeight="1" thickBot="1">
      <c r="A12" s="218">
        <v>2000</v>
      </c>
      <c r="B12" s="159">
        <v>10542.816855999999</v>
      </c>
      <c r="C12" s="160">
        <v>7.2873777609839388E-2</v>
      </c>
      <c r="D12" s="159">
        <v>3846.3722419999999</v>
      </c>
      <c r="E12" s="219">
        <v>1665.8885190000001</v>
      </c>
      <c r="F12" s="159">
        <v>1143.2080209999999</v>
      </c>
      <c r="G12" s="219">
        <v>2097.7667449999999</v>
      </c>
      <c r="H12" s="159">
        <v>253.12159500000001</v>
      </c>
      <c r="I12" s="219">
        <v>446.74208700000003</v>
      </c>
      <c r="J12" s="159">
        <v>442.743357</v>
      </c>
      <c r="K12" s="219">
        <v>62.290866000000001</v>
      </c>
      <c r="L12" s="159">
        <v>179.87060299999999</v>
      </c>
      <c r="M12" s="219">
        <v>114.545208</v>
      </c>
      <c r="N12" s="159" t="s">
        <v>1646</v>
      </c>
      <c r="O12"/>
    </row>
    <row r="13" spans="1:22" ht="20" customHeight="1" thickBot="1">
      <c r="A13" s="218">
        <v>2001</v>
      </c>
      <c r="B13" s="159">
        <v>11308.048632</v>
      </c>
      <c r="C13" s="160">
        <v>7.2583237141646939E-2</v>
      </c>
      <c r="D13" s="159">
        <v>4011.5563699999998</v>
      </c>
      <c r="E13" s="219">
        <v>1925.523136</v>
      </c>
      <c r="F13" s="159">
        <v>1271.4507229999999</v>
      </c>
      <c r="G13" s="219">
        <v>2242.439856</v>
      </c>
      <c r="H13" s="159">
        <v>270.321618</v>
      </c>
      <c r="I13" s="219">
        <v>480.12928299999999</v>
      </c>
      <c r="J13" s="159">
        <v>462.70975499999997</v>
      </c>
      <c r="K13" s="219">
        <v>65.236801</v>
      </c>
      <c r="L13" s="159">
        <v>173.02369200000001</v>
      </c>
      <c r="M13" s="219">
        <v>106.32983400000001</v>
      </c>
      <c r="N13" s="159">
        <v>20.166156999999998</v>
      </c>
      <c r="O13"/>
    </row>
    <row r="14" spans="1:22" ht="20" customHeight="1" thickBot="1">
      <c r="A14" s="218">
        <v>2002</v>
      </c>
      <c r="B14" s="159">
        <v>11864.756498999999</v>
      </c>
      <c r="C14" s="160">
        <v>4.9231117155315675E-2</v>
      </c>
      <c r="D14" s="159">
        <v>4108.8234659999998</v>
      </c>
      <c r="E14" s="219">
        <v>1972.059045</v>
      </c>
      <c r="F14" s="159">
        <v>1260.789229</v>
      </c>
      <c r="G14" s="219">
        <v>2524.68426</v>
      </c>
      <c r="H14" s="159">
        <v>290.06557500000002</v>
      </c>
      <c r="I14" s="219">
        <v>506.24601999999999</v>
      </c>
      <c r="J14" s="159">
        <v>485.55174599999998</v>
      </c>
      <c r="K14" s="219">
        <v>65.211265999999995</v>
      </c>
      <c r="L14" s="159">
        <v>202.87558799999999</v>
      </c>
      <c r="M14" s="219">
        <v>112.82700800000001</v>
      </c>
      <c r="N14" s="159">
        <v>22.283301000000002</v>
      </c>
      <c r="O14"/>
    </row>
    <row r="15" spans="1:22" ht="20" customHeight="1" thickBot="1">
      <c r="A15" s="218">
        <v>2003</v>
      </c>
      <c r="B15" s="159">
        <v>12287.171129999999</v>
      </c>
      <c r="C15" s="160">
        <v>3.560246946792394E-2</v>
      </c>
      <c r="D15" s="159">
        <v>4172.0328019999997</v>
      </c>
      <c r="E15" s="219">
        <v>2141.3752909999998</v>
      </c>
      <c r="F15" s="159">
        <v>1347.924618</v>
      </c>
      <c r="G15" s="219">
        <v>2602.0570160000002</v>
      </c>
      <c r="H15" s="159">
        <v>320.12044100000003</v>
      </c>
      <c r="I15" s="219">
        <v>491.37185499999998</v>
      </c>
      <c r="J15" s="159">
        <v>480.48790700000001</v>
      </c>
      <c r="K15" s="219">
        <v>65.007204000000002</v>
      </c>
      <c r="L15" s="159">
        <v>214.51952800000001</v>
      </c>
      <c r="M15" s="219">
        <v>112.746364</v>
      </c>
      <c r="N15" s="159">
        <v>30.331126999999999</v>
      </c>
      <c r="O15"/>
    </row>
    <row r="16" spans="1:22" ht="20" customHeight="1" thickBot="1">
      <c r="A16" s="218">
        <v>2004</v>
      </c>
      <c r="B16" s="159">
        <v>12930.941864000002</v>
      </c>
      <c r="C16" s="160">
        <v>5.2393730598265333E-2</v>
      </c>
      <c r="D16" s="159">
        <v>4377.7035830000004</v>
      </c>
      <c r="E16" s="219">
        <v>2192.3005199999998</v>
      </c>
      <c r="F16" s="159">
        <v>1398.7252390000001</v>
      </c>
      <c r="G16" s="219">
        <v>2750.1970510000001</v>
      </c>
      <c r="H16" s="159">
        <v>365.15373399999999</v>
      </c>
      <c r="I16" s="219">
        <v>505.40384999999998</v>
      </c>
      <c r="J16" s="159">
        <v>591.27084500000001</v>
      </c>
      <c r="K16" s="219">
        <v>68.244215999999994</v>
      </c>
      <c r="L16" s="159">
        <v>259.95297099999999</v>
      </c>
      <c r="M16" s="219">
        <v>79.496533999999997</v>
      </c>
      <c r="N16" s="159">
        <v>25.676613</v>
      </c>
      <c r="O16"/>
    </row>
    <row r="17" spans="1:17" s="280" customFormat="1" ht="30" customHeight="1" thickBot="1">
      <c r="A17" s="485">
        <v>2005</v>
      </c>
      <c r="B17" s="161">
        <v>13896.515273999998</v>
      </c>
      <c r="C17" s="162">
        <v>7.467154520956984E-2</v>
      </c>
      <c r="D17" s="161">
        <v>4526.5123919999996</v>
      </c>
      <c r="E17" s="487">
        <v>2671.1515180000001</v>
      </c>
      <c r="F17" s="161">
        <v>1472.471274</v>
      </c>
      <c r="G17" s="487">
        <v>2820.8304370000001</v>
      </c>
      <c r="H17" s="161">
        <v>388.382814</v>
      </c>
      <c r="I17" s="487">
        <v>531.73997799999995</v>
      </c>
      <c r="J17" s="161">
        <v>664.98868300000004</v>
      </c>
      <c r="K17" s="487">
        <v>69.204526000000001</v>
      </c>
      <c r="L17" s="161">
        <v>297.96774900000003</v>
      </c>
      <c r="M17" s="487">
        <v>52.688243999999997</v>
      </c>
      <c r="N17" s="161">
        <v>24.155256000000001</v>
      </c>
      <c r="O17"/>
      <c r="P17" s="820"/>
      <c r="Q17" s="821"/>
    </row>
    <row r="18" spans="1:17" ht="17.25" customHeight="1" thickBot="1">
      <c r="A18" s="211"/>
      <c r="B18" s="822"/>
      <c r="C18" s="829"/>
      <c r="D18" s="822"/>
      <c r="E18" s="829"/>
      <c r="F18" s="822"/>
      <c r="G18" s="829"/>
      <c r="P18" s="5"/>
      <c r="Q18" s="5"/>
    </row>
    <row r="19" spans="1:17" s="398" customFormat="1" ht="51" customHeight="1" thickBot="1">
      <c r="A19" s="830" t="s">
        <v>2142</v>
      </c>
      <c r="B19" s="378">
        <v>5.8521998778266582E-2</v>
      </c>
      <c r="C19" s="796" t="s">
        <v>1646</v>
      </c>
      <c r="D19" s="378">
        <v>2.7321821552167114E-2</v>
      </c>
      <c r="E19" s="796">
        <v>0.10801547204461714</v>
      </c>
      <c r="F19" s="378">
        <v>6.7226994435659826E-2</v>
      </c>
      <c r="G19" s="796">
        <v>6.7340601669625411E-2</v>
      </c>
      <c r="H19" s="378">
        <v>8.1814701721677707E-2</v>
      </c>
      <c r="I19" s="796">
        <v>3.5082390437598976E-2</v>
      </c>
      <c r="J19" s="378">
        <v>7.628008176977974E-2</v>
      </c>
      <c r="K19" s="796">
        <v>2.992056273494792E-2</v>
      </c>
      <c r="L19" s="378">
        <v>0.16165951095323283</v>
      </c>
      <c r="M19" s="796">
        <v>-6.9444109029687784E-2</v>
      </c>
      <c r="N19" s="378" t="s">
        <v>1646</v>
      </c>
      <c r="P19" s="820"/>
      <c r="Q19" s="820"/>
    </row>
    <row r="20" spans="1:17" ht="39" customHeight="1">
      <c r="A20" s="211"/>
      <c r="B20" s="831"/>
      <c r="C20" s="829"/>
      <c r="D20" s="822"/>
      <c r="E20" s="829"/>
      <c r="F20" s="822"/>
      <c r="G20" s="829"/>
    </row>
    <row r="21" spans="1:17" ht="16.5" customHeight="1">
      <c r="A21" s="125" t="s">
        <v>1800</v>
      </c>
      <c r="B21" s="587" t="s">
        <v>2143</v>
      </c>
      <c r="C21" s="127" t="s">
        <v>265</v>
      </c>
      <c r="D21" s="126"/>
      <c r="E21" s="270"/>
      <c r="F21"/>
      <c r="G21" s="2"/>
      <c r="H21" s="268" t="s">
        <v>43</v>
      </c>
      <c r="I21" s="127" t="s">
        <v>265</v>
      </c>
    </row>
    <row r="22" spans="1:17" ht="15.75" customHeight="1">
      <c r="A22" s="212"/>
      <c r="B22" s="587" t="s">
        <v>2151</v>
      </c>
      <c r="C22" s="131" t="s">
        <v>267</v>
      </c>
      <c r="D22" s="832" t="s">
        <v>1107</v>
      </c>
      <c r="E22" s="833" t="s">
        <v>1107</v>
      </c>
      <c r="F22"/>
      <c r="G22" s="2"/>
      <c r="H22" s="587" t="s">
        <v>2056</v>
      </c>
      <c r="I22" s="131" t="s">
        <v>267</v>
      </c>
    </row>
    <row r="23" spans="1:17" ht="12" customHeight="1">
      <c r="A23" s="212"/>
      <c r="B23" s="129"/>
      <c r="C23" s="131" t="s">
        <v>268</v>
      </c>
      <c r="D23" s="832" t="s">
        <v>2144</v>
      </c>
      <c r="E23" s="833" t="s">
        <v>2145</v>
      </c>
      <c r="F23"/>
      <c r="G23" s="2"/>
      <c r="H23" s="129"/>
      <c r="I23" s="131" t="s">
        <v>268</v>
      </c>
    </row>
    <row r="24" spans="1:17" ht="19.5" customHeight="1">
      <c r="A24" s="827"/>
      <c r="B24" s="353"/>
      <c r="C24" s="828"/>
      <c r="D24" s="832" t="s">
        <v>2146</v>
      </c>
      <c r="E24" s="833"/>
      <c r="F24"/>
      <c r="G24" s="2"/>
      <c r="H24" s="353"/>
      <c r="I24" s="828"/>
    </row>
    <row r="25" spans="1:17" ht="19.5" customHeight="1">
      <c r="A25" s="214"/>
      <c r="B25" s="135"/>
      <c r="C25" s="273"/>
      <c r="D25" s="834"/>
      <c r="E25" s="835"/>
      <c r="F25"/>
      <c r="G25" s="2"/>
      <c r="H25" s="135"/>
      <c r="I25" s="273"/>
    </row>
    <row r="26" spans="1:17" ht="19.5" customHeight="1" thickBot="1">
      <c r="A26" s="216">
        <v>1996</v>
      </c>
      <c r="B26" s="157">
        <v>4244.395068032557</v>
      </c>
      <c r="C26" s="158">
        <v>8.4154117430895334E-2</v>
      </c>
      <c r="D26" s="310" t="s">
        <v>1646</v>
      </c>
      <c r="E26" s="311" t="s">
        <v>1646</v>
      </c>
      <c r="F26"/>
      <c r="G26" s="2"/>
      <c r="H26" s="157">
        <v>12459.017248</v>
      </c>
      <c r="I26" s="158">
        <v>0.10184935576083168</v>
      </c>
    </row>
    <row r="27" spans="1:17" ht="19.5" customHeight="1" thickBot="1">
      <c r="A27" s="218">
        <v>1997</v>
      </c>
      <c r="B27" s="159">
        <v>4402.8227450634458</v>
      </c>
      <c r="C27" s="160">
        <v>3.7326326718291628E-2</v>
      </c>
      <c r="D27" s="159" t="s">
        <v>1646</v>
      </c>
      <c r="E27" s="219" t="s">
        <v>1646</v>
      </c>
      <c r="F27"/>
      <c r="G27" s="2"/>
      <c r="H27" s="159">
        <v>13138.477535</v>
      </c>
      <c r="I27" s="160">
        <v>5.4535624558114414E-2</v>
      </c>
    </row>
    <row r="28" spans="1:17" ht="19.5" customHeight="1" thickBot="1">
      <c r="A28" s="218">
        <v>1998</v>
      </c>
      <c r="B28" s="159">
        <v>4691.4058439999999</v>
      </c>
      <c r="C28" s="160">
        <v>6.5545018649710712E-2</v>
      </c>
      <c r="D28" s="159">
        <v>3570.49</v>
      </c>
      <c r="E28" s="219">
        <v>1091.68</v>
      </c>
      <c r="F28"/>
      <c r="G28" s="2"/>
      <c r="H28" s="159">
        <v>14024.092651999999</v>
      </c>
      <c r="I28" s="160">
        <v>6.7406220746717538E-2</v>
      </c>
    </row>
    <row r="29" spans="1:17" ht="19.5" customHeight="1" thickBot="1">
      <c r="A29" s="218">
        <v>1999</v>
      </c>
      <c r="B29" s="159">
        <v>4793.8029630000001</v>
      </c>
      <c r="C29" s="160">
        <v>2.1826531833940437E-2</v>
      </c>
      <c r="D29" s="159">
        <v>3611.25</v>
      </c>
      <c r="E29" s="219">
        <v>1169.7</v>
      </c>
      <c r="F29"/>
      <c r="G29" s="2"/>
      <c r="H29" s="159">
        <v>14620.510517999999</v>
      </c>
      <c r="I29" s="160">
        <v>4.2528089395854327E-2</v>
      </c>
    </row>
    <row r="30" spans="1:17" ht="19.5" customHeight="1" thickBot="1">
      <c r="A30" s="218">
        <v>2000</v>
      </c>
      <c r="B30" s="159">
        <v>4935.5105860000003</v>
      </c>
      <c r="C30" s="160">
        <v>2.9560585633940716E-2</v>
      </c>
      <c r="D30" s="159">
        <v>3696.49064</v>
      </c>
      <c r="E30" s="219">
        <v>1214.941513</v>
      </c>
      <c r="F30"/>
      <c r="G30" s="2"/>
      <c r="H30" s="159">
        <v>15478.327442</v>
      </c>
      <c r="I30" s="160">
        <v>5.8672159425890213E-2</v>
      </c>
    </row>
    <row r="31" spans="1:17" ht="21.75" customHeight="1" thickBot="1">
      <c r="A31" s="218">
        <v>2001</v>
      </c>
      <c r="B31" s="159">
        <v>5078.4121850000001</v>
      </c>
      <c r="C31" s="160">
        <v>2.8953762029272606E-2</v>
      </c>
      <c r="D31" s="159">
        <v>3798.2139889999999</v>
      </c>
      <c r="E31" s="219">
        <v>1257.8527670000001</v>
      </c>
      <c r="F31"/>
      <c r="G31" s="2"/>
      <c r="H31" s="159">
        <v>16386.460816999999</v>
      </c>
      <c r="I31" s="160">
        <v>5.867128592562304E-2</v>
      </c>
    </row>
    <row r="32" spans="1:17" ht="19.5" customHeight="1" thickBot="1">
      <c r="A32" s="218">
        <v>2002</v>
      </c>
      <c r="B32" s="159">
        <v>5230.8309099999997</v>
      </c>
      <c r="C32" s="160">
        <v>3.0013066968095962E-2</v>
      </c>
      <c r="D32" s="159">
        <v>3783.9358269999998</v>
      </c>
      <c r="E32" s="219">
        <v>1392.356614</v>
      </c>
      <c r="F32"/>
      <c r="G32" s="2"/>
      <c r="H32" s="159">
        <v>17095.587409</v>
      </c>
      <c r="I32" s="160">
        <v>4.3275152573783532E-2</v>
      </c>
    </row>
    <row r="33" spans="1:9" ht="19.5" customHeight="1" thickBot="1">
      <c r="A33" s="218">
        <v>2003</v>
      </c>
      <c r="B33" s="159">
        <v>5636.9482250000001</v>
      </c>
      <c r="C33" s="160">
        <v>7.7639159435188176E-2</v>
      </c>
      <c r="D33" s="159">
        <v>4111.8764270000001</v>
      </c>
      <c r="E33" s="219">
        <v>1477.775099</v>
      </c>
      <c r="F33"/>
      <c r="G33" s="2"/>
      <c r="H33" s="159">
        <v>17924.119354999999</v>
      </c>
      <c r="I33" s="160">
        <v>4.8464666710651728E-2</v>
      </c>
    </row>
    <row r="34" spans="1:9" ht="19.5" customHeight="1" thickBot="1">
      <c r="A34" s="218">
        <v>2004</v>
      </c>
      <c r="B34" s="159">
        <v>6208.8790769999996</v>
      </c>
      <c r="C34" s="160">
        <v>0.10146107950104499</v>
      </c>
      <c r="D34" s="159">
        <v>4569.0303759999997</v>
      </c>
      <c r="E34" s="219">
        <v>1572.8925360000001</v>
      </c>
      <c r="F34"/>
      <c r="G34" s="2"/>
      <c r="H34" s="159">
        <v>19139.820941000002</v>
      </c>
      <c r="I34" s="160">
        <v>6.782489906043157E-2</v>
      </c>
    </row>
    <row r="35" spans="1:9" ht="30" customHeight="1" thickBot="1">
      <c r="A35" s="485">
        <v>2005</v>
      </c>
      <c r="B35" s="161">
        <v>6451.1913709999999</v>
      </c>
      <c r="C35" s="162">
        <v>3.902673751492685E-2</v>
      </c>
      <c r="D35" s="161">
        <v>4803.16752</v>
      </c>
      <c r="E35" s="487">
        <v>1587.1501499999999</v>
      </c>
      <c r="F35"/>
      <c r="G35" s="2"/>
      <c r="H35" s="161">
        <v>20347.706644999998</v>
      </c>
      <c r="I35" s="162">
        <v>6.3108516413157623E-2</v>
      </c>
    </row>
    <row r="36" spans="1:9" ht="19.5" customHeight="1" thickBot="1">
      <c r="A36" s="4"/>
      <c r="B36" s="822"/>
      <c r="C36" s="829"/>
      <c r="D36" s="822"/>
      <c r="E36" s="829"/>
      <c r="F36" s="822"/>
      <c r="G36" s="829"/>
    </row>
    <row r="37" spans="1:9" ht="51.75" customHeight="1" thickBot="1">
      <c r="A37" s="830" t="s">
        <v>2142</v>
      </c>
      <c r="B37" s="378">
        <v>4.6555868302714298E-2</v>
      </c>
      <c r="C37" s="796" t="s">
        <v>1646</v>
      </c>
      <c r="D37" s="378">
        <v>4.3277851506419607E-2</v>
      </c>
      <c r="E37" s="796">
        <v>5.4915134234546858E-2</v>
      </c>
      <c r="F37" s="836"/>
      <c r="G37" s="2"/>
      <c r="H37" s="378">
        <v>5.4609132708250518E-2</v>
      </c>
      <c r="I37" s="796" t="s">
        <v>1646</v>
      </c>
    </row>
    <row r="38" spans="1:9" ht="17.25" customHeight="1">
      <c r="A38" s="146" t="s">
        <v>596</v>
      </c>
      <c r="B38" s="822"/>
      <c r="C38" s="829"/>
      <c r="D38" s="822"/>
      <c r="E38" s="829"/>
      <c r="F38" s="822"/>
      <c r="G38" s="829"/>
    </row>
    <row r="39" spans="1:9" ht="14">
      <c r="A39" s="211"/>
      <c r="B39" s="822"/>
      <c r="C39" s="829"/>
      <c r="D39" s="822"/>
      <c r="E39" s="829"/>
      <c r="F39" s="822"/>
      <c r="G39" s="829"/>
    </row>
    <row r="40" spans="1:9" ht="14">
      <c r="A40" s="4" t="s">
        <v>2147</v>
      </c>
      <c r="B40" s="822"/>
      <c r="C40" s="829"/>
      <c r="D40" s="822"/>
      <c r="E40" s="829"/>
      <c r="F40" s="822"/>
      <c r="G40" s="829"/>
    </row>
    <row r="41" spans="1:9" ht="14">
      <c r="A41" s="2" t="s">
        <v>2148</v>
      </c>
      <c r="B41" s="822"/>
      <c r="C41" s="829"/>
      <c r="D41" s="822"/>
      <c r="E41" s="829"/>
      <c r="F41" s="822"/>
      <c r="G41" s="829"/>
    </row>
    <row r="42" spans="1:9">
      <c r="A42" s="2" t="s">
        <v>2149</v>
      </c>
      <c r="B42" s="5"/>
      <c r="C42" s="837"/>
      <c r="D42" s="5"/>
      <c r="E42" s="837"/>
      <c r="F42" s="5"/>
      <c r="G42" s="837"/>
    </row>
    <row r="43" spans="1:9">
      <c r="A43" s="5"/>
      <c r="B43" s="5"/>
      <c r="C43" s="837"/>
      <c r="D43" s="5"/>
      <c r="E43" s="837"/>
      <c r="F43" s="5"/>
      <c r="G43" s="837"/>
    </row>
    <row r="44" spans="1:9">
      <c r="A44" s="5" t="s">
        <v>2150</v>
      </c>
      <c r="B44" s="5"/>
      <c r="C44" s="837"/>
      <c r="D44" s="5"/>
      <c r="E44" s="837"/>
      <c r="F44" s="5"/>
      <c r="G44" s="837"/>
    </row>
    <row r="45" spans="1:9">
      <c r="A45" s="5"/>
      <c r="B45" s="5"/>
      <c r="C45" s="837"/>
      <c r="D45" s="5"/>
      <c r="E45" s="837"/>
      <c r="F45" s="5"/>
      <c r="G45" s="837"/>
    </row>
    <row r="47" spans="1:9">
      <c r="A47" s="2" t="s">
        <v>128</v>
      </c>
    </row>
    <row r="50" spans="2:5">
      <c r="B50"/>
      <c r="C50"/>
      <c r="D50"/>
      <c r="E50"/>
    </row>
    <row r="51" spans="2:5">
      <c r="B51"/>
      <c r="C51"/>
      <c r="D51"/>
      <c r="E51"/>
    </row>
    <row r="52" spans="2:5">
      <c r="B52"/>
      <c r="C52"/>
      <c r="D52"/>
      <c r="E52"/>
    </row>
    <row r="53" spans="2:5">
      <c r="B53"/>
      <c r="C53"/>
      <c r="D53"/>
      <c r="E53"/>
    </row>
    <row r="54" spans="2:5">
      <c r="B54"/>
      <c r="C54"/>
      <c r="D54"/>
      <c r="E54"/>
    </row>
  </sheetData>
  <phoneticPr fontId="0" type="noConversion"/>
  <pageMargins left="0.52" right="0.37" top="0.5" bottom="0.49" header="0.3" footer="0.4921259845"/>
  <pageSetup paperSize="9" scale="56" orientation="landscape" horizontalDpi="4294967292" verticalDpi="4294967292"/>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7CB6F-5219-244D-B1C9-38D4775C878D}">
  <sheetPr>
    <pageSetUpPr fitToPage="1"/>
  </sheetPr>
  <dimension ref="A1:H37"/>
  <sheetViews>
    <sheetView zoomScale="75" workbookViewId="0">
      <selection activeCell="A3" sqref="A3"/>
    </sheetView>
  </sheetViews>
  <sheetFormatPr baseColWidth="10" defaultColWidth="11.3984375" defaultRowHeight="13"/>
  <cols>
    <col min="1" max="1" width="33.796875" style="2" customWidth="1"/>
    <col min="2" max="4" width="16" style="2" customWidth="1"/>
    <col min="5" max="5" width="18.19921875" style="2" customWidth="1"/>
    <col min="6" max="7" width="15.19921875" style="2" customWidth="1"/>
    <col min="8" max="8" width="14.796875" style="299" customWidth="1"/>
    <col min="9" max="16384" width="11.3984375" style="2"/>
  </cols>
  <sheetData>
    <row r="1" spans="1:8" s="1" customFormat="1" ht="14" customHeight="1">
      <c r="H1" s="393"/>
    </row>
    <row r="2" spans="1:8" s="1" customFormat="1" ht="28" customHeight="1">
      <c r="A2" s="124" t="s">
        <v>1734</v>
      </c>
      <c r="H2" s="124">
        <v>2005</v>
      </c>
    </row>
    <row r="3" spans="1:8" ht="24" customHeight="1">
      <c r="A3" s="125" t="s">
        <v>382</v>
      </c>
      <c r="B3" s="126" t="s">
        <v>224</v>
      </c>
      <c r="C3" s="127" t="s">
        <v>225</v>
      </c>
      <c r="D3" s="126" t="s">
        <v>223</v>
      </c>
      <c r="E3" s="269" t="s">
        <v>43</v>
      </c>
      <c r="F3" s="126" t="s">
        <v>1806</v>
      </c>
      <c r="G3" s="127" t="s">
        <v>265</v>
      </c>
      <c r="H3" s="126" t="s">
        <v>265</v>
      </c>
    </row>
    <row r="4" spans="1:8" ht="15" customHeight="1">
      <c r="A4" s="212"/>
      <c r="B4" s="129"/>
      <c r="C4" s="131"/>
      <c r="D4" s="129"/>
      <c r="E4" s="213"/>
      <c r="F4" s="129" t="s">
        <v>1807</v>
      </c>
      <c r="G4" s="131" t="s">
        <v>267</v>
      </c>
      <c r="H4" s="129" t="s">
        <v>267</v>
      </c>
    </row>
    <row r="5" spans="1:8" ht="15" customHeight="1">
      <c r="A5" s="212"/>
      <c r="B5" s="129"/>
      <c r="C5" s="131"/>
      <c r="D5" s="129"/>
      <c r="E5" s="213"/>
      <c r="F5" s="129" t="s">
        <v>1808</v>
      </c>
      <c r="G5" s="131" t="s">
        <v>268</v>
      </c>
      <c r="H5" s="129" t="s">
        <v>268</v>
      </c>
    </row>
    <row r="6" spans="1:8" ht="24" customHeight="1">
      <c r="A6" s="214"/>
      <c r="B6" s="135"/>
      <c r="C6" s="134"/>
      <c r="D6" s="135"/>
      <c r="E6" s="215"/>
      <c r="F6" s="135"/>
      <c r="G6" s="134" t="s">
        <v>1735</v>
      </c>
      <c r="H6" s="135" t="s">
        <v>263</v>
      </c>
    </row>
    <row r="7" spans="1:8" ht="30" customHeight="1" thickBot="1">
      <c r="A7" s="371" t="s">
        <v>383</v>
      </c>
      <c r="B7" s="138">
        <v>1539929048</v>
      </c>
      <c r="C7" s="311">
        <v>2490627785</v>
      </c>
      <c r="D7" s="310">
        <v>495955559</v>
      </c>
      <c r="E7" s="372">
        <v>4526512392</v>
      </c>
      <c r="F7" s="373">
        <v>0.22245811142123431</v>
      </c>
      <c r="G7" s="311">
        <v>148808.80900000001</v>
      </c>
      <c r="H7" s="373">
        <v>3.3992436029216755E-2</v>
      </c>
    </row>
    <row r="8" spans="1:8" ht="20" customHeight="1" thickBot="1">
      <c r="A8" s="218" t="s">
        <v>1729</v>
      </c>
      <c r="B8" s="197">
        <v>2052854126</v>
      </c>
      <c r="C8" s="219">
        <v>2542282680</v>
      </c>
      <c r="D8" s="159">
        <v>208030716</v>
      </c>
      <c r="E8" s="374">
        <v>4803167520</v>
      </c>
      <c r="F8" s="373">
        <v>0.23605449025776437</v>
      </c>
      <c r="G8" s="219">
        <v>234137.144</v>
      </c>
      <c r="H8" s="301">
        <v>5.1244383322524012E-2</v>
      </c>
    </row>
    <row r="9" spans="1:8" ht="20" customHeight="1" thickBot="1">
      <c r="A9" s="218" t="s">
        <v>384</v>
      </c>
      <c r="B9" s="159">
        <v>1123682721</v>
      </c>
      <c r="C9" s="219">
        <v>1315399299</v>
      </c>
      <c r="D9" s="159">
        <v>232069496</v>
      </c>
      <c r="E9" s="374">
        <v>2671151518</v>
      </c>
      <c r="F9" s="373">
        <v>0.13127531100200801</v>
      </c>
      <c r="G9" s="219">
        <v>478850.99800000002</v>
      </c>
      <c r="H9" s="301">
        <v>0.21842397683689829</v>
      </c>
    </row>
    <row r="10" spans="1:8" ht="20" customHeight="1" thickBot="1">
      <c r="A10" s="218" t="s">
        <v>385</v>
      </c>
      <c r="B10" s="159">
        <v>620789528</v>
      </c>
      <c r="C10" s="219">
        <v>784084290</v>
      </c>
      <c r="D10" s="159">
        <v>67597456</v>
      </c>
      <c r="E10" s="374">
        <v>1472471274</v>
      </c>
      <c r="F10" s="373">
        <v>7.2365466029648468E-2</v>
      </c>
      <c r="G10" s="219">
        <v>73746.035000000003</v>
      </c>
      <c r="H10" s="301">
        <v>5.2723746554200757E-2</v>
      </c>
    </row>
    <row r="11" spans="1:8" ht="20" customHeight="1" thickBot="1">
      <c r="A11" s="218" t="s">
        <v>386</v>
      </c>
      <c r="B11" s="159">
        <v>1175030497</v>
      </c>
      <c r="C11" s="219">
        <v>1544100276</v>
      </c>
      <c r="D11" s="159">
        <v>101699664</v>
      </c>
      <c r="E11" s="374">
        <v>2820830437</v>
      </c>
      <c r="F11" s="373">
        <v>0.1386313694321496</v>
      </c>
      <c r="G11" s="219">
        <v>70633.385999999999</v>
      </c>
      <c r="H11" s="301">
        <v>2.5683027321375729E-2</v>
      </c>
    </row>
    <row r="12" spans="1:8" ht="20" customHeight="1" thickBot="1">
      <c r="A12" s="218" t="s">
        <v>1730</v>
      </c>
      <c r="B12" s="159">
        <v>406405303</v>
      </c>
      <c r="C12" s="219">
        <v>1180106100</v>
      </c>
      <c r="D12" s="159">
        <v>638746</v>
      </c>
      <c r="E12" s="374">
        <v>1587150150</v>
      </c>
      <c r="F12" s="373">
        <v>7.800142677946495E-2</v>
      </c>
      <c r="G12" s="219">
        <v>14257.614</v>
      </c>
      <c r="H12" s="301">
        <v>9.0645824006885256E-3</v>
      </c>
    </row>
    <row r="13" spans="1:8" ht="20" customHeight="1" thickBot="1">
      <c r="A13" s="218" t="s">
        <v>387</v>
      </c>
      <c r="B13" s="159">
        <v>125956925</v>
      </c>
      <c r="C13" s="219">
        <v>260499932</v>
      </c>
      <c r="D13" s="159">
        <v>1925957</v>
      </c>
      <c r="E13" s="374">
        <v>388382814</v>
      </c>
      <c r="F13" s="373">
        <v>1.9087301619587507E-2</v>
      </c>
      <c r="G13" s="219">
        <v>23229.08</v>
      </c>
      <c r="H13" s="301">
        <v>6.3614521329254714E-2</v>
      </c>
    </row>
    <row r="14" spans="1:8" ht="20" customHeight="1" thickBot="1">
      <c r="A14" s="218" t="s">
        <v>388</v>
      </c>
      <c r="B14" s="159">
        <v>176074773</v>
      </c>
      <c r="C14" s="219">
        <v>327769179</v>
      </c>
      <c r="D14" s="159">
        <v>27896026</v>
      </c>
      <c r="E14" s="374">
        <v>531739978</v>
      </c>
      <c r="F14" s="373">
        <v>2.6132673685398514E-2</v>
      </c>
      <c r="G14" s="219">
        <v>26336.128000000001</v>
      </c>
      <c r="H14" s="301">
        <v>5.2109076731409854E-2</v>
      </c>
    </row>
    <row r="15" spans="1:8" ht="20" customHeight="1" thickBot="1">
      <c r="A15" s="218" t="s">
        <v>389</v>
      </c>
      <c r="B15" s="159">
        <v>229080342</v>
      </c>
      <c r="C15" s="219">
        <v>394966992</v>
      </c>
      <c r="D15" s="159">
        <v>40941349</v>
      </c>
      <c r="E15" s="374">
        <v>664988683</v>
      </c>
      <c r="F15" s="373">
        <v>3.268125959361648E-2</v>
      </c>
      <c r="G15" s="219">
        <v>73717.838000000003</v>
      </c>
      <c r="H15" s="301">
        <v>0.12467693718265438</v>
      </c>
    </row>
    <row r="16" spans="1:8" ht="20" customHeight="1" thickBot="1">
      <c r="A16" s="218" t="s">
        <v>390</v>
      </c>
      <c r="B16" s="159">
        <v>26602243</v>
      </c>
      <c r="C16" s="219">
        <v>39464606</v>
      </c>
      <c r="D16" s="159">
        <v>3137677</v>
      </c>
      <c r="E16" s="374">
        <v>69204526</v>
      </c>
      <c r="F16" s="373">
        <v>3.4010970969549281E-3</v>
      </c>
      <c r="G16" s="219">
        <v>960.31</v>
      </c>
      <c r="H16" s="301">
        <v>1.4071668725742281E-2</v>
      </c>
    </row>
    <row r="17" spans="1:8" ht="20" customHeight="1" thickBot="1">
      <c r="A17" s="218" t="s">
        <v>391</v>
      </c>
      <c r="B17" s="159">
        <v>133441147</v>
      </c>
      <c r="C17" s="219">
        <v>139985340</v>
      </c>
      <c r="D17" s="159">
        <v>24541262</v>
      </c>
      <c r="E17" s="374">
        <v>297967749</v>
      </c>
      <c r="F17" s="373">
        <v>1.4643800119519563E-2</v>
      </c>
      <c r="G17" s="219">
        <v>38014.777999999998</v>
      </c>
      <c r="H17" s="301">
        <v>0.1462371361010526</v>
      </c>
    </row>
    <row r="18" spans="1:8" ht="20" customHeight="1" thickBot="1">
      <c r="A18" s="218" t="s">
        <v>1731</v>
      </c>
      <c r="B18" s="159">
        <v>19496422</v>
      </c>
      <c r="C18" s="219">
        <v>29871451</v>
      </c>
      <c r="D18" s="159">
        <v>3320371</v>
      </c>
      <c r="E18" s="374">
        <v>52688244</v>
      </c>
      <c r="F18" s="373">
        <v>2.5893947125951401E-3</v>
      </c>
      <c r="G18" s="219">
        <v>-26808.29</v>
      </c>
      <c r="H18" s="301">
        <v>-0.33722589716930296</v>
      </c>
    </row>
    <row r="19" spans="1:8" ht="20" customHeight="1" thickBot="1">
      <c r="A19" s="141" t="s">
        <v>392</v>
      </c>
      <c r="B19" s="159">
        <v>6246909</v>
      </c>
      <c r="C19" s="219">
        <v>14605865</v>
      </c>
      <c r="D19" s="159">
        <v>3302482</v>
      </c>
      <c r="E19" s="374">
        <v>24155256</v>
      </c>
      <c r="F19" s="373">
        <v>1.1871242504833154E-3</v>
      </c>
      <c r="G19" s="219">
        <v>-1521.357</v>
      </c>
      <c r="H19" s="301">
        <v>-5.925068855460025E-2</v>
      </c>
    </row>
    <row r="20" spans="1:8" ht="20" customHeight="1" thickBot="1">
      <c r="A20" s="218" t="s">
        <v>393</v>
      </c>
      <c r="B20" s="159">
        <v>126366128</v>
      </c>
      <c r="C20" s="219">
        <v>188389723</v>
      </c>
      <c r="D20" s="159">
        <v>61666553</v>
      </c>
      <c r="E20" s="374">
        <v>376422403</v>
      </c>
      <c r="F20" s="373">
        <v>1.8499500192691126E-2</v>
      </c>
      <c r="G20" s="219">
        <v>59605.678999999996</v>
      </c>
      <c r="H20" s="301">
        <v>0.18813930731762762</v>
      </c>
    </row>
    <row r="21" spans="1:8" ht="20" customHeight="1" thickBot="1">
      <c r="A21" s="218" t="s">
        <v>1732</v>
      </c>
      <c r="B21" s="159">
        <v>27211070</v>
      </c>
      <c r="C21" s="219">
        <v>28749962</v>
      </c>
      <c r="D21" s="159">
        <v>4912670</v>
      </c>
      <c r="E21" s="374">
        <v>60873701</v>
      </c>
      <c r="F21" s="373">
        <v>2.9916738068837046E-3</v>
      </c>
      <c r="G21" s="219">
        <v>-6082.4639999999999</v>
      </c>
      <c r="H21" s="301">
        <v>-9.0842478806843263E-2</v>
      </c>
    </row>
    <row r="22" spans="1:8" ht="30" customHeight="1" thickBot="1">
      <c r="A22" s="375" t="s">
        <v>394</v>
      </c>
      <c r="B22" s="376">
        <v>7789167181</v>
      </c>
      <c r="C22" s="377">
        <v>11280903482</v>
      </c>
      <c r="D22" s="376">
        <v>1277635982</v>
      </c>
      <c r="E22" s="207">
        <v>20347706645</v>
      </c>
      <c r="F22" s="378">
        <v>1</v>
      </c>
      <c r="G22" s="377">
        <v>1207885.7039999999</v>
      </c>
      <c r="H22" s="378">
        <v>6.3108516413157734E-2</v>
      </c>
    </row>
    <row r="23" spans="1:8" ht="14.25" customHeight="1">
      <c r="A23" s="379"/>
      <c r="B23" s="337"/>
      <c r="C23" s="337"/>
      <c r="D23" s="337"/>
      <c r="E23" s="338"/>
      <c r="F23" s="380"/>
      <c r="G23" s="337"/>
      <c r="H23" s="380"/>
    </row>
    <row r="24" spans="1:8" ht="30" customHeight="1" thickBot="1">
      <c r="A24" s="381" t="s">
        <v>395</v>
      </c>
      <c r="B24" s="382" t="s">
        <v>1646</v>
      </c>
      <c r="C24" s="383">
        <v>469118040</v>
      </c>
      <c r="D24" s="382">
        <v>2699933</v>
      </c>
      <c r="E24" s="384">
        <v>471817972</v>
      </c>
      <c r="F24" s="385">
        <v>2.3187771488534747E-2</v>
      </c>
      <c r="G24" s="383">
        <v>28334.637999999999</v>
      </c>
      <c r="H24" s="385">
        <v>6.38910999077138E-2</v>
      </c>
    </row>
    <row r="25" spans="1:8" ht="33" customHeight="1" thickBot="1">
      <c r="A25" s="386" t="s">
        <v>1733</v>
      </c>
      <c r="B25" s="387">
        <v>149579150</v>
      </c>
      <c r="C25" s="388">
        <v>145638207</v>
      </c>
      <c r="D25" s="387">
        <v>9078397</v>
      </c>
      <c r="E25" s="389">
        <v>304295755</v>
      </c>
      <c r="F25" s="390">
        <v>1.4954793692918409E-2</v>
      </c>
      <c r="G25" s="388">
        <v>44881.703999999998</v>
      </c>
      <c r="H25" s="390">
        <v>0.17301184660965041</v>
      </c>
    </row>
    <row r="26" spans="1:8" ht="20" customHeight="1">
      <c r="A26" s="146" t="s">
        <v>596</v>
      </c>
      <c r="B26" s="223"/>
      <c r="C26" s="223"/>
      <c r="D26" s="223"/>
      <c r="E26" s="223"/>
      <c r="F26" s="223"/>
    </row>
    <row r="27" spans="1:8" ht="12" customHeight="1">
      <c r="A27" s="4"/>
      <c r="B27" s="225"/>
      <c r="C27" s="225"/>
      <c r="D27" s="225"/>
      <c r="E27" s="225"/>
      <c r="F27" s="225"/>
    </row>
    <row r="28" spans="1:8">
      <c r="A28" s="4" t="s">
        <v>396</v>
      </c>
    </row>
    <row r="29" spans="1:8">
      <c r="A29" s="4" t="s">
        <v>1726</v>
      </c>
    </row>
    <row r="30" spans="1:8">
      <c r="A30" s="227" t="s">
        <v>1727</v>
      </c>
    </row>
    <row r="32" spans="1:8">
      <c r="A32" s="4" t="s">
        <v>1736</v>
      </c>
      <c r="B32" s="4"/>
    </row>
    <row r="33" spans="1:2" ht="14">
      <c r="A33" s="394"/>
      <c r="B33" s="4"/>
    </row>
    <row r="34" spans="1:2">
      <c r="A34" s="4"/>
      <c r="B34" s="4"/>
    </row>
    <row r="35" spans="1:2">
      <c r="A35" s="4" t="s">
        <v>128</v>
      </c>
      <c r="B35" s="4"/>
    </row>
    <row r="36" spans="1:2">
      <c r="A36" s="4"/>
      <c r="B36" s="4"/>
    </row>
    <row r="37" spans="1:2">
      <c r="A37" s="4"/>
      <c r="B37" s="4"/>
    </row>
  </sheetData>
  <phoneticPr fontId="0" type="noConversion"/>
  <pageMargins left="0.49" right="0.5" top="0.71" bottom="0.46" header="0.35" footer="0.2"/>
  <pageSetup paperSize="9" scale="78" orientation="landscape" horizontalDpi="4294967292" verticalDpi="4294967292"/>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BD26F-3F18-2F4D-B856-91ABA02921E2}">
  <sheetPr>
    <pageSetUpPr fitToPage="1"/>
  </sheetPr>
  <dimension ref="A1:V53"/>
  <sheetViews>
    <sheetView topLeftCell="A7" zoomScale="75" workbookViewId="0">
      <selection activeCell="A19" sqref="A19:IV19"/>
    </sheetView>
  </sheetViews>
  <sheetFormatPr baseColWidth="10" defaultColWidth="11.3984375" defaultRowHeight="13"/>
  <cols>
    <col min="1" max="1" width="11.796875" style="2" customWidth="1"/>
    <col min="2" max="2" width="17" style="2" customWidth="1"/>
    <col min="3" max="3" width="13" style="210" customWidth="1"/>
    <col min="4" max="4" width="13" style="2" customWidth="1"/>
    <col min="5" max="5" width="14" style="210" customWidth="1"/>
    <col min="6" max="6" width="13" style="2" customWidth="1"/>
    <col min="7" max="7" width="13" style="210" customWidth="1"/>
    <col min="8" max="8" width="13" style="2" customWidth="1"/>
    <col min="9" max="9" width="15.3984375" style="2" customWidth="1"/>
    <col min="10" max="12" width="13" style="2" customWidth="1"/>
    <col min="13" max="13" width="14.19921875" style="2" customWidth="1"/>
    <col min="14" max="14" width="13" style="2" customWidth="1"/>
    <col min="15" max="15" width="14.796875" style="2" customWidth="1"/>
    <col min="16" max="16" width="13" style="2" customWidth="1"/>
    <col min="17" max="16384" width="11.3984375" style="2"/>
  </cols>
  <sheetData>
    <row r="1" spans="1:22" s="1" customFormat="1" ht="14" customHeight="1">
      <c r="A1" s="404"/>
      <c r="B1" s="404"/>
      <c r="C1" s="823"/>
      <c r="D1" s="404"/>
      <c r="E1" s="823"/>
      <c r="F1" s="404"/>
      <c r="G1" s="824"/>
      <c r="H1" s="824"/>
      <c r="I1" s="824"/>
      <c r="J1" s="824"/>
      <c r="K1" s="824"/>
      <c r="L1" s="824"/>
      <c r="M1" s="824"/>
      <c r="N1" s="824"/>
      <c r="O1" s="824"/>
      <c r="P1" s="824"/>
      <c r="Q1" s="824"/>
      <c r="R1" s="824"/>
      <c r="S1" s="824"/>
      <c r="T1" s="824"/>
      <c r="U1" s="824"/>
    </row>
    <row r="2" spans="1:22" s="1" customFormat="1" ht="28" customHeight="1">
      <c r="A2" s="124" t="s">
        <v>729</v>
      </c>
      <c r="B2" s="404"/>
      <c r="C2" s="823"/>
      <c r="D2" s="404"/>
      <c r="E2" s="823"/>
      <c r="F2" s="404"/>
      <c r="G2" s="823"/>
      <c r="N2" s="405">
        <v>2005</v>
      </c>
    </row>
    <row r="3" spans="1:22" ht="24" customHeight="1">
      <c r="A3" s="125" t="s">
        <v>328</v>
      </c>
      <c r="B3" s="268" t="s">
        <v>2129</v>
      </c>
      <c r="C3" s="127" t="s">
        <v>265</v>
      </c>
      <c r="D3" s="126"/>
      <c r="E3" s="270"/>
      <c r="F3" s="126"/>
      <c r="G3" s="270"/>
      <c r="H3" s="126"/>
      <c r="I3" s="270"/>
      <c r="J3" s="126"/>
      <c r="K3" s="270"/>
      <c r="L3" s="126"/>
      <c r="M3" s="270"/>
      <c r="N3" s="126"/>
      <c r="O3"/>
    </row>
    <row r="4" spans="1:22" ht="15" customHeight="1">
      <c r="A4" s="212"/>
      <c r="B4" s="587" t="s">
        <v>2152</v>
      </c>
      <c r="C4" s="131" t="s">
        <v>267</v>
      </c>
      <c r="D4" s="825" t="s">
        <v>1107</v>
      </c>
      <c r="E4" s="826" t="s">
        <v>1107</v>
      </c>
      <c r="F4" s="825" t="s">
        <v>1107</v>
      </c>
      <c r="G4" s="826" t="s">
        <v>1107</v>
      </c>
      <c r="H4" s="825" t="s">
        <v>1107</v>
      </c>
      <c r="I4" s="826" t="s">
        <v>1107</v>
      </c>
      <c r="J4" s="825" t="s">
        <v>1107</v>
      </c>
      <c r="K4" s="826" t="s">
        <v>1107</v>
      </c>
      <c r="L4" s="825" t="s">
        <v>1107</v>
      </c>
      <c r="M4" s="826" t="s">
        <v>1107</v>
      </c>
      <c r="N4" s="825" t="s">
        <v>1107</v>
      </c>
      <c r="O4"/>
    </row>
    <row r="5" spans="1:22" ht="15" customHeight="1">
      <c r="A5" s="212"/>
      <c r="B5" s="129"/>
      <c r="C5" s="131" t="s">
        <v>268</v>
      </c>
      <c r="D5" s="825" t="s">
        <v>2130</v>
      </c>
      <c r="E5" s="826" t="s">
        <v>2131</v>
      </c>
      <c r="F5" s="825" t="s">
        <v>2132</v>
      </c>
      <c r="G5" s="826" t="s">
        <v>2132</v>
      </c>
      <c r="H5" s="825" t="s">
        <v>387</v>
      </c>
      <c r="I5" s="826" t="s">
        <v>388</v>
      </c>
      <c r="J5" s="825" t="s">
        <v>389</v>
      </c>
      <c r="K5" s="826" t="s">
        <v>390</v>
      </c>
      <c r="L5" s="825" t="s">
        <v>2133</v>
      </c>
      <c r="M5" s="826" t="s">
        <v>2134</v>
      </c>
      <c r="N5" s="825" t="s">
        <v>2135</v>
      </c>
      <c r="O5"/>
    </row>
    <row r="6" spans="1:22" s="4" customFormat="1" ht="19.5" customHeight="1">
      <c r="A6" s="827"/>
      <c r="B6" s="353"/>
      <c r="C6" s="828"/>
      <c r="D6" s="818" t="s">
        <v>2136</v>
      </c>
      <c r="E6" s="819" t="s">
        <v>2136</v>
      </c>
      <c r="F6" s="818" t="s">
        <v>2137</v>
      </c>
      <c r="G6" s="819" t="s">
        <v>2138</v>
      </c>
      <c r="H6" s="818"/>
      <c r="I6" s="819"/>
      <c r="J6" s="818"/>
      <c r="K6" s="819"/>
      <c r="L6" s="818" t="s">
        <v>2139</v>
      </c>
      <c r="M6" s="819" t="s">
        <v>2140</v>
      </c>
      <c r="N6" s="818" t="s">
        <v>2141</v>
      </c>
      <c r="O6"/>
    </row>
    <row r="7" spans="1:22" ht="19.5" customHeight="1">
      <c r="A7" s="214"/>
      <c r="B7" s="135"/>
      <c r="C7" s="273"/>
      <c r="D7" s="353"/>
      <c r="E7" s="828"/>
      <c r="F7" s="353"/>
      <c r="G7" s="828"/>
      <c r="H7" s="353"/>
      <c r="I7" s="828"/>
      <c r="J7" s="353"/>
      <c r="K7" s="273"/>
      <c r="L7" s="353"/>
      <c r="M7" s="828"/>
      <c r="N7" s="353"/>
      <c r="O7"/>
    </row>
    <row r="8" spans="1:22" ht="20" customHeight="1" thickBot="1">
      <c r="A8" s="216">
        <v>1996</v>
      </c>
      <c r="B8" s="157">
        <v>1141.7516401488424</v>
      </c>
      <c r="C8" s="158">
        <v>0.10634844182252187</v>
      </c>
      <c r="D8" s="310" t="s">
        <v>1646</v>
      </c>
      <c r="E8" s="311" t="s">
        <v>1646</v>
      </c>
      <c r="F8" s="310" t="s">
        <v>1646</v>
      </c>
      <c r="G8" s="311" t="s">
        <v>1646</v>
      </c>
      <c r="H8" s="310" t="s">
        <v>1646</v>
      </c>
      <c r="I8" s="311" t="s">
        <v>1646</v>
      </c>
      <c r="J8" s="310" t="s">
        <v>1646</v>
      </c>
      <c r="K8" s="217">
        <v>7.9057602247415275</v>
      </c>
      <c r="L8" s="310" t="s">
        <v>1646</v>
      </c>
      <c r="M8" s="311" t="s">
        <v>1646</v>
      </c>
      <c r="N8" s="310" t="s">
        <v>1646</v>
      </c>
      <c r="O8"/>
    </row>
    <row r="9" spans="1:22" ht="20" customHeight="1" thickBot="1">
      <c r="A9" s="218">
        <v>1997</v>
      </c>
      <c r="B9" s="159">
        <v>1210.7956888559779</v>
      </c>
      <c r="C9" s="160">
        <v>6.0472038120422331E-2</v>
      </c>
      <c r="D9" s="310" t="s">
        <v>1646</v>
      </c>
      <c r="E9" s="311" t="s">
        <v>1646</v>
      </c>
      <c r="F9" s="310" t="s">
        <v>1646</v>
      </c>
      <c r="G9" s="311" t="s">
        <v>1646</v>
      </c>
      <c r="H9" s="310" t="s">
        <v>1646</v>
      </c>
      <c r="I9" s="311" t="s">
        <v>1646</v>
      </c>
      <c r="J9" s="310" t="s">
        <v>1646</v>
      </c>
      <c r="K9" s="219">
        <v>7.7978545504694852</v>
      </c>
      <c r="L9" s="310" t="s">
        <v>1646</v>
      </c>
      <c r="M9" s="311" t="s">
        <v>1646</v>
      </c>
      <c r="N9" s="310" t="s">
        <v>1646</v>
      </c>
      <c r="O9"/>
      <c r="T9" s="10"/>
      <c r="U9" s="10"/>
      <c r="V9" s="10"/>
    </row>
    <row r="10" spans="1:22" ht="20" customHeight="1" thickBot="1">
      <c r="A10" s="218">
        <v>1998</v>
      </c>
      <c r="B10" s="159">
        <v>1287.5152367980425</v>
      </c>
      <c r="C10" s="160">
        <v>6.3362917995316875E-2</v>
      </c>
      <c r="D10" s="159">
        <v>517.08722356569945</v>
      </c>
      <c r="E10" s="219">
        <v>179.73118406401895</v>
      </c>
      <c r="F10" s="159">
        <v>128.82344363458725</v>
      </c>
      <c r="G10" s="219">
        <v>246.60475956539489</v>
      </c>
      <c r="H10" s="159">
        <v>30.898367588899543</v>
      </c>
      <c r="I10" s="219">
        <v>57.626276401121707</v>
      </c>
      <c r="J10" s="159">
        <v>54.838152951679106</v>
      </c>
      <c r="K10" s="219">
        <v>7.7670138646025997</v>
      </c>
      <c r="L10" s="159">
        <v>14.400016113449723</v>
      </c>
      <c r="M10" s="219">
        <v>12.029904244997278</v>
      </c>
      <c r="N10" s="310" t="s">
        <v>1646</v>
      </c>
      <c r="O10"/>
    </row>
    <row r="11" spans="1:22" ht="20" customHeight="1" thickBot="1">
      <c r="A11" s="218">
        <v>1999</v>
      </c>
      <c r="B11" s="159">
        <v>1352.3238940325609</v>
      </c>
      <c r="C11" s="160">
        <v>5.0336225453683124E-2</v>
      </c>
      <c r="D11" s="159">
        <v>518.06404538945253</v>
      </c>
      <c r="E11" s="219">
        <v>204.30235377691758</v>
      </c>
      <c r="F11" s="159">
        <v>141.98928952923086</v>
      </c>
      <c r="G11" s="219">
        <v>257.76112793251912</v>
      </c>
      <c r="H11" s="159">
        <v>32.377196611204184</v>
      </c>
      <c r="I11" s="219">
        <v>60.164859890561303</v>
      </c>
      <c r="J11" s="159">
        <v>56.955626988052352</v>
      </c>
      <c r="K11" s="219">
        <v>8.3396017963997693</v>
      </c>
      <c r="L11" s="159">
        <v>17.207653607620909</v>
      </c>
      <c r="M11" s="219">
        <v>12.096551120520457</v>
      </c>
      <c r="N11" s="310" t="s">
        <v>1646</v>
      </c>
      <c r="O11"/>
    </row>
    <row r="12" spans="1:22" ht="20" customHeight="1" thickBot="1">
      <c r="A12" s="218">
        <v>2000</v>
      </c>
      <c r="B12" s="159">
        <v>1450.5580412847301</v>
      </c>
      <c r="C12" s="160">
        <v>7.2640990583431833E-2</v>
      </c>
      <c r="D12" s="159">
        <v>529.21209403653847</v>
      </c>
      <c r="E12" s="219">
        <v>229.20515647050519</v>
      </c>
      <c r="F12" s="159">
        <v>157.29094134638285</v>
      </c>
      <c r="G12" s="219">
        <v>288.62612926522451</v>
      </c>
      <c r="H12" s="159">
        <v>34.826324886892891</v>
      </c>
      <c r="I12" s="219">
        <v>61.466051770535699</v>
      </c>
      <c r="J12" s="159">
        <v>60.915877179090963</v>
      </c>
      <c r="K12" s="219">
        <v>8.5704340508833727</v>
      </c>
      <c r="L12" s="159">
        <v>24.747916343049795</v>
      </c>
      <c r="M12" s="219">
        <v>15.759969543668223</v>
      </c>
      <c r="N12" s="310" t="s">
        <v>1646</v>
      </c>
      <c r="O12"/>
    </row>
    <row r="13" spans="1:22" ht="20" customHeight="1" thickBot="1">
      <c r="A13" s="218">
        <v>2001</v>
      </c>
      <c r="B13" s="159">
        <v>1544.5438256962198</v>
      </c>
      <c r="C13" s="160">
        <v>6.4792846433258458E-2</v>
      </c>
      <c r="D13" s="159">
        <v>547.93048954371</v>
      </c>
      <c r="E13" s="219">
        <v>263.00336757731259</v>
      </c>
      <c r="F13" s="159">
        <v>173.66492025240916</v>
      </c>
      <c r="G13" s="219">
        <v>306.29039074687279</v>
      </c>
      <c r="H13" s="159">
        <v>36.922691051450379</v>
      </c>
      <c r="I13" s="219">
        <v>65.579901866980492</v>
      </c>
      <c r="J13" s="159">
        <v>63.200603254591712</v>
      </c>
      <c r="K13" s="219">
        <v>8.9105646316009732</v>
      </c>
      <c r="L13" s="159">
        <v>23.632961253943467</v>
      </c>
      <c r="M13" s="219">
        <v>14.523380110628091</v>
      </c>
      <c r="N13" s="159">
        <v>2.7544551934653021</v>
      </c>
      <c r="O13"/>
    </row>
    <row r="14" spans="1:22" ht="20" customHeight="1" thickBot="1">
      <c r="A14" s="218">
        <v>2002</v>
      </c>
      <c r="B14" s="159">
        <v>1612.1984028513327</v>
      </c>
      <c r="C14" s="160">
        <v>4.380230332707908E-2</v>
      </c>
      <c r="D14" s="159">
        <v>558.31222748158302</v>
      </c>
      <c r="E14" s="219">
        <v>267.96592436983354</v>
      </c>
      <c r="F14" s="159">
        <v>171.31766517899302</v>
      </c>
      <c r="G14" s="219">
        <v>343.05735073610293</v>
      </c>
      <c r="H14" s="159">
        <v>39.414484130084595</v>
      </c>
      <c r="I14" s="219">
        <v>68.789361582147379</v>
      </c>
      <c r="J14" s="159">
        <v>65.977396962917311</v>
      </c>
      <c r="K14" s="219">
        <v>8.860990859945117</v>
      </c>
      <c r="L14" s="159">
        <v>27.566996337319864</v>
      </c>
      <c r="M14" s="219">
        <v>15.331079243929334</v>
      </c>
      <c r="N14" s="159">
        <v>3.0278836557230142</v>
      </c>
      <c r="O14"/>
    </row>
    <row r="15" spans="1:22" ht="20" customHeight="1" thickBot="1">
      <c r="A15" s="218">
        <v>2003</v>
      </c>
      <c r="B15" s="159">
        <v>1661.9584311936878</v>
      </c>
      <c r="C15" s="160">
        <v>3.0864705146928292E-2</v>
      </c>
      <c r="D15" s="159">
        <v>564.30768458748776</v>
      </c>
      <c r="E15" s="219">
        <v>289.64166622030979</v>
      </c>
      <c r="F15" s="159">
        <v>182.31980818017882</v>
      </c>
      <c r="G15" s="219">
        <v>351.95331378019876</v>
      </c>
      <c r="H15" s="159">
        <v>43.29937788677902</v>
      </c>
      <c r="I15" s="219">
        <v>66.462783713872824</v>
      </c>
      <c r="J15" s="159">
        <v>64.990624748078901</v>
      </c>
      <c r="K15" s="219">
        <v>8.7928514735456478</v>
      </c>
      <c r="L15" s="159">
        <v>29.015835658446669</v>
      </c>
      <c r="M15" s="219">
        <v>15.25003340913284</v>
      </c>
      <c r="N15" s="159">
        <v>4.1025775348875211</v>
      </c>
      <c r="O15"/>
    </row>
    <row r="16" spans="1:22" ht="20" customHeight="1" thickBot="1">
      <c r="A16" s="218">
        <v>2004</v>
      </c>
      <c r="B16" s="159">
        <v>1742.7206434955165</v>
      </c>
      <c r="C16" s="160">
        <v>4.8594604284910935E-2</v>
      </c>
      <c r="D16" s="159">
        <v>589.98907314230485</v>
      </c>
      <c r="E16" s="219">
        <v>295.45932640734321</v>
      </c>
      <c r="F16" s="159">
        <v>188.50810514969459</v>
      </c>
      <c r="G16" s="219">
        <v>370.64780159607028</v>
      </c>
      <c r="H16" s="159">
        <v>49.212265972899637</v>
      </c>
      <c r="I16" s="219">
        <v>68.113965089365536</v>
      </c>
      <c r="J16" s="159">
        <v>79.686376933396261</v>
      </c>
      <c r="K16" s="219">
        <v>9.1973659206892098</v>
      </c>
      <c r="L16" s="159">
        <v>35.034215888088021</v>
      </c>
      <c r="M16" s="219">
        <v>10.713856140196718</v>
      </c>
      <c r="N16" s="159">
        <v>3.4604720986892947</v>
      </c>
      <c r="O16"/>
    </row>
    <row r="17" spans="1:17" s="280" customFormat="1" ht="30" customHeight="1">
      <c r="A17" s="220">
        <v>2005</v>
      </c>
      <c r="B17" s="221">
        <v>1863.18</v>
      </c>
      <c r="C17" s="838">
        <v>6.9121437766909377E-2</v>
      </c>
      <c r="D17" s="221">
        <v>606.9</v>
      </c>
      <c r="E17" s="414">
        <v>358.14</v>
      </c>
      <c r="F17" s="221">
        <v>197.42</v>
      </c>
      <c r="G17" s="414">
        <v>378.2</v>
      </c>
      <c r="H17" s="413">
        <v>52.07</v>
      </c>
      <c r="I17" s="414">
        <v>71.290000000000006</v>
      </c>
      <c r="J17" s="413">
        <v>89.16</v>
      </c>
      <c r="K17" s="414">
        <v>9.2799999999999994</v>
      </c>
      <c r="L17" s="413">
        <v>39.950000000000003</v>
      </c>
      <c r="M17" s="414">
        <v>7.06</v>
      </c>
      <c r="N17" s="413">
        <v>3.24</v>
      </c>
      <c r="O17"/>
      <c r="P17" s="820"/>
      <c r="Q17" s="821"/>
    </row>
    <row r="18" spans="1:17" ht="19.5" customHeight="1" thickBot="1">
      <c r="A18" s="211"/>
      <c r="B18" s="822"/>
      <c r="C18" s="829"/>
      <c r="D18" s="822"/>
      <c r="E18" s="829"/>
      <c r="F18" s="822"/>
      <c r="G18" s="829"/>
      <c r="P18" s="5"/>
      <c r="Q18" s="5"/>
    </row>
    <row r="19" spans="1:17" ht="54" customHeight="1" thickBot="1">
      <c r="A19" s="830" t="s">
        <v>2142</v>
      </c>
      <c r="B19" s="839">
        <v>5.4214340130878336E-2</v>
      </c>
      <c r="C19" s="796" t="s">
        <v>1646</v>
      </c>
      <c r="D19" s="839">
        <v>2.3142653092846688E-2</v>
      </c>
      <c r="E19" s="796">
        <v>0.10350836009222975</v>
      </c>
      <c r="F19" s="839">
        <v>6.2882306686287581E-2</v>
      </c>
      <c r="G19" s="796">
        <v>6.2995530764068386E-2</v>
      </c>
      <c r="H19" s="378">
        <v>7.7404693573223993E-2</v>
      </c>
      <c r="I19" s="796">
        <v>3.0863472044169393E-2</v>
      </c>
      <c r="J19" s="378">
        <v>7.1902589722761867E-2</v>
      </c>
      <c r="K19" s="796">
        <v>2.5751085231725535E-2</v>
      </c>
      <c r="L19" s="378">
        <v>0.15693160830698538</v>
      </c>
      <c r="M19" s="796">
        <v>-7.3309635781662497E-2</v>
      </c>
      <c r="N19" s="378" t="s">
        <v>1646</v>
      </c>
    </row>
    <row r="20" spans="1:17" ht="39.75" customHeight="1">
      <c r="A20" s="211"/>
      <c r="B20" s="831"/>
      <c r="C20" s="829"/>
      <c r="D20" s="822"/>
      <c r="E20" s="829"/>
      <c r="F20" s="822"/>
      <c r="G20" s="829"/>
      <c r="P20" s="5"/>
      <c r="Q20" s="5"/>
    </row>
    <row r="21" spans="1:17" ht="19.5" customHeight="1">
      <c r="A21" s="125" t="s">
        <v>1254</v>
      </c>
      <c r="B21" s="587" t="s">
        <v>2143</v>
      </c>
      <c r="C21" s="127" t="s">
        <v>265</v>
      </c>
      <c r="D21" s="126"/>
      <c r="E21" s="270"/>
      <c r="F21"/>
      <c r="G21" s="2"/>
      <c r="H21" s="268" t="s">
        <v>43</v>
      </c>
      <c r="I21" s="127" t="s">
        <v>265</v>
      </c>
    </row>
    <row r="22" spans="1:17" ht="16.5" customHeight="1">
      <c r="A22" s="212"/>
      <c r="B22" s="587" t="s">
        <v>2152</v>
      </c>
      <c r="C22" s="131" t="s">
        <v>267</v>
      </c>
      <c r="D22" s="832" t="s">
        <v>1107</v>
      </c>
      <c r="E22" s="833" t="s">
        <v>1107</v>
      </c>
      <c r="F22"/>
      <c r="G22" s="2"/>
      <c r="H22" s="587" t="s">
        <v>2056</v>
      </c>
      <c r="I22" s="131" t="s">
        <v>267</v>
      </c>
    </row>
    <row r="23" spans="1:17" ht="16.5" customHeight="1">
      <c r="A23" s="212"/>
      <c r="B23" s="129"/>
      <c r="C23" s="131" t="s">
        <v>268</v>
      </c>
      <c r="D23" s="832" t="s">
        <v>2144</v>
      </c>
      <c r="E23" s="833" t="s">
        <v>2145</v>
      </c>
      <c r="F23"/>
      <c r="G23" s="2"/>
      <c r="H23" s="129"/>
      <c r="I23" s="131" t="s">
        <v>268</v>
      </c>
    </row>
    <row r="24" spans="1:17" ht="15.75" customHeight="1">
      <c r="A24" s="827"/>
      <c r="B24" s="353"/>
      <c r="C24" s="828"/>
      <c r="D24" s="832" t="s">
        <v>2146</v>
      </c>
      <c r="E24" s="833"/>
      <c r="F24"/>
      <c r="G24" s="2"/>
      <c r="H24" s="353"/>
      <c r="I24" s="828"/>
    </row>
    <row r="25" spans="1:17" ht="12" customHeight="1">
      <c r="A25" s="214"/>
      <c r="B25" s="135"/>
      <c r="C25" s="273"/>
      <c r="D25" s="834"/>
      <c r="E25" s="835"/>
      <c r="F25"/>
      <c r="G25" s="2"/>
      <c r="H25" s="135"/>
      <c r="I25" s="273"/>
    </row>
    <row r="26" spans="1:17" ht="19.5" customHeight="1" thickBot="1">
      <c r="A26" s="216">
        <v>1996</v>
      </c>
      <c r="B26" s="157">
        <v>589.92914393356</v>
      </c>
      <c r="C26" s="158">
        <v>7.9400703813924001E-2</v>
      </c>
      <c r="D26" s="310" t="s">
        <v>1646</v>
      </c>
      <c r="E26" s="311" t="s">
        <v>1646</v>
      </c>
      <c r="F26"/>
      <c r="G26" s="2"/>
      <c r="H26" s="157">
        <v>1731.6807840824024</v>
      </c>
      <c r="I26" s="158">
        <v>9.7018358352515099E-2</v>
      </c>
    </row>
    <row r="27" spans="1:17" ht="19.5" customHeight="1" thickBot="1">
      <c r="A27" s="218">
        <v>1997</v>
      </c>
      <c r="B27" s="159">
        <v>610.24833589590378</v>
      </c>
      <c r="C27" s="160">
        <v>3.4443444897226845E-2</v>
      </c>
      <c r="D27" s="159" t="s">
        <v>1646</v>
      </c>
      <c r="E27" s="219" t="s">
        <v>1646</v>
      </c>
      <c r="F27"/>
      <c r="G27" s="2"/>
      <c r="H27" s="159">
        <v>1821.0440247518818</v>
      </c>
      <c r="I27" s="160">
        <v>5.1604915577342945E-2</v>
      </c>
    </row>
    <row r="28" spans="1:17" ht="19.5" customHeight="1" thickBot="1">
      <c r="A28" s="218">
        <v>1998</v>
      </c>
      <c r="B28" s="159">
        <v>647.21517290986958</v>
      </c>
      <c r="C28" s="160">
        <v>6.0576710888846419E-2</v>
      </c>
      <c r="D28" s="159">
        <v>492.57629366651753</v>
      </c>
      <c r="E28" s="219">
        <v>150.60557185984666</v>
      </c>
      <c r="F28"/>
      <c r="G28" s="2"/>
      <c r="H28" s="159">
        <v>1934.7304097079118</v>
      </c>
      <c r="I28" s="160">
        <v>6.2429234774551826E-2</v>
      </c>
    </row>
    <row r="29" spans="1:17" ht="19.5" customHeight="1" thickBot="1">
      <c r="A29" s="218">
        <v>1999</v>
      </c>
      <c r="B29" s="159">
        <v>659.70969970002204</v>
      </c>
      <c r="C29" s="160">
        <v>1.9305058523237738E-2</v>
      </c>
      <c r="D29" s="159">
        <v>496.97008229783273</v>
      </c>
      <c r="E29" s="219">
        <v>160.97082873347873</v>
      </c>
      <c r="F29"/>
      <c r="G29" s="2"/>
      <c r="H29" s="159">
        <v>2012.0335937325824</v>
      </c>
      <c r="I29" s="160">
        <v>3.9955532634823855E-2</v>
      </c>
    </row>
    <row r="30" spans="1:17" ht="19.5" customHeight="1" thickBot="1">
      <c r="A30" s="218">
        <v>2000</v>
      </c>
      <c r="B30" s="159">
        <v>679.06373279109255</v>
      </c>
      <c r="C30" s="160">
        <v>2.9337196496991052E-2</v>
      </c>
      <c r="D30" s="159">
        <v>508.59028432559711</v>
      </c>
      <c r="E30" s="219">
        <v>167.1605611141602</v>
      </c>
      <c r="F30"/>
      <c r="G30" s="2"/>
      <c r="H30" s="159">
        <v>2129.6217740758225</v>
      </c>
      <c r="I30" s="160">
        <v>5.8442453798745381E-2</v>
      </c>
    </row>
    <row r="31" spans="1:17" ht="19.5" customHeight="1" thickBot="1">
      <c r="A31" s="218">
        <v>2001</v>
      </c>
      <c r="B31" s="159">
        <v>693.65019907019087</v>
      </c>
      <c r="C31" s="160">
        <v>2.1480261092938834E-2</v>
      </c>
      <c r="D31" s="159">
        <v>518.79047891443133</v>
      </c>
      <c r="E31" s="219">
        <v>171.80760254310479</v>
      </c>
      <c r="F31"/>
      <c r="G31" s="2"/>
      <c r="H31" s="159">
        <v>2238.1940247664106</v>
      </c>
      <c r="I31" s="160">
        <v>5.0981940555009819E-2</v>
      </c>
    </row>
    <row r="32" spans="1:17" ht="19.5" customHeight="1" thickBot="1">
      <c r="A32" s="218">
        <v>2002</v>
      </c>
      <c r="B32" s="159">
        <v>710.77204487071913</v>
      </c>
      <c r="C32" s="160">
        <v>2.4683689017143486E-2</v>
      </c>
      <c r="D32" s="159">
        <v>514.16607642099552</v>
      </c>
      <c r="E32" s="219">
        <v>189.19521099986207</v>
      </c>
      <c r="F32"/>
      <c r="G32" s="2"/>
      <c r="H32" s="159">
        <v>2322.9704477220521</v>
      </c>
      <c r="I32" s="160">
        <v>3.7877155428689503E-2</v>
      </c>
    </row>
    <row r="33" spans="1:9" ht="19.5" customHeight="1" thickBot="1">
      <c r="A33" s="218">
        <v>2003</v>
      </c>
      <c r="B33" s="159">
        <v>762.45162776869745</v>
      </c>
      <c r="C33" s="160">
        <v>7.2709082005860556E-2</v>
      </c>
      <c r="D33" s="159">
        <v>556.17095453274021</v>
      </c>
      <c r="E33" s="219">
        <v>199.88333841909605</v>
      </c>
      <c r="F33"/>
      <c r="G33" s="2"/>
      <c r="H33" s="159">
        <v>2424.4100589623854</v>
      </c>
      <c r="I33" s="160">
        <v>4.3668059290124364E-2</v>
      </c>
    </row>
    <row r="34" spans="1:9" ht="19.5" customHeight="1" thickBot="1">
      <c r="A34" s="218">
        <v>2004</v>
      </c>
      <c r="B34" s="159">
        <v>836.77908803993114</v>
      </c>
      <c r="C34" s="160">
        <v>9.7484820760041946E-2</v>
      </c>
      <c r="D34" s="159">
        <v>615.77444557083356</v>
      </c>
      <c r="E34" s="219">
        <v>211.98086893565934</v>
      </c>
      <c r="F34"/>
      <c r="G34" s="2"/>
      <c r="H34" s="159">
        <v>2579.4997315354476</v>
      </c>
      <c r="I34" s="160">
        <v>6.3970066449665894E-2</v>
      </c>
    </row>
    <row r="35" spans="1:9" ht="27" customHeight="1">
      <c r="A35" s="220">
        <v>2005</v>
      </c>
      <c r="B35" s="413">
        <v>864.95</v>
      </c>
      <c r="C35" s="838">
        <v>3.3665889077195234E-2</v>
      </c>
      <c r="D35" s="413">
        <v>643.99</v>
      </c>
      <c r="E35" s="414">
        <v>212.8</v>
      </c>
      <c r="F35" s="271"/>
      <c r="G35" s="4"/>
      <c r="H35" s="413">
        <v>2728.13</v>
      </c>
      <c r="I35" s="838">
        <v>5.7619803812144731E-2</v>
      </c>
    </row>
    <row r="36" spans="1:9" ht="19.5" customHeight="1" thickBot="1">
      <c r="A36" s="4"/>
      <c r="B36" s="822"/>
      <c r="C36" s="829"/>
      <c r="D36" s="822"/>
      <c r="E36" s="829"/>
      <c r="F36" s="822"/>
      <c r="G36" s="829"/>
    </row>
    <row r="37" spans="1:9" ht="51" customHeight="1" thickBot="1">
      <c r="A37" s="830" t="s">
        <v>2142</v>
      </c>
      <c r="B37" s="378">
        <v>4.2297650964294276E-2</v>
      </c>
      <c r="C37" s="796" t="s">
        <v>1646</v>
      </c>
      <c r="D37" s="378">
        <v>3.9033078368202023E-2</v>
      </c>
      <c r="E37" s="796">
        <v>5.0623779591639329E-2</v>
      </c>
      <c r="F37" s="836"/>
      <c r="G37" s="2"/>
      <c r="H37" s="378">
        <v>5.0317635533037697E-2</v>
      </c>
      <c r="I37" s="796" t="s">
        <v>1646</v>
      </c>
    </row>
    <row r="38" spans="1:9" ht="17.25" customHeight="1">
      <c r="A38" s="146" t="s">
        <v>596</v>
      </c>
      <c r="B38" s="822"/>
      <c r="C38" s="829"/>
      <c r="D38" s="822"/>
      <c r="E38" s="829"/>
      <c r="F38" s="822"/>
      <c r="G38" s="829"/>
    </row>
    <row r="39" spans="1:9" ht="14">
      <c r="A39" s="211"/>
      <c r="B39" s="822"/>
      <c r="C39" s="829"/>
      <c r="D39" s="822"/>
      <c r="E39" s="829"/>
      <c r="F39" s="822"/>
      <c r="G39" s="829"/>
    </row>
    <row r="40" spans="1:9" ht="14">
      <c r="A40" s="4" t="s">
        <v>2153</v>
      </c>
      <c r="B40" s="822"/>
      <c r="C40" s="829"/>
      <c r="D40" s="822"/>
      <c r="E40" s="829"/>
      <c r="F40" s="822"/>
      <c r="G40" s="829"/>
    </row>
    <row r="41" spans="1:9" ht="14">
      <c r="A41" s="4" t="s">
        <v>727</v>
      </c>
      <c r="B41" s="822"/>
      <c r="C41" s="829"/>
      <c r="D41" s="822"/>
      <c r="E41" s="829"/>
      <c r="F41" s="822"/>
      <c r="G41" s="829"/>
    </row>
    <row r="42" spans="1:9" ht="14">
      <c r="B42" s="822"/>
      <c r="C42" s="829"/>
      <c r="D42" s="822"/>
      <c r="E42" s="829"/>
      <c r="F42" s="822"/>
      <c r="G42" s="829"/>
    </row>
    <row r="43" spans="1:9">
      <c r="A43" s="2" t="s">
        <v>728</v>
      </c>
      <c r="B43" s="5"/>
      <c r="C43" s="837"/>
      <c r="D43" s="5"/>
      <c r="E43" s="837"/>
      <c r="F43" s="5"/>
      <c r="G43" s="837"/>
    </row>
    <row r="44" spans="1:9">
      <c r="A44" s="5"/>
      <c r="B44" s="5"/>
      <c r="C44" s="837"/>
      <c r="D44" s="5"/>
      <c r="E44" s="837"/>
      <c r="F44" s="5"/>
      <c r="G44" s="837"/>
    </row>
    <row r="46" spans="1:9">
      <c r="A46" s="2" t="s">
        <v>128</v>
      </c>
    </row>
    <row r="49" spans="2:5">
      <c r="B49"/>
      <c r="C49"/>
      <c r="D49"/>
      <c r="E49"/>
    </row>
    <row r="50" spans="2:5">
      <c r="B50"/>
      <c r="C50"/>
      <c r="D50"/>
      <c r="E50"/>
    </row>
    <row r="51" spans="2:5">
      <c r="B51"/>
      <c r="C51"/>
      <c r="D51"/>
      <c r="E51"/>
    </row>
    <row r="52" spans="2:5">
      <c r="B52"/>
      <c r="C52"/>
      <c r="D52"/>
      <c r="E52"/>
    </row>
    <row r="53" spans="2:5">
      <c r="B53"/>
      <c r="C53"/>
      <c r="D53"/>
      <c r="E53"/>
    </row>
  </sheetData>
  <phoneticPr fontId="0" type="noConversion"/>
  <pageMargins left="0.52" right="0.37" top="0.55000000000000004" bottom="0.49" header="0.42" footer="0.4921259845"/>
  <pageSetup paperSize="9" scale="57" orientation="landscape" horizontalDpi="4294967292" verticalDpi="4294967292"/>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D07F8-1D6A-4445-92EA-2A4BE257F339}">
  <sheetPr>
    <pageSetUpPr fitToPage="1"/>
  </sheetPr>
  <dimension ref="A1:H35"/>
  <sheetViews>
    <sheetView topLeftCell="A14" zoomScale="75" workbookViewId="0">
      <selection activeCell="F25" sqref="F25"/>
    </sheetView>
  </sheetViews>
  <sheetFormatPr baseColWidth="10" defaultColWidth="11.3984375" defaultRowHeight="13"/>
  <cols>
    <col min="1" max="1" width="38.19921875" style="2" customWidth="1"/>
    <col min="2" max="4" width="15.19921875" style="2" customWidth="1"/>
    <col min="5" max="5" width="15.19921875" style="163" customWidth="1"/>
    <col min="6" max="7" width="15.19921875" style="2" customWidth="1"/>
    <col min="8" max="8" width="15.59765625" style="2" customWidth="1"/>
    <col min="9" max="16384" width="11.3984375" style="2"/>
  </cols>
  <sheetData>
    <row r="1" spans="1:8" s="1" customFormat="1" ht="14" customHeight="1">
      <c r="E1" s="18"/>
    </row>
    <row r="2" spans="1:8" s="1" customFormat="1" ht="30.75" customHeight="1">
      <c r="A2" s="243" t="s">
        <v>381</v>
      </c>
      <c r="B2" s="368"/>
      <c r="C2" s="368"/>
      <c r="D2" s="368"/>
      <c r="E2" s="368"/>
      <c r="H2" s="124">
        <v>2005</v>
      </c>
    </row>
    <row r="3" spans="1:8" ht="24" customHeight="1">
      <c r="A3" s="125" t="s">
        <v>382</v>
      </c>
      <c r="B3" s="126" t="s">
        <v>224</v>
      </c>
      <c r="C3" s="127" t="s">
        <v>225</v>
      </c>
      <c r="D3" s="126" t="s">
        <v>223</v>
      </c>
      <c r="E3" s="269" t="s">
        <v>43</v>
      </c>
      <c r="F3" s="126" t="s">
        <v>1806</v>
      </c>
      <c r="G3" s="127" t="s">
        <v>265</v>
      </c>
      <c r="H3" s="126" t="s">
        <v>265</v>
      </c>
    </row>
    <row r="4" spans="1:8" ht="15" customHeight="1">
      <c r="A4" s="212"/>
      <c r="B4" s="129"/>
      <c r="C4" s="131"/>
      <c r="D4" s="129"/>
      <c r="E4" s="369"/>
      <c r="F4" s="129" t="s">
        <v>1807</v>
      </c>
      <c r="G4" s="131" t="s">
        <v>267</v>
      </c>
      <c r="H4" s="129" t="s">
        <v>267</v>
      </c>
    </row>
    <row r="5" spans="1:8" ht="15" customHeight="1">
      <c r="A5" s="212"/>
      <c r="B5" s="129"/>
      <c r="C5" s="131"/>
      <c r="D5" s="129"/>
      <c r="E5" s="369"/>
      <c r="F5" s="129" t="s">
        <v>1808</v>
      </c>
      <c r="G5" s="131" t="s">
        <v>268</v>
      </c>
      <c r="H5" s="129" t="s">
        <v>268</v>
      </c>
    </row>
    <row r="6" spans="1:8" ht="24" customHeight="1">
      <c r="A6" s="214"/>
      <c r="B6" s="135"/>
      <c r="C6" s="134"/>
      <c r="D6" s="135"/>
      <c r="E6" s="370"/>
      <c r="F6" s="135"/>
      <c r="G6" s="134" t="s">
        <v>699</v>
      </c>
      <c r="H6" s="135" t="s">
        <v>263</v>
      </c>
    </row>
    <row r="7" spans="1:8" ht="30" customHeight="1" thickBot="1">
      <c r="A7" s="371" t="s">
        <v>383</v>
      </c>
      <c r="B7" s="138">
        <v>538.66999999999996</v>
      </c>
      <c r="C7" s="311">
        <v>818.54</v>
      </c>
      <c r="D7" s="310">
        <v>318.54000000000002</v>
      </c>
      <c r="E7" s="372">
        <v>606.9</v>
      </c>
      <c r="F7" s="373">
        <v>0.22246007338359974</v>
      </c>
      <c r="G7" s="311">
        <v>16.91</v>
      </c>
      <c r="H7" s="373">
        <v>2.8661502737334477E-2</v>
      </c>
    </row>
    <row r="8" spans="1:8" ht="20" customHeight="1" thickBot="1">
      <c r="A8" s="218" t="s">
        <v>1729</v>
      </c>
      <c r="B8" s="197">
        <v>718.1</v>
      </c>
      <c r="C8" s="219">
        <v>835.52</v>
      </c>
      <c r="D8" s="159">
        <v>133.61000000000001</v>
      </c>
      <c r="E8" s="374">
        <v>643.99</v>
      </c>
      <c r="F8" s="373">
        <v>0.23605546656500973</v>
      </c>
      <c r="G8" s="219">
        <v>28.22</v>
      </c>
      <c r="H8" s="373">
        <v>4.582879971417908E-2</v>
      </c>
    </row>
    <row r="9" spans="1:8" ht="20" customHeight="1" thickBot="1">
      <c r="A9" s="218" t="s">
        <v>384</v>
      </c>
      <c r="B9" s="159">
        <v>393.07</v>
      </c>
      <c r="C9" s="219">
        <v>432.3</v>
      </c>
      <c r="D9" s="159">
        <v>149.05000000000001</v>
      </c>
      <c r="E9" s="374">
        <v>358.14</v>
      </c>
      <c r="F9" s="373">
        <v>0.1312767353461895</v>
      </c>
      <c r="G9" s="219">
        <v>62.68</v>
      </c>
      <c r="H9" s="373">
        <v>0.212143775807216</v>
      </c>
    </row>
    <row r="10" spans="1:8" ht="20" customHeight="1" thickBot="1">
      <c r="A10" s="218" t="s">
        <v>385</v>
      </c>
      <c r="B10" s="159">
        <v>217.16</v>
      </c>
      <c r="C10" s="219">
        <v>257.69</v>
      </c>
      <c r="D10" s="159">
        <v>43.42</v>
      </c>
      <c r="E10" s="374">
        <v>197.42</v>
      </c>
      <c r="F10" s="373">
        <v>7.2364586731570701E-2</v>
      </c>
      <c r="G10" s="219">
        <v>8.91</v>
      </c>
      <c r="H10" s="373">
        <v>4.7265397061163839E-2</v>
      </c>
    </row>
    <row r="11" spans="1:8" ht="20" customHeight="1" thickBot="1">
      <c r="A11" s="218" t="s">
        <v>386</v>
      </c>
      <c r="B11" s="159">
        <v>411.03</v>
      </c>
      <c r="C11" s="219">
        <v>507.47</v>
      </c>
      <c r="D11" s="159">
        <v>65.319999999999993</v>
      </c>
      <c r="E11" s="374">
        <v>378.2</v>
      </c>
      <c r="F11" s="373">
        <v>0.13862975737959701</v>
      </c>
      <c r="G11" s="219">
        <v>7.5500000000000114</v>
      </c>
      <c r="H11" s="373">
        <v>2.0369620936193211E-2</v>
      </c>
    </row>
    <row r="12" spans="1:8" ht="20" customHeight="1" thickBot="1">
      <c r="A12" s="218" t="s">
        <v>1730</v>
      </c>
      <c r="B12" s="159">
        <v>142.16</v>
      </c>
      <c r="C12" s="219">
        <v>387.84</v>
      </c>
      <c r="D12" s="159">
        <v>0.41</v>
      </c>
      <c r="E12" s="374">
        <v>212.8</v>
      </c>
      <c r="F12" s="373">
        <v>7.8002147991481349E-2</v>
      </c>
      <c r="G12" s="219">
        <v>0.8200000000000216</v>
      </c>
      <c r="H12" s="373">
        <v>3.8682894612700469E-3</v>
      </c>
    </row>
    <row r="13" spans="1:8" ht="20" customHeight="1" thickBot="1">
      <c r="A13" s="218" t="s">
        <v>387</v>
      </c>
      <c r="B13" s="159">
        <v>44.06</v>
      </c>
      <c r="C13" s="219">
        <v>85.61</v>
      </c>
      <c r="D13" s="159">
        <v>1.24</v>
      </c>
      <c r="E13" s="374">
        <v>52.07</v>
      </c>
      <c r="F13" s="373">
        <v>1.9086333862389254E-2</v>
      </c>
      <c r="G13" s="219">
        <v>2.86</v>
      </c>
      <c r="H13" s="373">
        <v>5.811826864458447E-2</v>
      </c>
    </row>
    <row r="14" spans="1:8" ht="20" customHeight="1" thickBot="1">
      <c r="A14" s="218" t="s">
        <v>388</v>
      </c>
      <c r="B14" s="159">
        <v>61.59</v>
      </c>
      <c r="C14" s="219">
        <v>107.72</v>
      </c>
      <c r="D14" s="159">
        <v>17.920000000000002</v>
      </c>
      <c r="E14" s="374">
        <v>71.290000000000006</v>
      </c>
      <c r="F14" s="373">
        <v>2.6131452680040908E-2</v>
      </c>
      <c r="G14" s="219">
        <v>3.1800000000000068</v>
      </c>
      <c r="H14" s="373">
        <v>4.6689179268829983E-2</v>
      </c>
    </row>
    <row r="15" spans="1:8" ht="20" customHeight="1" thickBot="1">
      <c r="A15" s="218" t="s">
        <v>389</v>
      </c>
      <c r="B15" s="159">
        <v>80.13</v>
      </c>
      <c r="C15" s="219">
        <v>129.81</v>
      </c>
      <c r="D15" s="159">
        <v>26.3</v>
      </c>
      <c r="E15" s="374">
        <v>89.16</v>
      </c>
      <c r="F15" s="373">
        <v>3.2681727043799229E-2</v>
      </c>
      <c r="G15" s="219">
        <v>9.4700000000000006</v>
      </c>
      <c r="H15" s="373">
        <v>0.1188354875141171</v>
      </c>
    </row>
    <row r="16" spans="1:8" ht="20" customHeight="1" thickBot="1">
      <c r="A16" s="218" t="s">
        <v>390</v>
      </c>
      <c r="B16" s="159">
        <v>9.31</v>
      </c>
      <c r="C16" s="219">
        <v>12.97</v>
      </c>
      <c r="D16" s="159">
        <v>2.02</v>
      </c>
      <c r="E16" s="374">
        <v>9.2799999999999994</v>
      </c>
      <c r="F16" s="373">
        <v>3.4015974312074566E-3</v>
      </c>
      <c r="G16" s="219">
        <v>8.0000000000000071E-2</v>
      </c>
      <c r="H16" s="373">
        <v>8.6956521739129933E-3</v>
      </c>
    </row>
    <row r="17" spans="1:8" ht="20" customHeight="1" thickBot="1">
      <c r="A17" s="218" t="s">
        <v>391</v>
      </c>
      <c r="B17" s="159">
        <v>46.68</v>
      </c>
      <c r="C17" s="219">
        <v>46.01</v>
      </c>
      <c r="D17" s="159">
        <v>15.76</v>
      </c>
      <c r="E17" s="374">
        <v>39.950000000000003</v>
      </c>
      <c r="F17" s="373">
        <v>1.4643730320769172E-2</v>
      </c>
      <c r="G17" s="219">
        <v>4.92</v>
      </c>
      <c r="H17" s="373">
        <v>0.1404510419640308</v>
      </c>
    </row>
    <row r="18" spans="1:8" ht="20" customHeight="1" thickBot="1">
      <c r="A18" s="218" t="s">
        <v>1731</v>
      </c>
      <c r="B18" s="159">
        <v>6.82</v>
      </c>
      <c r="C18" s="219">
        <v>9.82</v>
      </c>
      <c r="D18" s="159">
        <v>2.13</v>
      </c>
      <c r="E18" s="374">
        <v>7.06</v>
      </c>
      <c r="F18" s="373">
        <v>2.5878532181384316E-3</v>
      </c>
      <c r="G18" s="219">
        <v>-3.65</v>
      </c>
      <c r="H18" s="373">
        <v>-0.34080298786181151</v>
      </c>
    </row>
    <row r="19" spans="1:8" ht="20" customHeight="1" thickBot="1">
      <c r="A19" s="141" t="s">
        <v>392</v>
      </c>
      <c r="B19" s="159">
        <v>2.19</v>
      </c>
      <c r="C19" s="219">
        <v>4.8</v>
      </c>
      <c r="D19" s="159">
        <v>2.12</v>
      </c>
      <c r="E19" s="374">
        <v>3.24</v>
      </c>
      <c r="F19" s="373">
        <v>1.1876266893439829E-3</v>
      </c>
      <c r="G19" s="219">
        <v>-0.22</v>
      </c>
      <c r="H19" s="373">
        <v>-6.3583815028901647E-2</v>
      </c>
    </row>
    <row r="20" spans="1:8" ht="20" customHeight="1" thickBot="1">
      <c r="A20" s="218" t="s">
        <v>393</v>
      </c>
      <c r="B20" s="159">
        <v>44.2</v>
      </c>
      <c r="C20" s="219">
        <v>61.91</v>
      </c>
      <c r="D20" s="159">
        <v>39.61</v>
      </c>
      <c r="E20" s="374">
        <v>50.47</v>
      </c>
      <c r="F20" s="373">
        <v>1.849985154666383E-2</v>
      </c>
      <c r="G20" s="219">
        <v>7.77</v>
      </c>
      <c r="H20" s="373">
        <v>0.18196721311475406</v>
      </c>
    </row>
    <row r="21" spans="1:8" ht="20" customHeight="1" thickBot="1">
      <c r="A21" s="218" t="s">
        <v>1732</v>
      </c>
      <c r="B21" s="159">
        <v>9.52</v>
      </c>
      <c r="C21" s="219">
        <v>9.4499999999999993</v>
      </c>
      <c r="D21" s="159">
        <v>3.16</v>
      </c>
      <c r="E21" s="374">
        <v>8.16</v>
      </c>
      <c r="F21" s="373">
        <v>2.9910598101996603E-3</v>
      </c>
      <c r="G21" s="219">
        <v>-0.85999999999999943</v>
      </c>
      <c r="H21" s="373">
        <v>-9.5343680709534362E-2</v>
      </c>
    </row>
    <row r="22" spans="1:8" ht="30" customHeight="1" thickBot="1">
      <c r="A22" s="375" t="s">
        <v>394</v>
      </c>
      <c r="B22" s="376">
        <v>2724.69</v>
      </c>
      <c r="C22" s="377">
        <v>3707.45</v>
      </c>
      <c r="D22" s="376">
        <v>820.59</v>
      </c>
      <c r="E22" s="207">
        <v>2728.13</v>
      </c>
      <c r="F22" s="378">
        <v>1</v>
      </c>
      <c r="G22" s="377">
        <v>148.63</v>
      </c>
      <c r="H22" s="378">
        <v>5.76196937390967E-2</v>
      </c>
    </row>
    <row r="23" spans="1:8" ht="15" customHeight="1">
      <c r="A23" s="379"/>
      <c r="B23" s="337"/>
      <c r="C23" s="337"/>
      <c r="D23" s="337"/>
      <c r="E23" s="338"/>
      <c r="F23" s="380"/>
      <c r="G23" s="337"/>
      <c r="H23" s="380"/>
    </row>
    <row r="24" spans="1:8" ht="30" customHeight="1" thickBot="1">
      <c r="A24" s="381" t="s">
        <v>395</v>
      </c>
      <c r="B24" s="382" t="s">
        <v>1646</v>
      </c>
      <c r="C24" s="383">
        <v>154.16999999999999</v>
      </c>
      <c r="D24" s="382">
        <v>1.73</v>
      </c>
      <c r="E24" s="384" t="s">
        <v>1646</v>
      </c>
      <c r="F24" s="385" t="s">
        <v>1646</v>
      </c>
      <c r="G24" s="383" t="s">
        <v>1646</v>
      </c>
      <c r="H24" s="385" t="s">
        <v>1646</v>
      </c>
    </row>
    <row r="25" spans="1:8" ht="30.75" customHeight="1" thickBot="1">
      <c r="A25" s="386" t="s">
        <v>1733</v>
      </c>
      <c r="B25" s="387">
        <v>0</v>
      </c>
      <c r="C25" s="388">
        <v>47.86</v>
      </c>
      <c r="D25" s="387">
        <v>5.83</v>
      </c>
      <c r="E25" s="389">
        <v>40.799999999999997</v>
      </c>
      <c r="F25" s="390">
        <v>1.4955299050998301E-2</v>
      </c>
      <c r="G25" s="388">
        <v>5.84</v>
      </c>
      <c r="H25" s="390">
        <v>0.16704805491990826</v>
      </c>
    </row>
    <row r="26" spans="1:8" ht="20" customHeight="1">
      <c r="A26" s="146" t="s">
        <v>596</v>
      </c>
      <c r="B26" s="223"/>
      <c r="C26" s="223"/>
      <c r="D26" s="223"/>
      <c r="E26" s="391"/>
      <c r="F26" s="223"/>
    </row>
    <row r="27" spans="1:8" ht="12.75" customHeight="1">
      <c r="A27" s="4"/>
      <c r="B27" s="225"/>
      <c r="C27" s="225"/>
      <c r="D27" s="225"/>
      <c r="E27" s="392"/>
      <c r="F27" s="225"/>
    </row>
    <row r="28" spans="1:8">
      <c r="A28" s="4" t="s">
        <v>396</v>
      </c>
    </row>
    <row r="29" spans="1:8">
      <c r="A29" s="4" t="s">
        <v>1726</v>
      </c>
    </row>
    <row r="30" spans="1:8">
      <c r="A30" s="227" t="s">
        <v>1727</v>
      </c>
    </row>
    <row r="32" spans="1:8">
      <c r="A32" s="2" t="s">
        <v>1728</v>
      </c>
    </row>
    <row r="35" spans="1:1">
      <c r="A35" s="2" t="s">
        <v>128</v>
      </c>
    </row>
  </sheetData>
  <phoneticPr fontId="0" type="noConversion"/>
  <pageMargins left="0.6" right="0.5" top="0.69" bottom="0.49" header="0.43" footer="0.4921259845"/>
  <pageSetup paperSize="9" scale="78" orientation="landscape" horizontalDpi="1200" verticalDpi="1200"/>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DB641-8900-EA45-BDF5-8CA003917F9A}">
  <sheetPr>
    <pageSetUpPr fitToPage="1"/>
  </sheetPr>
  <dimension ref="A1:J27"/>
  <sheetViews>
    <sheetView zoomScale="75" workbookViewId="0">
      <selection activeCell="A27" sqref="A27"/>
    </sheetView>
  </sheetViews>
  <sheetFormatPr baseColWidth="10" defaultColWidth="11.3984375" defaultRowHeight="13"/>
  <cols>
    <col min="1" max="1" width="15.19921875" style="2" customWidth="1"/>
    <col min="2" max="2" width="16.796875" style="2" customWidth="1"/>
    <col min="3" max="3" width="17.19921875" style="2" customWidth="1"/>
    <col min="4" max="4" width="15.3984375" style="2" customWidth="1"/>
    <col min="5" max="5" width="15.19921875" style="2" customWidth="1"/>
    <col min="6" max="6" width="18" style="2" customWidth="1"/>
    <col min="7" max="7" width="15.19921875" style="2" customWidth="1"/>
    <col min="8" max="16384" width="11.3984375" style="2"/>
  </cols>
  <sheetData>
    <row r="1" spans="1:10" s="1" customFormat="1" ht="14" customHeight="1"/>
    <row r="2" spans="1:10" s="1" customFormat="1" ht="28" customHeight="1">
      <c r="A2" s="124" t="s">
        <v>1750</v>
      </c>
      <c r="G2" s="192">
        <v>2005</v>
      </c>
    </row>
    <row r="3" spans="1:10" ht="24" customHeight="1">
      <c r="A3" s="125" t="s">
        <v>1254</v>
      </c>
      <c r="B3" s="126" t="s">
        <v>329</v>
      </c>
      <c r="C3" s="127" t="s">
        <v>330</v>
      </c>
      <c r="D3" s="126" t="s">
        <v>331</v>
      </c>
      <c r="E3" s="127" t="s">
        <v>332</v>
      </c>
      <c r="F3" s="126" t="s">
        <v>43</v>
      </c>
      <c r="G3" s="127" t="s">
        <v>265</v>
      </c>
    </row>
    <row r="4" spans="1:10" ht="15" customHeight="1">
      <c r="A4" s="212"/>
      <c r="B4" s="129" t="s">
        <v>333</v>
      </c>
      <c r="C4" s="131" t="s">
        <v>334</v>
      </c>
      <c r="D4" s="129" t="s">
        <v>335</v>
      </c>
      <c r="E4" s="213" t="s">
        <v>336</v>
      </c>
      <c r="F4" s="129"/>
      <c r="G4" s="131" t="s">
        <v>267</v>
      </c>
    </row>
    <row r="5" spans="1:10" ht="15" customHeight="1">
      <c r="A5" s="212"/>
      <c r="B5" s="129" t="s">
        <v>337</v>
      </c>
      <c r="C5" s="131" t="s">
        <v>338</v>
      </c>
      <c r="D5" s="129" t="s">
        <v>339</v>
      </c>
      <c r="E5" s="213" t="s">
        <v>340</v>
      </c>
      <c r="F5" s="129"/>
      <c r="G5" s="131" t="s">
        <v>268</v>
      </c>
    </row>
    <row r="6" spans="1:10" ht="24" customHeight="1">
      <c r="A6" s="214"/>
      <c r="B6" s="135"/>
      <c r="C6" s="134"/>
      <c r="D6" s="135"/>
      <c r="E6" s="215" t="s">
        <v>341</v>
      </c>
      <c r="F6" s="135"/>
      <c r="G6" s="134"/>
    </row>
    <row r="7" spans="1:10" ht="22.5" customHeight="1" thickBot="1">
      <c r="A7" s="216">
        <v>1996</v>
      </c>
      <c r="B7" s="157">
        <v>8068747832</v>
      </c>
      <c r="C7" s="217">
        <v>2578797499</v>
      </c>
      <c r="D7" s="157">
        <v>25416930</v>
      </c>
      <c r="E7" s="217">
        <v>107523248</v>
      </c>
      <c r="F7" s="157">
        <v>10780485509</v>
      </c>
      <c r="G7" s="158">
        <v>7.6197276345230935E-2</v>
      </c>
    </row>
    <row r="8" spans="1:10" ht="20" customHeight="1" thickBot="1">
      <c r="A8" s="218">
        <v>1997</v>
      </c>
      <c r="B8" s="159">
        <v>7130343665</v>
      </c>
      <c r="C8" s="219">
        <v>3864390214</v>
      </c>
      <c r="D8" s="159">
        <v>13596114</v>
      </c>
      <c r="E8" s="219">
        <v>352165200</v>
      </c>
      <c r="F8" s="159">
        <v>11360495192</v>
      </c>
      <c r="G8" s="160">
        <v>5.3801814632168807E-2</v>
      </c>
      <c r="H8" s="10"/>
      <c r="I8" s="10"/>
      <c r="J8" s="10"/>
    </row>
    <row r="9" spans="1:10" ht="20" customHeight="1" thickBot="1">
      <c r="A9" s="218">
        <v>1998</v>
      </c>
      <c r="B9" s="159">
        <v>7021022570</v>
      </c>
      <c r="C9" s="219">
        <v>4312733832</v>
      </c>
      <c r="D9" s="159">
        <v>6419087</v>
      </c>
      <c r="E9" s="219">
        <v>586684363</v>
      </c>
      <c r="F9" s="159">
        <v>11926859852</v>
      </c>
      <c r="G9" s="160">
        <v>4.9853870841724483E-2</v>
      </c>
    </row>
    <row r="10" spans="1:10" ht="20" customHeight="1" thickBot="1">
      <c r="A10" s="218">
        <v>1999</v>
      </c>
      <c r="B10" s="159">
        <v>7777714326</v>
      </c>
      <c r="C10" s="219">
        <v>3929182211</v>
      </c>
      <c r="D10" s="159">
        <v>6480040</v>
      </c>
      <c r="E10" s="219">
        <v>717232756</v>
      </c>
      <c r="F10" s="159">
        <v>12430609334</v>
      </c>
      <c r="G10" s="160">
        <v>4.2236555828693408E-2</v>
      </c>
    </row>
    <row r="11" spans="1:10" ht="20" customHeight="1" thickBot="1">
      <c r="A11" s="218">
        <v>2000</v>
      </c>
      <c r="B11" s="159">
        <v>8082711555.3000002</v>
      </c>
      <c r="C11" s="219">
        <v>4300222314.6999998</v>
      </c>
      <c r="D11" s="159">
        <v>6284846.5800000001</v>
      </c>
      <c r="E11" s="219">
        <v>801091180.21000004</v>
      </c>
      <c r="F11" s="159">
        <v>13190309896.790001</v>
      </c>
      <c r="G11" s="160">
        <v>6.1115311597162041E-2</v>
      </c>
    </row>
    <row r="12" spans="1:10" ht="20" customHeight="1" thickBot="1">
      <c r="A12" s="218">
        <v>2001</v>
      </c>
      <c r="B12" s="159">
        <v>8576260475.6000004</v>
      </c>
      <c r="C12" s="219">
        <v>4525688630.3999996</v>
      </c>
      <c r="D12" s="159">
        <v>7093455.9400000004</v>
      </c>
      <c r="E12" s="219">
        <v>877228721.29999995</v>
      </c>
      <c r="F12" s="159">
        <v>13986271283.24</v>
      </c>
      <c r="G12" s="160">
        <v>6.0344403784152512E-2</v>
      </c>
    </row>
    <row r="13" spans="1:10" ht="20" customHeight="1" thickBot="1">
      <c r="A13" s="218">
        <v>2002</v>
      </c>
      <c r="B13" s="159">
        <v>8890664234.7999992</v>
      </c>
      <c r="C13" s="219">
        <v>4785763972.1999998</v>
      </c>
      <c r="D13" s="159">
        <v>6699940.54</v>
      </c>
      <c r="E13" s="219">
        <v>909628896.40999997</v>
      </c>
      <c r="F13" s="159">
        <v>14592757043.950001</v>
      </c>
      <c r="G13" s="160">
        <v>4.3362934153634201E-2</v>
      </c>
    </row>
    <row r="14" spans="1:10" ht="20" customHeight="1" thickBot="1">
      <c r="A14" s="218">
        <v>2003</v>
      </c>
      <c r="B14" s="159">
        <v>9320481084</v>
      </c>
      <c r="C14" s="219">
        <v>5132603712.3000002</v>
      </c>
      <c r="D14" s="159">
        <v>7068355.0800000001</v>
      </c>
      <c r="E14" s="219">
        <v>875466553</v>
      </c>
      <c r="F14" s="159">
        <v>15335619704.379999</v>
      </c>
      <c r="G14" s="160">
        <v>5.0906258371373435E-2</v>
      </c>
    </row>
    <row r="15" spans="1:10" ht="20" customHeight="1" thickBot="1">
      <c r="A15" s="218">
        <v>2004</v>
      </c>
      <c r="B15" s="159">
        <v>9988665892</v>
      </c>
      <c r="C15" s="219">
        <v>5289834295.1999998</v>
      </c>
      <c r="D15" s="159">
        <v>7294457.54</v>
      </c>
      <c r="E15" s="219">
        <v>1021713900.6</v>
      </c>
      <c r="F15" s="159">
        <v>16307508545.340002</v>
      </c>
      <c r="G15" s="160">
        <v>6.3374604984656871E-2</v>
      </c>
    </row>
    <row r="16" spans="1:10" ht="30" customHeight="1" thickBot="1">
      <c r="A16" s="220">
        <v>2005</v>
      </c>
      <c r="B16" s="221">
        <v>10948378877.889999</v>
      </c>
      <c r="C16" s="222">
        <v>5106197125.04</v>
      </c>
      <c r="D16" s="221">
        <v>7706918.6200000001</v>
      </c>
      <c r="E16" s="222">
        <v>1290437115.53</v>
      </c>
      <c r="F16" s="221">
        <v>17352720037.080002</v>
      </c>
      <c r="G16" s="162">
        <v>6.4093879750789839E-2</v>
      </c>
    </row>
    <row r="17" spans="1:7" ht="20" customHeight="1">
      <c r="A17" s="146" t="s">
        <v>596</v>
      </c>
      <c r="B17" s="146"/>
      <c r="C17" s="146"/>
      <c r="D17" s="146"/>
      <c r="E17" s="146"/>
      <c r="F17" s="146"/>
      <c r="G17" s="146"/>
    </row>
    <row r="18" spans="1:7" ht="16.5" customHeight="1">
      <c r="A18" s="4"/>
      <c r="B18" s="4"/>
      <c r="C18" s="4"/>
      <c r="D18" s="4"/>
      <c r="E18" s="4"/>
      <c r="F18" s="4"/>
      <c r="G18" s="4"/>
    </row>
    <row r="19" spans="1:7">
      <c r="A19" s="4" t="s">
        <v>1748</v>
      </c>
    </row>
    <row r="21" spans="1:7">
      <c r="A21" s="2" t="s">
        <v>1749</v>
      </c>
    </row>
    <row r="24" spans="1:7">
      <c r="A24" s="2" t="s">
        <v>128</v>
      </c>
    </row>
    <row r="26" spans="1:7" ht="14">
      <c r="F26" s="402"/>
    </row>
    <row r="27" spans="1:7" ht="14">
      <c r="F27" s="403"/>
    </row>
  </sheetData>
  <phoneticPr fontId="0" type="noConversion"/>
  <pageMargins left="0.57999999999999996" right="0.61" top="1.01" bottom="0.49" header="0.57999999999999996" footer="0.4921259845"/>
  <pageSetup paperSize="9" scale="81" orientation="portrait" horizontalDpi="4294967292" verticalDpi="4294967292"/>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83EA5-50EE-4645-B900-34A7FC7D1CAE}">
  <sheetPr>
    <pageSetUpPr fitToPage="1"/>
  </sheetPr>
  <dimension ref="A1:J80"/>
  <sheetViews>
    <sheetView zoomScale="75" workbookViewId="0">
      <selection activeCell="I26" sqref="I26"/>
    </sheetView>
  </sheetViews>
  <sheetFormatPr baseColWidth="10" defaultColWidth="11.3984375" defaultRowHeight="13"/>
  <cols>
    <col min="1" max="1" width="21.796875" style="2" customWidth="1"/>
    <col min="2" max="3" width="15.796875" style="2" customWidth="1"/>
    <col min="4" max="6" width="14.19921875" style="2" customWidth="1"/>
    <col min="7" max="7" width="16.19921875" style="2" customWidth="1"/>
    <col min="8" max="10" width="13.19921875" style="2" customWidth="1"/>
    <col min="11" max="16384" width="11.3984375" style="2"/>
  </cols>
  <sheetData>
    <row r="1" spans="1:10" s="1" customFormat="1" ht="14" customHeight="1"/>
    <row r="2" spans="1:10" s="1" customFormat="1" ht="39.75" customHeight="1">
      <c r="A2" s="1606" t="s">
        <v>1752</v>
      </c>
      <c r="B2" s="1610"/>
      <c r="C2" s="1610"/>
      <c r="D2" s="1610"/>
      <c r="E2" s="1610"/>
      <c r="F2" s="1610"/>
      <c r="G2" s="124">
        <v>2005</v>
      </c>
    </row>
    <row r="3" spans="1:10" ht="24" customHeight="1">
      <c r="A3" s="267" t="s">
        <v>1604</v>
      </c>
      <c r="B3" s="126" t="s">
        <v>329</v>
      </c>
      <c r="C3" s="127" t="s">
        <v>330</v>
      </c>
      <c r="D3" s="126" t="s">
        <v>331</v>
      </c>
      <c r="E3" s="127" t="s">
        <v>332</v>
      </c>
      <c r="F3" s="126" t="s">
        <v>43</v>
      </c>
      <c r="G3" s="329" t="s">
        <v>265</v>
      </c>
    </row>
    <row r="4" spans="1:10" ht="15" customHeight="1">
      <c r="A4" s="212"/>
      <c r="B4" s="129" t="s">
        <v>333</v>
      </c>
      <c r="C4" s="131" t="s">
        <v>334</v>
      </c>
      <c r="D4" s="129" t="s">
        <v>335</v>
      </c>
      <c r="E4" s="213" t="s">
        <v>336</v>
      </c>
      <c r="F4" s="129"/>
      <c r="G4" s="128" t="s">
        <v>267</v>
      </c>
    </row>
    <row r="5" spans="1:10" ht="15" customHeight="1">
      <c r="A5" s="212"/>
      <c r="B5" s="129" t="s">
        <v>337</v>
      </c>
      <c r="C5" s="131" t="s">
        <v>338</v>
      </c>
      <c r="D5" s="129" t="s">
        <v>339</v>
      </c>
      <c r="E5" s="213" t="s">
        <v>340</v>
      </c>
      <c r="F5" s="129"/>
      <c r="G5" s="128" t="s">
        <v>268</v>
      </c>
    </row>
    <row r="6" spans="1:10" ht="24" customHeight="1">
      <c r="A6" s="308" t="s">
        <v>328</v>
      </c>
      <c r="B6" s="135"/>
      <c r="C6" s="134"/>
      <c r="D6" s="135"/>
      <c r="E6" s="215" t="s">
        <v>341</v>
      </c>
      <c r="F6" s="135"/>
      <c r="G6" s="468"/>
    </row>
    <row r="7" spans="1:10" ht="20" customHeight="1" thickBot="1">
      <c r="A7" s="216">
        <v>1996</v>
      </c>
      <c r="B7" s="157">
        <v>1702.3967710627812</v>
      </c>
      <c r="C7" s="217">
        <v>1118.4503276245528</v>
      </c>
      <c r="D7" s="157">
        <v>913.3581285036654</v>
      </c>
      <c r="E7" s="217">
        <v>884.25178045691541</v>
      </c>
      <c r="F7" s="157">
        <v>1498.3813913582035</v>
      </c>
      <c r="G7" s="458">
        <v>7.1498194564757866E-2</v>
      </c>
    </row>
    <row r="8" spans="1:10" ht="20" customHeight="1" thickBot="1">
      <c r="A8" s="218">
        <v>1997</v>
      </c>
      <c r="B8" s="159">
        <v>1745.983981062986</v>
      </c>
      <c r="C8" s="219">
        <v>1412.2354387062539</v>
      </c>
      <c r="D8" s="159">
        <v>1182.8879415347137</v>
      </c>
      <c r="E8" s="219">
        <v>919.26816725964716</v>
      </c>
      <c r="F8" s="159">
        <v>1574.6087651710613</v>
      </c>
      <c r="G8" s="462">
        <v>5.087314501667816E-2</v>
      </c>
      <c r="H8" s="10"/>
      <c r="I8" s="10"/>
      <c r="J8" s="10"/>
    </row>
    <row r="9" spans="1:10" ht="20" customHeight="1" thickBot="1">
      <c r="A9" s="218">
        <v>1998</v>
      </c>
      <c r="B9" s="159">
        <v>1748.1463682568913</v>
      </c>
      <c r="C9" s="219">
        <v>1581.8024755837955</v>
      </c>
      <c r="D9" s="159">
        <v>542.70265471761923</v>
      </c>
      <c r="E9" s="219">
        <v>1187.5240122257308</v>
      </c>
      <c r="F9" s="159">
        <v>1645.4011693011744</v>
      </c>
      <c r="G9" s="462">
        <v>4.495872606324678E-2</v>
      </c>
    </row>
    <row r="10" spans="1:10" ht="20" customHeight="1" thickBot="1">
      <c r="A10" s="218">
        <v>1999</v>
      </c>
      <c r="B10" s="159">
        <v>1945.0393238476881</v>
      </c>
      <c r="C10" s="219">
        <v>1446.870467830443</v>
      </c>
      <c r="D10" s="159">
        <v>631.70598557223627</v>
      </c>
      <c r="E10" s="219">
        <v>1323.5762903910388</v>
      </c>
      <c r="F10" s="159">
        <v>1710.6655434351508</v>
      </c>
      <c r="G10" s="462">
        <v>3.9664718459933461E-2</v>
      </c>
    </row>
    <row r="11" spans="1:10" ht="20" customHeight="1" thickBot="1">
      <c r="A11" s="218">
        <v>2000</v>
      </c>
      <c r="B11" s="159">
        <v>2060.9067893531742</v>
      </c>
      <c r="C11" s="219">
        <v>1558.8767513165483</v>
      </c>
      <c r="D11" s="159">
        <v>640.59184384874118</v>
      </c>
      <c r="E11" s="219">
        <v>1386.3522668173425</v>
      </c>
      <c r="F11" s="159">
        <v>1814.8195448294614</v>
      </c>
      <c r="G11" s="462">
        <v>6.0885075866531579E-2</v>
      </c>
    </row>
    <row r="12" spans="1:10" ht="20" customHeight="1" thickBot="1">
      <c r="A12" s="218">
        <v>2001</v>
      </c>
      <c r="B12" s="159">
        <v>2209.1289366236747</v>
      </c>
      <c r="C12" s="219">
        <v>1597.0298108275201</v>
      </c>
      <c r="D12" s="159">
        <v>759.38935231773905</v>
      </c>
      <c r="E12" s="219">
        <v>1472.0109294743254</v>
      </c>
      <c r="F12" s="159">
        <v>1910.356919929515</v>
      </c>
      <c r="G12" s="462">
        <v>5.2642906217450547E-2</v>
      </c>
    </row>
    <row r="13" spans="1:10" ht="20" customHeight="1" thickBot="1">
      <c r="A13" s="218">
        <v>2002</v>
      </c>
      <c r="B13" s="159">
        <v>2331.8704675326376</v>
      </c>
      <c r="C13" s="219">
        <v>1605.519277312954</v>
      </c>
      <c r="D13" s="159">
        <v>758.34075155631012</v>
      </c>
      <c r="E13" s="219">
        <v>1632.983378800255</v>
      </c>
      <c r="F13" s="159">
        <v>1982.8826323942353</v>
      </c>
      <c r="G13" s="462">
        <v>3.7964482818946849E-2</v>
      </c>
    </row>
    <row r="14" spans="1:10" ht="20" customHeight="1" thickBot="1">
      <c r="A14" s="218">
        <v>2003</v>
      </c>
      <c r="B14" s="159">
        <v>2536.6892155448563</v>
      </c>
      <c r="C14" s="219">
        <v>1651.8968388498977</v>
      </c>
      <c r="D14" s="159">
        <v>849.86835156907534</v>
      </c>
      <c r="E14" s="219">
        <v>1450.6391888040509</v>
      </c>
      <c r="F14" s="159">
        <v>2074.2905096394138</v>
      </c>
      <c r="G14" s="462">
        <v>4.609848094478889E-2</v>
      </c>
    </row>
    <row r="15" spans="1:10" ht="20" customHeight="1" thickBot="1">
      <c r="A15" s="218">
        <v>2004</v>
      </c>
      <c r="B15" s="159">
        <v>2744.6766061593935</v>
      </c>
      <c r="C15" s="219">
        <v>1748.8078790725936</v>
      </c>
      <c r="D15" s="159">
        <v>900.77272659916025</v>
      </c>
      <c r="E15" s="219">
        <v>1366.3551172425598</v>
      </c>
      <c r="F15" s="159">
        <v>2197.7851331204129</v>
      </c>
      <c r="G15" s="462">
        <v>5.9535837871845083E-2</v>
      </c>
    </row>
    <row r="16" spans="1:10" ht="30" customHeight="1" thickBot="1">
      <c r="A16" s="220">
        <v>2005</v>
      </c>
      <c r="B16" s="221">
        <v>3036.5114491740296</v>
      </c>
      <c r="C16" s="222">
        <v>1737.34954015773</v>
      </c>
      <c r="D16" s="221">
        <v>999.4707067825185</v>
      </c>
      <c r="E16" s="222">
        <v>1424.1459018135706</v>
      </c>
      <c r="F16" s="221">
        <v>2326.5774889746231</v>
      </c>
      <c r="G16" s="751">
        <v>5.8600976916861273E-2</v>
      </c>
    </row>
    <row r="17" spans="1:7" ht="20" customHeight="1">
      <c r="A17" s="146" t="s">
        <v>596</v>
      </c>
      <c r="B17" s="146"/>
      <c r="C17" s="146"/>
      <c r="D17" s="146"/>
      <c r="E17" s="146"/>
      <c r="F17" s="146"/>
      <c r="G17" s="450"/>
    </row>
    <row r="18" spans="1:7">
      <c r="G18" s="451"/>
    </row>
    <row r="19" spans="1:7">
      <c r="A19" s="2" t="s">
        <v>1751</v>
      </c>
      <c r="G19" s="451"/>
    </row>
    <row r="20" spans="1:7">
      <c r="G20" s="451"/>
    </row>
    <row r="21" spans="1:7">
      <c r="G21" s="451"/>
    </row>
    <row r="22" spans="1:7" ht="18">
      <c r="A22" s="816" t="s">
        <v>1611</v>
      </c>
      <c r="G22" s="451"/>
    </row>
    <row r="23" spans="1:7">
      <c r="G23" s="451"/>
    </row>
    <row r="24" spans="1:7" ht="18" customHeight="1">
      <c r="A24" s="267" t="s">
        <v>223</v>
      </c>
      <c r="B24" s="126" t="s">
        <v>329</v>
      </c>
      <c r="C24" s="127" t="s">
        <v>330</v>
      </c>
      <c r="D24" s="126" t="s">
        <v>331</v>
      </c>
      <c r="E24" s="127" t="s">
        <v>332</v>
      </c>
      <c r="F24" s="126" t="s">
        <v>43</v>
      </c>
      <c r="G24" s="424" t="s">
        <v>265</v>
      </c>
    </row>
    <row r="25" spans="1:7" ht="18" customHeight="1">
      <c r="A25" s="807" t="s">
        <v>287</v>
      </c>
      <c r="B25" s="129" t="s">
        <v>333</v>
      </c>
      <c r="C25" s="131" t="s">
        <v>334</v>
      </c>
      <c r="D25" s="129" t="s">
        <v>335</v>
      </c>
      <c r="E25" s="213" t="s">
        <v>336</v>
      </c>
      <c r="F25" s="129"/>
      <c r="G25" s="480" t="s">
        <v>267</v>
      </c>
    </row>
    <row r="26" spans="1:7" ht="18" customHeight="1">
      <c r="A26" s="212"/>
      <c r="B26" s="129" t="s">
        <v>337</v>
      </c>
      <c r="C26" s="131" t="s">
        <v>338</v>
      </c>
      <c r="D26" s="129" t="s">
        <v>339</v>
      </c>
      <c r="E26" s="213" t="s">
        <v>340</v>
      </c>
      <c r="F26" s="129"/>
      <c r="G26" s="480" t="s">
        <v>268</v>
      </c>
    </row>
    <row r="27" spans="1:7" ht="18" customHeight="1">
      <c r="A27" s="214" t="s">
        <v>1254</v>
      </c>
      <c r="B27" s="135"/>
      <c r="C27" s="134"/>
      <c r="D27" s="135"/>
      <c r="E27" s="215" t="s">
        <v>341</v>
      </c>
      <c r="F27" s="135"/>
      <c r="G27" s="426"/>
    </row>
    <row r="28" spans="1:7" ht="18" customHeight="1" thickBot="1">
      <c r="A28" s="216">
        <v>1996</v>
      </c>
      <c r="B28" s="157" t="s">
        <v>1646</v>
      </c>
      <c r="C28" s="217" t="s">
        <v>1646</v>
      </c>
      <c r="D28" s="157" t="s">
        <v>1646</v>
      </c>
      <c r="E28" s="217" t="s">
        <v>1646</v>
      </c>
      <c r="F28" s="157" t="s">
        <v>1646</v>
      </c>
      <c r="G28" s="458" t="s">
        <v>1646</v>
      </c>
    </row>
    <row r="29" spans="1:7" ht="18" customHeight="1" thickBot="1">
      <c r="A29" s="218">
        <v>1997</v>
      </c>
      <c r="B29" s="159">
        <v>545.11</v>
      </c>
      <c r="C29" s="219">
        <v>379.19</v>
      </c>
      <c r="D29" s="159" t="s">
        <v>1646</v>
      </c>
      <c r="E29" s="219">
        <v>330.14</v>
      </c>
      <c r="F29" s="159">
        <v>514.44000000000005</v>
      </c>
      <c r="G29" s="462" t="s">
        <v>1646</v>
      </c>
    </row>
    <row r="30" spans="1:7" ht="18" customHeight="1" thickBot="1">
      <c r="A30" s="218">
        <v>1998</v>
      </c>
      <c r="B30" s="159">
        <v>582.69000000000005</v>
      </c>
      <c r="C30" s="219">
        <v>427.79</v>
      </c>
      <c r="D30" s="159">
        <v>363.44</v>
      </c>
      <c r="E30" s="219">
        <v>409.2</v>
      </c>
      <c r="F30" s="159">
        <v>551.9</v>
      </c>
      <c r="G30" s="462">
        <v>7.2817043775756041E-2</v>
      </c>
    </row>
    <row r="31" spans="1:7" ht="18" customHeight="1" thickBot="1">
      <c r="A31" s="218">
        <v>1999</v>
      </c>
      <c r="B31" s="159">
        <v>596.71</v>
      </c>
      <c r="C31" s="219">
        <v>438.27</v>
      </c>
      <c r="D31" s="159">
        <v>362.08</v>
      </c>
      <c r="E31" s="219">
        <v>442.11</v>
      </c>
      <c r="F31" s="159">
        <v>566.42999999999995</v>
      </c>
      <c r="G31" s="462">
        <v>2.6327233194419319E-2</v>
      </c>
    </row>
    <row r="32" spans="1:7" ht="18" customHeight="1" thickBot="1">
      <c r="A32" s="218">
        <v>2000</v>
      </c>
      <c r="B32" s="159">
        <v>629.75</v>
      </c>
      <c r="C32" s="219">
        <v>473.1</v>
      </c>
      <c r="D32" s="159">
        <v>328.35</v>
      </c>
      <c r="E32" s="219">
        <v>456.68</v>
      </c>
      <c r="F32" s="159">
        <v>597.91</v>
      </c>
      <c r="G32" s="462">
        <v>5.5576152393058242E-2</v>
      </c>
    </row>
    <row r="33" spans="1:7" ht="18" customHeight="1" thickBot="1">
      <c r="A33" s="218">
        <v>2001</v>
      </c>
      <c r="B33" s="159">
        <v>660.68</v>
      </c>
      <c r="C33" s="219">
        <v>493.06</v>
      </c>
      <c r="D33" s="159">
        <v>453.48</v>
      </c>
      <c r="E33" s="219">
        <v>481.08</v>
      </c>
      <c r="F33" s="159">
        <v>627.16</v>
      </c>
      <c r="G33" s="462">
        <v>4.8920406081182755E-2</v>
      </c>
    </row>
    <row r="34" spans="1:7" ht="18" customHeight="1" thickBot="1">
      <c r="A34" s="218">
        <v>2002</v>
      </c>
      <c r="B34" s="159">
        <v>673.37</v>
      </c>
      <c r="C34" s="219">
        <v>493.13</v>
      </c>
      <c r="D34" s="159">
        <v>415</v>
      </c>
      <c r="E34" s="219">
        <v>513.34</v>
      </c>
      <c r="F34" s="159">
        <v>640.42999999999995</v>
      </c>
      <c r="G34" s="462">
        <v>2.1158874928247862E-2</v>
      </c>
    </row>
    <row r="35" spans="1:7" ht="18" customHeight="1" thickBot="1">
      <c r="A35" s="218">
        <v>2003</v>
      </c>
      <c r="B35" s="159">
        <v>704.56</v>
      </c>
      <c r="C35" s="219">
        <v>488.81</v>
      </c>
      <c r="D35" s="159">
        <v>444.03</v>
      </c>
      <c r="E35" s="219">
        <v>517.22</v>
      </c>
      <c r="F35" s="159">
        <v>664.36</v>
      </c>
      <c r="G35" s="462">
        <v>3.73655200412224E-2</v>
      </c>
    </row>
    <row r="36" spans="1:7" ht="18" customHeight="1" thickBot="1">
      <c r="A36" s="218">
        <v>2004</v>
      </c>
      <c r="B36" s="159">
        <v>747.91</v>
      </c>
      <c r="C36" s="219">
        <v>490.78</v>
      </c>
      <c r="D36" s="159">
        <v>416.4</v>
      </c>
      <c r="E36" s="219">
        <v>551.54</v>
      </c>
      <c r="F36" s="159">
        <v>701.54</v>
      </c>
      <c r="G36" s="462">
        <v>5.5963634174242882E-2</v>
      </c>
    </row>
    <row r="37" spans="1:7" ht="18" customHeight="1" thickBot="1">
      <c r="A37" s="817">
        <v>2005</v>
      </c>
      <c r="B37" s="206">
        <v>816.65</v>
      </c>
      <c r="C37" s="207">
        <v>483.47</v>
      </c>
      <c r="D37" s="206">
        <v>403.89</v>
      </c>
      <c r="E37" s="207">
        <v>570.5</v>
      </c>
      <c r="F37" s="206">
        <v>754.24</v>
      </c>
      <c r="G37" s="751">
        <v>7.5120449297260361E-2</v>
      </c>
    </row>
    <row r="38" spans="1:7">
      <c r="A38" s="146"/>
      <c r="G38" s="451"/>
    </row>
    <row r="39" spans="1:7">
      <c r="G39" s="451"/>
    </row>
    <row r="40" spans="1:7" ht="18" customHeight="1">
      <c r="A40" s="267" t="s">
        <v>347</v>
      </c>
      <c r="B40" s="126" t="s">
        <v>329</v>
      </c>
      <c r="C40" s="127" t="s">
        <v>330</v>
      </c>
      <c r="D40" s="126" t="s">
        <v>331</v>
      </c>
      <c r="E40" s="127" t="s">
        <v>332</v>
      </c>
      <c r="F40" s="126" t="s">
        <v>43</v>
      </c>
      <c r="G40" s="424" t="s">
        <v>265</v>
      </c>
    </row>
    <row r="41" spans="1:7" ht="18" customHeight="1">
      <c r="A41" s="807" t="s">
        <v>288</v>
      </c>
      <c r="B41" s="129" t="s">
        <v>333</v>
      </c>
      <c r="C41" s="131" t="s">
        <v>334</v>
      </c>
      <c r="D41" s="129" t="s">
        <v>335</v>
      </c>
      <c r="E41" s="213" t="s">
        <v>336</v>
      </c>
      <c r="F41" s="129"/>
      <c r="G41" s="480" t="s">
        <v>267</v>
      </c>
    </row>
    <row r="42" spans="1:7" ht="18" customHeight="1">
      <c r="A42" s="212"/>
      <c r="B42" s="129" t="s">
        <v>337</v>
      </c>
      <c r="C42" s="131" t="s">
        <v>338</v>
      </c>
      <c r="D42" s="129" t="s">
        <v>339</v>
      </c>
      <c r="E42" s="213" t="s">
        <v>340</v>
      </c>
      <c r="F42" s="129"/>
      <c r="G42" s="480" t="s">
        <v>268</v>
      </c>
    </row>
    <row r="43" spans="1:7" ht="18" customHeight="1">
      <c r="A43" s="214" t="s">
        <v>1254</v>
      </c>
      <c r="B43" s="135"/>
      <c r="C43" s="134"/>
      <c r="D43" s="135"/>
      <c r="E43" s="215" t="s">
        <v>341</v>
      </c>
      <c r="F43" s="135"/>
      <c r="G43" s="426"/>
    </row>
    <row r="44" spans="1:7" ht="18" customHeight="1" thickBot="1">
      <c r="A44" s="216">
        <v>1996</v>
      </c>
      <c r="B44" s="157" t="s">
        <v>1646</v>
      </c>
      <c r="C44" s="217" t="s">
        <v>1646</v>
      </c>
      <c r="D44" s="157" t="s">
        <v>1646</v>
      </c>
      <c r="E44" s="217" t="s">
        <v>1646</v>
      </c>
      <c r="F44" s="157" t="s">
        <v>1646</v>
      </c>
      <c r="G44" s="458" t="s">
        <v>1646</v>
      </c>
    </row>
    <row r="45" spans="1:7" ht="18" customHeight="1" thickBot="1">
      <c r="A45" s="218">
        <v>1997</v>
      </c>
      <c r="B45" s="159">
        <v>828.31</v>
      </c>
      <c r="C45" s="219">
        <v>559.74</v>
      </c>
      <c r="D45" s="159" t="s">
        <v>1646</v>
      </c>
      <c r="E45" s="219">
        <v>403.15</v>
      </c>
      <c r="F45" s="159">
        <v>710.67</v>
      </c>
      <c r="G45" s="462" t="s">
        <v>1646</v>
      </c>
    </row>
    <row r="46" spans="1:7" ht="18" customHeight="1" thickBot="1">
      <c r="A46" s="218">
        <v>1998</v>
      </c>
      <c r="B46" s="159">
        <v>873.53</v>
      </c>
      <c r="C46" s="219">
        <v>593.55999999999995</v>
      </c>
      <c r="D46" s="159">
        <v>462.8</v>
      </c>
      <c r="E46" s="219">
        <v>440.16</v>
      </c>
      <c r="F46" s="159">
        <v>720.82</v>
      </c>
      <c r="G46" s="462">
        <v>1.4282296987350174E-2</v>
      </c>
    </row>
    <row r="47" spans="1:7" ht="18" customHeight="1" thickBot="1">
      <c r="A47" s="218">
        <v>1999</v>
      </c>
      <c r="B47" s="159">
        <v>856.59</v>
      </c>
      <c r="C47" s="219">
        <v>636.57000000000005</v>
      </c>
      <c r="D47" s="159">
        <v>495.98</v>
      </c>
      <c r="E47" s="219">
        <v>488.53</v>
      </c>
      <c r="F47" s="159">
        <v>737.62</v>
      </c>
      <c r="G47" s="462">
        <v>2.3306789489747626E-2</v>
      </c>
    </row>
    <row r="48" spans="1:7" ht="18" customHeight="1" thickBot="1">
      <c r="A48" s="218">
        <v>2000</v>
      </c>
      <c r="B48" s="159">
        <v>917.29</v>
      </c>
      <c r="C48" s="219">
        <v>673.97</v>
      </c>
      <c r="D48" s="159">
        <v>496.44</v>
      </c>
      <c r="E48" s="219">
        <v>543.66</v>
      </c>
      <c r="F48" s="159">
        <v>787.29</v>
      </c>
      <c r="G48" s="462">
        <v>6.7338195818985369E-2</v>
      </c>
    </row>
    <row r="49" spans="1:7" ht="18" customHeight="1" thickBot="1">
      <c r="A49" s="218">
        <v>2001</v>
      </c>
      <c r="B49" s="159">
        <v>985.66</v>
      </c>
      <c r="C49" s="219">
        <v>660.7</v>
      </c>
      <c r="D49" s="159" t="s">
        <v>1646</v>
      </c>
      <c r="E49" s="219">
        <v>575.52</v>
      </c>
      <c r="F49" s="159">
        <v>820.79</v>
      </c>
      <c r="G49" s="462">
        <v>4.2551029480877522E-2</v>
      </c>
    </row>
    <row r="50" spans="1:7" ht="18" customHeight="1" thickBot="1">
      <c r="A50" s="218">
        <v>2002</v>
      </c>
      <c r="B50" s="159">
        <v>1055.77</v>
      </c>
      <c r="C50" s="219">
        <v>633.61</v>
      </c>
      <c r="D50" s="159" t="s">
        <v>1646</v>
      </c>
      <c r="E50" s="219">
        <v>590.74</v>
      </c>
      <c r="F50" s="159">
        <v>831.97</v>
      </c>
      <c r="G50" s="462">
        <v>1.3621023647949038E-2</v>
      </c>
    </row>
    <row r="51" spans="1:7" ht="18" customHeight="1" thickBot="1">
      <c r="A51" s="218">
        <v>2003</v>
      </c>
      <c r="B51" s="159">
        <v>1148.42</v>
      </c>
      <c r="C51" s="219">
        <v>614.30999999999995</v>
      </c>
      <c r="D51" s="159" t="s">
        <v>1646</v>
      </c>
      <c r="E51" s="219">
        <v>584.67999999999995</v>
      </c>
      <c r="F51" s="159">
        <v>853.64</v>
      </c>
      <c r="G51" s="462">
        <v>2.6046612257653479E-2</v>
      </c>
    </row>
    <row r="52" spans="1:7" ht="18" customHeight="1" thickBot="1">
      <c r="A52" s="218">
        <v>2004</v>
      </c>
      <c r="B52" s="159">
        <v>1173.74</v>
      </c>
      <c r="C52" s="219">
        <v>628.03</v>
      </c>
      <c r="D52" s="159" t="s">
        <v>1646</v>
      </c>
      <c r="E52" s="219">
        <v>605.5</v>
      </c>
      <c r="F52" s="159">
        <v>876.55</v>
      </c>
      <c r="G52" s="462">
        <v>2.6838011339674672E-2</v>
      </c>
    </row>
    <row r="53" spans="1:7" ht="18" customHeight="1" thickBot="1">
      <c r="A53" s="817">
        <v>2005</v>
      </c>
      <c r="B53" s="206">
        <v>1262.96</v>
      </c>
      <c r="C53" s="207">
        <v>584.52</v>
      </c>
      <c r="D53" s="206">
        <v>714.96</v>
      </c>
      <c r="E53" s="207">
        <v>580.20000000000005</v>
      </c>
      <c r="F53" s="206">
        <v>890.22</v>
      </c>
      <c r="G53" s="751">
        <v>1.5595231304546209E-2</v>
      </c>
    </row>
    <row r="54" spans="1:7">
      <c r="D54" s="5"/>
      <c r="E54" s="5"/>
      <c r="F54" s="5"/>
      <c r="G54" s="451"/>
    </row>
    <row r="55" spans="1:7">
      <c r="D55" s="5"/>
      <c r="E55" s="5"/>
      <c r="F55" s="5"/>
      <c r="G55" s="451"/>
    </row>
    <row r="56" spans="1:7" ht="18.75" customHeight="1">
      <c r="A56" s="267" t="s">
        <v>1602</v>
      </c>
      <c r="B56" s="126" t="s">
        <v>329</v>
      </c>
      <c r="C56" s="127" t="s">
        <v>330</v>
      </c>
      <c r="D56" s="126" t="s">
        <v>331</v>
      </c>
      <c r="E56" s="127" t="s">
        <v>332</v>
      </c>
      <c r="F56" s="126" t="s">
        <v>43</v>
      </c>
      <c r="G56" s="424" t="s">
        <v>265</v>
      </c>
    </row>
    <row r="57" spans="1:7" ht="18.75" customHeight="1">
      <c r="A57" s="807" t="s">
        <v>1603</v>
      </c>
      <c r="B57" s="129" t="s">
        <v>333</v>
      </c>
      <c r="C57" s="131" t="s">
        <v>334</v>
      </c>
      <c r="D57" s="129" t="s">
        <v>335</v>
      </c>
      <c r="E57" s="213" t="s">
        <v>336</v>
      </c>
      <c r="F57" s="129"/>
      <c r="G57" s="480" t="s">
        <v>267</v>
      </c>
    </row>
    <row r="58" spans="1:7" ht="18.75" customHeight="1">
      <c r="A58" s="212"/>
      <c r="B58" s="129" t="s">
        <v>337</v>
      </c>
      <c r="C58" s="131" t="s">
        <v>338</v>
      </c>
      <c r="D58" s="129" t="s">
        <v>339</v>
      </c>
      <c r="E58" s="213" t="s">
        <v>340</v>
      </c>
      <c r="F58" s="129"/>
      <c r="G58" s="480" t="s">
        <v>268</v>
      </c>
    </row>
    <row r="59" spans="1:7" ht="18.75" customHeight="1">
      <c r="A59" s="214" t="s">
        <v>1254</v>
      </c>
      <c r="B59" s="135"/>
      <c r="C59" s="134"/>
      <c r="D59" s="135"/>
      <c r="E59" s="215" t="s">
        <v>341</v>
      </c>
      <c r="F59" s="135"/>
      <c r="G59" s="426"/>
    </row>
    <row r="60" spans="1:7" ht="18.75" customHeight="1" thickBot="1">
      <c r="A60" s="216">
        <v>1996</v>
      </c>
      <c r="B60" s="157" t="s">
        <v>1646</v>
      </c>
      <c r="C60" s="217" t="s">
        <v>1646</v>
      </c>
      <c r="D60" s="157" t="s">
        <v>1646</v>
      </c>
      <c r="E60" s="217" t="s">
        <v>1646</v>
      </c>
      <c r="F60" s="157" t="s">
        <v>1646</v>
      </c>
      <c r="G60" s="458" t="s">
        <v>1646</v>
      </c>
    </row>
    <row r="61" spans="1:7" ht="18.75" customHeight="1" thickBot="1">
      <c r="A61" s="218">
        <v>1997</v>
      </c>
      <c r="B61" s="159">
        <v>2553.6</v>
      </c>
      <c r="C61" s="219">
        <v>1490.87</v>
      </c>
      <c r="D61" s="159" t="s">
        <v>1646</v>
      </c>
      <c r="E61" s="219">
        <v>999.25</v>
      </c>
      <c r="F61" s="159">
        <v>1974.25</v>
      </c>
      <c r="G61" s="462" t="s">
        <v>1646</v>
      </c>
    </row>
    <row r="62" spans="1:7" ht="18.75" customHeight="1" thickBot="1">
      <c r="A62" s="218">
        <v>1998</v>
      </c>
      <c r="B62" s="159">
        <v>2601.9299999999998</v>
      </c>
      <c r="C62" s="219">
        <v>1682.57</v>
      </c>
      <c r="D62" s="159">
        <v>581.41</v>
      </c>
      <c r="E62" s="219">
        <v>1300.21</v>
      </c>
      <c r="F62" s="159">
        <v>2092.48</v>
      </c>
      <c r="G62" s="462">
        <v>5.9886032670634526E-2</v>
      </c>
    </row>
    <row r="63" spans="1:7" ht="18.75" customHeight="1" thickBot="1">
      <c r="A63" s="218">
        <v>1999</v>
      </c>
      <c r="B63" s="159">
        <v>2790.72</v>
      </c>
      <c r="C63" s="219">
        <v>1676.63</v>
      </c>
      <c r="D63" s="159">
        <v>628.47</v>
      </c>
      <c r="E63" s="219">
        <v>1466.13</v>
      </c>
      <c r="F63" s="159">
        <v>2185.0300000000002</v>
      </c>
      <c r="G63" s="462">
        <v>4.4229813427129727E-2</v>
      </c>
    </row>
    <row r="64" spans="1:7" ht="18.75" customHeight="1" thickBot="1">
      <c r="A64" s="218">
        <v>2000</v>
      </c>
      <c r="B64" s="159">
        <v>3052.4</v>
      </c>
      <c r="C64" s="219">
        <v>1789.05</v>
      </c>
      <c r="D64" s="159">
        <v>575.94000000000005</v>
      </c>
      <c r="E64" s="219">
        <v>1591.54</v>
      </c>
      <c r="F64" s="159">
        <v>2348.13</v>
      </c>
      <c r="G64" s="462">
        <v>7.4644284060173094E-2</v>
      </c>
    </row>
    <row r="65" spans="1:7" ht="18.75" customHeight="1" thickBot="1">
      <c r="A65" s="218">
        <v>2001</v>
      </c>
      <c r="B65" s="159">
        <v>3292.81</v>
      </c>
      <c r="C65" s="219">
        <v>1845.88</v>
      </c>
      <c r="D65" s="159">
        <v>742.01</v>
      </c>
      <c r="E65" s="219">
        <v>1662.99</v>
      </c>
      <c r="F65" s="159">
        <v>2475.4499999999998</v>
      </c>
      <c r="G65" s="462">
        <v>5.4221870169028019E-2</v>
      </c>
    </row>
    <row r="66" spans="1:7" ht="18.75" customHeight="1" thickBot="1">
      <c r="A66" s="218">
        <v>2002</v>
      </c>
      <c r="B66" s="159">
        <v>3510.96</v>
      </c>
      <c r="C66" s="219">
        <v>1862.31</v>
      </c>
      <c r="D66" s="159">
        <v>758.7</v>
      </c>
      <c r="E66" s="219">
        <v>1701.35</v>
      </c>
      <c r="F66" s="159">
        <v>2560.0700000000002</v>
      </c>
      <c r="G66" s="462">
        <v>3.4183683774667406E-2</v>
      </c>
    </row>
    <row r="67" spans="1:7" ht="18.75" customHeight="1" thickBot="1">
      <c r="A67" s="218">
        <v>2003</v>
      </c>
      <c r="B67" s="159">
        <v>3846.7</v>
      </c>
      <c r="C67" s="219">
        <v>1889.85</v>
      </c>
      <c r="D67" s="159">
        <v>849.57</v>
      </c>
      <c r="E67" s="219">
        <v>1588.19</v>
      </c>
      <c r="F67" s="159">
        <v>2673.16</v>
      </c>
      <c r="G67" s="462">
        <v>4.417457335150976E-2</v>
      </c>
    </row>
    <row r="68" spans="1:7" ht="18.75" customHeight="1" thickBot="1">
      <c r="A68" s="218">
        <v>2004</v>
      </c>
      <c r="B68" s="159">
        <v>3993.1</v>
      </c>
      <c r="C68" s="219">
        <v>1997.31</v>
      </c>
      <c r="D68" s="159">
        <v>973.4</v>
      </c>
      <c r="E68" s="219">
        <v>1687.36</v>
      </c>
      <c r="F68" s="159">
        <v>2810.53</v>
      </c>
      <c r="G68" s="462">
        <v>5.1388618713432921E-2</v>
      </c>
    </row>
    <row r="69" spans="1:7" ht="18.75" customHeight="1" thickBot="1">
      <c r="A69" s="817">
        <v>2005</v>
      </c>
      <c r="B69" s="206">
        <v>4332.03</v>
      </c>
      <c r="C69" s="207">
        <v>1958.97</v>
      </c>
      <c r="D69" s="206">
        <v>1024.46</v>
      </c>
      <c r="E69" s="207">
        <v>1745.99</v>
      </c>
      <c r="F69" s="206">
        <v>2951.91</v>
      </c>
      <c r="G69" s="751">
        <v>5.0303679377199151E-2</v>
      </c>
    </row>
    <row r="70" spans="1:7" ht="15" customHeight="1">
      <c r="A70" s="227" t="s">
        <v>1606</v>
      </c>
    </row>
    <row r="72" spans="1:7">
      <c r="A72" s="85" t="s">
        <v>1607</v>
      </c>
    </row>
    <row r="73" spans="1:7">
      <c r="A73" s="79" t="s">
        <v>98</v>
      </c>
    </row>
    <row r="75" spans="1:7">
      <c r="A75" s="4" t="s">
        <v>1748</v>
      </c>
    </row>
    <row r="76" spans="1:7" ht="12" customHeight="1">
      <c r="A76" s="76" t="s">
        <v>1608</v>
      </c>
      <c r="B76" s="163"/>
      <c r="F76" s="163"/>
      <c r="G76" s="644"/>
    </row>
    <row r="77" spans="1:7" ht="12" customHeight="1">
      <c r="A77" s="76" t="s">
        <v>1609</v>
      </c>
      <c r="B77" s="163"/>
      <c r="F77" s="163"/>
      <c r="G77" s="644"/>
    </row>
    <row r="80" spans="1:7">
      <c r="A80" s="2" t="s">
        <v>128</v>
      </c>
    </row>
  </sheetData>
  <mergeCells count="1">
    <mergeCell ref="A2:F2"/>
  </mergeCells>
  <phoneticPr fontId="0" type="noConversion"/>
  <pageMargins left="0.56000000000000005" right="0.38" top="0.64" bottom="0.49" header="0.36" footer="0.4921259845"/>
  <pageSetup paperSize="9" scale="55" orientation="portrait" horizontalDpi="1200" verticalDpi="1200"/>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B8D42-494F-054C-8353-05FD106FAF88}">
  <sheetPr>
    <pageSetUpPr fitToPage="1"/>
  </sheetPr>
  <dimension ref="A1:I17"/>
  <sheetViews>
    <sheetView zoomScale="75" workbookViewId="0">
      <selection activeCell="G2" sqref="G2"/>
    </sheetView>
  </sheetViews>
  <sheetFormatPr baseColWidth="10" defaultColWidth="11.3984375" defaultRowHeight="13"/>
  <cols>
    <col min="1" max="1" width="19.3984375" style="2" customWidth="1"/>
    <col min="2" max="2" width="16.3984375" style="2" customWidth="1"/>
    <col min="3" max="4" width="17.19921875" style="2" customWidth="1"/>
    <col min="5" max="5" width="18.19921875" style="2" customWidth="1"/>
    <col min="6" max="7" width="13.3984375" style="2" customWidth="1"/>
    <col min="8" max="8" width="11.3984375" style="2"/>
    <col min="9" max="9" width="15.796875" style="2" hidden="1" customWidth="1"/>
    <col min="10" max="16384" width="11.3984375" style="2"/>
  </cols>
  <sheetData>
    <row r="1" spans="1:9" ht="14" customHeight="1">
      <c r="A1" s="242"/>
      <c r="B1" s="4"/>
      <c r="C1" s="4"/>
      <c r="D1" s="4"/>
      <c r="E1" s="4"/>
      <c r="F1" s="4"/>
      <c r="G1" s="4"/>
      <c r="I1" s="4"/>
    </row>
    <row r="2" spans="1:9" ht="27.75" customHeight="1">
      <c r="A2" s="243" t="s">
        <v>1737</v>
      </c>
      <c r="B2" s="368"/>
      <c r="C2" s="368"/>
      <c r="D2" s="368"/>
      <c r="E2" s="368"/>
      <c r="F2" s="368"/>
      <c r="G2" s="192">
        <v>2005</v>
      </c>
      <c r="I2" s="4"/>
    </row>
    <row r="3" spans="1:9" ht="24" customHeight="1">
      <c r="A3" s="125" t="s">
        <v>321</v>
      </c>
      <c r="B3" s="126" t="s">
        <v>224</v>
      </c>
      <c r="C3" s="127" t="s">
        <v>225</v>
      </c>
      <c r="D3" s="126" t="s">
        <v>223</v>
      </c>
      <c r="E3" s="127" t="s">
        <v>43</v>
      </c>
      <c r="F3" s="126" t="s">
        <v>1806</v>
      </c>
      <c r="G3" s="127" t="s">
        <v>265</v>
      </c>
      <c r="I3" s="127" t="s">
        <v>43</v>
      </c>
    </row>
    <row r="4" spans="1:9" ht="15" customHeight="1">
      <c r="A4" s="212"/>
      <c r="B4" s="129"/>
      <c r="C4" s="131"/>
      <c r="D4" s="129"/>
      <c r="E4" s="213"/>
      <c r="F4" s="129" t="s">
        <v>1807</v>
      </c>
      <c r="G4" s="131" t="s">
        <v>267</v>
      </c>
      <c r="I4" s="213">
        <v>1999</v>
      </c>
    </row>
    <row r="5" spans="1:9" ht="15" customHeight="1">
      <c r="A5" s="128"/>
      <c r="B5" s="129"/>
      <c r="C5" s="131"/>
      <c r="D5" s="129"/>
      <c r="E5" s="131"/>
      <c r="F5" s="129" t="s">
        <v>1808</v>
      </c>
      <c r="G5" s="131" t="s">
        <v>268</v>
      </c>
      <c r="I5" s="131"/>
    </row>
    <row r="6" spans="1:9" ht="24" customHeight="1">
      <c r="A6" s="244"/>
      <c r="B6" s="245"/>
      <c r="C6" s="246"/>
      <c r="D6" s="245"/>
      <c r="E6" s="246"/>
      <c r="F6" s="135"/>
      <c r="G6" s="134"/>
      <c r="I6" s="246"/>
    </row>
    <row r="7" spans="1:9" ht="36" customHeight="1" thickBot="1">
      <c r="A7" s="274" t="s">
        <v>322</v>
      </c>
      <c r="B7" s="248">
        <v>4493664575</v>
      </c>
      <c r="C7" s="249">
        <v>6740686543</v>
      </c>
      <c r="D7" s="248">
        <v>1042052392</v>
      </c>
      <c r="E7" s="249">
        <v>12276403510</v>
      </c>
      <c r="F7" s="250">
        <v>0.60333106436854056</v>
      </c>
      <c r="G7" s="251">
        <v>9.1804949520083196E-2</v>
      </c>
      <c r="I7" s="395">
        <v>6794064715</v>
      </c>
    </row>
    <row r="8" spans="1:9" ht="31.5" customHeight="1" thickBot="1">
      <c r="A8" s="274" t="s">
        <v>323</v>
      </c>
      <c r="B8" s="248">
        <v>2676690714</v>
      </c>
      <c r="C8" s="249">
        <v>3684454892</v>
      </c>
      <c r="D8" s="248">
        <v>116874479</v>
      </c>
      <c r="E8" s="249">
        <v>6478020085</v>
      </c>
      <c r="F8" s="250">
        <v>0.31836610369642643</v>
      </c>
      <c r="G8" s="251">
        <v>-2.3090405113537774E-2</v>
      </c>
      <c r="I8" s="395">
        <v>5396193285</v>
      </c>
    </row>
    <row r="9" spans="1:9" ht="33" customHeight="1" thickBot="1">
      <c r="A9" s="274" t="s">
        <v>324</v>
      </c>
      <c r="B9" s="248">
        <v>4970846</v>
      </c>
      <c r="C9" s="249">
        <v>4049970</v>
      </c>
      <c r="D9" s="248">
        <v>86421</v>
      </c>
      <c r="E9" s="249">
        <v>9107237</v>
      </c>
      <c r="F9" s="250">
        <v>4.4758051396654965E-4</v>
      </c>
      <c r="G9" s="251">
        <v>5.0180896937465296E-2</v>
      </c>
      <c r="I9" s="395">
        <v>15330070</v>
      </c>
    </row>
    <row r="10" spans="1:9" ht="34.5" customHeight="1" thickBot="1">
      <c r="A10" s="274" t="s">
        <v>325</v>
      </c>
      <c r="B10" s="248">
        <v>613841049</v>
      </c>
      <c r="C10" s="249">
        <v>851712075</v>
      </c>
      <c r="D10" s="248">
        <v>118622693</v>
      </c>
      <c r="E10" s="249">
        <v>1584175817</v>
      </c>
      <c r="F10" s="250">
        <v>7.7855251421066432E-2</v>
      </c>
      <c r="G10" s="251">
        <v>0.26140997315075515</v>
      </c>
      <c r="I10" s="395">
        <v>828254703</v>
      </c>
    </row>
    <row r="11" spans="1:9" s="398" customFormat="1" ht="38.25" customHeight="1" thickBot="1">
      <c r="A11" s="396" t="s">
        <v>43</v>
      </c>
      <c r="B11" s="258">
        <v>7789167184</v>
      </c>
      <c r="C11" s="259">
        <v>11280903480</v>
      </c>
      <c r="D11" s="258">
        <v>1277635985</v>
      </c>
      <c r="E11" s="259">
        <v>20347706649</v>
      </c>
      <c r="F11" s="397">
        <v>1</v>
      </c>
      <c r="G11" s="279">
        <v>6.3108516511057519E-2</v>
      </c>
      <c r="I11" s="399">
        <v>13033842773</v>
      </c>
    </row>
    <row r="12" spans="1:9" ht="19.5" customHeight="1">
      <c r="A12" s="146" t="s">
        <v>596</v>
      </c>
      <c r="B12" s="146"/>
      <c r="C12" s="146"/>
      <c r="D12" s="146"/>
      <c r="E12" s="146"/>
      <c r="F12" s="146"/>
      <c r="G12" s="146"/>
      <c r="I12" s="146"/>
    </row>
    <row r="14" spans="1:9">
      <c r="A14" s="2" t="s">
        <v>1738</v>
      </c>
    </row>
    <row r="17" spans="1:1">
      <c r="A17" s="2" t="s">
        <v>128</v>
      </c>
    </row>
  </sheetData>
  <phoneticPr fontId="0" type="noConversion"/>
  <pageMargins left="0.57999999999999996" right="0.63" top="1.01" bottom="0.49" header="0.59" footer="0.4921259845"/>
  <pageSetup paperSize="9" scale="79" orientation="portrait" horizontalDpi="4294967292" verticalDpi="4294967292"/>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03024-4644-6E4F-9940-2800CFF1FB5D}">
  <sheetPr>
    <pageSetUpPr fitToPage="1"/>
  </sheetPr>
  <dimension ref="A1:G17"/>
  <sheetViews>
    <sheetView zoomScale="75" workbookViewId="0">
      <selection activeCell="G2" sqref="G2"/>
    </sheetView>
  </sheetViews>
  <sheetFormatPr baseColWidth="10" defaultColWidth="11.3984375" defaultRowHeight="13"/>
  <cols>
    <col min="1" max="1" width="19.796875" style="2" customWidth="1"/>
    <col min="2" max="6" width="14.796875" style="2" customWidth="1"/>
    <col min="7" max="7" width="14.59765625" style="2" customWidth="1"/>
    <col min="8" max="8" width="10.3984375" style="2" customWidth="1"/>
    <col min="9" max="16384" width="11.3984375" style="2"/>
  </cols>
  <sheetData>
    <row r="1" spans="1:7" ht="14" customHeight="1">
      <c r="A1" s="242"/>
      <c r="B1" s="4"/>
      <c r="C1" s="4"/>
      <c r="D1" s="4"/>
      <c r="E1" s="4"/>
      <c r="F1" s="4"/>
      <c r="G1" s="4"/>
    </row>
    <row r="2" spans="1:7" ht="28.5" customHeight="1">
      <c r="A2" s="1606" t="s">
        <v>1739</v>
      </c>
      <c r="B2" s="1610"/>
      <c r="C2" s="1610"/>
      <c r="D2" s="1610"/>
      <c r="E2" s="1610"/>
      <c r="F2" s="1610"/>
      <c r="G2" s="192">
        <v>2005</v>
      </c>
    </row>
    <row r="3" spans="1:7" ht="24" customHeight="1">
      <c r="A3" s="125" t="s">
        <v>321</v>
      </c>
      <c r="B3" s="126" t="s">
        <v>224</v>
      </c>
      <c r="C3" s="127" t="s">
        <v>225</v>
      </c>
      <c r="D3" s="126" t="s">
        <v>223</v>
      </c>
      <c r="E3" s="127" t="s">
        <v>43</v>
      </c>
      <c r="F3" s="126" t="s">
        <v>1740</v>
      </c>
      <c r="G3" s="127" t="s">
        <v>265</v>
      </c>
    </row>
    <row r="4" spans="1:7" ht="15" customHeight="1">
      <c r="A4" s="212"/>
      <c r="B4" s="129"/>
      <c r="C4" s="131"/>
      <c r="D4" s="129"/>
      <c r="E4" s="213"/>
      <c r="F4" s="129" t="s">
        <v>1741</v>
      </c>
      <c r="G4" s="131" t="s">
        <v>267</v>
      </c>
    </row>
    <row r="5" spans="1:7" ht="15" customHeight="1">
      <c r="A5" s="128"/>
      <c r="B5" s="129"/>
      <c r="C5" s="131"/>
      <c r="D5" s="129"/>
      <c r="E5" s="131"/>
      <c r="F5" s="129" t="s">
        <v>1742</v>
      </c>
      <c r="G5" s="131" t="s">
        <v>268</v>
      </c>
    </row>
    <row r="6" spans="1:7" ht="24" customHeight="1">
      <c r="A6" s="244"/>
      <c r="B6" s="245"/>
      <c r="C6" s="246"/>
      <c r="D6" s="245"/>
      <c r="E6" s="246"/>
      <c r="F6" s="135"/>
      <c r="G6" s="134"/>
    </row>
    <row r="7" spans="1:7" ht="37.5" customHeight="1" thickBot="1">
      <c r="A7" s="274" t="s">
        <v>322</v>
      </c>
      <c r="B7" s="248">
        <v>4265.7</v>
      </c>
      <c r="C7" s="249">
        <v>4969.38</v>
      </c>
      <c r="D7" s="248">
        <v>871.5</v>
      </c>
      <c r="E7" s="249">
        <v>3404.84</v>
      </c>
      <c r="F7" s="248">
        <v>676.71</v>
      </c>
      <c r="G7" s="251">
        <v>0.10201479131940512</v>
      </c>
    </row>
    <row r="8" spans="1:7" ht="34.5" customHeight="1" thickBot="1">
      <c r="A8" s="274" t="s">
        <v>323</v>
      </c>
      <c r="B8" s="248">
        <v>1863.06</v>
      </c>
      <c r="C8" s="249">
        <v>2779.54</v>
      </c>
      <c r="D8" s="248">
        <v>661.08</v>
      </c>
      <c r="E8" s="249">
        <v>2204.1</v>
      </c>
      <c r="F8" s="248">
        <v>-524.03</v>
      </c>
      <c r="G8" s="251">
        <v>5.4099916067584424E-3</v>
      </c>
    </row>
    <row r="9" spans="1:7" ht="35.25" customHeight="1" thickBot="1">
      <c r="A9" s="274" t="s">
        <v>324</v>
      </c>
      <c r="B9" s="248">
        <v>1016.74</v>
      </c>
      <c r="C9" s="249">
        <v>1545.79</v>
      </c>
      <c r="D9" s="248">
        <v>427.83</v>
      </c>
      <c r="E9" s="249">
        <v>1181.07</v>
      </c>
      <c r="F9" s="248">
        <v>-1547.06</v>
      </c>
      <c r="G9" s="251">
        <v>0.102886384222469</v>
      </c>
    </row>
    <row r="10" spans="1:7" ht="34.5" customHeight="1" thickBot="1">
      <c r="A10" s="274" t="s">
        <v>325</v>
      </c>
      <c r="B10" s="248">
        <v>1687.82</v>
      </c>
      <c r="C10" s="249">
        <v>2378.16</v>
      </c>
      <c r="D10" s="248">
        <v>643.69000000000005</v>
      </c>
      <c r="E10" s="249">
        <v>1748.32</v>
      </c>
      <c r="F10" s="248">
        <v>-979.81</v>
      </c>
      <c r="G10" s="251">
        <v>4.0970282999208067E-2</v>
      </c>
    </row>
    <row r="11" spans="1:7" ht="36" customHeight="1" thickBot="1">
      <c r="A11" s="396" t="s">
        <v>43</v>
      </c>
      <c r="B11" s="258">
        <v>2724.69</v>
      </c>
      <c r="C11" s="259">
        <v>3707.45</v>
      </c>
      <c r="D11" s="258">
        <v>820.59</v>
      </c>
      <c r="E11" s="259">
        <v>2728.13</v>
      </c>
      <c r="F11" s="258">
        <v>0</v>
      </c>
      <c r="G11" s="279">
        <v>5.761969373909677E-2</v>
      </c>
    </row>
    <row r="12" spans="1:7" ht="19.5" customHeight="1">
      <c r="A12" s="146" t="s">
        <v>596</v>
      </c>
      <c r="B12" s="146"/>
      <c r="C12" s="146"/>
      <c r="D12" s="146"/>
      <c r="E12" s="146"/>
      <c r="F12" s="146"/>
      <c r="G12" s="146"/>
    </row>
    <row r="14" spans="1:7">
      <c r="A14" s="2" t="s">
        <v>1743</v>
      </c>
    </row>
    <row r="17" spans="1:1">
      <c r="A17" s="2" t="s">
        <v>128</v>
      </c>
    </row>
  </sheetData>
  <mergeCells count="1">
    <mergeCell ref="A2:F2"/>
  </mergeCells>
  <phoneticPr fontId="0" type="noConversion"/>
  <pageMargins left="0.57999999999999996" right="0.53" top="1.01" bottom="0.49" header="0.59" footer="0.4921259845"/>
  <pageSetup paperSize="9" scale="86" orientation="portrait" horizontalDpi="4294967292" verticalDpi="4294967292"/>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9DD53-B25D-1143-A65F-5ED0365AF51D}">
  <sheetPr>
    <pageSetUpPr fitToPage="1"/>
  </sheetPr>
  <dimension ref="A1:B17"/>
  <sheetViews>
    <sheetView workbookViewId="0">
      <selection activeCell="C22" sqref="C22"/>
    </sheetView>
  </sheetViews>
  <sheetFormatPr baseColWidth="10" defaultColWidth="11.3984375" defaultRowHeight="13"/>
  <cols>
    <col min="1" max="1" width="5.59765625" style="408" customWidth="1"/>
    <col min="2" max="16384" width="11.3984375" style="408"/>
  </cols>
  <sheetData>
    <row r="1" spans="1:2" ht="16">
      <c r="A1" s="407" t="s">
        <v>1756</v>
      </c>
    </row>
    <row r="2" spans="1:2" ht="16">
      <c r="A2" s="407"/>
    </row>
    <row r="3" spans="1:2">
      <c r="A3" s="409">
        <v>3.01</v>
      </c>
      <c r="B3" s="410" t="s">
        <v>1950</v>
      </c>
    </row>
    <row r="4" spans="1:2">
      <c r="A4" s="409">
        <v>3.02</v>
      </c>
      <c r="B4" s="410" t="s">
        <v>1760</v>
      </c>
    </row>
    <row r="5" spans="1:2">
      <c r="A5" s="409">
        <v>3.03</v>
      </c>
      <c r="B5" s="410" t="s">
        <v>1761</v>
      </c>
    </row>
    <row r="6" spans="1:2">
      <c r="A6" s="409">
        <v>3.04</v>
      </c>
      <c r="B6" s="410" t="s">
        <v>1762</v>
      </c>
    </row>
    <row r="7" spans="1:2">
      <c r="A7" s="409">
        <v>3.05</v>
      </c>
      <c r="B7" s="409" t="s">
        <v>1757</v>
      </c>
    </row>
    <row r="8" spans="1:2">
      <c r="A8" s="409">
        <v>3.06</v>
      </c>
      <c r="B8" s="409" t="s">
        <v>1758</v>
      </c>
    </row>
    <row r="9" spans="1:2">
      <c r="A9" s="409">
        <v>3.07</v>
      </c>
      <c r="B9" s="409" t="s">
        <v>1759</v>
      </c>
    </row>
    <row r="10" spans="1:2">
      <c r="A10" s="409">
        <v>3.08</v>
      </c>
      <c r="B10" s="409" t="s">
        <v>1951</v>
      </c>
    </row>
    <row r="11" spans="1:2">
      <c r="A11" s="409">
        <v>3.09</v>
      </c>
      <c r="B11" s="409" t="s">
        <v>1763</v>
      </c>
    </row>
    <row r="12" spans="1:2">
      <c r="A12" s="411" t="s">
        <v>104</v>
      </c>
      <c r="B12" s="409" t="s">
        <v>1765</v>
      </c>
    </row>
    <row r="13" spans="1:2">
      <c r="A13" s="409">
        <v>3.11</v>
      </c>
      <c r="B13" s="409" t="s">
        <v>1766</v>
      </c>
    </row>
    <row r="14" spans="1:2">
      <c r="A14" s="409">
        <v>3.12</v>
      </c>
      <c r="B14" s="409" t="s">
        <v>1764</v>
      </c>
    </row>
    <row r="15" spans="1:2">
      <c r="A15" s="409"/>
      <c r="B15" s="409"/>
    </row>
    <row r="16" spans="1:2">
      <c r="A16" s="409"/>
      <c r="B16" s="409"/>
    </row>
    <row r="17" spans="1:1">
      <c r="A17" s="409" t="s">
        <v>128</v>
      </c>
    </row>
  </sheetData>
  <phoneticPr fontId="37" type="noConversion"/>
  <pageMargins left="0.57999999999999996" right="0.6" top="0.65" bottom="0.984251969" header="0.34" footer="0.4921259845"/>
  <pageSetup paperSize="9" orientation="portrait"/>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20B88-A0FA-C342-8C0E-6A45E2E96CB6}">
  <sheetPr>
    <pageSetUpPr fitToPage="1"/>
  </sheetPr>
  <dimension ref="A1:K36"/>
  <sheetViews>
    <sheetView zoomScale="75" workbookViewId="0">
      <selection activeCell="A3" sqref="A3"/>
    </sheetView>
  </sheetViews>
  <sheetFormatPr baseColWidth="10" defaultColWidth="11.3984375" defaultRowHeight="13"/>
  <cols>
    <col min="1" max="1" width="14.3984375" style="2" customWidth="1"/>
    <col min="2" max="2" width="16.796875" style="2" customWidth="1"/>
    <col min="3" max="5" width="15.3984375" style="2" customWidth="1"/>
    <col min="6" max="6" width="15.3984375" style="210" customWidth="1"/>
    <col min="7" max="7" width="15.3984375" style="2" customWidth="1"/>
    <col min="8" max="16384" width="11.3984375" style="2"/>
  </cols>
  <sheetData>
    <row r="1" spans="1:11" s="1" customFormat="1" ht="14" customHeight="1">
      <c r="F1" s="191"/>
    </row>
    <row r="2" spans="1:11" s="1" customFormat="1" ht="30" customHeight="1">
      <c r="A2" s="124" t="s">
        <v>1952</v>
      </c>
      <c r="F2" s="191"/>
      <c r="G2" s="192"/>
    </row>
    <row r="3" spans="1:11" ht="24" customHeight="1">
      <c r="A3" s="125" t="s">
        <v>1254</v>
      </c>
      <c r="B3" s="126" t="s">
        <v>229</v>
      </c>
      <c r="C3" s="127" t="s">
        <v>265</v>
      </c>
      <c r="D3" s="126" t="s">
        <v>286</v>
      </c>
      <c r="E3" s="127" t="s">
        <v>265</v>
      </c>
      <c r="F3" s="126" t="s">
        <v>223</v>
      </c>
      <c r="G3" s="127" t="s">
        <v>265</v>
      </c>
    </row>
    <row r="4" spans="1:11" ht="15" customHeight="1">
      <c r="A4" s="212"/>
      <c r="B4" s="155" t="s">
        <v>436</v>
      </c>
      <c r="C4" s="131" t="s">
        <v>267</v>
      </c>
      <c r="D4" s="155" t="s">
        <v>229</v>
      </c>
      <c r="E4" s="131" t="s">
        <v>267</v>
      </c>
      <c r="F4" s="155" t="s">
        <v>437</v>
      </c>
      <c r="G4" s="131" t="s">
        <v>267</v>
      </c>
    </row>
    <row r="5" spans="1:11" ht="15" customHeight="1">
      <c r="A5" s="212"/>
      <c r="B5" s="129"/>
      <c r="C5" s="131" t="s">
        <v>268</v>
      </c>
      <c r="D5" s="155" t="s">
        <v>438</v>
      </c>
      <c r="E5" s="131" t="s">
        <v>268</v>
      </c>
      <c r="F5" s="194"/>
      <c r="G5" s="131" t="s">
        <v>268</v>
      </c>
    </row>
    <row r="6" spans="1:11" ht="24" customHeight="1">
      <c r="A6" s="214"/>
      <c r="B6" s="135"/>
      <c r="C6" s="134"/>
      <c r="D6" s="135"/>
      <c r="E6" s="134"/>
      <c r="F6" s="195"/>
      <c r="G6" s="134"/>
    </row>
    <row r="7" spans="1:11" ht="23.25" customHeight="1" thickBot="1">
      <c r="A7" s="216">
        <v>1996</v>
      </c>
      <c r="B7" s="949">
        <v>173.08</v>
      </c>
      <c r="C7" s="158" t="s">
        <v>861</v>
      </c>
      <c r="D7" s="949">
        <v>114.73041951160255</v>
      </c>
      <c r="E7" s="158" t="s">
        <v>861</v>
      </c>
      <c r="F7" s="949">
        <v>47.723529089864961</v>
      </c>
      <c r="G7" s="158" t="s">
        <v>861</v>
      </c>
    </row>
    <row r="8" spans="1:11" ht="20" customHeight="1" thickBot="1">
      <c r="A8" s="218">
        <v>1997</v>
      </c>
      <c r="B8" s="738">
        <v>188.06152293360134</v>
      </c>
      <c r="C8" s="160">
        <v>8.6558371467537087E-2</v>
      </c>
      <c r="D8" s="738">
        <v>124.66129778231421</v>
      </c>
      <c r="E8" s="160">
        <v>8.6558371467537087E-2</v>
      </c>
      <c r="F8" s="738">
        <v>51.854400048567307</v>
      </c>
      <c r="G8" s="160">
        <v>8.6558371467537087E-2</v>
      </c>
      <c r="I8" s="10"/>
      <c r="J8" s="10"/>
      <c r="K8" s="10"/>
    </row>
    <row r="9" spans="1:11" ht="20" customHeight="1" thickBot="1">
      <c r="A9" s="218">
        <v>1998</v>
      </c>
      <c r="B9" s="738">
        <v>197.28646689698576</v>
      </c>
      <c r="C9" s="160">
        <v>4.9052798358128147E-2</v>
      </c>
      <c r="D9" s="738">
        <v>125.29607374124997</v>
      </c>
      <c r="E9" s="160">
        <v>5.0920050587330845E-3</v>
      </c>
      <c r="F9" s="738">
        <v>51.799576777497641</v>
      </c>
      <c r="G9" s="160">
        <v>-1.0572539845860041E-3</v>
      </c>
    </row>
    <row r="10" spans="1:11" ht="20" customHeight="1" thickBot="1">
      <c r="A10" s="218">
        <v>1999</v>
      </c>
      <c r="B10" s="738">
        <v>203.88952141156713</v>
      </c>
      <c r="C10" s="160">
        <v>3.3469373842196726E-2</v>
      </c>
      <c r="D10" s="738">
        <v>130.21886901362492</v>
      </c>
      <c r="E10" s="160">
        <v>3.9289301934081866E-2</v>
      </c>
      <c r="F10" s="738">
        <v>53.348085764350309</v>
      </c>
      <c r="G10" s="160">
        <v>2.9894240130652117E-2</v>
      </c>
    </row>
    <row r="11" spans="1:11" ht="20" customHeight="1" thickBot="1">
      <c r="A11" s="218">
        <v>2000</v>
      </c>
      <c r="B11" s="738">
        <v>211.67614847185897</v>
      </c>
      <c r="C11" s="160">
        <v>3.8190422962315562E-2</v>
      </c>
      <c r="D11" s="738">
        <v>134.7191420153035</v>
      </c>
      <c r="E11" s="160">
        <v>3.4559300320813779E-2</v>
      </c>
      <c r="F11" s="738">
        <v>55.173206027906794</v>
      </c>
      <c r="G11" s="160">
        <v>3.4211541752752428E-2</v>
      </c>
    </row>
    <row r="12" spans="1:11" ht="20" customHeight="1" thickBot="1">
      <c r="A12" s="218">
        <v>2001</v>
      </c>
      <c r="B12" s="738">
        <v>223.27</v>
      </c>
      <c r="C12" s="160">
        <v>5.4771648160833575E-2</v>
      </c>
      <c r="D12" s="738">
        <v>149.77000000000001</v>
      </c>
      <c r="E12" s="160">
        <v>0.11172026305650617</v>
      </c>
      <c r="F12" s="738">
        <v>57.65</v>
      </c>
      <c r="G12" s="160">
        <v>4.4891246139302288E-2</v>
      </c>
    </row>
    <row r="13" spans="1:11" ht="20" customHeight="1" thickBot="1">
      <c r="A13" s="218">
        <v>2002</v>
      </c>
      <c r="B13" s="738">
        <v>245.01247000000001</v>
      </c>
      <c r="C13" s="160">
        <v>9.7381959063017831E-2</v>
      </c>
      <c r="D13" s="738">
        <v>172.20867000000001</v>
      </c>
      <c r="E13" s="160">
        <v>0.14982085864992989</v>
      </c>
      <c r="F13" s="738">
        <v>63.127989999999997</v>
      </c>
      <c r="G13" s="160">
        <v>9.502150910667817E-2</v>
      </c>
    </row>
    <row r="14" spans="1:11" ht="20" customHeight="1" thickBot="1">
      <c r="A14" s="218">
        <v>2003</v>
      </c>
      <c r="B14" s="738">
        <v>268.54743999999999</v>
      </c>
      <c r="C14" s="160">
        <v>9.6056212975608846E-2</v>
      </c>
      <c r="D14" s="738">
        <v>198.72591</v>
      </c>
      <c r="E14" s="160">
        <v>0.15398318795447397</v>
      </c>
      <c r="F14" s="738">
        <v>68.990499999999997</v>
      </c>
      <c r="G14" s="160">
        <v>9.2867046772754813E-2</v>
      </c>
    </row>
    <row r="15" spans="1:11" ht="20" customHeight="1" thickBot="1">
      <c r="A15" s="218">
        <v>2004</v>
      </c>
      <c r="B15" s="738">
        <v>279.98</v>
      </c>
      <c r="C15" s="160">
        <v>4.2571845034158562E-2</v>
      </c>
      <c r="D15" s="738">
        <v>213.29</v>
      </c>
      <c r="E15" s="160">
        <v>7.3287323228259371E-2</v>
      </c>
      <c r="F15" s="738">
        <v>71.84</v>
      </c>
      <c r="G15" s="160">
        <v>4.1302788065023632E-2</v>
      </c>
    </row>
    <row r="16" spans="1:11" ht="20" customHeight="1" thickBot="1">
      <c r="A16" s="218">
        <v>2005</v>
      </c>
      <c r="B16" s="738">
        <v>290.21806622890591</v>
      </c>
      <c r="C16" s="160">
        <v>3.6567134184248395E-2</v>
      </c>
      <c r="D16" s="738">
        <v>225.09346768269774</v>
      </c>
      <c r="E16" s="160">
        <v>5.5339995699272171E-2</v>
      </c>
      <c r="F16" s="738">
        <v>71.95510451056029</v>
      </c>
      <c r="G16" s="160">
        <v>1.6022342784003385E-3</v>
      </c>
    </row>
    <row r="17" spans="1:9" ht="20" customHeight="1" thickBot="1">
      <c r="A17" s="218">
        <v>2006</v>
      </c>
      <c r="B17" s="738">
        <v>306.40836181971781</v>
      </c>
      <c r="C17" s="160">
        <v>5.5786656568933335E-2</v>
      </c>
      <c r="D17" s="738">
        <v>241.17388660184943</v>
      </c>
      <c r="E17" s="160">
        <v>7.1438851978678608E-2</v>
      </c>
      <c r="F17" s="738">
        <v>74.466353915536445</v>
      </c>
      <c r="G17" s="160">
        <v>3.4900225940295959E-2</v>
      </c>
    </row>
    <row r="18" spans="1:9" ht="30" customHeight="1" thickBot="1">
      <c r="A18" s="220">
        <v>2007</v>
      </c>
      <c r="B18" s="950">
        <v>313.01044236889447</v>
      </c>
      <c r="C18" s="162">
        <v>2.1546672257792832E-2</v>
      </c>
      <c r="D18" s="950">
        <v>246.30400307180668</v>
      </c>
      <c r="E18" s="162">
        <v>2.1271442535677476E-2</v>
      </c>
      <c r="F18" s="950">
        <v>75.718485025980357</v>
      </c>
      <c r="G18" s="162">
        <v>1.6814722953458094E-2</v>
      </c>
    </row>
    <row r="19" spans="1:9" ht="20" customHeight="1">
      <c r="A19" s="146" t="s">
        <v>602</v>
      </c>
      <c r="B19" s="146"/>
      <c r="C19" s="146"/>
      <c r="D19" s="146"/>
      <c r="E19" s="146"/>
      <c r="F19" s="281"/>
      <c r="G19" s="146"/>
    </row>
    <row r="20" spans="1:9" ht="14.25" customHeight="1">
      <c r="A20" s="4"/>
      <c r="B20" s="4"/>
      <c r="C20" s="4"/>
      <c r="D20" s="4"/>
      <c r="E20" s="4"/>
      <c r="F20" s="282"/>
      <c r="G20" s="4"/>
    </row>
    <row r="21" spans="1:9" ht="14.25" customHeight="1">
      <c r="A21" s="4" t="s">
        <v>585</v>
      </c>
      <c r="B21" s="225"/>
      <c r="C21" s="225"/>
      <c r="D21" s="225"/>
      <c r="E21" s="225"/>
      <c r="F21" s="225"/>
      <c r="G21" s="225"/>
      <c r="H21" s="225"/>
      <c r="I21" s="226"/>
    </row>
    <row r="22" spans="1:9" ht="20" customHeight="1">
      <c r="A22" s="4"/>
      <c r="B22" s="225"/>
      <c r="C22" s="225"/>
      <c r="D22" s="225"/>
      <c r="E22" s="225"/>
      <c r="F22" s="225"/>
      <c r="G22" s="225"/>
      <c r="H22" s="225"/>
      <c r="I22" s="226"/>
    </row>
    <row r="23" spans="1:9" ht="12.75" customHeight="1">
      <c r="A23" s="4" t="s">
        <v>439</v>
      </c>
      <c r="B23" s="225"/>
      <c r="C23" s="225"/>
      <c r="D23" s="225"/>
      <c r="E23" s="225"/>
      <c r="F23" s="225"/>
      <c r="G23" s="225"/>
      <c r="H23" s="225"/>
      <c r="I23" s="226"/>
    </row>
    <row r="24" spans="1:9">
      <c r="A24" s="2" t="s">
        <v>440</v>
      </c>
      <c r="F24" s="2"/>
    </row>
    <row r="25" spans="1:9">
      <c r="A25" s="2" t="s">
        <v>427</v>
      </c>
      <c r="F25" s="2"/>
    </row>
    <row r="26" spans="1:9">
      <c r="A26" s="2" t="s">
        <v>428</v>
      </c>
      <c r="F26" s="2"/>
    </row>
    <row r="27" spans="1:9">
      <c r="A27" s="4" t="s">
        <v>429</v>
      </c>
      <c r="F27" s="2"/>
    </row>
    <row r="28" spans="1:9">
      <c r="A28" s="4" t="s">
        <v>430</v>
      </c>
      <c r="F28" s="2"/>
    </row>
    <row r="29" spans="1:9">
      <c r="A29" s="951" t="s">
        <v>431</v>
      </c>
      <c r="F29" s="2"/>
    </row>
    <row r="30" spans="1:9">
      <c r="A30" s="2" t="s">
        <v>432</v>
      </c>
      <c r="F30" s="2"/>
    </row>
    <row r="31" spans="1:9">
      <c r="A31" s="2" t="s">
        <v>433</v>
      </c>
      <c r="F31" s="2"/>
    </row>
    <row r="32" spans="1:9">
      <c r="A32" s="2" t="s">
        <v>434</v>
      </c>
      <c r="F32" s="2"/>
    </row>
    <row r="33" spans="1:6">
      <c r="A33" s="951" t="s">
        <v>435</v>
      </c>
      <c r="F33" s="2"/>
    </row>
    <row r="36" spans="1:6">
      <c r="A36" s="2" t="s">
        <v>128</v>
      </c>
    </row>
  </sheetData>
  <phoneticPr fontId="0" type="noConversion"/>
  <pageMargins left="0.57999999999999996" right="0.69" top="0.94" bottom="0.49" header="0.53" footer="0.4921259845"/>
  <pageSetup paperSize="9" scale="75" orientation="portrait" horizontalDpi="4294967292" verticalDpi="4294967292"/>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2C39E-37DE-124B-B238-628B685F1F03}">
  <sheetPr>
    <pageSetUpPr fitToPage="1"/>
  </sheetPr>
  <dimension ref="A1:H45"/>
  <sheetViews>
    <sheetView topLeftCell="A24" zoomScale="75" workbookViewId="0">
      <selection activeCell="A42" sqref="A42"/>
    </sheetView>
  </sheetViews>
  <sheetFormatPr baseColWidth="10" defaultColWidth="11.3984375" defaultRowHeight="13"/>
  <cols>
    <col min="1" max="1" width="15.19921875" style="2" customWidth="1"/>
    <col min="2" max="6" width="15.796875" style="2" customWidth="1"/>
    <col min="7" max="7" width="14.3984375" style="2" customWidth="1"/>
    <col min="8" max="8" width="14.19921875" style="2" customWidth="1"/>
    <col min="9" max="16384" width="11.3984375" style="2"/>
  </cols>
  <sheetData>
    <row r="1" spans="1:8" s="1" customFormat="1" ht="14" customHeight="1">
      <c r="A1" s="404"/>
      <c r="B1" s="404"/>
      <c r="C1" s="404"/>
      <c r="D1" s="404"/>
      <c r="E1" s="404"/>
      <c r="F1" s="404"/>
    </row>
    <row r="2" spans="1:8" s="1" customFormat="1" ht="23.25" customHeight="1">
      <c r="A2" s="405" t="s">
        <v>1944</v>
      </c>
      <c r="B2" s="404"/>
      <c r="C2" s="404"/>
      <c r="D2" s="404"/>
      <c r="E2" s="404"/>
      <c r="F2" s="404"/>
    </row>
    <row r="3" spans="1:8" s="1" customFormat="1" ht="27.75" customHeight="1">
      <c r="A3" s="405" t="s">
        <v>604</v>
      </c>
      <c r="B3" s="404"/>
      <c r="C3" s="404"/>
      <c r="D3" s="404"/>
      <c r="E3" s="404"/>
      <c r="F3" s="404"/>
    </row>
    <row r="4" spans="1:8" ht="16.5" customHeight="1">
      <c r="A4" s="125" t="s">
        <v>222</v>
      </c>
      <c r="B4" s="856" t="s">
        <v>451</v>
      </c>
      <c r="C4" s="848" t="s">
        <v>452</v>
      </c>
      <c r="D4" s="856" t="s">
        <v>453</v>
      </c>
      <c r="E4" s="848" t="s">
        <v>454</v>
      </c>
      <c r="F4" s="856" t="s">
        <v>1945</v>
      </c>
      <c r="G4" s="952" t="s">
        <v>265</v>
      </c>
      <c r="H4" s="953" t="s">
        <v>455</v>
      </c>
    </row>
    <row r="5" spans="1:8" ht="16.5" customHeight="1">
      <c r="A5" s="212"/>
      <c r="B5" s="849"/>
      <c r="C5" s="850"/>
      <c r="D5" s="849"/>
      <c r="E5" s="850"/>
      <c r="F5" s="849"/>
      <c r="G5" s="954" t="s">
        <v>267</v>
      </c>
      <c r="H5" s="955" t="s">
        <v>456</v>
      </c>
    </row>
    <row r="6" spans="1:8" ht="16.5" customHeight="1">
      <c r="A6" s="827"/>
      <c r="B6" s="353"/>
      <c r="C6" s="692"/>
      <c r="D6" s="353"/>
      <c r="E6" s="692"/>
      <c r="F6" s="956"/>
      <c r="G6" s="957" t="s">
        <v>268</v>
      </c>
      <c r="H6" s="958" t="s">
        <v>457</v>
      </c>
    </row>
    <row r="7" spans="1:8" ht="16.5" customHeight="1">
      <c r="A7" s="214"/>
      <c r="B7" s="135"/>
      <c r="C7" s="134"/>
      <c r="D7" s="135"/>
      <c r="E7" s="134"/>
      <c r="F7" s="156"/>
      <c r="G7" s="959"/>
      <c r="H7" s="960" t="s">
        <v>458</v>
      </c>
    </row>
    <row r="8" spans="1:8" ht="30" customHeight="1" thickBot="1">
      <c r="A8" s="654" t="s">
        <v>230</v>
      </c>
      <c r="B8" s="961">
        <v>348.985168574451</v>
      </c>
      <c r="C8" s="633">
        <v>304.57626937427301</v>
      </c>
      <c r="D8" s="961">
        <v>281.97414173252002</v>
      </c>
      <c r="E8" s="633" t="s">
        <v>695</v>
      </c>
      <c r="F8" s="962">
        <v>310.10716455208302</v>
      </c>
      <c r="G8" s="458">
        <v>1.4380857788395485E-2</v>
      </c>
      <c r="H8" s="483">
        <v>5.4883032556853895E-2</v>
      </c>
    </row>
    <row r="9" spans="1:8" ht="20" customHeight="1" thickBot="1">
      <c r="A9" s="655" t="s">
        <v>231</v>
      </c>
      <c r="B9" s="700">
        <v>361.18924403076903</v>
      </c>
      <c r="C9" s="701">
        <v>320.09258369089002</v>
      </c>
      <c r="D9" s="700">
        <v>298.33870674050399</v>
      </c>
      <c r="E9" s="701" t="s">
        <v>695</v>
      </c>
      <c r="F9" s="736">
        <v>327.97149715930459</v>
      </c>
      <c r="G9" s="462">
        <v>4.6255338625506681E-2</v>
      </c>
      <c r="H9" s="484">
        <v>6.2482016436036014E-2</v>
      </c>
    </row>
    <row r="10" spans="1:8" ht="20" customHeight="1" thickBot="1">
      <c r="A10" s="655" t="s">
        <v>232</v>
      </c>
      <c r="B10" s="700">
        <v>276.18951541013598</v>
      </c>
      <c r="C10" s="701">
        <v>253.94439862159899</v>
      </c>
      <c r="D10" s="700">
        <v>243.78597090333</v>
      </c>
      <c r="E10" s="701" t="s">
        <v>695</v>
      </c>
      <c r="F10" s="736">
        <v>260.47719889031953</v>
      </c>
      <c r="G10" s="462">
        <v>3.7479923521227976E-2</v>
      </c>
      <c r="H10" s="484">
        <v>6.1374029034014788E-2</v>
      </c>
    </row>
    <row r="11" spans="1:8" ht="20" customHeight="1" thickBot="1">
      <c r="A11" s="655" t="s">
        <v>233</v>
      </c>
      <c r="B11" s="700" t="s">
        <v>695</v>
      </c>
      <c r="C11" s="701" t="s">
        <v>695</v>
      </c>
      <c r="D11" s="700" t="s">
        <v>695</v>
      </c>
      <c r="E11" s="701">
        <v>234.89905536184901</v>
      </c>
      <c r="F11" s="736">
        <v>234.89905536184941</v>
      </c>
      <c r="G11" s="462">
        <v>4.0464674409767865E-2</v>
      </c>
      <c r="H11" s="484">
        <v>4.9054684707736884E-2</v>
      </c>
    </row>
    <row r="12" spans="1:8" ht="20" customHeight="1" thickBot="1">
      <c r="A12" s="655" t="s">
        <v>234</v>
      </c>
      <c r="B12" s="700" t="s">
        <v>695</v>
      </c>
      <c r="C12" s="701" t="s">
        <v>695</v>
      </c>
      <c r="D12" s="700" t="s">
        <v>695</v>
      </c>
      <c r="E12" s="701">
        <v>255.21055048025303</v>
      </c>
      <c r="F12" s="736">
        <v>255.2105504802534</v>
      </c>
      <c r="G12" s="462">
        <v>2.9984183611211135E-2</v>
      </c>
      <c r="H12" s="484">
        <v>5.1409536878273654E-2</v>
      </c>
    </row>
    <row r="13" spans="1:8" ht="20" customHeight="1" thickBot="1">
      <c r="A13" s="655" t="s">
        <v>235</v>
      </c>
      <c r="B13" s="700" t="s">
        <v>695</v>
      </c>
      <c r="C13" s="701" t="s">
        <v>695</v>
      </c>
      <c r="D13" s="700" t="s">
        <v>695</v>
      </c>
      <c r="E13" s="701">
        <v>226.14329857155002</v>
      </c>
      <c r="F13" s="736">
        <v>226.14329857155025</v>
      </c>
      <c r="G13" s="462">
        <v>3.6138108747441278E-2</v>
      </c>
      <c r="H13" s="484">
        <v>4.1574461169350485E-2</v>
      </c>
    </row>
    <row r="14" spans="1:8" ht="20" customHeight="1" thickBot="1">
      <c r="A14" s="655" t="s">
        <v>236</v>
      </c>
      <c r="B14" s="700" t="s">
        <v>695</v>
      </c>
      <c r="C14" s="701" t="s">
        <v>695</v>
      </c>
      <c r="D14" s="700" t="s">
        <v>695</v>
      </c>
      <c r="E14" s="701">
        <v>216.31766710239998</v>
      </c>
      <c r="F14" s="736">
        <v>216.31766710239953</v>
      </c>
      <c r="G14" s="462">
        <v>2.5637393846202006E-2</v>
      </c>
      <c r="H14" s="484">
        <v>4.2682285668099507E-2</v>
      </c>
    </row>
    <row r="15" spans="1:8" ht="20" customHeight="1" thickBot="1">
      <c r="A15" s="655" t="s">
        <v>237</v>
      </c>
      <c r="B15" s="700" t="s">
        <v>695</v>
      </c>
      <c r="C15" s="701" t="s">
        <v>695</v>
      </c>
      <c r="D15" s="700" t="s">
        <v>695</v>
      </c>
      <c r="E15" s="701">
        <v>257.98306015912999</v>
      </c>
      <c r="F15" s="736">
        <v>257.98306015913045</v>
      </c>
      <c r="G15" s="462">
        <v>3.6843469175976029E-2</v>
      </c>
      <c r="H15" s="484">
        <v>6.0796154562133387E-2</v>
      </c>
    </row>
    <row r="16" spans="1:8" ht="20" customHeight="1" thickBot="1">
      <c r="A16" s="655" t="s">
        <v>238</v>
      </c>
      <c r="B16" s="700" t="s">
        <v>695</v>
      </c>
      <c r="C16" s="701" t="s">
        <v>695</v>
      </c>
      <c r="D16" s="700" t="s">
        <v>695</v>
      </c>
      <c r="E16" s="701">
        <v>253.091608009136</v>
      </c>
      <c r="F16" s="736">
        <v>253.0916080091356</v>
      </c>
      <c r="G16" s="462">
        <v>2.6156331198566196E-2</v>
      </c>
      <c r="H16" s="484">
        <v>5.111924629905773E-2</v>
      </c>
    </row>
    <row r="17" spans="1:8" ht="20" customHeight="1" thickBot="1">
      <c r="A17" s="655" t="s">
        <v>239</v>
      </c>
      <c r="B17" s="700">
        <v>305.60958702352406</v>
      </c>
      <c r="C17" s="701">
        <v>276.51145019200607</v>
      </c>
      <c r="D17" s="700" t="s">
        <v>695</v>
      </c>
      <c r="E17" s="701" t="s">
        <v>695</v>
      </c>
      <c r="F17" s="736">
        <v>286.4843182758911</v>
      </c>
      <c r="G17" s="462">
        <v>2.0026159589033421E-2</v>
      </c>
      <c r="H17" s="484">
        <v>4.1641551299200552E-2</v>
      </c>
    </row>
    <row r="18" spans="1:8" ht="20" customHeight="1" thickBot="1">
      <c r="A18" s="655" t="s">
        <v>240</v>
      </c>
      <c r="B18" s="700" t="s">
        <v>695</v>
      </c>
      <c r="C18" s="701" t="s">
        <v>695</v>
      </c>
      <c r="D18" s="700" t="s">
        <v>695</v>
      </c>
      <c r="E18" s="701">
        <v>278.39672231038401</v>
      </c>
      <c r="F18" s="736">
        <v>278.39672231038372</v>
      </c>
      <c r="G18" s="462">
        <v>2.376399387013195E-2</v>
      </c>
      <c r="H18" s="484">
        <v>4.7881809439348721E-2</v>
      </c>
    </row>
    <row r="19" spans="1:8" ht="20" customHeight="1" thickBot="1">
      <c r="A19" s="655" t="s">
        <v>241</v>
      </c>
      <c r="B19" s="700" t="s">
        <v>695</v>
      </c>
      <c r="C19" s="701" t="s">
        <v>695</v>
      </c>
      <c r="D19" s="700" t="s">
        <v>695</v>
      </c>
      <c r="E19" s="701">
        <v>408.99350038505406</v>
      </c>
      <c r="F19" s="736">
        <v>408.99350038505372</v>
      </c>
      <c r="G19" s="462">
        <v>1.2403457182264876E-2</v>
      </c>
      <c r="H19" s="484">
        <v>6.0459554762297474E-2</v>
      </c>
    </row>
    <row r="20" spans="1:8" ht="20" customHeight="1" thickBot="1">
      <c r="A20" s="655" t="s">
        <v>242</v>
      </c>
      <c r="B20" s="700">
        <v>322.51149625412506</v>
      </c>
      <c r="C20" s="701">
        <v>296.75631074868505</v>
      </c>
      <c r="D20" s="700" t="s">
        <v>695</v>
      </c>
      <c r="E20" s="701" t="s">
        <v>695</v>
      </c>
      <c r="F20" s="736">
        <v>315.36643167187003</v>
      </c>
      <c r="G20" s="462">
        <v>2.2145174997317163E-2</v>
      </c>
      <c r="H20" s="484">
        <v>5.0143903706401538E-2</v>
      </c>
    </row>
    <row r="21" spans="1:8" ht="20" customHeight="1" thickBot="1">
      <c r="A21" s="655" t="s">
        <v>243</v>
      </c>
      <c r="B21" s="700">
        <v>305.49139018532401</v>
      </c>
      <c r="C21" s="701">
        <v>285.24236463861098</v>
      </c>
      <c r="D21" s="700" t="s">
        <v>695</v>
      </c>
      <c r="E21" s="701" t="s">
        <v>695</v>
      </c>
      <c r="F21" s="736">
        <v>297.39496144635382</v>
      </c>
      <c r="G21" s="462">
        <v>2.7486338283940981E-2</v>
      </c>
      <c r="H21" s="484">
        <v>5.9360678386925603E-2</v>
      </c>
    </row>
    <row r="22" spans="1:8" ht="20" customHeight="1" thickBot="1">
      <c r="A22" s="655" t="s">
        <v>244</v>
      </c>
      <c r="B22" s="700" t="s">
        <v>695</v>
      </c>
      <c r="C22" s="701" t="s">
        <v>695</v>
      </c>
      <c r="D22" s="700" t="s">
        <v>695</v>
      </c>
      <c r="E22" s="701">
        <v>233.27735048671903</v>
      </c>
      <c r="F22" s="736">
        <v>233.27735048671937</v>
      </c>
      <c r="G22" s="462">
        <v>2.8519884179602384E-2</v>
      </c>
      <c r="H22" s="484">
        <v>5.6553902326361039E-2</v>
      </c>
    </row>
    <row r="23" spans="1:8" ht="20" customHeight="1" thickBot="1">
      <c r="A23" s="655" t="s">
        <v>245</v>
      </c>
      <c r="B23" s="700" t="s">
        <v>695</v>
      </c>
      <c r="C23" s="701" t="s">
        <v>695</v>
      </c>
      <c r="D23" s="700" t="s">
        <v>695</v>
      </c>
      <c r="E23" s="701">
        <v>217.25488340194102</v>
      </c>
      <c r="F23" s="736">
        <v>217.25488340194119</v>
      </c>
      <c r="G23" s="462">
        <v>4.7503336322007872E-2</v>
      </c>
      <c r="H23" s="484">
        <v>5.655483880836143E-2</v>
      </c>
    </row>
    <row r="24" spans="1:8" ht="20" customHeight="1" thickBot="1">
      <c r="A24" s="655" t="s">
        <v>246</v>
      </c>
      <c r="B24" s="700">
        <v>280.40273075813104</v>
      </c>
      <c r="C24" s="701">
        <v>256.901197375832</v>
      </c>
      <c r="D24" s="700">
        <v>247.54037904475399</v>
      </c>
      <c r="E24" s="701" t="s">
        <v>695</v>
      </c>
      <c r="F24" s="736">
        <v>261.58320614822554</v>
      </c>
      <c r="G24" s="462">
        <v>3.23757301264469E-2</v>
      </c>
      <c r="H24" s="484">
        <v>6.1228818031857646E-2</v>
      </c>
    </row>
    <row r="25" spans="1:8" ht="20" customHeight="1" thickBot="1">
      <c r="A25" s="655" t="s">
        <v>247</v>
      </c>
      <c r="B25" s="700">
        <v>269.29993010283403</v>
      </c>
      <c r="C25" s="701">
        <v>255.70781365034603</v>
      </c>
      <c r="D25" s="700">
        <v>236.82345659072902</v>
      </c>
      <c r="E25" s="701" t="s">
        <v>695</v>
      </c>
      <c r="F25" s="736">
        <v>254.94376324241443</v>
      </c>
      <c r="G25" s="462">
        <v>2.3039533464116246E-2</v>
      </c>
      <c r="H25" s="484">
        <v>5.8698589846604809E-2</v>
      </c>
    </row>
    <row r="26" spans="1:8" ht="20" customHeight="1" thickBot="1">
      <c r="A26" s="655" t="s">
        <v>248</v>
      </c>
      <c r="B26" s="700" t="s">
        <v>695</v>
      </c>
      <c r="C26" s="701" t="s">
        <v>695</v>
      </c>
      <c r="D26" s="700" t="s">
        <v>695</v>
      </c>
      <c r="E26" s="701">
        <v>277.66897420611599</v>
      </c>
      <c r="F26" s="736">
        <v>277.66897420611645</v>
      </c>
      <c r="G26" s="462">
        <v>3.4192326086081248E-2</v>
      </c>
      <c r="H26" s="484">
        <v>6.4020707268051869E-2</v>
      </c>
    </row>
    <row r="27" spans="1:8" ht="20" customHeight="1" thickBot="1">
      <c r="A27" s="655" t="s">
        <v>249</v>
      </c>
      <c r="B27" s="700" t="s">
        <v>695</v>
      </c>
      <c r="C27" s="701" t="s">
        <v>695</v>
      </c>
      <c r="D27" s="700" t="s">
        <v>695</v>
      </c>
      <c r="E27" s="701">
        <v>289.18184118057303</v>
      </c>
      <c r="F27" s="736">
        <v>289.1818411805732</v>
      </c>
      <c r="G27" s="462">
        <v>1.4307957789632786E-2</v>
      </c>
      <c r="H27" s="484">
        <v>6.5960742097086467E-2</v>
      </c>
    </row>
    <row r="28" spans="1:8" ht="20" customHeight="1" thickBot="1">
      <c r="A28" s="655" t="s">
        <v>250</v>
      </c>
      <c r="B28" s="700">
        <v>371.85913021382703</v>
      </c>
      <c r="C28" s="701">
        <v>348.68323142361197</v>
      </c>
      <c r="D28" s="700" t="s">
        <v>695</v>
      </c>
      <c r="E28" s="701" t="s">
        <v>695</v>
      </c>
      <c r="F28" s="736">
        <v>368.38131382990485</v>
      </c>
      <c r="G28" s="462">
        <v>1.7973899070927279E-2</v>
      </c>
      <c r="H28" s="484">
        <v>5.2115295934931583E-2</v>
      </c>
    </row>
    <row r="29" spans="1:8" ht="20" customHeight="1" thickBot="1">
      <c r="A29" s="655" t="s">
        <v>251</v>
      </c>
      <c r="B29" s="700">
        <v>393.13716583808105</v>
      </c>
      <c r="C29" s="701">
        <v>369.58516687462503</v>
      </c>
      <c r="D29" s="700">
        <v>353.61260155660005</v>
      </c>
      <c r="E29" s="701" t="s">
        <v>695</v>
      </c>
      <c r="F29" s="736">
        <v>372.93786282373941</v>
      </c>
      <c r="G29" s="462">
        <v>7.2185741553147942E-3</v>
      </c>
      <c r="H29" s="484">
        <v>3.4741467938735893E-2</v>
      </c>
    </row>
    <row r="30" spans="1:8" ht="20" customHeight="1" thickBot="1">
      <c r="A30" s="655" t="s">
        <v>252</v>
      </c>
      <c r="B30" s="700">
        <v>269.16845628045604</v>
      </c>
      <c r="C30" s="701">
        <v>234.72602540564199</v>
      </c>
      <c r="D30" s="700" t="s">
        <v>695</v>
      </c>
      <c r="E30" s="701" t="s">
        <v>695</v>
      </c>
      <c r="F30" s="736">
        <v>259.34335905965833</v>
      </c>
      <c r="G30" s="462">
        <v>3.5361890479136848E-2</v>
      </c>
      <c r="H30" s="484">
        <v>4.1667444075312199E-2</v>
      </c>
    </row>
    <row r="31" spans="1:8" ht="20" customHeight="1" thickBot="1">
      <c r="A31" s="655" t="s">
        <v>253</v>
      </c>
      <c r="B31" s="700" t="s">
        <v>695</v>
      </c>
      <c r="C31" s="701" t="s">
        <v>695</v>
      </c>
      <c r="D31" s="700" t="s">
        <v>695</v>
      </c>
      <c r="E31" s="701">
        <v>366.74051881833304</v>
      </c>
      <c r="F31" s="736">
        <v>366.74051881833293</v>
      </c>
      <c r="G31" s="462">
        <v>1.3111302350580445E-2</v>
      </c>
      <c r="H31" s="484">
        <v>5.7535405169277132E-2</v>
      </c>
    </row>
    <row r="32" spans="1:8" ht="20" customHeight="1" thickBot="1">
      <c r="A32" s="655" t="s">
        <v>254</v>
      </c>
      <c r="B32" s="700" t="s">
        <v>695</v>
      </c>
      <c r="C32" s="701" t="s">
        <v>695</v>
      </c>
      <c r="D32" s="700" t="s">
        <v>695</v>
      </c>
      <c r="E32" s="701">
        <v>423.33748850036602</v>
      </c>
      <c r="F32" s="736">
        <v>423.33748850036579</v>
      </c>
      <c r="G32" s="462">
        <v>-5.2374676614266313E-3</v>
      </c>
      <c r="H32" s="484">
        <v>4.1841751371253233E-2</v>
      </c>
    </row>
    <row r="33" spans="1:8" ht="20" customHeight="1" thickBot="1">
      <c r="A33" s="655" t="s">
        <v>255</v>
      </c>
      <c r="B33" s="700" t="s">
        <v>695</v>
      </c>
      <c r="C33" s="701" t="s">
        <v>695</v>
      </c>
      <c r="D33" s="700" t="s">
        <v>695</v>
      </c>
      <c r="E33" s="701">
        <v>335.33073833911806</v>
      </c>
      <c r="F33" s="736">
        <v>335.3307383391176</v>
      </c>
      <c r="G33" s="462">
        <v>5.0971582313448227E-3</v>
      </c>
      <c r="H33" s="484">
        <v>5.1796199338604243E-2</v>
      </c>
    </row>
    <row r="34" spans="1:8" s="280" customFormat="1" ht="30" customHeight="1" thickBot="1">
      <c r="A34" s="143" t="s">
        <v>256</v>
      </c>
      <c r="B34" s="963" t="s">
        <v>1646</v>
      </c>
      <c r="C34" s="964" t="s">
        <v>1646</v>
      </c>
      <c r="D34" s="963" t="s">
        <v>1646</v>
      </c>
      <c r="E34" s="964" t="s">
        <v>1646</v>
      </c>
      <c r="F34" s="963">
        <v>313.01044236889447</v>
      </c>
      <c r="G34" s="965">
        <v>2.1546672257792832E-2</v>
      </c>
      <c r="H34" s="966">
        <v>5.2266847347316014E-2</v>
      </c>
    </row>
    <row r="35" spans="1:8" ht="20" customHeight="1">
      <c r="A35" s="146" t="s">
        <v>602</v>
      </c>
      <c r="B35" s="851"/>
      <c r="C35" s="851"/>
      <c r="D35" s="851"/>
      <c r="E35" s="851"/>
      <c r="F35" s="851"/>
    </row>
    <row r="36" spans="1:8" ht="12.75" customHeight="1">
      <c r="A36" s="4"/>
      <c r="B36" s="852"/>
      <c r="C36" s="852"/>
      <c r="D36" s="852"/>
      <c r="E36" s="852"/>
      <c r="F36" s="852"/>
    </row>
    <row r="37" spans="1:8" ht="15.75" customHeight="1">
      <c r="A37" s="4" t="s">
        <v>585</v>
      </c>
      <c r="B37" s="852"/>
      <c r="C37" s="852"/>
      <c r="D37" s="852"/>
      <c r="E37" s="852"/>
      <c r="F37" s="852"/>
    </row>
    <row r="38" spans="1:8" ht="13.5" customHeight="1">
      <c r="A38" s="4"/>
      <c r="B38" s="852"/>
      <c r="C38" s="852"/>
      <c r="D38" s="852"/>
      <c r="E38" s="852"/>
      <c r="F38" s="852"/>
    </row>
    <row r="39" spans="1:8" ht="12.75" customHeight="1">
      <c r="A39" s="4" t="s">
        <v>599</v>
      </c>
      <c r="B39" s="852"/>
      <c r="C39" s="852"/>
      <c r="D39" s="852"/>
      <c r="E39" s="852"/>
      <c r="F39" s="852"/>
    </row>
    <row r="40" spans="1:8">
      <c r="A40" s="2" t="s">
        <v>459</v>
      </c>
      <c r="B40" s="507"/>
      <c r="C40" s="507"/>
      <c r="D40" s="507"/>
      <c r="E40" s="507"/>
      <c r="F40" s="507"/>
    </row>
    <row r="41" spans="1:8">
      <c r="A41" s="2" t="s">
        <v>1942</v>
      </c>
      <c r="B41" s="507"/>
      <c r="C41" s="507"/>
      <c r="D41" s="507"/>
      <c r="E41" s="507"/>
      <c r="F41" s="507"/>
    </row>
    <row r="42" spans="1:8">
      <c r="A42" s="2" t="s">
        <v>1943</v>
      </c>
      <c r="B42" s="507"/>
      <c r="C42" s="507"/>
      <c r="D42" s="507"/>
      <c r="E42" s="507"/>
      <c r="F42" s="507"/>
    </row>
    <row r="43" spans="1:8">
      <c r="B43" s="507"/>
      <c r="C43" s="507"/>
      <c r="D43" s="507"/>
      <c r="E43" s="507"/>
      <c r="F43" s="507"/>
    </row>
    <row r="44" spans="1:8">
      <c r="B44" s="507"/>
      <c r="C44" s="507"/>
      <c r="D44" s="507"/>
      <c r="E44" s="507"/>
      <c r="F44" s="507"/>
    </row>
    <row r="45" spans="1:8">
      <c r="A45" s="2" t="s">
        <v>128</v>
      </c>
    </row>
  </sheetData>
  <phoneticPr fontId="0" type="noConversion"/>
  <pageMargins left="0.57999999999999996" right="0.62" top="0.78" bottom="0.47244094488188981" header="0.44" footer="0.51181102362204722"/>
  <pageSetup paperSize="9" scale="74" orientation="portrait" horizontalDpi="4294967292" verticalDpi="4294967292"/>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C7968-49BA-B542-BD75-114CB4D8C848}">
  <sheetPr>
    <pageSetUpPr fitToPage="1"/>
  </sheetPr>
  <dimension ref="A1:H45"/>
  <sheetViews>
    <sheetView topLeftCell="A21" zoomScale="75" workbookViewId="0">
      <selection activeCell="J34" sqref="J34"/>
    </sheetView>
  </sheetViews>
  <sheetFormatPr baseColWidth="10" defaultColWidth="11.3984375" defaultRowHeight="13"/>
  <cols>
    <col min="1" max="6" width="16" style="2" customWidth="1"/>
    <col min="7" max="8" width="14.19921875" style="2" customWidth="1"/>
    <col min="9" max="16384" width="11.3984375" style="2"/>
  </cols>
  <sheetData>
    <row r="1" spans="1:8" s="1" customFormat="1" ht="14" customHeight="1">
      <c r="A1" s="404"/>
      <c r="B1" s="404"/>
      <c r="C1" s="404"/>
      <c r="D1" s="404"/>
      <c r="E1" s="404"/>
      <c r="F1" s="404"/>
    </row>
    <row r="2" spans="1:8" s="1" customFormat="1" ht="21" customHeight="1">
      <c r="A2" s="405" t="s">
        <v>1946</v>
      </c>
      <c r="B2" s="404"/>
      <c r="C2" s="404"/>
      <c r="D2" s="404"/>
      <c r="E2" s="404"/>
      <c r="F2" s="404"/>
    </row>
    <row r="3" spans="1:8" s="1" customFormat="1" ht="27" customHeight="1">
      <c r="A3" s="405" t="s">
        <v>583</v>
      </c>
      <c r="B3" s="404"/>
      <c r="C3" s="404"/>
      <c r="D3" s="404"/>
      <c r="E3" s="404"/>
      <c r="F3" s="404"/>
    </row>
    <row r="4" spans="1:8" ht="24" customHeight="1">
      <c r="A4" s="125" t="s">
        <v>222</v>
      </c>
      <c r="B4" s="856" t="s">
        <v>451</v>
      </c>
      <c r="C4" s="848" t="s">
        <v>452</v>
      </c>
      <c r="D4" s="856" t="s">
        <v>453</v>
      </c>
      <c r="E4" s="848" t="s">
        <v>454</v>
      </c>
      <c r="F4" s="856" t="s">
        <v>1945</v>
      </c>
      <c r="G4" s="952" t="s">
        <v>265</v>
      </c>
      <c r="H4" s="953" t="s">
        <v>455</v>
      </c>
    </row>
    <row r="5" spans="1:8" ht="24.75" customHeight="1">
      <c r="A5" s="212"/>
      <c r="B5" s="849"/>
      <c r="C5" s="850"/>
      <c r="D5" s="849"/>
      <c r="E5" s="850"/>
      <c r="F5" s="849"/>
      <c r="G5" s="954" t="s">
        <v>267</v>
      </c>
      <c r="H5" s="955" t="s">
        <v>456</v>
      </c>
    </row>
    <row r="6" spans="1:8" ht="24.75" customHeight="1">
      <c r="A6" s="212"/>
      <c r="B6" s="849"/>
      <c r="C6" s="850"/>
      <c r="D6" s="849"/>
      <c r="E6" s="850"/>
      <c r="F6" s="849"/>
      <c r="G6" s="957" t="s">
        <v>268</v>
      </c>
      <c r="H6" s="958" t="s">
        <v>457</v>
      </c>
    </row>
    <row r="7" spans="1:8" ht="16" customHeight="1">
      <c r="A7" s="214"/>
      <c r="B7" s="135"/>
      <c r="C7" s="134"/>
      <c r="D7" s="135"/>
      <c r="E7" s="134"/>
      <c r="F7" s="156"/>
      <c r="G7" s="959"/>
      <c r="H7" s="960" t="s">
        <v>458</v>
      </c>
    </row>
    <row r="8" spans="1:8" ht="30" customHeight="1" thickBot="1">
      <c r="A8" s="654" t="s">
        <v>230</v>
      </c>
      <c r="B8" s="961">
        <v>278.65287176643801</v>
      </c>
      <c r="C8" s="633">
        <v>238.01260622186402</v>
      </c>
      <c r="D8" s="961">
        <v>218.45790056792103</v>
      </c>
      <c r="E8" s="633" t="s">
        <v>695</v>
      </c>
      <c r="F8" s="962">
        <v>241.04111833667733</v>
      </c>
      <c r="G8" s="843">
        <v>1.5165401702427417E-2</v>
      </c>
      <c r="H8" s="1602">
        <v>6.984981278413338E-2</v>
      </c>
    </row>
    <row r="9" spans="1:8" ht="20" customHeight="1" thickBot="1">
      <c r="A9" s="655" t="s">
        <v>231</v>
      </c>
      <c r="B9" s="700">
        <v>286.51383085369702</v>
      </c>
      <c r="C9" s="701">
        <v>249.65300653136302</v>
      </c>
      <c r="D9" s="700">
        <v>229.59765528986199</v>
      </c>
      <c r="E9" s="701" t="s">
        <v>695</v>
      </c>
      <c r="F9" s="736">
        <v>254.99433578992171</v>
      </c>
      <c r="G9" s="844">
        <v>5.181579694903693E-2</v>
      </c>
      <c r="H9" s="1603">
        <v>8.1097420174858215E-2</v>
      </c>
    </row>
    <row r="10" spans="1:8" ht="20" customHeight="1" thickBot="1">
      <c r="A10" s="655" t="s">
        <v>232</v>
      </c>
      <c r="B10" s="700">
        <v>218.235791918888</v>
      </c>
      <c r="C10" s="701">
        <v>200.89554816434301</v>
      </c>
      <c r="D10" s="700">
        <v>193.12340212083001</v>
      </c>
      <c r="E10" s="701" t="s">
        <v>695</v>
      </c>
      <c r="F10" s="736">
        <v>204.76512499316883</v>
      </c>
      <c r="G10" s="844">
        <v>4.1430519013067046E-2</v>
      </c>
      <c r="H10" s="1603">
        <v>7.3223246412285059E-2</v>
      </c>
    </row>
    <row r="11" spans="1:8" ht="20" customHeight="1" thickBot="1">
      <c r="A11" s="655" t="s">
        <v>233</v>
      </c>
      <c r="B11" s="700" t="s">
        <v>695</v>
      </c>
      <c r="C11" s="701" t="s">
        <v>695</v>
      </c>
      <c r="D11" s="700" t="s">
        <v>695</v>
      </c>
      <c r="E11" s="701">
        <v>186.66766564841703</v>
      </c>
      <c r="F11" s="736">
        <v>186.66766564841652</v>
      </c>
      <c r="G11" s="844">
        <v>3.7339785277707538E-2</v>
      </c>
      <c r="H11" s="1603">
        <v>6.0676543741262634E-2</v>
      </c>
    </row>
    <row r="12" spans="1:8" ht="20" customHeight="1" thickBot="1">
      <c r="A12" s="655" t="s">
        <v>234</v>
      </c>
      <c r="B12" s="700" t="s">
        <v>695</v>
      </c>
      <c r="C12" s="701" t="s">
        <v>695</v>
      </c>
      <c r="D12" s="700" t="s">
        <v>695</v>
      </c>
      <c r="E12" s="701">
        <v>200.45824743118501</v>
      </c>
      <c r="F12" s="736">
        <v>200.4582474311851</v>
      </c>
      <c r="G12" s="844">
        <v>2.8553020464625822E-2</v>
      </c>
      <c r="H12" s="1603">
        <v>6.2281318546035136E-2</v>
      </c>
    </row>
    <row r="13" spans="1:8" ht="20" customHeight="1" thickBot="1">
      <c r="A13" s="655" t="s">
        <v>235</v>
      </c>
      <c r="B13" s="700" t="s">
        <v>695</v>
      </c>
      <c r="C13" s="701" t="s">
        <v>695</v>
      </c>
      <c r="D13" s="700" t="s">
        <v>695</v>
      </c>
      <c r="E13" s="701">
        <v>179.62134531914401</v>
      </c>
      <c r="F13" s="736">
        <v>179.62134531914427</v>
      </c>
      <c r="G13" s="844">
        <v>3.6814150505655396E-2</v>
      </c>
      <c r="H13" s="1603">
        <v>5.324652253983464E-2</v>
      </c>
    </row>
    <row r="14" spans="1:8" ht="20" customHeight="1" thickBot="1">
      <c r="A14" s="655" t="s">
        <v>236</v>
      </c>
      <c r="B14" s="700" t="s">
        <v>695</v>
      </c>
      <c r="C14" s="701" t="s">
        <v>695</v>
      </c>
      <c r="D14" s="700" t="s">
        <v>695</v>
      </c>
      <c r="E14" s="701">
        <v>171.04788582034899</v>
      </c>
      <c r="F14" s="736">
        <v>171.04788582034905</v>
      </c>
      <c r="G14" s="844">
        <v>2.865989418831516E-2</v>
      </c>
      <c r="H14" s="1603">
        <v>5.5071276214664344E-2</v>
      </c>
    </row>
    <row r="15" spans="1:8" ht="20" customHeight="1" thickBot="1">
      <c r="A15" s="655" t="s">
        <v>237</v>
      </c>
      <c r="B15" s="700" t="s">
        <v>695</v>
      </c>
      <c r="C15" s="701" t="s">
        <v>695</v>
      </c>
      <c r="D15" s="700" t="s">
        <v>695</v>
      </c>
      <c r="E15" s="701">
        <v>204.45250124456902</v>
      </c>
      <c r="F15" s="736">
        <v>204.45250124456854</v>
      </c>
      <c r="G15" s="844">
        <v>3.4606103643439745E-2</v>
      </c>
      <c r="H15" s="1603">
        <v>7.4823166266268615E-2</v>
      </c>
    </row>
    <row r="16" spans="1:8" ht="20" customHeight="1" thickBot="1">
      <c r="A16" s="655" t="s">
        <v>238</v>
      </c>
      <c r="B16" s="700" t="s">
        <v>695</v>
      </c>
      <c r="C16" s="701" t="s">
        <v>695</v>
      </c>
      <c r="D16" s="700" t="s">
        <v>695</v>
      </c>
      <c r="E16" s="701">
        <v>201.15444783169301</v>
      </c>
      <c r="F16" s="736">
        <v>201.15444783169329</v>
      </c>
      <c r="G16" s="844">
        <v>2.6890440718768449E-2</v>
      </c>
      <c r="H16" s="1603">
        <v>6.3660467800340959E-2</v>
      </c>
    </row>
    <row r="17" spans="1:8" ht="20" customHeight="1" thickBot="1">
      <c r="A17" s="655" t="s">
        <v>239</v>
      </c>
      <c r="B17" s="700">
        <v>253.69727378021599</v>
      </c>
      <c r="C17" s="701">
        <v>226.226082976963</v>
      </c>
      <c r="D17" s="700" t="s">
        <v>695</v>
      </c>
      <c r="E17" s="701" t="s">
        <v>695</v>
      </c>
      <c r="F17" s="736">
        <v>235.77813554411395</v>
      </c>
      <c r="G17" s="844">
        <v>2.1473000850071422E-2</v>
      </c>
      <c r="H17" s="1603">
        <v>5.9151768036067809E-2</v>
      </c>
    </row>
    <row r="18" spans="1:8" ht="20" customHeight="1" thickBot="1">
      <c r="A18" s="655" t="s">
        <v>240</v>
      </c>
      <c r="B18" s="700" t="s">
        <v>695</v>
      </c>
      <c r="C18" s="701" t="s">
        <v>695</v>
      </c>
      <c r="D18" s="700" t="s">
        <v>695</v>
      </c>
      <c r="E18" s="701">
        <v>218.42098768861101</v>
      </c>
      <c r="F18" s="736">
        <v>218.42098768861123</v>
      </c>
      <c r="G18" s="844">
        <v>2.6729643137529235E-2</v>
      </c>
      <c r="H18" s="1603">
        <v>6.1164281355207128E-2</v>
      </c>
    </row>
    <row r="19" spans="1:8" ht="20" customHeight="1" thickBot="1">
      <c r="A19" s="655" t="s">
        <v>241</v>
      </c>
      <c r="B19" s="700" t="s">
        <v>695</v>
      </c>
      <c r="C19" s="701" t="s">
        <v>695</v>
      </c>
      <c r="D19" s="700" t="s">
        <v>695</v>
      </c>
      <c r="E19" s="701">
        <v>326.16188682543702</v>
      </c>
      <c r="F19" s="736">
        <v>326.16188682543742</v>
      </c>
      <c r="G19" s="844">
        <v>1.4794371495468139E-2</v>
      </c>
      <c r="H19" s="1603">
        <v>8.0317243735130051E-2</v>
      </c>
    </row>
    <row r="20" spans="1:8" ht="20" customHeight="1" thickBot="1">
      <c r="A20" s="655" t="s">
        <v>242</v>
      </c>
      <c r="B20" s="700">
        <v>250.87888421485701</v>
      </c>
      <c r="C20" s="701">
        <v>230.80137156454199</v>
      </c>
      <c r="D20" s="700" t="s">
        <v>695</v>
      </c>
      <c r="E20" s="701" t="s">
        <v>695</v>
      </c>
      <c r="F20" s="736">
        <v>244.90555917829226</v>
      </c>
      <c r="G20" s="844">
        <v>2.1032059945787829E-2</v>
      </c>
      <c r="H20" s="1603">
        <v>6.4901908494634064E-2</v>
      </c>
    </row>
    <row r="21" spans="1:8" ht="20" customHeight="1" thickBot="1">
      <c r="A21" s="655" t="s">
        <v>243</v>
      </c>
      <c r="B21" s="700">
        <v>236.335210715556</v>
      </c>
      <c r="C21" s="701">
        <v>218.49015079384202</v>
      </c>
      <c r="D21" s="700" t="s">
        <v>695</v>
      </c>
      <c r="E21" s="701" t="s">
        <v>695</v>
      </c>
      <c r="F21" s="736">
        <v>229.34870577248748</v>
      </c>
      <c r="G21" s="844">
        <v>3.4230314305925713E-2</v>
      </c>
      <c r="H21" s="1603">
        <v>7.2883999669089539E-2</v>
      </c>
    </row>
    <row r="22" spans="1:8" ht="20" customHeight="1" thickBot="1">
      <c r="A22" s="655" t="s">
        <v>244</v>
      </c>
      <c r="B22" s="700" t="s">
        <v>695</v>
      </c>
      <c r="C22" s="701" t="s">
        <v>695</v>
      </c>
      <c r="D22" s="700" t="s">
        <v>695</v>
      </c>
      <c r="E22" s="701">
        <v>180.74771205064101</v>
      </c>
      <c r="F22" s="736">
        <v>180.74771205064073</v>
      </c>
      <c r="G22" s="844">
        <v>2.6522483859307444E-2</v>
      </c>
      <c r="H22" s="1603">
        <v>6.4430396398071244E-2</v>
      </c>
    </row>
    <row r="23" spans="1:8" ht="20" customHeight="1" thickBot="1">
      <c r="A23" s="655" t="s">
        <v>245</v>
      </c>
      <c r="B23" s="700" t="s">
        <v>695</v>
      </c>
      <c r="C23" s="701" t="s">
        <v>695</v>
      </c>
      <c r="D23" s="700" t="s">
        <v>695</v>
      </c>
      <c r="E23" s="701">
        <v>168.13962476687601</v>
      </c>
      <c r="F23" s="736">
        <v>168.13962476687604</v>
      </c>
      <c r="G23" s="844">
        <v>4.6963317900200918E-2</v>
      </c>
      <c r="H23" s="1603">
        <v>6.1086972189734023E-2</v>
      </c>
    </row>
    <row r="24" spans="1:8" ht="20" customHeight="1" thickBot="1">
      <c r="A24" s="655" t="s">
        <v>246</v>
      </c>
      <c r="B24" s="700">
        <v>216.465993433535</v>
      </c>
      <c r="C24" s="701">
        <v>199.80132726453098</v>
      </c>
      <c r="D24" s="700">
        <v>190.927253992842</v>
      </c>
      <c r="E24" s="701" t="s">
        <v>695</v>
      </c>
      <c r="F24" s="736">
        <v>202.38978706513035</v>
      </c>
      <c r="G24" s="844">
        <v>3.1864832263683862E-2</v>
      </c>
      <c r="H24" s="1603">
        <v>7.1511641485605848E-2</v>
      </c>
    </row>
    <row r="25" spans="1:8" ht="20" customHeight="1" thickBot="1">
      <c r="A25" s="655" t="s">
        <v>247</v>
      </c>
      <c r="B25" s="700">
        <v>213.64023287262202</v>
      </c>
      <c r="C25" s="701">
        <v>204.042096741866</v>
      </c>
      <c r="D25" s="700">
        <v>187.79935389672002</v>
      </c>
      <c r="E25" s="701" t="s">
        <v>695</v>
      </c>
      <c r="F25" s="736">
        <v>202.73959538057318</v>
      </c>
      <c r="G25" s="844">
        <v>2.3224017514334783E-2</v>
      </c>
      <c r="H25" s="1603">
        <v>7.2670114474580716E-2</v>
      </c>
    </row>
    <row r="26" spans="1:8" ht="20" customHeight="1" thickBot="1">
      <c r="A26" s="655" t="s">
        <v>248</v>
      </c>
      <c r="B26" s="700" t="s">
        <v>695</v>
      </c>
      <c r="C26" s="701" t="s">
        <v>695</v>
      </c>
      <c r="D26" s="700" t="s">
        <v>695</v>
      </c>
      <c r="E26" s="701">
        <v>219.07219301672902</v>
      </c>
      <c r="F26" s="736">
        <v>219.0721930167293</v>
      </c>
      <c r="G26" s="844">
        <v>3.5555759221582495E-2</v>
      </c>
      <c r="H26" s="1603">
        <v>7.6990905726444625E-2</v>
      </c>
    </row>
    <row r="27" spans="1:8" ht="20" customHeight="1" thickBot="1">
      <c r="A27" s="655" t="s">
        <v>249</v>
      </c>
      <c r="B27" s="700" t="s">
        <v>695</v>
      </c>
      <c r="C27" s="701" t="s">
        <v>695</v>
      </c>
      <c r="D27" s="700" t="s">
        <v>695</v>
      </c>
      <c r="E27" s="701">
        <v>227.74514814138001</v>
      </c>
      <c r="F27" s="736">
        <v>227.74514814137984</v>
      </c>
      <c r="G27" s="844">
        <v>1.2066324466784017E-2</v>
      </c>
      <c r="H27" s="1603">
        <v>7.8571023201125634E-2</v>
      </c>
    </row>
    <row r="28" spans="1:8" ht="20" customHeight="1" thickBot="1">
      <c r="A28" s="655" t="s">
        <v>250</v>
      </c>
      <c r="B28" s="700">
        <v>296.70320880308805</v>
      </c>
      <c r="C28" s="701">
        <v>278.37242219913202</v>
      </c>
      <c r="D28" s="700" t="s">
        <v>695</v>
      </c>
      <c r="E28" s="701" t="s">
        <v>695</v>
      </c>
      <c r="F28" s="736">
        <v>293.82871611304631</v>
      </c>
      <c r="G28" s="844">
        <v>1.5511838445869452E-2</v>
      </c>
      <c r="H28" s="1603">
        <v>7.8904665372963478E-2</v>
      </c>
    </row>
    <row r="29" spans="1:8" ht="20" customHeight="1" thickBot="1">
      <c r="A29" s="655" t="s">
        <v>251</v>
      </c>
      <c r="B29" s="700">
        <v>327.02599808257605</v>
      </c>
      <c r="C29" s="701">
        <v>311.89228827578802</v>
      </c>
      <c r="D29" s="700">
        <v>300.49305804230602</v>
      </c>
      <c r="E29" s="701" t="s">
        <v>695</v>
      </c>
      <c r="F29" s="736">
        <v>313.77860827050233</v>
      </c>
      <c r="G29" s="844">
        <v>3.0419905448770823E-3</v>
      </c>
      <c r="H29" s="1603">
        <v>6.3226583782614032E-2</v>
      </c>
    </row>
    <row r="30" spans="1:8" ht="20" customHeight="1" thickBot="1">
      <c r="A30" s="655" t="s">
        <v>252</v>
      </c>
      <c r="B30" s="700">
        <v>222.58837915689401</v>
      </c>
      <c r="C30" s="701">
        <v>183.96385749200101</v>
      </c>
      <c r="D30" s="700" t="s">
        <v>695</v>
      </c>
      <c r="E30" s="701" t="s">
        <v>695</v>
      </c>
      <c r="F30" s="736">
        <v>211.36105836125992</v>
      </c>
      <c r="G30" s="844">
        <v>3.1144852490950559E-2</v>
      </c>
      <c r="H30" s="1603">
        <v>5.5579347083525521E-2</v>
      </c>
    </row>
    <row r="31" spans="1:8" ht="20" customHeight="1" thickBot="1">
      <c r="A31" s="655" t="s">
        <v>253</v>
      </c>
      <c r="B31" s="700" t="s">
        <v>695</v>
      </c>
      <c r="C31" s="701" t="s">
        <v>695</v>
      </c>
      <c r="D31" s="700" t="s">
        <v>695</v>
      </c>
      <c r="E31" s="701">
        <v>305.07138248131901</v>
      </c>
      <c r="F31" s="736">
        <v>305.07138248131855</v>
      </c>
      <c r="G31" s="844">
        <v>3.9702252652717984E-3</v>
      </c>
      <c r="H31" s="1603">
        <v>7.3625132646268465E-2</v>
      </c>
    </row>
    <row r="32" spans="1:8" ht="20" customHeight="1" thickBot="1">
      <c r="A32" s="655" t="s">
        <v>254</v>
      </c>
      <c r="B32" s="700" t="s">
        <v>695</v>
      </c>
      <c r="C32" s="701" t="s">
        <v>695</v>
      </c>
      <c r="D32" s="700" t="s">
        <v>695</v>
      </c>
      <c r="E32" s="701">
        <v>351.348027714446</v>
      </c>
      <c r="F32" s="736">
        <v>351.34802771444606</v>
      </c>
      <c r="G32" s="844">
        <v>-1.2988299833344041E-2</v>
      </c>
      <c r="H32" s="1603">
        <v>5.9753998506330896E-2</v>
      </c>
    </row>
    <row r="33" spans="1:8" ht="20" customHeight="1" thickBot="1">
      <c r="A33" s="655" t="s">
        <v>255</v>
      </c>
      <c r="B33" s="700" t="s">
        <v>695</v>
      </c>
      <c r="C33" s="701" t="s">
        <v>695</v>
      </c>
      <c r="D33" s="700" t="s">
        <v>695</v>
      </c>
      <c r="E33" s="701">
        <v>283.52876932580301</v>
      </c>
      <c r="F33" s="736">
        <v>283.52876932580261</v>
      </c>
      <c r="G33" s="844">
        <v>4.2331555841983448E-3</v>
      </c>
      <c r="H33" s="1603">
        <v>7.0098323417683295E-2</v>
      </c>
    </row>
    <row r="34" spans="1:8" s="280" customFormat="1" ht="30" customHeight="1" thickBot="1">
      <c r="A34" s="143" t="s">
        <v>256</v>
      </c>
      <c r="B34" s="963" t="s">
        <v>1646</v>
      </c>
      <c r="C34" s="964" t="s">
        <v>1646</v>
      </c>
      <c r="D34" s="963" t="s">
        <v>1646</v>
      </c>
      <c r="E34" s="964" t="s">
        <v>1646</v>
      </c>
      <c r="F34" s="963">
        <v>246.30400307180668</v>
      </c>
      <c r="G34" s="1604">
        <v>2.1271442535677476E-2</v>
      </c>
      <c r="H34" s="1605">
        <v>7.0468723170880709E-2</v>
      </c>
    </row>
    <row r="35" spans="1:8" ht="20" customHeight="1">
      <c r="A35" s="146" t="s">
        <v>602</v>
      </c>
      <c r="B35" s="851"/>
      <c r="C35" s="851"/>
      <c r="D35" s="851"/>
      <c r="E35" s="851"/>
      <c r="F35" s="851"/>
    </row>
    <row r="36" spans="1:8" ht="12.75" customHeight="1">
      <c r="A36" s="4"/>
      <c r="B36" s="852"/>
      <c r="C36" s="852"/>
      <c r="D36" s="852"/>
      <c r="E36" s="852"/>
      <c r="F36" s="852"/>
    </row>
    <row r="37" spans="1:8" ht="15.75" customHeight="1">
      <c r="A37" s="4" t="s">
        <v>585</v>
      </c>
      <c r="B37" s="852"/>
      <c r="C37" s="852"/>
      <c r="D37" s="852"/>
      <c r="E37" s="852"/>
      <c r="F37" s="852"/>
    </row>
    <row r="38" spans="1:8" ht="13.5" customHeight="1">
      <c r="A38" s="4"/>
      <c r="B38" s="852"/>
      <c r="C38" s="852"/>
      <c r="D38" s="852"/>
      <c r="E38" s="852"/>
      <c r="F38" s="852"/>
    </row>
    <row r="39" spans="1:8" ht="12.75" customHeight="1">
      <c r="A39" s="4" t="s">
        <v>599</v>
      </c>
      <c r="B39" s="852"/>
      <c r="C39" s="852"/>
      <c r="D39" s="852"/>
      <c r="E39" s="852"/>
      <c r="F39" s="852"/>
    </row>
    <row r="40" spans="1:8">
      <c r="A40" s="2" t="s">
        <v>459</v>
      </c>
      <c r="B40" s="507"/>
      <c r="C40" s="507"/>
      <c r="D40" s="507"/>
      <c r="E40" s="507"/>
      <c r="F40" s="507"/>
    </row>
    <row r="41" spans="1:8">
      <c r="A41" s="2" t="s">
        <v>1942</v>
      </c>
      <c r="B41" s="507"/>
      <c r="C41" s="507"/>
      <c r="D41" s="507"/>
      <c r="E41" s="507"/>
      <c r="F41" s="507"/>
    </row>
    <row r="42" spans="1:8">
      <c r="A42" s="2" t="s">
        <v>1943</v>
      </c>
      <c r="B42" s="507"/>
      <c r="C42" s="507"/>
      <c r="D42" s="507"/>
      <c r="E42" s="507"/>
      <c r="F42" s="507"/>
    </row>
    <row r="43" spans="1:8">
      <c r="B43" s="507"/>
      <c r="C43" s="507"/>
      <c r="D43" s="507"/>
      <c r="E43" s="507"/>
      <c r="F43" s="507"/>
    </row>
    <row r="44" spans="1:8">
      <c r="B44" s="507"/>
      <c r="C44" s="507"/>
      <c r="D44" s="507"/>
      <c r="E44" s="507"/>
      <c r="F44" s="507"/>
    </row>
    <row r="45" spans="1:8">
      <c r="A45" s="2" t="s">
        <v>128</v>
      </c>
    </row>
  </sheetData>
  <phoneticPr fontId="0" type="noConversion"/>
  <pageMargins left="0.56000000000000005" right="0.54" top="0.9" bottom="0.47244094488188981" header="0.63" footer="0.51181102362204722"/>
  <pageSetup paperSize="9" scale="84" orientation="portrait" horizontalDpi="4294967292" verticalDpi="4294967292"/>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BDAE-CD2F-3448-91B8-5A18996A045A}">
  <sheetPr>
    <pageSetUpPr fitToPage="1"/>
  </sheetPr>
  <dimension ref="A1:H45"/>
  <sheetViews>
    <sheetView topLeftCell="A25" zoomScale="75" workbookViewId="0">
      <selection activeCell="I39" sqref="I39"/>
    </sheetView>
  </sheetViews>
  <sheetFormatPr baseColWidth="10" defaultColWidth="11.3984375" defaultRowHeight="13"/>
  <cols>
    <col min="1" max="6" width="16" style="2" customWidth="1"/>
    <col min="7" max="8" width="14.19921875" style="2" customWidth="1"/>
    <col min="9" max="16384" width="11.3984375" style="2"/>
  </cols>
  <sheetData>
    <row r="1" spans="1:8" s="1" customFormat="1" ht="14" customHeight="1">
      <c r="A1" s="404"/>
      <c r="B1" s="404"/>
      <c r="C1" s="404"/>
      <c r="D1" s="404"/>
      <c r="E1" s="404"/>
      <c r="F1" s="404"/>
    </row>
    <row r="2" spans="1:8" s="1" customFormat="1" ht="18.75" customHeight="1">
      <c r="A2" s="405" t="s">
        <v>1947</v>
      </c>
      <c r="B2" s="404"/>
      <c r="C2" s="404"/>
      <c r="D2" s="404"/>
      <c r="E2" s="404"/>
      <c r="F2" s="404"/>
    </row>
    <row r="3" spans="1:8" s="1" customFormat="1" ht="24" customHeight="1">
      <c r="A3" s="405" t="s">
        <v>603</v>
      </c>
      <c r="B3" s="404"/>
      <c r="C3" s="404"/>
      <c r="D3" s="404"/>
      <c r="E3" s="404"/>
      <c r="F3" s="404"/>
    </row>
    <row r="4" spans="1:8" ht="24" customHeight="1">
      <c r="A4" s="125" t="s">
        <v>222</v>
      </c>
      <c r="B4" s="856" t="s">
        <v>451</v>
      </c>
      <c r="C4" s="848" t="s">
        <v>452</v>
      </c>
      <c r="D4" s="856" t="s">
        <v>453</v>
      </c>
      <c r="E4" s="848" t="s">
        <v>454</v>
      </c>
      <c r="F4" s="856" t="s">
        <v>1945</v>
      </c>
      <c r="G4" s="952" t="s">
        <v>265</v>
      </c>
      <c r="H4" s="953" t="s">
        <v>455</v>
      </c>
    </row>
    <row r="5" spans="1:8" ht="24.75" customHeight="1">
      <c r="A5" s="212"/>
      <c r="B5" s="849"/>
      <c r="C5" s="850"/>
      <c r="D5" s="849"/>
      <c r="E5" s="850"/>
      <c r="F5" s="849"/>
      <c r="G5" s="954" t="s">
        <v>267</v>
      </c>
      <c r="H5" s="955" t="s">
        <v>456</v>
      </c>
    </row>
    <row r="6" spans="1:8" ht="24.75" customHeight="1">
      <c r="A6" s="212"/>
      <c r="B6" s="849"/>
      <c r="C6" s="850"/>
      <c r="D6" s="849"/>
      <c r="E6" s="850"/>
      <c r="F6" s="849"/>
      <c r="G6" s="957" t="s">
        <v>268</v>
      </c>
      <c r="H6" s="958" t="s">
        <v>457</v>
      </c>
    </row>
    <row r="7" spans="1:8" ht="16" customHeight="1">
      <c r="A7" s="214"/>
      <c r="B7" s="135"/>
      <c r="C7" s="134"/>
      <c r="D7" s="135"/>
      <c r="E7" s="134"/>
      <c r="F7" s="156"/>
      <c r="G7" s="959"/>
      <c r="H7" s="960" t="s">
        <v>458</v>
      </c>
    </row>
    <row r="8" spans="1:8" ht="30" customHeight="1" thickBot="1">
      <c r="A8" s="654" t="s">
        <v>230</v>
      </c>
      <c r="B8" s="961">
        <v>84.229137782237302</v>
      </c>
      <c r="C8" s="633">
        <v>74.023596475149304</v>
      </c>
      <c r="D8" s="961">
        <v>68.478551565284306</v>
      </c>
      <c r="E8" s="633" t="s">
        <v>695</v>
      </c>
      <c r="F8" s="962">
        <v>74.255524120651216</v>
      </c>
      <c r="G8" s="843">
        <v>1.2129474156748588E-2</v>
      </c>
      <c r="H8" s="1602">
        <v>4.1464349077818374E-2</v>
      </c>
    </row>
    <row r="9" spans="1:8" ht="20" customHeight="1" thickBot="1">
      <c r="A9" s="655" t="s">
        <v>231</v>
      </c>
      <c r="B9" s="700">
        <v>87.060942555904703</v>
      </c>
      <c r="C9" s="701">
        <v>76.183597388634595</v>
      </c>
      <c r="D9" s="700">
        <v>71.000673723988285</v>
      </c>
      <c r="E9" s="701" t="s">
        <v>695</v>
      </c>
      <c r="F9" s="736">
        <v>77.776156938973017</v>
      </c>
      <c r="G9" s="844">
        <v>4.1540535117361665E-2</v>
      </c>
      <c r="H9" s="1603">
        <v>4.7679661471322188E-2</v>
      </c>
    </row>
    <row r="10" spans="1:8" ht="20" customHeight="1" thickBot="1">
      <c r="A10" s="655" t="s">
        <v>232</v>
      </c>
      <c r="B10" s="700">
        <v>67.834703754705785</v>
      </c>
      <c r="C10" s="701">
        <v>62.589140935064201</v>
      </c>
      <c r="D10" s="700">
        <v>60.004866319517795</v>
      </c>
      <c r="E10" s="701" t="s">
        <v>695</v>
      </c>
      <c r="F10" s="736">
        <v>63.396933551600725</v>
      </c>
      <c r="G10" s="844">
        <v>3.7596507124926681E-2</v>
      </c>
      <c r="H10" s="1603">
        <v>5.3149130910679743E-2</v>
      </c>
    </row>
    <row r="11" spans="1:8" ht="20" customHeight="1" thickBot="1">
      <c r="A11" s="655" t="s">
        <v>233</v>
      </c>
      <c r="B11" s="700" t="s">
        <v>695</v>
      </c>
      <c r="C11" s="701" t="s">
        <v>695</v>
      </c>
      <c r="D11" s="700" t="s">
        <v>695</v>
      </c>
      <c r="E11" s="701">
        <v>57.751596050007294</v>
      </c>
      <c r="F11" s="736">
        <v>57.751596050007294</v>
      </c>
      <c r="G11" s="844">
        <v>3.9403973671650272E-2</v>
      </c>
      <c r="H11" s="1603">
        <v>3.9880905847023751E-2</v>
      </c>
    </row>
    <row r="12" spans="1:8" ht="20" customHeight="1" thickBot="1">
      <c r="A12" s="655" t="s">
        <v>234</v>
      </c>
      <c r="B12" s="700" t="s">
        <v>695</v>
      </c>
      <c r="C12" s="701" t="s">
        <v>695</v>
      </c>
      <c r="D12" s="700" t="s">
        <v>695</v>
      </c>
      <c r="E12" s="701">
        <v>61.930737978281805</v>
      </c>
      <c r="F12" s="736">
        <v>61.930737978281762</v>
      </c>
      <c r="G12" s="844">
        <v>2.6767260222793743E-2</v>
      </c>
      <c r="H12" s="1603">
        <v>4.2841477934332017E-2</v>
      </c>
    </row>
    <row r="13" spans="1:8" ht="20" customHeight="1" thickBot="1">
      <c r="A13" s="655" t="s">
        <v>235</v>
      </c>
      <c r="B13" s="700" t="s">
        <v>695</v>
      </c>
      <c r="C13" s="701" t="s">
        <v>695</v>
      </c>
      <c r="D13" s="700" t="s">
        <v>695</v>
      </c>
      <c r="E13" s="701">
        <v>55.533326933664199</v>
      </c>
      <c r="F13" s="736">
        <v>55.533326933664171</v>
      </c>
      <c r="G13" s="844">
        <v>3.5429308470537935E-2</v>
      </c>
      <c r="H13" s="1603">
        <v>3.3124817251382499E-2</v>
      </c>
    </row>
    <row r="14" spans="1:8" ht="20" customHeight="1" thickBot="1">
      <c r="A14" s="655" t="s">
        <v>236</v>
      </c>
      <c r="B14" s="700" t="s">
        <v>695</v>
      </c>
      <c r="C14" s="701" t="s">
        <v>695</v>
      </c>
      <c r="D14" s="700" t="s">
        <v>695</v>
      </c>
      <c r="E14" s="701">
        <v>53.497875551287699</v>
      </c>
      <c r="F14" s="736">
        <v>53.497875551287684</v>
      </c>
      <c r="G14" s="844">
        <v>2.1277612643696653E-2</v>
      </c>
      <c r="H14" s="1603">
        <v>3.2371337868606576E-2</v>
      </c>
    </row>
    <row r="15" spans="1:8" ht="20" customHeight="1" thickBot="1">
      <c r="A15" s="655" t="s">
        <v>237</v>
      </c>
      <c r="B15" s="700" t="s">
        <v>695</v>
      </c>
      <c r="C15" s="701" t="s">
        <v>695</v>
      </c>
      <c r="D15" s="700" t="s">
        <v>695</v>
      </c>
      <c r="E15" s="701">
        <v>62.443502250631298</v>
      </c>
      <c r="F15" s="736">
        <v>62.443502250631312</v>
      </c>
      <c r="G15" s="844">
        <v>3.0608178325179258E-2</v>
      </c>
      <c r="H15" s="1603">
        <v>4.9212916196111012E-2</v>
      </c>
    </row>
    <row r="16" spans="1:8" ht="20" customHeight="1" thickBot="1">
      <c r="A16" s="655" t="s">
        <v>238</v>
      </c>
      <c r="B16" s="700" t="s">
        <v>695</v>
      </c>
      <c r="C16" s="701" t="s">
        <v>695</v>
      </c>
      <c r="D16" s="700" t="s">
        <v>695</v>
      </c>
      <c r="E16" s="701">
        <v>62.082248300840504</v>
      </c>
      <c r="F16" s="736">
        <v>62.082248300840533</v>
      </c>
      <c r="G16" s="844">
        <v>2.304899228712487E-2</v>
      </c>
      <c r="H16" s="1603">
        <v>4.1766287490059284E-2</v>
      </c>
    </row>
    <row r="17" spans="1:8" ht="20" customHeight="1" thickBot="1">
      <c r="A17" s="655" t="s">
        <v>239</v>
      </c>
      <c r="B17" s="700">
        <v>75.130156325720009</v>
      </c>
      <c r="C17" s="701">
        <v>67.7919106599321</v>
      </c>
      <c r="D17" s="700" t="s">
        <v>695</v>
      </c>
      <c r="E17" s="701" t="s">
        <v>695</v>
      </c>
      <c r="F17" s="736">
        <v>70.271964593105693</v>
      </c>
      <c r="G17" s="844">
        <v>1.9195097747349843E-2</v>
      </c>
      <c r="H17" s="1603">
        <v>2.9003920483988255E-2</v>
      </c>
    </row>
    <row r="18" spans="1:8" ht="20" customHeight="1" thickBot="1">
      <c r="A18" s="655" t="s">
        <v>240</v>
      </c>
      <c r="B18" s="700" t="s">
        <v>695</v>
      </c>
      <c r="C18" s="701" t="s">
        <v>695</v>
      </c>
      <c r="D18" s="700" t="s">
        <v>695</v>
      </c>
      <c r="E18" s="701">
        <v>67.971272960446711</v>
      </c>
      <c r="F18" s="736">
        <v>67.971272960446726</v>
      </c>
      <c r="G18" s="844">
        <v>1.3575716698239315E-2</v>
      </c>
      <c r="H18" s="1603">
        <v>4.1782642601484232E-2</v>
      </c>
    </row>
    <row r="19" spans="1:8" ht="20" customHeight="1" thickBot="1">
      <c r="A19" s="655" t="s">
        <v>241</v>
      </c>
      <c r="B19" s="700" t="s">
        <v>695</v>
      </c>
      <c r="C19" s="701" t="s">
        <v>695</v>
      </c>
      <c r="D19" s="700" t="s">
        <v>695</v>
      </c>
      <c r="E19" s="701">
        <v>99.827156117846002</v>
      </c>
      <c r="F19" s="736">
        <v>99.827156117846002</v>
      </c>
      <c r="G19" s="844">
        <v>7.8686436270956062E-3</v>
      </c>
      <c r="H19" s="1603">
        <v>5.3720585905041807E-2</v>
      </c>
    </row>
    <row r="20" spans="1:8" ht="20" customHeight="1" thickBot="1">
      <c r="A20" s="655" t="s">
        <v>242</v>
      </c>
      <c r="B20" s="700">
        <v>79.192613919126401</v>
      </c>
      <c r="C20" s="701">
        <v>73.002379436114893</v>
      </c>
      <c r="D20" s="700" t="s">
        <v>695</v>
      </c>
      <c r="E20" s="701" t="s">
        <v>695</v>
      </c>
      <c r="F20" s="736">
        <v>77.262113997830525</v>
      </c>
      <c r="G20" s="844">
        <v>1.816291969582351E-2</v>
      </c>
      <c r="H20" s="1603">
        <v>4.3631048384686233E-2</v>
      </c>
    </row>
    <row r="21" spans="1:8" ht="20" customHeight="1" thickBot="1">
      <c r="A21" s="655" t="s">
        <v>243</v>
      </c>
      <c r="B21" s="700">
        <v>73.290133034780993</v>
      </c>
      <c r="C21" s="701">
        <v>68.5980402517567</v>
      </c>
      <c r="D21" s="700" t="s">
        <v>695</v>
      </c>
      <c r="E21" s="701" t="s">
        <v>695</v>
      </c>
      <c r="F21" s="736">
        <v>71.129135257940433</v>
      </c>
      <c r="G21" s="844">
        <v>1.6722111511297433E-2</v>
      </c>
      <c r="H21" s="1603">
        <v>4.9815320881797298E-2</v>
      </c>
    </row>
    <row r="22" spans="1:8" ht="20" customHeight="1" thickBot="1">
      <c r="A22" s="655" t="s">
        <v>244</v>
      </c>
      <c r="B22" s="700" t="s">
        <v>695</v>
      </c>
      <c r="C22" s="701" t="s">
        <v>695</v>
      </c>
      <c r="D22" s="700" t="s">
        <v>695</v>
      </c>
      <c r="E22" s="701">
        <v>56.670822246090189</v>
      </c>
      <c r="F22" s="736">
        <v>56.670822246090175</v>
      </c>
      <c r="G22" s="844">
        <v>2.4012090225114191E-2</v>
      </c>
      <c r="H22" s="1603">
        <v>4.0207514363917563E-2</v>
      </c>
    </row>
    <row r="23" spans="1:8" ht="20" customHeight="1" thickBot="1">
      <c r="A23" s="655" t="s">
        <v>245</v>
      </c>
      <c r="B23" s="700" t="s">
        <v>695</v>
      </c>
      <c r="C23" s="701" t="s">
        <v>695</v>
      </c>
      <c r="D23" s="700" t="s">
        <v>695</v>
      </c>
      <c r="E23" s="701">
        <v>53.180895275296997</v>
      </c>
      <c r="F23" s="736">
        <v>53.180895275297019</v>
      </c>
      <c r="G23" s="844">
        <v>4.647612414772917E-2</v>
      </c>
      <c r="H23" s="1603">
        <v>3.9656052890779669E-2</v>
      </c>
    </row>
    <row r="24" spans="1:8" ht="20" customHeight="1" thickBot="1">
      <c r="A24" s="655" t="s">
        <v>246</v>
      </c>
      <c r="B24" s="700">
        <v>68.189346270229109</v>
      </c>
      <c r="C24" s="701">
        <v>62.139776290073293</v>
      </c>
      <c r="D24" s="700">
        <v>59.859022754560797</v>
      </c>
      <c r="E24" s="701" t="s">
        <v>695</v>
      </c>
      <c r="F24" s="736">
        <v>63.062308108088381</v>
      </c>
      <c r="G24" s="844">
        <v>2.7163869980004085E-2</v>
      </c>
      <c r="H24" s="1603">
        <v>4.5944608714683977E-2</v>
      </c>
    </row>
    <row r="25" spans="1:8" ht="20" customHeight="1" thickBot="1">
      <c r="A25" s="655" t="s">
        <v>247</v>
      </c>
      <c r="B25" s="700">
        <v>66.622592768959009</v>
      </c>
      <c r="C25" s="701">
        <v>63.430525487756796</v>
      </c>
      <c r="D25" s="700">
        <v>58.2381384724589</v>
      </c>
      <c r="E25" s="701" t="s">
        <v>695</v>
      </c>
      <c r="F25" s="736">
        <v>62.9036059733222</v>
      </c>
      <c r="G25" s="844">
        <v>2.0647432551547995E-2</v>
      </c>
      <c r="H25" s="1603">
        <v>4.7306254669027048E-2</v>
      </c>
    </row>
    <row r="26" spans="1:8" ht="20" customHeight="1" thickBot="1">
      <c r="A26" s="655" t="s">
        <v>248</v>
      </c>
      <c r="B26" s="700" t="s">
        <v>695</v>
      </c>
      <c r="C26" s="701" t="s">
        <v>695</v>
      </c>
      <c r="D26" s="700" t="s">
        <v>695</v>
      </c>
      <c r="E26" s="701">
        <v>67.286668576950987</v>
      </c>
      <c r="F26" s="736">
        <v>67.286668576950973</v>
      </c>
      <c r="G26" s="844">
        <v>3.2172757587965117E-2</v>
      </c>
      <c r="H26" s="1603">
        <v>5.3384628774028942E-2</v>
      </c>
    </row>
    <row r="27" spans="1:8" ht="20" customHeight="1" thickBot="1">
      <c r="A27" s="655" t="s">
        <v>249</v>
      </c>
      <c r="B27" s="700" t="s">
        <v>695</v>
      </c>
      <c r="C27" s="701" t="s">
        <v>695</v>
      </c>
      <c r="D27" s="700" t="s">
        <v>695</v>
      </c>
      <c r="E27" s="701">
        <v>70.399515681630788</v>
      </c>
      <c r="F27" s="736">
        <v>70.399515681630803</v>
      </c>
      <c r="G27" s="844">
        <v>1.0502019043958644E-2</v>
      </c>
      <c r="H27" s="1603">
        <v>5.2240867776645938E-2</v>
      </c>
    </row>
    <row r="28" spans="1:8" ht="20" customHeight="1" thickBot="1">
      <c r="A28" s="655" t="s">
        <v>250</v>
      </c>
      <c r="B28" s="700">
        <v>89.016791278487091</v>
      </c>
      <c r="C28" s="701">
        <v>83.341168943465291</v>
      </c>
      <c r="D28" s="700" t="s">
        <v>695</v>
      </c>
      <c r="E28" s="701" t="s">
        <v>695</v>
      </c>
      <c r="F28" s="736">
        <v>88.128409391822757</v>
      </c>
      <c r="G28" s="844">
        <v>1.6970246817588297E-2</v>
      </c>
      <c r="H28" s="1603">
        <v>2.4419743031288466E-2</v>
      </c>
    </row>
    <row r="29" spans="1:8" ht="20" customHeight="1" thickBot="1">
      <c r="A29" s="655" t="s">
        <v>251</v>
      </c>
      <c r="B29" s="700">
        <v>99.3425119874437</v>
      </c>
      <c r="C29" s="701">
        <v>94.0169598409516</v>
      </c>
      <c r="D29" s="700">
        <v>90.404168924793794</v>
      </c>
      <c r="E29" s="701" t="s">
        <v>695</v>
      </c>
      <c r="F29" s="736">
        <v>94.52513186118388</v>
      </c>
      <c r="G29" s="844">
        <v>-5.3371941900371977E-3</v>
      </c>
      <c r="H29" s="1603">
        <v>1.6640776446212646E-2</v>
      </c>
    </row>
    <row r="30" spans="1:8" ht="20" customHeight="1" thickBot="1">
      <c r="A30" s="655" t="s">
        <v>252</v>
      </c>
      <c r="B30" s="700">
        <v>67.794524781214591</v>
      </c>
      <c r="C30" s="701">
        <v>57.825220908203491</v>
      </c>
      <c r="D30" s="700" t="s">
        <v>695</v>
      </c>
      <c r="E30" s="701" t="s">
        <v>695</v>
      </c>
      <c r="F30" s="736">
        <v>65.137107257891486</v>
      </c>
      <c r="G30" s="844">
        <v>3.0968823915974442E-2</v>
      </c>
      <c r="H30" s="1603">
        <v>2.606568576226076E-2</v>
      </c>
    </row>
    <row r="31" spans="1:8" ht="20" customHeight="1" thickBot="1">
      <c r="A31" s="655" t="s">
        <v>253</v>
      </c>
      <c r="B31" s="700" t="s">
        <v>695</v>
      </c>
      <c r="C31" s="701" t="s">
        <v>695</v>
      </c>
      <c r="D31" s="700" t="s">
        <v>695</v>
      </c>
      <c r="E31" s="701">
        <v>85.936585520744998</v>
      </c>
      <c r="F31" s="736">
        <v>85.936585520744956</v>
      </c>
      <c r="G31" s="844">
        <v>1.3846133651662651E-3</v>
      </c>
      <c r="H31" s="1603">
        <v>3.4544821618620825E-2</v>
      </c>
    </row>
    <row r="32" spans="1:8" ht="20" customHeight="1" thickBot="1">
      <c r="A32" s="655" t="s">
        <v>254</v>
      </c>
      <c r="B32" s="700" t="s">
        <v>695</v>
      </c>
      <c r="C32" s="701" t="s">
        <v>695</v>
      </c>
      <c r="D32" s="700" t="s">
        <v>695</v>
      </c>
      <c r="E32" s="701">
        <v>104.47219336748201</v>
      </c>
      <c r="F32" s="736">
        <v>104.47219336748186</v>
      </c>
      <c r="G32" s="844">
        <v>-2.3301520223187433E-2</v>
      </c>
      <c r="H32" s="1603">
        <v>2.4361734622152742E-2</v>
      </c>
    </row>
    <row r="33" spans="1:8" ht="20" customHeight="1" thickBot="1">
      <c r="A33" s="655" t="s">
        <v>255</v>
      </c>
      <c r="B33" s="700" t="s">
        <v>695</v>
      </c>
      <c r="C33" s="701" t="s">
        <v>695</v>
      </c>
      <c r="D33" s="700" t="s">
        <v>695</v>
      </c>
      <c r="E33" s="701">
        <v>82.71281978641899</v>
      </c>
      <c r="F33" s="736">
        <v>82.712819786419047</v>
      </c>
      <c r="G33" s="844">
        <v>1.0309535632859301E-2</v>
      </c>
      <c r="H33" s="1603">
        <v>4.072336364719753E-2</v>
      </c>
    </row>
    <row r="34" spans="1:8" s="280" customFormat="1" ht="30" customHeight="1" thickBot="1">
      <c r="A34" s="143" t="s">
        <v>256</v>
      </c>
      <c r="B34" s="963" t="s">
        <v>1646</v>
      </c>
      <c r="C34" s="964" t="s">
        <v>1646</v>
      </c>
      <c r="D34" s="963" t="s">
        <v>1646</v>
      </c>
      <c r="E34" s="964" t="s">
        <v>1646</v>
      </c>
      <c r="F34" s="963">
        <v>75.718485025980357</v>
      </c>
      <c r="G34" s="1604">
        <v>1.6814722953458094E-2</v>
      </c>
      <c r="H34" s="1605">
        <v>3.8584005900639262E-2</v>
      </c>
    </row>
    <row r="35" spans="1:8" ht="20" customHeight="1">
      <c r="A35" s="146" t="s">
        <v>602</v>
      </c>
      <c r="B35" s="851"/>
      <c r="C35" s="851"/>
      <c r="D35" s="851"/>
      <c r="E35" s="851"/>
      <c r="F35" s="851"/>
    </row>
    <row r="36" spans="1:8" ht="12.75" customHeight="1">
      <c r="A36" s="4"/>
      <c r="B36" s="852"/>
      <c r="C36" s="852"/>
      <c r="D36" s="852"/>
      <c r="E36" s="852"/>
      <c r="F36" s="852"/>
    </row>
    <row r="37" spans="1:8" ht="15.75" customHeight="1">
      <c r="A37" s="4" t="s">
        <v>585</v>
      </c>
      <c r="B37" s="852"/>
      <c r="C37" s="852"/>
      <c r="D37" s="852"/>
      <c r="E37" s="852"/>
      <c r="F37" s="852"/>
    </row>
    <row r="38" spans="1:8" ht="13.5" customHeight="1">
      <c r="A38" s="4"/>
      <c r="B38" s="852"/>
      <c r="C38" s="852"/>
      <c r="D38" s="852"/>
      <c r="E38" s="852"/>
      <c r="F38" s="852"/>
    </row>
    <row r="39" spans="1:8" ht="12.75" customHeight="1">
      <c r="A39" s="4" t="s">
        <v>599</v>
      </c>
      <c r="B39" s="852"/>
      <c r="C39" s="852"/>
      <c r="D39" s="852"/>
      <c r="E39" s="852"/>
      <c r="F39" s="852"/>
    </row>
    <row r="40" spans="1:8">
      <c r="A40" s="2" t="s">
        <v>459</v>
      </c>
      <c r="B40" s="507"/>
      <c r="C40" s="507"/>
      <c r="D40" s="507"/>
      <c r="E40" s="507"/>
      <c r="F40" s="507"/>
    </row>
    <row r="41" spans="1:8">
      <c r="A41" s="2" t="s">
        <v>1942</v>
      </c>
      <c r="B41" s="507"/>
      <c r="C41" s="507"/>
      <c r="D41" s="507"/>
      <c r="E41" s="507"/>
      <c r="F41" s="507"/>
    </row>
    <row r="42" spans="1:8">
      <c r="A42" s="2" t="s">
        <v>1943</v>
      </c>
      <c r="B42" s="507"/>
      <c r="C42" s="507"/>
      <c r="D42" s="507"/>
      <c r="E42" s="507"/>
      <c r="F42" s="507"/>
    </row>
    <row r="43" spans="1:8">
      <c r="B43" s="507"/>
      <c r="C43" s="507"/>
      <c r="D43" s="507"/>
      <c r="E43" s="507"/>
      <c r="F43" s="507"/>
    </row>
    <row r="44" spans="1:8">
      <c r="B44" s="507"/>
      <c r="C44" s="507"/>
      <c r="D44" s="507"/>
      <c r="E44" s="507"/>
      <c r="F44" s="507"/>
    </row>
    <row r="45" spans="1:8">
      <c r="A45" s="2" t="s">
        <v>128</v>
      </c>
    </row>
  </sheetData>
  <phoneticPr fontId="0" type="noConversion"/>
  <pageMargins left="0.62" right="0.54" top="0.9" bottom="0.47244094488188981" header="0.53" footer="0.51181102362204722"/>
  <pageSetup paperSize="9" scale="74" orientation="portrait" horizontalDpi="4294967292" verticalDpi="4294967292"/>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E823A-2C72-9E41-89A0-E90B65134311}">
  <sheetPr>
    <pageSetUpPr fitToPage="1"/>
  </sheetPr>
  <dimension ref="A1:F42"/>
  <sheetViews>
    <sheetView topLeftCell="A2" zoomScale="75" workbookViewId="0">
      <selection activeCell="A3" sqref="A3"/>
    </sheetView>
  </sheetViews>
  <sheetFormatPr baseColWidth="10" defaultColWidth="11.3984375" defaultRowHeight="13"/>
  <cols>
    <col min="1" max="1" width="13.19921875" style="2" customWidth="1"/>
    <col min="2" max="2" width="15.19921875" style="2" customWidth="1"/>
    <col min="3" max="3" width="14.19921875" style="2" customWidth="1"/>
    <col min="4" max="4" width="15.59765625" style="2" customWidth="1"/>
    <col min="5" max="5" width="15.19921875" style="2" customWidth="1"/>
    <col min="6" max="6" width="14.19921875" style="2" customWidth="1"/>
    <col min="7" max="7" width="17.59765625" style="2" customWidth="1"/>
    <col min="8" max="16384" width="11.3984375" style="2"/>
  </cols>
  <sheetData>
    <row r="1" spans="1:6" s="1" customFormat="1" ht="14" customHeight="1">
      <c r="A1" s="404"/>
      <c r="B1" s="404"/>
      <c r="C1" s="404"/>
      <c r="D1" s="404"/>
      <c r="E1" s="404"/>
      <c r="F1" s="404"/>
    </row>
    <row r="2" spans="1:6" s="1" customFormat="1" ht="18.75" customHeight="1">
      <c r="A2" s="405" t="s">
        <v>441</v>
      </c>
      <c r="B2" s="404"/>
      <c r="C2" s="404"/>
      <c r="D2" s="404"/>
      <c r="E2" s="404"/>
      <c r="F2" s="404"/>
    </row>
    <row r="3" spans="1:6" s="1" customFormat="1" ht="24" customHeight="1">
      <c r="A3" s="405" t="s">
        <v>604</v>
      </c>
      <c r="B3" s="404"/>
      <c r="C3" s="404"/>
      <c r="D3" s="404"/>
      <c r="E3" s="404"/>
      <c r="F3" s="404"/>
    </row>
    <row r="4" spans="1:6" ht="24" customHeight="1">
      <c r="A4" s="125" t="s">
        <v>222</v>
      </c>
      <c r="B4" s="856">
        <v>0.05</v>
      </c>
      <c r="C4" s="848">
        <v>0.25</v>
      </c>
      <c r="D4" s="856">
        <v>0.5</v>
      </c>
      <c r="E4" s="848">
        <v>0.25</v>
      </c>
      <c r="F4" s="856">
        <v>0.05</v>
      </c>
    </row>
    <row r="5" spans="1:6" ht="73.5" customHeight="1">
      <c r="A5" s="212"/>
      <c r="B5" s="849" t="s">
        <v>1387</v>
      </c>
      <c r="C5" s="850" t="s">
        <v>1387</v>
      </c>
      <c r="D5" s="849" t="s">
        <v>1388</v>
      </c>
      <c r="E5" s="850" t="s">
        <v>584</v>
      </c>
      <c r="F5" s="849" t="s">
        <v>584</v>
      </c>
    </row>
    <row r="6" spans="1:6" ht="16" customHeight="1">
      <c r="A6" s="214"/>
      <c r="B6" s="135"/>
      <c r="C6" s="134"/>
      <c r="D6" s="135"/>
      <c r="E6" s="134"/>
      <c r="F6" s="156"/>
    </row>
    <row r="7" spans="1:6" ht="30" customHeight="1" thickBot="1">
      <c r="A7" s="654" t="s">
        <v>230</v>
      </c>
      <c r="B7" s="310">
        <v>265</v>
      </c>
      <c r="C7" s="311">
        <v>282.17500000000001</v>
      </c>
      <c r="D7" s="310">
        <v>303.89999999999998</v>
      </c>
      <c r="E7" s="311">
        <v>340</v>
      </c>
      <c r="F7" s="310">
        <v>375.25</v>
      </c>
    </row>
    <row r="8" spans="1:6" ht="20" customHeight="1" thickBot="1">
      <c r="A8" s="655" t="s">
        <v>231</v>
      </c>
      <c r="B8" s="159">
        <v>263</v>
      </c>
      <c r="C8" s="219">
        <v>287.3</v>
      </c>
      <c r="D8" s="159">
        <v>308</v>
      </c>
      <c r="E8" s="219">
        <v>340</v>
      </c>
      <c r="F8" s="159">
        <v>372.52</v>
      </c>
    </row>
    <row r="9" spans="1:6" ht="20" customHeight="1" thickBot="1">
      <c r="A9" s="655" t="s">
        <v>232</v>
      </c>
      <c r="B9" s="159">
        <v>224</v>
      </c>
      <c r="C9" s="219">
        <v>236.4</v>
      </c>
      <c r="D9" s="159">
        <v>246.8</v>
      </c>
      <c r="E9" s="219">
        <v>260</v>
      </c>
      <c r="F9" s="159">
        <v>289.7</v>
      </c>
    </row>
    <row r="10" spans="1:6" ht="20" customHeight="1" thickBot="1">
      <c r="A10" s="655" t="s">
        <v>233</v>
      </c>
      <c r="B10" s="159">
        <v>207.3</v>
      </c>
      <c r="C10" s="219">
        <v>217</v>
      </c>
      <c r="D10" s="159">
        <v>223</v>
      </c>
      <c r="E10" s="219">
        <v>234.8</v>
      </c>
      <c r="F10" s="159">
        <v>251</v>
      </c>
    </row>
    <row r="11" spans="1:6" ht="20" customHeight="1" thickBot="1">
      <c r="A11" s="655" t="s">
        <v>234</v>
      </c>
      <c r="B11" s="159">
        <v>218.77</v>
      </c>
      <c r="C11" s="219">
        <v>240</v>
      </c>
      <c r="D11" s="159">
        <v>249.4</v>
      </c>
      <c r="E11" s="219">
        <v>261.25</v>
      </c>
      <c r="F11" s="159">
        <v>293.8</v>
      </c>
    </row>
    <row r="12" spans="1:6" ht="20" customHeight="1" thickBot="1">
      <c r="A12" s="655" t="s">
        <v>235</v>
      </c>
      <c r="B12" s="159">
        <v>208</v>
      </c>
      <c r="C12" s="219">
        <v>208.7</v>
      </c>
      <c r="D12" s="159">
        <v>216</v>
      </c>
      <c r="E12" s="219">
        <v>227.9</v>
      </c>
      <c r="F12" s="159">
        <v>241.68</v>
      </c>
    </row>
    <row r="13" spans="1:6" ht="20" customHeight="1" thickBot="1">
      <c r="A13" s="655" t="s">
        <v>236</v>
      </c>
      <c r="B13" s="159">
        <v>192</v>
      </c>
      <c r="C13" s="219">
        <v>202.8</v>
      </c>
      <c r="D13" s="159">
        <v>210</v>
      </c>
      <c r="E13" s="219">
        <v>220.8</v>
      </c>
      <c r="F13" s="159">
        <v>242.8</v>
      </c>
    </row>
    <row r="14" spans="1:6" ht="20" customHeight="1" thickBot="1">
      <c r="A14" s="655" t="s">
        <v>237</v>
      </c>
      <c r="B14" s="159">
        <v>230.39500000000001</v>
      </c>
      <c r="C14" s="219">
        <v>242</v>
      </c>
      <c r="D14" s="159">
        <v>245.9</v>
      </c>
      <c r="E14" s="219">
        <v>260.57499999999999</v>
      </c>
      <c r="F14" s="159">
        <v>282.3</v>
      </c>
    </row>
    <row r="15" spans="1:6" ht="20" customHeight="1" thickBot="1">
      <c r="A15" s="655" t="s">
        <v>238</v>
      </c>
      <c r="B15" s="159">
        <v>221.01</v>
      </c>
      <c r="C15" s="219">
        <v>240</v>
      </c>
      <c r="D15" s="159">
        <v>243.4</v>
      </c>
      <c r="E15" s="219">
        <v>254.8</v>
      </c>
      <c r="F15" s="159">
        <v>274.87</v>
      </c>
    </row>
    <row r="16" spans="1:6" ht="20" customHeight="1" thickBot="1">
      <c r="A16" s="655" t="s">
        <v>239</v>
      </c>
      <c r="B16" s="159">
        <v>253.75</v>
      </c>
      <c r="C16" s="219">
        <v>273</v>
      </c>
      <c r="D16" s="159">
        <v>289.5</v>
      </c>
      <c r="E16" s="219">
        <v>306.10000000000002</v>
      </c>
      <c r="F16" s="159">
        <v>337.36</v>
      </c>
    </row>
    <row r="17" spans="1:6" ht="20" customHeight="1" thickBot="1">
      <c r="A17" s="655" t="s">
        <v>240</v>
      </c>
      <c r="B17" s="159">
        <v>253.65</v>
      </c>
      <c r="C17" s="219">
        <v>262.5</v>
      </c>
      <c r="D17" s="159">
        <v>275.8</v>
      </c>
      <c r="E17" s="219">
        <v>292</v>
      </c>
      <c r="F17" s="159">
        <v>311.8</v>
      </c>
    </row>
    <row r="18" spans="1:6" ht="20" customHeight="1" thickBot="1">
      <c r="A18" s="655" t="s">
        <v>241</v>
      </c>
      <c r="B18" s="159">
        <v>369.3</v>
      </c>
      <c r="C18" s="219">
        <v>399</v>
      </c>
      <c r="D18" s="159">
        <v>410</v>
      </c>
      <c r="E18" s="219">
        <v>419.5</v>
      </c>
      <c r="F18" s="159">
        <v>458.82</v>
      </c>
    </row>
    <row r="19" spans="1:6" ht="20" customHeight="1" thickBot="1">
      <c r="A19" s="655" t="s">
        <v>242</v>
      </c>
      <c r="B19" s="159">
        <v>277.52999999999997</v>
      </c>
      <c r="C19" s="219">
        <v>292</v>
      </c>
      <c r="D19" s="159">
        <v>305.89999999999998</v>
      </c>
      <c r="E19" s="219">
        <v>321.75</v>
      </c>
      <c r="F19" s="159">
        <v>351.83</v>
      </c>
    </row>
    <row r="20" spans="1:6" ht="20" customHeight="1" thickBot="1">
      <c r="A20" s="655" t="s">
        <v>243</v>
      </c>
      <c r="B20" s="159">
        <v>260.64999999999998</v>
      </c>
      <c r="C20" s="219">
        <v>275</v>
      </c>
      <c r="D20" s="159">
        <v>291.39999999999998</v>
      </c>
      <c r="E20" s="219">
        <v>309.45</v>
      </c>
      <c r="F20" s="159">
        <v>347.15</v>
      </c>
    </row>
    <row r="21" spans="1:6" ht="20" customHeight="1" thickBot="1">
      <c r="A21" s="655" t="s">
        <v>244</v>
      </c>
      <c r="B21" s="159">
        <v>204.9</v>
      </c>
      <c r="C21" s="219">
        <v>219</v>
      </c>
      <c r="D21" s="159">
        <v>227</v>
      </c>
      <c r="E21" s="219">
        <v>235</v>
      </c>
      <c r="F21" s="159">
        <v>261.74</v>
      </c>
    </row>
    <row r="22" spans="1:6" ht="20" customHeight="1" thickBot="1">
      <c r="A22" s="655" t="s">
        <v>245</v>
      </c>
      <c r="B22" s="159">
        <v>200</v>
      </c>
      <c r="C22" s="219">
        <v>200</v>
      </c>
      <c r="D22" s="159">
        <v>203</v>
      </c>
      <c r="E22" s="219">
        <v>214.8</v>
      </c>
      <c r="F22" s="159">
        <v>227.46</v>
      </c>
    </row>
    <row r="23" spans="1:6" ht="20" customHeight="1" thickBot="1">
      <c r="A23" s="655" t="s">
        <v>246</v>
      </c>
      <c r="B23" s="159">
        <v>220</v>
      </c>
      <c r="C23" s="219">
        <v>237.52500000000001</v>
      </c>
      <c r="D23" s="159">
        <v>248.5</v>
      </c>
      <c r="E23" s="219">
        <v>263</v>
      </c>
      <c r="F23" s="159">
        <v>294.5</v>
      </c>
    </row>
    <row r="24" spans="1:6" ht="20" customHeight="1" thickBot="1">
      <c r="A24" s="655" t="s">
        <v>247</v>
      </c>
      <c r="B24" s="159">
        <v>215.8</v>
      </c>
      <c r="C24" s="219">
        <v>238</v>
      </c>
      <c r="D24" s="159">
        <v>252.8</v>
      </c>
      <c r="E24" s="219">
        <v>264.8</v>
      </c>
      <c r="F24" s="159">
        <v>291.39999999999998</v>
      </c>
    </row>
    <row r="25" spans="1:6" ht="20" customHeight="1" thickBot="1">
      <c r="A25" s="655" t="s">
        <v>248</v>
      </c>
      <c r="B25" s="159">
        <v>247</v>
      </c>
      <c r="C25" s="219">
        <v>259</v>
      </c>
      <c r="D25" s="159">
        <v>272.8</v>
      </c>
      <c r="E25" s="219">
        <v>281.5</v>
      </c>
      <c r="F25" s="159">
        <v>299.98</v>
      </c>
    </row>
    <row r="26" spans="1:6" ht="20" customHeight="1" thickBot="1">
      <c r="A26" s="655" t="s">
        <v>249</v>
      </c>
      <c r="B26" s="159">
        <v>256.66000000000003</v>
      </c>
      <c r="C26" s="219">
        <v>269.39999999999998</v>
      </c>
      <c r="D26" s="159">
        <v>281.8</v>
      </c>
      <c r="E26" s="219">
        <v>295</v>
      </c>
      <c r="F26" s="159">
        <v>318.45999999999998</v>
      </c>
    </row>
    <row r="27" spans="1:6" ht="20" customHeight="1" thickBot="1">
      <c r="A27" s="655" t="s">
        <v>250</v>
      </c>
      <c r="B27" s="159">
        <v>322.67500000000001</v>
      </c>
      <c r="C27" s="219">
        <v>338.4</v>
      </c>
      <c r="D27" s="159">
        <v>355.45</v>
      </c>
      <c r="E27" s="219">
        <v>371.8</v>
      </c>
      <c r="F27" s="159">
        <v>399</v>
      </c>
    </row>
    <row r="28" spans="1:6" ht="20" customHeight="1" thickBot="1">
      <c r="A28" s="655" t="s">
        <v>251</v>
      </c>
      <c r="B28" s="159">
        <v>334.04</v>
      </c>
      <c r="C28" s="219">
        <v>360</v>
      </c>
      <c r="D28" s="159">
        <v>379.8</v>
      </c>
      <c r="E28" s="219">
        <v>407.72500000000002</v>
      </c>
      <c r="F28" s="159">
        <v>429.1</v>
      </c>
    </row>
    <row r="29" spans="1:6" ht="20" customHeight="1" thickBot="1">
      <c r="A29" s="655" t="s">
        <v>252</v>
      </c>
      <c r="B29" s="159">
        <v>203.7</v>
      </c>
      <c r="C29" s="219">
        <v>233.55</v>
      </c>
      <c r="D29" s="159">
        <v>251</v>
      </c>
      <c r="E29" s="219">
        <v>268.8</v>
      </c>
      <c r="F29" s="159">
        <v>295.58</v>
      </c>
    </row>
    <row r="30" spans="1:6" ht="20" customHeight="1" thickBot="1">
      <c r="A30" s="655" t="s">
        <v>253</v>
      </c>
      <c r="B30" s="159">
        <v>341.45</v>
      </c>
      <c r="C30" s="219">
        <v>360</v>
      </c>
      <c r="D30" s="159">
        <v>379.8</v>
      </c>
      <c r="E30" s="219">
        <v>401.4</v>
      </c>
      <c r="F30" s="159">
        <v>418.2</v>
      </c>
    </row>
    <row r="31" spans="1:6" ht="20" customHeight="1" thickBot="1">
      <c r="A31" s="655" t="s">
        <v>254</v>
      </c>
      <c r="B31" s="159">
        <v>412.4</v>
      </c>
      <c r="C31" s="219">
        <v>429</v>
      </c>
      <c r="D31" s="159">
        <v>450</v>
      </c>
      <c r="E31" s="219">
        <v>462.55</v>
      </c>
      <c r="F31" s="159">
        <v>476</v>
      </c>
    </row>
    <row r="32" spans="1:6" ht="20" customHeight="1" thickBot="1">
      <c r="A32" s="655" t="s">
        <v>255</v>
      </c>
      <c r="B32" s="159">
        <v>304.89999999999998</v>
      </c>
      <c r="C32" s="219">
        <v>331.05</v>
      </c>
      <c r="D32" s="159">
        <v>347</v>
      </c>
      <c r="E32" s="219">
        <v>359.3</v>
      </c>
      <c r="F32" s="159">
        <v>384</v>
      </c>
    </row>
    <row r="33" spans="1:6" ht="30" customHeight="1" thickBot="1">
      <c r="A33" s="143" t="s">
        <v>256</v>
      </c>
      <c r="B33" s="221">
        <v>213</v>
      </c>
      <c r="C33" s="222">
        <v>244</v>
      </c>
      <c r="D33" s="221">
        <v>275.8</v>
      </c>
      <c r="E33" s="222">
        <v>326.92500000000001</v>
      </c>
      <c r="F33" s="221">
        <v>410.8</v>
      </c>
    </row>
    <row r="34" spans="1:6" ht="20" customHeight="1">
      <c r="A34" s="146" t="s">
        <v>602</v>
      </c>
      <c r="B34" s="851"/>
      <c r="C34" s="851"/>
      <c r="D34" s="851"/>
      <c r="E34" s="851"/>
      <c r="F34" s="851"/>
    </row>
    <row r="35" spans="1:6" ht="12.75" customHeight="1">
      <c r="A35" s="4"/>
      <c r="B35" s="852"/>
      <c r="C35" s="852"/>
      <c r="D35" s="852"/>
      <c r="E35" s="852"/>
      <c r="F35" s="852"/>
    </row>
    <row r="36" spans="1:6" ht="15.75" customHeight="1">
      <c r="A36" s="4" t="s">
        <v>585</v>
      </c>
      <c r="B36" s="852"/>
      <c r="C36" s="852"/>
      <c r="D36" s="852"/>
      <c r="E36" s="852"/>
      <c r="F36" s="852"/>
    </row>
    <row r="37" spans="1:6" ht="13.5" customHeight="1">
      <c r="A37" s="4"/>
      <c r="B37" s="852"/>
      <c r="C37" s="852"/>
      <c r="D37" s="852"/>
      <c r="E37" s="852"/>
      <c r="F37" s="852"/>
    </row>
    <row r="38" spans="1:6" ht="12.75" customHeight="1">
      <c r="A38" s="4" t="s">
        <v>599</v>
      </c>
      <c r="B38" s="852"/>
      <c r="C38" s="852"/>
      <c r="D38" s="852"/>
      <c r="E38" s="852"/>
      <c r="F38" s="852"/>
    </row>
    <row r="39" spans="1:6">
      <c r="A39" s="2" t="s">
        <v>600</v>
      </c>
      <c r="B39" s="507"/>
      <c r="C39" s="507"/>
      <c r="D39" s="507"/>
      <c r="E39" s="507"/>
      <c r="F39" s="507"/>
    </row>
    <row r="40" spans="1:6">
      <c r="B40" s="507"/>
      <c r="C40" s="507"/>
      <c r="D40" s="507"/>
      <c r="E40" s="507"/>
      <c r="F40" s="507"/>
    </row>
    <row r="41" spans="1:6">
      <c r="B41" s="507"/>
      <c r="C41" s="507"/>
      <c r="D41" s="507"/>
      <c r="E41" s="507"/>
      <c r="F41" s="507"/>
    </row>
    <row r="42" spans="1:6">
      <c r="A42" s="2" t="s">
        <v>128</v>
      </c>
      <c r="B42" s="507"/>
      <c r="C42" s="507"/>
      <c r="D42" s="507"/>
      <c r="E42" s="507"/>
      <c r="F42" s="507"/>
    </row>
  </sheetData>
  <phoneticPr fontId="0" type="noConversion"/>
  <pageMargins left="0.67" right="0.6" top="0.69" bottom="0.47244094488188981" header="0.57999999999999996" footer="0.51181102362204722"/>
  <pageSetup paperSize="9" scale="86" orientation="portrait" horizontalDpi="1200" verticalDpi="1200"/>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18F3-A7AB-0A40-9D5C-F0A59B1DC8C0}">
  <sheetPr>
    <pageSetUpPr fitToPage="1"/>
  </sheetPr>
  <dimension ref="A1:G42"/>
  <sheetViews>
    <sheetView zoomScale="75" workbookViewId="0">
      <selection activeCell="A3" sqref="A3"/>
    </sheetView>
  </sheetViews>
  <sheetFormatPr baseColWidth="10" defaultColWidth="11.3984375" defaultRowHeight="13"/>
  <cols>
    <col min="1" max="1" width="11.19921875" style="2" customWidth="1"/>
    <col min="2" max="2" width="13.19921875" style="2" customWidth="1"/>
    <col min="3" max="3" width="15.19921875" style="2" customWidth="1"/>
    <col min="4" max="4" width="14.19921875" style="2" customWidth="1"/>
    <col min="5" max="5" width="15.59765625" style="2" customWidth="1"/>
    <col min="6" max="6" width="15.19921875" style="2" customWidth="1"/>
    <col min="7" max="7" width="16.19921875" style="2" customWidth="1"/>
    <col min="8" max="8" width="11.3984375" style="2"/>
    <col min="9" max="9" width="6.796875" style="2" customWidth="1"/>
    <col min="10" max="16384" width="11.3984375" style="2"/>
  </cols>
  <sheetData>
    <row r="1" spans="1:6" s="1" customFormat="1" ht="14" customHeight="1">
      <c r="A1" s="404"/>
      <c r="B1" s="404"/>
      <c r="C1" s="404"/>
      <c r="D1" s="404"/>
      <c r="E1" s="404"/>
      <c r="F1" s="404"/>
    </row>
    <row r="2" spans="1:6" s="1" customFormat="1" ht="18.75" customHeight="1">
      <c r="A2" s="405" t="s">
        <v>442</v>
      </c>
      <c r="B2" s="404"/>
      <c r="C2" s="404"/>
      <c r="D2" s="404"/>
      <c r="E2" s="404"/>
      <c r="F2" s="404"/>
    </row>
    <row r="3" spans="1:6" s="1" customFormat="1" ht="24" customHeight="1">
      <c r="A3" s="405" t="s">
        <v>601</v>
      </c>
      <c r="B3" s="404"/>
      <c r="C3" s="404"/>
      <c r="D3" s="404"/>
      <c r="E3" s="404"/>
      <c r="F3" s="404"/>
    </row>
    <row r="4" spans="1:6" ht="24" customHeight="1">
      <c r="A4" s="125" t="s">
        <v>222</v>
      </c>
      <c r="B4" s="856">
        <v>0.05</v>
      </c>
      <c r="C4" s="848">
        <v>0.25</v>
      </c>
      <c r="D4" s="856">
        <v>0.5</v>
      </c>
      <c r="E4" s="848">
        <v>0.25</v>
      </c>
      <c r="F4" s="856">
        <v>0.05</v>
      </c>
    </row>
    <row r="5" spans="1:6" ht="73.5" customHeight="1">
      <c r="A5" s="212"/>
      <c r="B5" s="849" t="s">
        <v>1387</v>
      </c>
      <c r="C5" s="850" t="s">
        <v>1387</v>
      </c>
      <c r="D5" s="849" t="s">
        <v>1388</v>
      </c>
      <c r="E5" s="850" t="s">
        <v>584</v>
      </c>
      <c r="F5" s="849" t="s">
        <v>584</v>
      </c>
    </row>
    <row r="6" spans="1:6" ht="16" customHeight="1">
      <c r="A6" s="214"/>
      <c r="B6" s="135"/>
      <c r="C6" s="134"/>
      <c r="D6" s="135"/>
      <c r="E6" s="134"/>
      <c r="F6" s="156"/>
    </row>
    <row r="7" spans="1:6" ht="30" customHeight="1" thickBot="1">
      <c r="A7" s="654" t="s">
        <v>230</v>
      </c>
      <c r="B7" s="310">
        <v>207.2</v>
      </c>
      <c r="C7" s="311">
        <v>235.2</v>
      </c>
      <c r="D7" s="310">
        <v>258.39999999999998</v>
      </c>
      <c r="E7" s="311">
        <v>286.95</v>
      </c>
      <c r="F7" s="310">
        <v>334.07499999999999</v>
      </c>
    </row>
    <row r="8" spans="1:6" ht="20" customHeight="1" thickBot="1">
      <c r="A8" s="655" t="s">
        <v>231</v>
      </c>
      <c r="B8" s="159">
        <v>210.755</v>
      </c>
      <c r="C8" s="219">
        <v>236.9</v>
      </c>
      <c r="D8" s="159">
        <v>263.60000000000002</v>
      </c>
      <c r="E8" s="219">
        <v>285.75</v>
      </c>
      <c r="F8" s="159">
        <v>333.53</v>
      </c>
    </row>
    <row r="9" spans="1:6" ht="20" customHeight="1" thickBot="1">
      <c r="A9" s="655" t="s">
        <v>232</v>
      </c>
      <c r="B9" s="159">
        <v>177.88</v>
      </c>
      <c r="C9" s="219">
        <v>192.3</v>
      </c>
      <c r="D9" s="159">
        <v>208.2</v>
      </c>
      <c r="E9" s="219">
        <v>227.1</v>
      </c>
      <c r="F9" s="159">
        <v>249.32</v>
      </c>
    </row>
    <row r="10" spans="1:6" ht="20" customHeight="1" thickBot="1">
      <c r="A10" s="655" t="s">
        <v>233</v>
      </c>
      <c r="B10" s="159">
        <v>159.6</v>
      </c>
      <c r="C10" s="219">
        <v>176</v>
      </c>
      <c r="D10" s="159">
        <v>193.5</v>
      </c>
      <c r="E10" s="219">
        <v>204.3</v>
      </c>
      <c r="F10" s="159">
        <v>219</v>
      </c>
    </row>
    <row r="11" spans="1:6" ht="20" customHeight="1" thickBot="1">
      <c r="A11" s="655" t="s">
        <v>234</v>
      </c>
      <c r="B11" s="159">
        <v>178.41499999999999</v>
      </c>
      <c r="C11" s="219">
        <v>195.625</v>
      </c>
      <c r="D11" s="159">
        <v>209.45</v>
      </c>
      <c r="E11" s="219">
        <v>229.9</v>
      </c>
      <c r="F11" s="159">
        <v>263.875</v>
      </c>
    </row>
    <row r="12" spans="1:6" ht="20" customHeight="1" thickBot="1">
      <c r="A12" s="655" t="s">
        <v>235</v>
      </c>
      <c r="B12" s="159">
        <v>160.77000000000001</v>
      </c>
      <c r="C12" s="219">
        <v>172.2</v>
      </c>
      <c r="D12" s="159">
        <v>186.5</v>
      </c>
      <c r="E12" s="219">
        <v>197.7</v>
      </c>
      <c r="F12" s="159">
        <v>210.03</v>
      </c>
    </row>
    <row r="13" spans="1:6" ht="20" customHeight="1" thickBot="1">
      <c r="A13" s="655" t="s">
        <v>236</v>
      </c>
      <c r="B13" s="159">
        <v>149.30000000000001</v>
      </c>
      <c r="C13" s="219">
        <v>165</v>
      </c>
      <c r="D13" s="159">
        <v>179.3</v>
      </c>
      <c r="E13" s="219">
        <v>192</v>
      </c>
      <c r="F13" s="159">
        <v>210</v>
      </c>
    </row>
    <row r="14" spans="1:6" ht="20" customHeight="1" thickBot="1">
      <c r="A14" s="655" t="s">
        <v>237</v>
      </c>
      <c r="B14" s="159">
        <v>182</v>
      </c>
      <c r="C14" s="219">
        <v>194.25</v>
      </c>
      <c r="D14" s="159">
        <v>208.75</v>
      </c>
      <c r="E14" s="219">
        <v>229.9</v>
      </c>
      <c r="F14" s="159">
        <v>249.47</v>
      </c>
    </row>
    <row r="15" spans="1:6" ht="20" customHeight="1" thickBot="1">
      <c r="A15" s="655" t="s">
        <v>238</v>
      </c>
      <c r="B15" s="159">
        <v>176.67500000000001</v>
      </c>
      <c r="C15" s="219">
        <v>192.6</v>
      </c>
      <c r="D15" s="159">
        <v>203.2</v>
      </c>
      <c r="E15" s="219">
        <v>223.625</v>
      </c>
      <c r="F15" s="159">
        <v>240.42</v>
      </c>
    </row>
    <row r="16" spans="1:6" ht="20" customHeight="1" thickBot="1">
      <c r="A16" s="655" t="s">
        <v>239</v>
      </c>
      <c r="B16" s="159">
        <v>207.05</v>
      </c>
      <c r="C16" s="219">
        <v>224.35</v>
      </c>
      <c r="D16" s="159">
        <v>244.8</v>
      </c>
      <c r="E16" s="219">
        <v>270.07499999999999</v>
      </c>
      <c r="F16" s="159">
        <v>298.35000000000002</v>
      </c>
    </row>
    <row r="17" spans="1:6" ht="20" customHeight="1" thickBot="1">
      <c r="A17" s="655" t="s">
        <v>240</v>
      </c>
      <c r="B17" s="159">
        <v>203</v>
      </c>
      <c r="C17" s="219">
        <v>216.8</v>
      </c>
      <c r="D17" s="159">
        <v>233.6</v>
      </c>
      <c r="E17" s="219">
        <v>249.2</v>
      </c>
      <c r="F17" s="159">
        <v>286.89999999999998</v>
      </c>
    </row>
    <row r="18" spans="1:6" ht="20" customHeight="1" thickBot="1">
      <c r="A18" s="655" t="s">
        <v>241</v>
      </c>
      <c r="B18" s="159">
        <v>299.93</v>
      </c>
      <c r="C18" s="219">
        <v>327.10000000000002</v>
      </c>
      <c r="D18" s="159">
        <v>337.8</v>
      </c>
      <c r="E18" s="219">
        <v>367.9</v>
      </c>
      <c r="F18" s="159">
        <v>421.02</v>
      </c>
    </row>
    <row r="19" spans="1:6" ht="20" customHeight="1" thickBot="1">
      <c r="A19" s="655" t="s">
        <v>242</v>
      </c>
      <c r="B19" s="159">
        <v>214.5</v>
      </c>
      <c r="C19" s="219">
        <v>240.17500000000001</v>
      </c>
      <c r="D19" s="159">
        <v>259.55</v>
      </c>
      <c r="E19" s="219">
        <v>275.89999999999998</v>
      </c>
      <c r="F19" s="159">
        <v>314.35000000000002</v>
      </c>
    </row>
    <row r="20" spans="1:6" ht="20" customHeight="1" thickBot="1">
      <c r="A20" s="655" t="s">
        <v>243</v>
      </c>
      <c r="B20" s="159">
        <v>207.535</v>
      </c>
      <c r="C20" s="219">
        <v>226.07499999999999</v>
      </c>
      <c r="D20" s="159">
        <v>242.25</v>
      </c>
      <c r="E20" s="219">
        <v>267.60000000000002</v>
      </c>
      <c r="F20" s="159">
        <v>302.52</v>
      </c>
    </row>
    <row r="21" spans="1:6" ht="20" customHeight="1" thickBot="1">
      <c r="A21" s="655" t="s">
        <v>244</v>
      </c>
      <c r="B21" s="159">
        <v>162.1</v>
      </c>
      <c r="C21" s="219">
        <v>176.1</v>
      </c>
      <c r="D21" s="159">
        <v>194.4</v>
      </c>
      <c r="E21" s="219">
        <v>205.95</v>
      </c>
      <c r="F21" s="159">
        <v>242.08</v>
      </c>
    </row>
    <row r="22" spans="1:6" ht="20" customHeight="1" thickBot="1">
      <c r="A22" s="655" t="s">
        <v>245</v>
      </c>
      <c r="B22" s="159">
        <v>152.66</v>
      </c>
      <c r="C22" s="219">
        <v>162.19999999999999</v>
      </c>
      <c r="D22" s="159">
        <v>174.3</v>
      </c>
      <c r="E22" s="219">
        <v>187.02500000000001</v>
      </c>
      <c r="F22" s="159">
        <v>202.68</v>
      </c>
    </row>
    <row r="23" spans="1:6" ht="20" customHeight="1" thickBot="1">
      <c r="A23" s="655" t="s">
        <v>246</v>
      </c>
      <c r="B23" s="159">
        <v>176.625</v>
      </c>
      <c r="C23" s="219">
        <v>192.9</v>
      </c>
      <c r="D23" s="159">
        <v>209.6</v>
      </c>
      <c r="E23" s="219">
        <v>233.85</v>
      </c>
      <c r="F23" s="159">
        <v>256.375</v>
      </c>
    </row>
    <row r="24" spans="1:6" ht="20" customHeight="1" thickBot="1">
      <c r="A24" s="655" t="s">
        <v>247</v>
      </c>
      <c r="B24" s="159">
        <v>172</v>
      </c>
      <c r="C24" s="219">
        <v>192.1</v>
      </c>
      <c r="D24" s="159">
        <v>211</v>
      </c>
      <c r="E24" s="219">
        <v>232.6</v>
      </c>
      <c r="F24" s="159">
        <v>270.3</v>
      </c>
    </row>
    <row r="25" spans="1:6" ht="20" customHeight="1" thickBot="1">
      <c r="A25" s="655" t="s">
        <v>248</v>
      </c>
      <c r="B25" s="159">
        <v>194.19</v>
      </c>
      <c r="C25" s="219">
        <v>213.45</v>
      </c>
      <c r="D25" s="159">
        <v>225.6</v>
      </c>
      <c r="E25" s="219">
        <v>250.8</v>
      </c>
      <c r="F25" s="159">
        <v>274.98</v>
      </c>
    </row>
    <row r="26" spans="1:6" ht="20" customHeight="1" thickBot="1">
      <c r="A26" s="655" t="s">
        <v>249</v>
      </c>
      <c r="B26" s="159">
        <v>196.43</v>
      </c>
      <c r="C26" s="219">
        <v>221.4</v>
      </c>
      <c r="D26" s="159">
        <v>237.8</v>
      </c>
      <c r="E26" s="219">
        <v>259.3</v>
      </c>
      <c r="F26" s="159">
        <v>293.18</v>
      </c>
    </row>
    <row r="27" spans="1:6" ht="20" customHeight="1" thickBot="1">
      <c r="A27" s="655" t="s">
        <v>250</v>
      </c>
      <c r="B27" s="159">
        <v>255.07</v>
      </c>
      <c r="C27" s="219">
        <v>283</v>
      </c>
      <c r="D27" s="159">
        <v>301.3</v>
      </c>
      <c r="E27" s="219">
        <v>321.89999999999998</v>
      </c>
      <c r="F27" s="159">
        <v>365.31</v>
      </c>
    </row>
    <row r="28" spans="1:6" ht="20" customHeight="1" thickBot="1">
      <c r="A28" s="655" t="s">
        <v>251</v>
      </c>
      <c r="B28" s="159">
        <v>272.81</v>
      </c>
      <c r="C28" s="219">
        <v>300</v>
      </c>
      <c r="D28" s="159">
        <v>323.35000000000002</v>
      </c>
      <c r="E28" s="219">
        <v>341.85</v>
      </c>
      <c r="F28" s="159">
        <v>398.19</v>
      </c>
    </row>
    <row r="29" spans="1:6" ht="20" customHeight="1" thickBot="1">
      <c r="A29" s="655" t="s">
        <v>252</v>
      </c>
      <c r="B29" s="159">
        <v>155</v>
      </c>
      <c r="C29" s="219">
        <v>192</v>
      </c>
      <c r="D29" s="159">
        <v>209.65</v>
      </c>
      <c r="E29" s="219">
        <v>230.125</v>
      </c>
      <c r="F29" s="159">
        <v>266.7</v>
      </c>
    </row>
    <row r="30" spans="1:6" ht="20" customHeight="1" thickBot="1">
      <c r="A30" s="655" t="s">
        <v>253</v>
      </c>
      <c r="B30" s="159">
        <v>275.75</v>
      </c>
      <c r="C30" s="219">
        <v>294.39999999999998</v>
      </c>
      <c r="D30" s="159">
        <v>324.32499999999999</v>
      </c>
      <c r="E30" s="219">
        <v>350.4</v>
      </c>
      <c r="F30" s="159">
        <v>380.53</v>
      </c>
    </row>
    <row r="31" spans="1:6" ht="20" customHeight="1" thickBot="1">
      <c r="A31" s="655" t="s">
        <v>254</v>
      </c>
      <c r="B31" s="159">
        <v>322.05</v>
      </c>
      <c r="C31" s="219">
        <v>355.65</v>
      </c>
      <c r="D31" s="159">
        <v>379.8</v>
      </c>
      <c r="E31" s="219">
        <v>418.55</v>
      </c>
      <c r="F31" s="159">
        <v>444</v>
      </c>
    </row>
    <row r="32" spans="1:6" ht="20" customHeight="1" thickBot="1">
      <c r="A32" s="655" t="s">
        <v>255</v>
      </c>
      <c r="B32" s="159">
        <v>259.3</v>
      </c>
      <c r="C32" s="219">
        <v>278.39999999999998</v>
      </c>
      <c r="D32" s="159">
        <v>293</v>
      </c>
      <c r="E32" s="219">
        <v>312.7</v>
      </c>
      <c r="F32" s="159">
        <v>347</v>
      </c>
    </row>
    <row r="33" spans="1:7" ht="30" customHeight="1" thickBot="1">
      <c r="A33" s="143" t="s">
        <v>256</v>
      </c>
      <c r="B33" s="221">
        <v>173.095</v>
      </c>
      <c r="C33" s="222">
        <v>203.2</v>
      </c>
      <c r="D33" s="221">
        <v>234.85</v>
      </c>
      <c r="E33" s="222">
        <v>279.5</v>
      </c>
      <c r="F33" s="221">
        <v>353.6</v>
      </c>
      <c r="G33" s="4"/>
    </row>
    <row r="34" spans="1:7" ht="20" customHeight="1">
      <c r="A34" s="146" t="s">
        <v>602</v>
      </c>
      <c r="B34" s="851"/>
      <c r="C34" s="851"/>
      <c r="D34" s="851"/>
      <c r="E34" s="851"/>
      <c r="F34" s="851"/>
      <c r="G34" s="852"/>
    </row>
    <row r="35" spans="1:7" ht="12.75" customHeight="1">
      <c r="A35" s="4"/>
      <c r="B35" s="852"/>
      <c r="C35" s="852"/>
      <c r="D35" s="852"/>
      <c r="E35" s="852"/>
      <c r="F35" s="852"/>
      <c r="G35" s="852"/>
    </row>
    <row r="36" spans="1:7" ht="20" customHeight="1">
      <c r="A36" s="4" t="s">
        <v>585</v>
      </c>
      <c r="B36" s="852"/>
      <c r="C36" s="852"/>
      <c r="D36" s="852"/>
      <c r="E36" s="852"/>
      <c r="F36" s="852"/>
      <c r="G36" s="852"/>
    </row>
    <row r="37" spans="1:7" ht="14.25" customHeight="1">
      <c r="A37" s="4"/>
      <c r="B37" s="852"/>
      <c r="C37" s="852"/>
      <c r="D37" s="852"/>
      <c r="E37" s="852"/>
      <c r="F37" s="852"/>
      <c r="G37" s="852"/>
    </row>
    <row r="38" spans="1:7" ht="12.75" customHeight="1">
      <c r="A38" s="4" t="s">
        <v>599</v>
      </c>
      <c r="B38" s="852"/>
      <c r="C38" s="852"/>
      <c r="D38" s="852"/>
      <c r="E38" s="852"/>
      <c r="F38" s="852"/>
      <c r="G38" s="852"/>
    </row>
    <row r="39" spans="1:7">
      <c r="A39" s="2" t="s">
        <v>600</v>
      </c>
      <c r="B39" s="507"/>
      <c r="C39" s="507"/>
      <c r="D39" s="507"/>
      <c r="E39" s="507"/>
      <c r="F39" s="507"/>
      <c r="G39" s="507"/>
    </row>
    <row r="40" spans="1:7">
      <c r="B40" s="507"/>
      <c r="C40" s="507"/>
      <c r="D40" s="507"/>
      <c r="E40" s="507"/>
      <c r="F40" s="507"/>
      <c r="G40" s="507"/>
    </row>
    <row r="41" spans="1:7">
      <c r="B41" s="507"/>
      <c r="C41" s="507"/>
      <c r="D41" s="507"/>
      <c r="E41" s="507"/>
      <c r="F41" s="507"/>
      <c r="G41" s="507"/>
    </row>
    <row r="42" spans="1:7">
      <c r="A42" s="2" t="s">
        <v>128</v>
      </c>
      <c r="B42" s="507"/>
      <c r="C42" s="507"/>
      <c r="D42" s="507"/>
      <c r="E42" s="507"/>
      <c r="F42" s="507"/>
      <c r="G42" s="507"/>
    </row>
  </sheetData>
  <phoneticPr fontId="0" type="noConversion"/>
  <pageMargins left="0.67" right="0.54" top="0.67" bottom="0.47244094488188981" header="0.49" footer="0.51181102362204722"/>
  <pageSetup paperSize="9" scale="90" orientation="portrait" horizontalDpi="4294967292" verticalDpi="4294967292"/>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70671-96F1-2C40-85D0-49AC16C6F6CC}">
  <sheetPr>
    <pageSetUpPr fitToPage="1"/>
  </sheetPr>
  <dimension ref="A1:F42"/>
  <sheetViews>
    <sheetView topLeftCell="A14" zoomScale="75" workbookViewId="0">
      <selection activeCell="A3" sqref="A3"/>
    </sheetView>
  </sheetViews>
  <sheetFormatPr baseColWidth="10" defaultColWidth="11.3984375" defaultRowHeight="13"/>
  <cols>
    <col min="1" max="1" width="11.19921875" style="2" customWidth="1"/>
    <col min="2" max="2" width="15.19921875" style="2" customWidth="1"/>
    <col min="3" max="3" width="14.19921875" style="2" customWidth="1"/>
    <col min="4" max="4" width="15.59765625" style="2" customWidth="1"/>
    <col min="5" max="5" width="15.19921875" style="2" customWidth="1"/>
    <col min="6" max="6" width="14.19921875" style="2" customWidth="1"/>
    <col min="7" max="7" width="15.59765625" style="2" customWidth="1"/>
    <col min="8" max="16384" width="11.3984375" style="2"/>
  </cols>
  <sheetData>
    <row r="1" spans="1:6" s="1" customFormat="1" ht="14" customHeight="1">
      <c r="A1" s="404"/>
      <c r="B1" s="404"/>
      <c r="C1" s="404"/>
      <c r="D1" s="404"/>
      <c r="E1" s="404"/>
      <c r="F1" s="404"/>
    </row>
    <row r="2" spans="1:6" s="1" customFormat="1" ht="18.75" customHeight="1">
      <c r="A2" s="405" t="s">
        <v>443</v>
      </c>
      <c r="B2" s="404"/>
      <c r="C2" s="404"/>
      <c r="D2" s="404"/>
      <c r="E2" s="404"/>
      <c r="F2" s="404"/>
    </row>
    <row r="3" spans="1:6" s="1" customFormat="1" ht="22.5" customHeight="1">
      <c r="A3" s="405" t="s">
        <v>603</v>
      </c>
      <c r="B3" s="404"/>
      <c r="C3" s="404"/>
      <c r="D3" s="404"/>
      <c r="E3" s="404"/>
      <c r="F3" s="404"/>
    </row>
    <row r="4" spans="1:6" ht="24" customHeight="1">
      <c r="A4" s="125" t="s">
        <v>222</v>
      </c>
      <c r="B4" s="856">
        <v>0.05</v>
      </c>
      <c r="C4" s="848">
        <v>0.25</v>
      </c>
      <c r="D4" s="856">
        <v>0.5</v>
      </c>
      <c r="E4" s="848">
        <v>0.25</v>
      </c>
      <c r="F4" s="856">
        <v>0.05</v>
      </c>
    </row>
    <row r="5" spans="1:6" ht="73.5" customHeight="1">
      <c r="A5" s="212"/>
      <c r="B5" s="849" t="s">
        <v>1387</v>
      </c>
      <c r="C5" s="850" t="s">
        <v>1387</v>
      </c>
      <c r="D5" s="849" t="s">
        <v>1388</v>
      </c>
      <c r="E5" s="850" t="s">
        <v>584</v>
      </c>
      <c r="F5" s="849" t="s">
        <v>584</v>
      </c>
    </row>
    <row r="6" spans="1:6" ht="16" customHeight="1">
      <c r="A6" s="214"/>
      <c r="B6" s="135"/>
      <c r="C6" s="134"/>
      <c r="D6" s="135"/>
      <c r="E6" s="134"/>
      <c r="F6" s="156"/>
    </row>
    <row r="7" spans="1:6" ht="30" customHeight="1" thickBot="1">
      <c r="A7" s="654" t="s">
        <v>230</v>
      </c>
      <c r="B7" s="310">
        <v>41.6</v>
      </c>
      <c r="C7" s="311">
        <v>65</v>
      </c>
      <c r="D7" s="310">
        <v>71.400000000000006</v>
      </c>
      <c r="E7" s="311">
        <v>81.8</v>
      </c>
      <c r="F7" s="310">
        <v>93.9</v>
      </c>
    </row>
    <row r="8" spans="1:6" ht="20" customHeight="1" thickBot="1">
      <c r="A8" s="655" t="s">
        <v>231</v>
      </c>
      <c r="B8" s="159">
        <v>37.604999999999997</v>
      </c>
      <c r="C8" s="219">
        <v>65.112499999999997</v>
      </c>
      <c r="D8" s="159">
        <v>72</v>
      </c>
      <c r="E8" s="219">
        <v>79.8</v>
      </c>
      <c r="F8" s="159">
        <v>93.93</v>
      </c>
    </row>
    <row r="9" spans="1:6" ht="20" customHeight="1" thickBot="1">
      <c r="A9" s="655" t="s">
        <v>232</v>
      </c>
      <c r="B9" s="159">
        <v>31.76</v>
      </c>
      <c r="C9" s="219">
        <v>53</v>
      </c>
      <c r="D9" s="159">
        <v>59.3</v>
      </c>
      <c r="E9" s="219">
        <v>63</v>
      </c>
      <c r="F9" s="159">
        <v>72.92</v>
      </c>
    </row>
    <row r="10" spans="1:6" ht="20" customHeight="1" thickBot="1">
      <c r="A10" s="655" t="s">
        <v>233</v>
      </c>
      <c r="B10" s="159">
        <v>29.024999999999999</v>
      </c>
      <c r="C10" s="219">
        <v>51.424999999999997</v>
      </c>
      <c r="D10" s="159">
        <v>54.8</v>
      </c>
      <c r="E10" s="219">
        <v>56.55</v>
      </c>
      <c r="F10" s="159">
        <v>62.95</v>
      </c>
    </row>
    <row r="11" spans="1:6" ht="20" customHeight="1" thickBot="1">
      <c r="A11" s="655" t="s">
        <v>234</v>
      </c>
      <c r="B11" s="159">
        <v>32.340000000000003</v>
      </c>
      <c r="C11" s="219">
        <v>54.75</v>
      </c>
      <c r="D11" s="159">
        <v>60.8</v>
      </c>
      <c r="E11" s="219">
        <v>62.424999999999997</v>
      </c>
      <c r="F11" s="159">
        <v>78.105000000000004</v>
      </c>
    </row>
    <row r="12" spans="1:6" ht="20" customHeight="1" thickBot="1">
      <c r="A12" s="655" t="s">
        <v>235</v>
      </c>
      <c r="B12" s="159">
        <v>27.66</v>
      </c>
      <c r="C12" s="219">
        <v>52</v>
      </c>
      <c r="D12" s="159">
        <v>53.8</v>
      </c>
      <c r="E12" s="219">
        <v>55.9</v>
      </c>
      <c r="F12" s="159">
        <v>61.1</v>
      </c>
    </row>
    <row r="13" spans="1:6" ht="20" customHeight="1" thickBot="1">
      <c r="A13" s="655" t="s">
        <v>236</v>
      </c>
      <c r="B13" s="159">
        <v>27</v>
      </c>
      <c r="C13" s="219">
        <v>49</v>
      </c>
      <c r="D13" s="159">
        <v>52.5</v>
      </c>
      <c r="E13" s="219">
        <v>53</v>
      </c>
      <c r="F13" s="159">
        <v>61.75</v>
      </c>
    </row>
    <row r="14" spans="1:6" ht="20" customHeight="1" thickBot="1">
      <c r="A14" s="655" t="s">
        <v>237</v>
      </c>
      <c r="B14" s="159">
        <v>32.159999999999997</v>
      </c>
      <c r="C14" s="219">
        <v>54.75</v>
      </c>
      <c r="D14" s="159">
        <v>56.8</v>
      </c>
      <c r="E14" s="219">
        <v>62.225000000000001</v>
      </c>
      <c r="F14" s="159">
        <v>69.349999999999994</v>
      </c>
    </row>
    <row r="15" spans="1:6" ht="20" customHeight="1" thickBot="1">
      <c r="A15" s="655" t="s">
        <v>238</v>
      </c>
      <c r="B15" s="159">
        <v>32.159999999999997</v>
      </c>
      <c r="C15" s="219">
        <v>54</v>
      </c>
      <c r="D15" s="159">
        <v>58.8</v>
      </c>
      <c r="E15" s="219">
        <v>61.6</v>
      </c>
      <c r="F15" s="159">
        <v>67.2</v>
      </c>
    </row>
    <row r="16" spans="1:6" ht="20" customHeight="1" thickBot="1">
      <c r="A16" s="655" t="s">
        <v>239</v>
      </c>
      <c r="B16" s="159">
        <v>35.375</v>
      </c>
      <c r="C16" s="219">
        <v>65</v>
      </c>
      <c r="D16" s="159">
        <v>69.45</v>
      </c>
      <c r="E16" s="219">
        <v>74.174999999999997</v>
      </c>
      <c r="F16" s="159">
        <v>90.075000000000003</v>
      </c>
    </row>
    <row r="17" spans="1:6" ht="20" customHeight="1" thickBot="1">
      <c r="A17" s="655" t="s">
        <v>240</v>
      </c>
      <c r="B17" s="159">
        <v>34.75</v>
      </c>
      <c r="C17" s="219">
        <v>60.95</v>
      </c>
      <c r="D17" s="159">
        <v>65.8</v>
      </c>
      <c r="E17" s="219">
        <v>70.2</v>
      </c>
      <c r="F17" s="159">
        <v>75.95</v>
      </c>
    </row>
    <row r="18" spans="1:6" ht="20" customHeight="1" thickBot="1">
      <c r="A18" s="655" t="s">
        <v>241</v>
      </c>
      <c r="B18" s="159">
        <v>53.1</v>
      </c>
      <c r="C18" s="219">
        <v>88.8</v>
      </c>
      <c r="D18" s="159">
        <v>92</v>
      </c>
      <c r="E18" s="219">
        <v>103.7</v>
      </c>
      <c r="F18" s="159">
        <v>111.82</v>
      </c>
    </row>
    <row r="19" spans="1:6" ht="20" customHeight="1" thickBot="1">
      <c r="A19" s="655" t="s">
        <v>242</v>
      </c>
      <c r="B19" s="159">
        <v>38.125</v>
      </c>
      <c r="C19" s="219">
        <v>69.25</v>
      </c>
      <c r="D19" s="159">
        <v>74.900000000000006</v>
      </c>
      <c r="E19" s="219">
        <v>78.224999999999994</v>
      </c>
      <c r="F19" s="159">
        <v>83.85</v>
      </c>
    </row>
    <row r="20" spans="1:6" ht="20" customHeight="1" thickBot="1">
      <c r="A20" s="655" t="s">
        <v>243</v>
      </c>
      <c r="B20" s="159">
        <v>35.74</v>
      </c>
      <c r="C20" s="219">
        <v>59.95</v>
      </c>
      <c r="D20" s="159">
        <v>69.400000000000006</v>
      </c>
      <c r="E20" s="219">
        <v>72.5</v>
      </c>
      <c r="F20" s="159">
        <v>79.704999999999998</v>
      </c>
    </row>
    <row r="21" spans="1:6" ht="20" customHeight="1" thickBot="1">
      <c r="A21" s="655" t="s">
        <v>244</v>
      </c>
      <c r="B21" s="159">
        <v>28.885000000000002</v>
      </c>
      <c r="C21" s="219">
        <v>50.5</v>
      </c>
      <c r="D21" s="159">
        <v>53.8</v>
      </c>
      <c r="E21" s="219">
        <v>57.174999999999997</v>
      </c>
      <c r="F21" s="159">
        <v>62.82</v>
      </c>
    </row>
    <row r="22" spans="1:6" ht="20" customHeight="1" thickBot="1">
      <c r="A22" s="655" t="s">
        <v>245</v>
      </c>
      <c r="B22" s="159">
        <v>26.35</v>
      </c>
      <c r="C22" s="219">
        <v>47.5</v>
      </c>
      <c r="D22" s="159">
        <v>51.95</v>
      </c>
      <c r="E22" s="219">
        <v>52.8</v>
      </c>
      <c r="F22" s="159">
        <v>57</v>
      </c>
    </row>
    <row r="23" spans="1:6" ht="20" customHeight="1" thickBot="1">
      <c r="A23" s="655" t="s">
        <v>246</v>
      </c>
      <c r="B23" s="159">
        <v>30.76</v>
      </c>
      <c r="C23" s="219">
        <v>55.65</v>
      </c>
      <c r="D23" s="159">
        <v>58.95</v>
      </c>
      <c r="E23" s="219">
        <v>63.15</v>
      </c>
      <c r="F23" s="159">
        <v>74.525000000000006</v>
      </c>
    </row>
    <row r="24" spans="1:6" ht="20" customHeight="1" thickBot="1">
      <c r="A24" s="655" t="s">
        <v>247</v>
      </c>
      <c r="B24" s="159">
        <v>31.58</v>
      </c>
      <c r="C24" s="219">
        <v>56</v>
      </c>
      <c r="D24" s="159">
        <v>60.9</v>
      </c>
      <c r="E24" s="219">
        <v>64.3</v>
      </c>
      <c r="F24" s="159">
        <v>77</v>
      </c>
    </row>
    <row r="25" spans="1:6" ht="20" customHeight="1" thickBot="1">
      <c r="A25" s="655" t="s">
        <v>248</v>
      </c>
      <c r="B25" s="159">
        <v>34.82</v>
      </c>
      <c r="C25" s="219">
        <v>59.125</v>
      </c>
      <c r="D25" s="159">
        <v>64.8</v>
      </c>
      <c r="E25" s="219">
        <v>68.5</v>
      </c>
      <c r="F25" s="159">
        <v>76</v>
      </c>
    </row>
    <row r="26" spans="1:6" ht="20" customHeight="1" thickBot="1">
      <c r="A26" s="655" t="s">
        <v>249</v>
      </c>
      <c r="B26" s="159">
        <v>35.58</v>
      </c>
      <c r="C26" s="219">
        <v>61</v>
      </c>
      <c r="D26" s="159">
        <v>63.8</v>
      </c>
      <c r="E26" s="219">
        <v>70.849999999999994</v>
      </c>
      <c r="F26" s="159">
        <v>76.894999999999996</v>
      </c>
    </row>
    <row r="27" spans="1:6" ht="20" customHeight="1" thickBot="1">
      <c r="A27" s="655" t="s">
        <v>250</v>
      </c>
      <c r="B27" s="159">
        <v>45.14</v>
      </c>
      <c r="C27" s="219">
        <v>76.75</v>
      </c>
      <c r="D27" s="159">
        <v>85.4</v>
      </c>
      <c r="E27" s="219">
        <v>90.224999999999994</v>
      </c>
      <c r="F27" s="159">
        <v>102.21250000000001</v>
      </c>
    </row>
    <row r="28" spans="1:6" ht="20" customHeight="1" thickBot="1">
      <c r="A28" s="655" t="s">
        <v>251</v>
      </c>
      <c r="B28" s="159">
        <v>46.71</v>
      </c>
      <c r="C28" s="219">
        <v>87</v>
      </c>
      <c r="D28" s="159">
        <v>93.9</v>
      </c>
      <c r="E28" s="219">
        <v>101.5</v>
      </c>
      <c r="F28" s="159">
        <v>108.75</v>
      </c>
    </row>
    <row r="29" spans="1:6" ht="20" customHeight="1" thickBot="1">
      <c r="A29" s="655" t="s">
        <v>252</v>
      </c>
      <c r="B29" s="159">
        <v>31.43</v>
      </c>
      <c r="C29" s="219">
        <v>55</v>
      </c>
      <c r="D29" s="159">
        <v>62</v>
      </c>
      <c r="E29" s="219">
        <v>67.349999999999994</v>
      </c>
      <c r="F29" s="159">
        <v>75.27</v>
      </c>
    </row>
    <row r="30" spans="1:6" ht="20" customHeight="1" thickBot="1">
      <c r="A30" s="655" t="s">
        <v>253</v>
      </c>
      <c r="B30" s="159">
        <v>46.3</v>
      </c>
      <c r="C30" s="219">
        <v>83.2</v>
      </c>
      <c r="D30" s="159">
        <v>85</v>
      </c>
      <c r="E30" s="219">
        <v>93.6</v>
      </c>
      <c r="F30" s="159">
        <v>109</v>
      </c>
    </row>
    <row r="31" spans="1:6" ht="20" customHeight="1" thickBot="1">
      <c r="A31" s="655" t="s">
        <v>254</v>
      </c>
      <c r="B31" s="159">
        <v>57.54</v>
      </c>
      <c r="C31" s="219">
        <v>98.25</v>
      </c>
      <c r="D31" s="159">
        <v>103.8</v>
      </c>
      <c r="E31" s="219">
        <v>113.96250000000001</v>
      </c>
      <c r="F31" s="159">
        <v>126.465</v>
      </c>
    </row>
    <row r="32" spans="1:6" ht="20" customHeight="1" thickBot="1">
      <c r="A32" s="655" t="s">
        <v>255</v>
      </c>
      <c r="B32" s="159">
        <v>42.024999999999999</v>
      </c>
      <c r="C32" s="219">
        <v>72.05</v>
      </c>
      <c r="D32" s="159">
        <v>76.900000000000006</v>
      </c>
      <c r="E32" s="219">
        <v>87.9375</v>
      </c>
      <c r="F32" s="159">
        <v>99.57</v>
      </c>
    </row>
    <row r="33" spans="1:6" ht="30" customHeight="1" thickBot="1">
      <c r="A33" s="143" t="s">
        <v>256</v>
      </c>
      <c r="B33" s="221">
        <v>34.9</v>
      </c>
      <c r="C33" s="222">
        <v>55.9</v>
      </c>
      <c r="D33" s="221">
        <v>64.8</v>
      </c>
      <c r="E33" s="222">
        <v>77.2</v>
      </c>
      <c r="F33" s="221">
        <v>102.18</v>
      </c>
    </row>
    <row r="34" spans="1:6" ht="20" customHeight="1">
      <c r="A34" s="146" t="s">
        <v>602</v>
      </c>
      <c r="B34" s="851"/>
      <c r="C34" s="851"/>
      <c r="D34" s="851"/>
      <c r="E34" s="851"/>
      <c r="F34" s="851"/>
    </row>
    <row r="35" spans="1:6" ht="15.75" customHeight="1">
      <c r="A35" s="4"/>
      <c r="B35" s="852"/>
      <c r="C35" s="852"/>
      <c r="D35" s="852"/>
      <c r="E35" s="852"/>
      <c r="F35" s="852"/>
    </row>
    <row r="36" spans="1:6" ht="20.25" customHeight="1">
      <c r="A36" s="4" t="s">
        <v>585</v>
      </c>
      <c r="B36" s="852"/>
      <c r="C36" s="852"/>
      <c r="D36" s="852"/>
      <c r="E36" s="852"/>
      <c r="F36" s="852"/>
    </row>
    <row r="37" spans="1:6" ht="13.5" customHeight="1">
      <c r="A37" s="4"/>
      <c r="B37" s="852"/>
      <c r="C37" s="852"/>
      <c r="D37" s="852"/>
      <c r="E37" s="852"/>
      <c r="F37" s="852"/>
    </row>
    <row r="38" spans="1:6" ht="12.75" customHeight="1">
      <c r="A38" s="4" t="s">
        <v>599</v>
      </c>
      <c r="B38" s="852"/>
      <c r="C38" s="852"/>
      <c r="D38" s="852"/>
      <c r="E38" s="852"/>
      <c r="F38" s="852"/>
    </row>
    <row r="39" spans="1:6">
      <c r="A39" s="2" t="s">
        <v>600</v>
      </c>
      <c r="B39" s="507"/>
      <c r="C39" s="507"/>
      <c r="D39" s="507"/>
      <c r="E39" s="507"/>
      <c r="F39" s="507"/>
    </row>
    <row r="40" spans="1:6">
      <c r="B40" s="507"/>
      <c r="C40" s="507"/>
      <c r="D40" s="507"/>
      <c r="E40" s="507"/>
      <c r="F40" s="507"/>
    </row>
    <row r="41" spans="1:6">
      <c r="B41" s="507"/>
      <c r="C41" s="507"/>
      <c r="D41" s="507"/>
      <c r="E41" s="507"/>
      <c r="F41" s="507"/>
    </row>
    <row r="42" spans="1:6">
      <c r="A42" s="2" t="s">
        <v>128</v>
      </c>
      <c r="B42" s="507"/>
      <c r="C42" s="507"/>
      <c r="D42" s="507"/>
      <c r="E42" s="507"/>
      <c r="F42" s="507"/>
    </row>
  </sheetData>
  <phoneticPr fontId="0" type="noConversion"/>
  <pageMargins left="0.65" right="0.54" top="0.69" bottom="0.47244094488188981" header="0.57999999999999996" footer="0.51181102362204722"/>
  <pageSetup paperSize="9" scale="90" orientation="portrait" horizontalDpi="4294967292" verticalDpi="4294967292"/>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B6CC-D06D-BB40-91BD-8442F6FF3A08}">
  <sheetPr>
    <pageSetUpPr fitToPage="1"/>
  </sheetPr>
  <dimension ref="A1:K40"/>
  <sheetViews>
    <sheetView topLeftCell="A21" zoomScale="75" workbookViewId="0">
      <selection activeCell="A36" sqref="A36"/>
    </sheetView>
  </sheetViews>
  <sheetFormatPr baseColWidth="10" defaultColWidth="11.3984375" defaultRowHeight="13"/>
  <cols>
    <col min="1" max="1" width="12.3984375" style="2" customWidth="1"/>
    <col min="2" max="11" width="10.3984375" style="2" customWidth="1"/>
    <col min="12" max="16384" width="11.3984375" style="2"/>
  </cols>
  <sheetData>
    <row r="1" spans="1:11" s="1" customFormat="1" ht="14" customHeight="1"/>
    <row r="2" spans="1:11" s="1" customFormat="1" ht="39.75" customHeight="1">
      <c r="A2" s="1606" t="s">
        <v>444</v>
      </c>
      <c r="B2" s="1610"/>
      <c r="C2" s="1610"/>
      <c r="D2" s="1610"/>
      <c r="E2" s="1610"/>
      <c r="F2" s="1610"/>
      <c r="G2" s="1610"/>
      <c r="H2" s="1610"/>
      <c r="I2" s="1610"/>
      <c r="J2" s="124"/>
      <c r="K2" s="124">
        <v>2005</v>
      </c>
    </row>
    <row r="3" spans="1:11" ht="24" customHeight="1">
      <c r="A3" s="125" t="s">
        <v>222</v>
      </c>
      <c r="B3" s="126">
        <v>1996</v>
      </c>
      <c r="C3" s="127">
        <v>1997</v>
      </c>
      <c r="D3" s="126">
        <v>1998</v>
      </c>
      <c r="E3" s="127">
        <v>1999</v>
      </c>
      <c r="F3" s="126">
        <v>2000</v>
      </c>
      <c r="G3" s="127">
        <v>2001</v>
      </c>
      <c r="H3" s="126">
        <v>2002</v>
      </c>
      <c r="I3" s="127">
        <v>2003</v>
      </c>
      <c r="J3" s="126">
        <v>2004</v>
      </c>
      <c r="K3" s="127">
        <v>2005</v>
      </c>
    </row>
    <row r="4" spans="1:11" ht="15" customHeight="1">
      <c r="A4" s="212"/>
      <c r="B4" s="129"/>
      <c r="C4" s="131"/>
      <c r="D4" s="129"/>
      <c r="E4" s="131"/>
      <c r="F4" s="155"/>
      <c r="G4" s="213"/>
      <c r="H4" s="129"/>
      <c r="I4" s="131"/>
      <c r="J4" s="129"/>
      <c r="K4" s="131"/>
    </row>
    <row r="5" spans="1:11" ht="16" customHeight="1">
      <c r="A5" s="214"/>
      <c r="B5" s="135"/>
      <c r="C5" s="134"/>
      <c r="D5" s="135"/>
      <c r="E5" s="134"/>
      <c r="F5" s="156"/>
      <c r="G5" s="215"/>
      <c r="H5" s="135"/>
      <c r="I5" s="134"/>
      <c r="J5" s="135"/>
      <c r="K5" s="134"/>
    </row>
    <row r="6" spans="1:11" ht="30" customHeight="1" thickBot="1">
      <c r="A6" s="654" t="s">
        <v>230</v>
      </c>
      <c r="B6" s="310" t="s">
        <v>1646</v>
      </c>
      <c r="C6" s="311">
        <v>1688.02</v>
      </c>
      <c r="D6" s="310">
        <v>1799.51</v>
      </c>
      <c r="E6" s="311">
        <v>1859.45</v>
      </c>
      <c r="F6" s="310">
        <v>1932.17</v>
      </c>
      <c r="G6" s="311">
        <v>2000.67</v>
      </c>
      <c r="H6" s="310">
        <v>2175.9</v>
      </c>
      <c r="I6" s="217">
        <v>2366.81</v>
      </c>
      <c r="J6" s="157">
        <v>2495.12</v>
      </c>
      <c r="K6" s="217">
        <v>2512.46</v>
      </c>
    </row>
    <row r="7" spans="1:11" ht="20" customHeight="1" thickBot="1">
      <c r="A7" s="655" t="s">
        <v>231</v>
      </c>
      <c r="B7" s="159" t="s">
        <v>1646</v>
      </c>
      <c r="C7" s="219">
        <v>1610.77</v>
      </c>
      <c r="D7" s="159">
        <v>1713.16</v>
      </c>
      <c r="E7" s="219">
        <v>1780.25</v>
      </c>
      <c r="F7" s="159">
        <v>1812.27</v>
      </c>
      <c r="G7" s="219">
        <v>1870.42</v>
      </c>
      <c r="H7" s="159">
        <v>2082.84</v>
      </c>
      <c r="I7" s="217">
        <v>2276.4499999999998</v>
      </c>
      <c r="J7" s="157">
        <v>2416.31</v>
      </c>
      <c r="K7" s="217">
        <v>2477.62</v>
      </c>
    </row>
    <row r="8" spans="1:11" ht="20" customHeight="1" thickBot="1">
      <c r="A8" s="655" t="s">
        <v>232</v>
      </c>
      <c r="B8" s="159" t="s">
        <v>1646</v>
      </c>
      <c r="C8" s="219">
        <v>1310.87</v>
      </c>
      <c r="D8" s="159">
        <v>1376.77</v>
      </c>
      <c r="E8" s="219">
        <v>1372.72</v>
      </c>
      <c r="F8" s="159">
        <v>1445.98</v>
      </c>
      <c r="G8" s="219">
        <v>1524.97</v>
      </c>
      <c r="H8" s="159">
        <v>1680.73</v>
      </c>
      <c r="I8" s="217">
        <v>1833.21</v>
      </c>
      <c r="J8" s="157">
        <v>1964.57</v>
      </c>
      <c r="K8" s="217">
        <v>2018.62</v>
      </c>
    </row>
    <row r="9" spans="1:11" ht="20" customHeight="1" thickBot="1">
      <c r="A9" s="655" t="s">
        <v>233</v>
      </c>
      <c r="B9" s="159" t="s">
        <v>1646</v>
      </c>
      <c r="C9" s="219">
        <v>1327.83</v>
      </c>
      <c r="D9" s="159">
        <v>1370.87</v>
      </c>
      <c r="E9" s="219">
        <v>1354.37</v>
      </c>
      <c r="F9" s="159">
        <v>1389.03</v>
      </c>
      <c r="G9" s="219">
        <v>1438.94</v>
      </c>
      <c r="H9" s="159">
        <v>1573.5</v>
      </c>
      <c r="I9" s="217">
        <v>1729.88</v>
      </c>
      <c r="J9" s="157">
        <v>1826.57</v>
      </c>
      <c r="K9" s="217">
        <v>1872.59</v>
      </c>
    </row>
    <row r="10" spans="1:11" ht="20" customHeight="1" thickBot="1">
      <c r="A10" s="655" t="s">
        <v>234</v>
      </c>
      <c r="B10" s="159" t="s">
        <v>1646</v>
      </c>
      <c r="C10" s="219">
        <v>1378.39</v>
      </c>
      <c r="D10" s="159">
        <v>1421.61</v>
      </c>
      <c r="E10" s="219">
        <v>1399.03</v>
      </c>
      <c r="F10" s="159">
        <v>1426.25</v>
      </c>
      <c r="G10" s="219">
        <v>1495.42</v>
      </c>
      <c r="H10" s="159">
        <v>1667.21</v>
      </c>
      <c r="I10" s="217">
        <v>1832.71</v>
      </c>
      <c r="J10" s="157">
        <v>1957.54</v>
      </c>
      <c r="K10" s="217">
        <v>2019.36</v>
      </c>
    </row>
    <row r="11" spans="1:11" ht="20" customHeight="1" thickBot="1">
      <c r="A11" s="655" t="s">
        <v>235</v>
      </c>
      <c r="B11" s="159" t="s">
        <v>1646</v>
      </c>
      <c r="C11" s="219">
        <v>1311.57</v>
      </c>
      <c r="D11" s="159">
        <v>1338.4</v>
      </c>
      <c r="E11" s="219">
        <v>1334.71</v>
      </c>
      <c r="F11" s="159">
        <v>1366.66</v>
      </c>
      <c r="G11" s="219">
        <v>1424.17</v>
      </c>
      <c r="H11" s="159">
        <v>1534.16</v>
      </c>
      <c r="I11" s="217">
        <v>1624.62</v>
      </c>
      <c r="J11" s="157">
        <v>1734.01</v>
      </c>
      <c r="K11" s="217">
        <v>1787.8</v>
      </c>
    </row>
    <row r="12" spans="1:11" ht="20" customHeight="1" thickBot="1">
      <c r="A12" s="655" t="s">
        <v>236</v>
      </c>
      <c r="B12" s="159" t="s">
        <v>1646</v>
      </c>
      <c r="C12" s="219">
        <v>1279.67</v>
      </c>
      <c r="D12" s="159">
        <v>1306.6500000000001</v>
      </c>
      <c r="E12" s="219">
        <v>1290.04</v>
      </c>
      <c r="F12" s="159">
        <v>1317.38</v>
      </c>
      <c r="G12" s="219">
        <v>1362.46</v>
      </c>
      <c r="H12" s="159">
        <v>1471.56</v>
      </c>
      <c r="I12" s="217">
        <v>1597.44</v>
      </c>
      <c r="J12" s="157">
        <v>1703.3</v>
      </c>
      <c r="K12" s="217">
        <v>1752.65</v>
      </c>
    </row>
    <row r="13" spans="1:11" ht="20" customHeight="1" thickBot="1">
      <c r="A13" s="655" t="s">
        <v>237</v>
      </c>
      <c r="B13" s="159" t="s">
        <v>1646</v>
      </c>
      <c r="C13" s="219">
        <v>1314.66</v>
      </c>
      <c r="D13" s="159">
        <v>1401.63</v>
      </c>
      <c r="E13" s="219">
        <v>1415.91</v>
      </c>
      <c r="F13" s="159">
        <v>1452.85</v>
      </c>
      <c r="G13" s="219">
        <v>1515.31</v>
      </c>
      <c r="H13" s="159">
        <v>1686.02</v>
      </c>
      <c r="I13" s="217">
        <v>1873.67</v>
      </c>
      <c r="J13" s="157">
        <v>1994.02</v>
      </c>
      <c r="K13" s="217">
        <v>2059.5700000000002</v>
      </c>
    </row>
    <row r="14" spans="1:11" ht="20" customHeight="1" thickBot="1">
      <c r="A14" s="655" t="s">
        <v>238</v>
      </c>
      <c r="B14" s="159" t="s">
        <v>1646</v>
      </c>
      <c r="C14" s="219">
        <v>1391.21</v>
      </c>
      <c r="D14" s="159">
        <v>1395.83</v>
      </c>
      <c r="E14" s="219">
        <v>1376.28</v>
      </c>
      <c r="F14" s="159">
        <v>1416.79</v>
      </c>
      <c r="G14" s="219">
        <v>1476.5</v>
      </c>
      <c r="H14" s="159">
        <v>1628.62</v>
      </c>
      <c r="I14" s="217">
        <v>1804.72</v>
      </c>
      <c r="J14" s="157">
        <v>1965.66</v>
      </c>
      <c r="K14" s="217">
        <v>2020.31</v>
      </c>
    </row>
    <row r="15" spans="1:11" ht="20" customHeight="1" thickBot="1">
      <c r="A15" s="655" t="s">
        <v>239</v>
      </c>
      <c r="B15" s="159" t="s">
        <v>1646</v>
      </c>
      <c r="C15" s="219">
        <v>1662.52</v>
      </c>
      <c r="D15" s="159">
        <v>1691.51</v>
      </c>
      <c r="E15" s="219">
        <v>1708.26</v>
      </c>
      <c r="F15" s="159">
        <v>1792.77</v>
      </c>
      <c r="G15" s="219">
        <v>1884.13</v>
      </c>
      <c r="H15" s="159">
        <v>2032.77</v>
      </c>
      <c r="I15" s="217">
        <v>2145.92</v>
      </c>
      <c r="J15" s="157">
        <v>2232.06</v>
      </c>
      <c r="K15" s="217">
        <v>2290.17</v>
      </c>
    </row>
    <row r="16" spans="1:11" ht="20" customHeight="1" thickBot="1">
      <c r="A16" s="655" t="s">
        <v>240</v>
      </c>
      <c r="B16" s="159" t="s">
        <v>1646</v>
      </c>
      <c r="C16" s="219">
        <v>1528.63</v>
      </c>
      <c r="D16" s="159">
        <v>1671.86</v>
      </c>
      <c r="E16" s="219">
        <v>1674.73</v>
      </c>
      <c r="F16" s="159">
        <v>1732.84</v>
      </c>
      <c r="G16" s="219">
        <v>1798.83</v>
      </c>
      <c r="H16" s="159">
        <v>1932.71</v>
      </c>
      <c r="I16" s="217">
        <v>2101.9899999999998</v>
      </c>
      <c r="J16" s="157">
        <v>2241.66</v>
      </c>
      <c r="K16" s="217">
        <v>2287.27</v>
      </c>
    </row>
    <row r="17" spans="1:11" ht="20" customHeight="1" thickBot="1">
      <c r="A17" s="655" t="s">
        <v>241</v>
      </c>
      <c r="B17" s="159" t="s">
        <v>1646</v>
      </c>
      <c r="C17" s="219">
        <v>2134.35</v>
      </c>
      <c r="D17" s="159">
        <v>2306.19</v>
      </c>
      <c r="E17" s="219">
        <v>2446.3200000000002</v>
      </c>
      <c r="F17" s="159">
        <v>2556.6999999999998</v>
      </c>
      <c r="G17" s="219">
        <v>2691.54</v>
      </c>
      <c r="H17" s="159">
        <v>2885.13</v>
      </c>
      <c r="I17" s="217">
        <v>3131.64</v>
      </c>
      <c r="J17" s="157">
        <v>3389.7</v>
      </c>
      <c r="K17" s="217">
        <v>3454.84</v>
      </c>
    </row>
    <row r="18" spans="1:11" ht="20" customHeight="1" thickBot="1">
      <c r="A18" s="655" t="s">
        <v>242</v>
      </c>
      <c r="B18" s="159" t="s">
        <v>1646</v>
      </c>
      <c r="C18" s="219">
        <v>1756.37</v>
      </c>
      <c r="D18" s="159">
        <v>1850.43</v>
      </c>
      <c r="E18" s="219">
        <v>1846.14</v>
      </c>
      <c r="F18" s="159">
        <v>1899.24</v>
      </c>
      <c r="G18" s="219">
        <v>1967.11</v>
      </c>
      <c r="H18" s="159">
        <v>2139.59</v>
      </c>
      <c r="I18" s="217">
        <v>2334.69</v>
      </c>
      <c r="J18" s="157">
        <v>2504.48</v>
      </c>
      <c r="K18" s="217">
        <v>2542.48</v>
      </c>
    </row>
    <row r="19" spans="1:11" ht="20" customHeight="1" thickBot="1">
      <c r="A19" s="655" t="s">
        <v>243</v>
      </c>
      <c r="B19" s="159" t="s">
        <v>1646</v>
      </c>
      <c r="C19" s="219">
        <v>1505.08</v>
      </c>
      <c r="D19" s="159">
        <v>1601.39</v>
      </c>
      <c r="E19" s="219">
        <v>1633.62</v>
      </c>
      <c r="F19" s="159">
        <v>1686.78</v>
      </c>
      <c r="G19" s="219">
        <v>1766.11</v>
      </c>
      <c r="H19" s="159">
        <v>1981.87</v>
      </c>
      <c r="I19" s="217">
        <v>2190.31</v>
      </c>
      <c r="J19" s="157">
        <v>2327.5</v>
      </c>
      <c r="K19" s="217">
        <v>2363.2399999999998</v>
      </c>
    </row>
    <row r="20" spans="1:11" ht="20" customHeight="1" thickBot="1">
      <c r="A20" s="655" t="s">
        <v>244</v>
      </c>
      <c r="B20" s="159" t="s">
        <v>1646</v>
      </c>
      <c r="C20" s="219">
        <v>1258.0999999999999</v>
      </c>
      <c r="D20" s="159">
        <v>1328.57</v>
      </c>
      <c r="E20" s="219">
        <v>1316.4</v>
      </c>
      <c r="F20" s="159">
        <v>1345.5</v>
      </c>
      <c r="G20" s="219">
        <v>1414.62</v>
      </c>
      <c r="H20" s="159">
        <v>1544.03</v>
      </c>
      <c r="I20" s="217">
        <v>1703.59</v>
      </c>
      <c r="J20" s="157">
        <v>1786.16</v>
      </c>
      <c r="K20" s="217">
        <v>1841.02</v>
      </c>
    </row>
    <row r="21" spans="1:11" ht="20" customHeight="1" thickBot="1">
      <c r="A21" s="655" t="s">
        <v>245</v>
      </c>
      <c r="B21" s="159" t="s">
        <v>1646</v>
      </c>
      <c r="C21" s="219">
        <v>1115.75</v>
      </c>
      <c r="D21" s="159">
        <v>1159.99</v>
      </c>
      <c r="E21" s="219">
        <v>1141.01</v>
      </c>
      <c r="F21" s="159">
        <v>1157.06</v>
      </c>
      <c r="G21" s="219">
        <v>1243.0999999999999</v>
      </c>
      <c r="H21" s="159">
        <v>1360.38</v>
      </c>
      <c r="I21" s="217">
        <v>1486.23</v>
      </c>
      <c r="J21" s="157">
        <v>1572.95</v>
      </c>
      <c r="K21" s="217">
        <v>1625.7</v>
      </c>
    </row>
    <row r="22" spans="1:11" ht="20" customHeight="1" thickBot="1">
      <c r="A22" s="655" t="s">
        <v>246</v>
      </c>
      <c r="B22" s="159" t="s">
        <v>1646</v>
      </c>
      <c r="C22" s="219">
        <v>1298.1600000000001</v>
      </c>
      <c r="D22" s="159">
        <v>1383.71</v>
      </c>
      <c r="E22" s="219">
        <v>1410.02</v>
      </c>
      <c r="F22" s="159">
        <v>1446.47</v>
      </c>
      <c r="G22" s="219">
        <v>1514.53</v>
      </c>
      <c r="H22" s="159">
        <v>1649.28</v>
      </c>
      <c r="I22" s="217">
        <v>1789.76</v>
      </c>
      <c r="J22" s="157">
        <v>1926.47</v>
      </c>
      <c r="K22" s="217">
        <v>1987.94</v>
      </c>
    </row>
    <row r="23" spans="1:11" ht="20" customHeight="1" thickBot="1">
      <c r="A23" s="655" t="s">
        <v>247</v>
      </c>
      <c r="B23" s="159" t="s">
        <v>1646</v>
      </c>
      <c r="C23" s="219">
        <v>1279.6500000000001</v>
      </c>
      <c r="D23" s="159">
        <v>1344.95</v>
      </c>
      <c r="E23" s="219">
        <v>1380.23</v>
      </c>
      <c r="F23" s="159">
        <v>1377.12</v>
      </c>
      <c r="G23" s="219">
        <v>1519.27</v>
      </c>
      <c r="H23" s="159">
        <v>1713.63</v>
      </c>
      <c r="I23" s="217">
        <v>1922.61</v>
      </c>
      <c r="J23" s="157">
        <v>2061.46</v>
      </c>
      <c r="K23" s="217">
        <v>2102.89</v>
      </c>
    </row>
    <row r="24" spans="1:11" ht="20" customHeight="1" thickBot="1">
      <c r="A24" s="655" t="s">
        <v>248</v>
      </c>
      <c r="B24" s="159" t="s">
        <v>1646</v>
      </c>
      <c r="C24" s="219">
        <v>1297.99</v>
      </c>
      <c r="D24" s="159">
        <v>1393.43</v>
      </c>
      <c r="E24" s="219">
        <v>1471.71</v>
      </c>
      <c r="F24" s="159">
        <v>1544.48</v>
      </c>
      <c r="G24" s="219">
        <v>1656.78</v>
      </c>
      <c r="H24" s="159">
        <v>1837.97</v>
      </c>
      <c r="I24" s="217">
        <v>2013.78</v>
      </c>
      <c r="J24" s="157">
        <v>2145.9699999999998</v>
      </c>
      <c r="K24" s="217">
        <v>2187.8200000000002</v>
      </c>
    </row>
    <row r="25" spans="1:11" ht="20" customHeight="1" thickBot="1">
      <c r="A25" s="655" t="s">
        <v>249</v>
      </c>
      <c r="B25" s="159" t="s">
        <v>1646</v>
      </c>
      <c r="C25" s="219">
        <v>1343.68</v>
      </c>
      <c r="D25" s="159">
        <v>1452.32</v>
      </c>
      <c r="E25" s="219">
        <v>1507.06</v>
      </c>
      <c r="F25" s="159">
        <v>1558.7</v>
      </c>
      <c r="G25" s="219">
        <v>1679.14</v>
      </c>
      <c r="H25" s="159">
        <v>1869.09</v>
      </c>
      <c r="I25" s="217">
        <v>2058.1999999999998</v>
      </c>
      <c r="J25" s="157">
        <v>2194.13</v>
      </c>
      <c r="K25" s="217">
        <v>2229.67</v>
      </c>
    </row>
    <row r="26" spans="1:11" ht="20" customHeight="1" thickBot="1">
      <c r="A26" s="655" t="s">
        <v>250</v>
      </c>
      <c r="B26" s="159" t="s">
        <v>1646</v>
      </c>
      <c r="C26" s="219">
        <v>2095.4899999999998</v>
      </c>
      <c r="D26" s="159">
        <v>2211.92</v>
      </c>
      <c r="E26" s="219">
        <v>2198.02</v>
      </c>
      <c r="F26" s="159">
        <v>2220.3000000000002</v>
      </c>
      <c r="G26" s="219">
        <v>2271.73</v>
      </c>
      <c r="H26" s="159">
        <v>2467.0700000000002</v>
      </c>
      <c r="I26" s="217">
        <v>2676.85</v>
      </c>
      <c r="J26" s="157">
        <v>2936.03</v>
      </c>
      <c r="K26" s="217">
        <v>3024.2</v>
      </c>
    </row>
    <row r="27" spans="1:11" ht="20" customHeight="1" thickBot="1">
      <c r="A27" s="655" t="s">
        <v>251</v>
      </c>
      <c r="B27" s="159" t="s">
        <v>1646</v>
      </c>
      <c r="C27" s="219">
        <v>2197.46</v>
      </c>
      <c r="D27" s="159">
        <v>2269.8000000000002</v>
      </c>
      <c r="E27" s="219">
        <v>2319.29</v>
      </c>
      <c r="F27" s="159">
        <v>2317.16</v>
      </c>
      <c r="G27" s="219">
        <v>2400.63</v>
      </c>
      <c r="H27" s="159">
        <v>2581.7199999999998</v>
      </c>
      <c r="I27" s="217">
        <v>2789.21</v>
      </c>
      <c r="J27" s="157">
        <v>2938.15</v>
      </c>
      <c r="K27" s="217">
        <v>2977.76</v>
      </c>
    </row>
    <row r="28" spans="1:11" ht="20" customHeight="1" thickBot="1">
      <c r="A28" s="655" t="s">
        <v>252</v>
      </c>
      <c r="B28" s="159" t="s">
        <v>1646</v>
      </c>
      <c r="C28" s="219">
        <v>1574.86</v>
      </c>
      <c r="D28" s="159">
        <v>1544.82</v>
      </c>
      <c r="E28" s="219">
        <v>1554.32</v>
      </c>
      <c r="F28" s="159">
        <v>1580.24</v>
      </c>
      <c r="G28" s="219">
        <v>1621.59</v>
      </c>
      <c r="H28" s="159">
        <v>1747.44</v>
      </c>
      <c r="I28" s="217">
        <v>1911.96</v>
      </c>
      <c r="J28" s="157">
        <v>2070.33</v>
      </c>
      <c r="K28" s="217">
        <v>2154.77</v>
      </c>
    </row>
    <row r="29" spans="1:11" ht="20" customHeight="1" thickBot="1">
      <c r="A29" s="655" t="s">
        <v>253</v>
      </c>
      <c r="B29" s="159" t="s">
        <v>1646</v>
      </c>
      <c r="C29" s="219">
        <v>1872.33</v>
      </c>
      <c r="D29" s="159">
        <v>2074.35</v>
      </c>
      <c r="E29" s="219">
        <v>2121.75</v>
      </c>
      <c r="F29" s="159">
        <v>2169.7199999999998</v>
      </c>
      <c r="G29" s="219">
        <v>2241.9899999999998</v>
      </c>
      <c r="H29" s="159">
        <v>2442.38</v>
      </c>
      <c r="I29" s="217">
        <v>2628.36</v>
      </c>
      <c r="J29" s="157">
        <v>2856.16</v>
      </c>
      <c r="K29" s="217">
        <v>2941.13</v>
      </c>
    </row>
    <row r="30" spans="1:11" ht="20" customHeight="1" thickBot="1">
      <c r="A30" s="655" t="s">
        <v>254</v>
      </c>
      <c r="B30" s="159" t="s">
        <v>1646</v>
      </c>
      <c r="C30" s="219">
        <v>2490.64</v>
      </c>
      <c r="D30" s="159">
        <v>2600.92</v>
      </c>
      <c r="E30" s="219">
        <v>2618.6</v>
      </c>
      <c r="F30" s="159">
        <v>2755.39</v>
      </c>
      <c r="G30" s="219">
        <v>2906.95</v>
      </c>
      <c r="H30" s="159">
        <v>3137.29</v>
      </c>
      <c r="I30" s="217">
        <v>3318.18</v>
      </c>
      <c r="J30" s="157">
        <v>3499.12</v>
      </c>
      <c r="K30" s="217">
        <v>3545.51</v>
      </c>
    </row>
    <row r="31" spans="1:11" ht="20" customHeight="1" thickBot="1">
      <c r="A31" s="655" t="s">
        <v>255</v>
      </c>
      <c r="B31" s="159" t="s">
        <v>1646</v>
      </c>
      <c r="C31" s="219">
        <v>1764.15</v>
      </c>
      <c r="D31" s="159">
        <v>1924.67</v>
      </c>
      <c r="E31" s="219">
        <v>1920.33</v>
      </c>
      <c r="F31" s="159">
        <v>2008.3</v>
      </c>
      <c r="G31" s="219">
        <v>2165.84</v>
      </c>
      <c r="H31" s="159">
        <v>2325.96</v>
      </c>
      <c r="I31" s="217">
        <v>2455.4699999999998</v>
      </c>
      <c r="J31" s="157">
        <v>2614.3200000000002</v>
      </c>
      <c r="K31" s="217">
        <v>2681.64</v>
      </c>
    </row>
    <row r="32" spans="1:11" ht="30" customHeight="1" thickBot="1">
      <c r="A32" s="143" t="s">
        <v>256</v>
      </c>
      <c r="B32" s="221">
        <v>1547.05</v>
      </c>
      <c r="C32" s="222">
        <v>1668.01</v>
      </c>
      <c r="D32" s="221">
        <v>1762.91</v>
      </c>
      <c r="E32" s="222">
        <v>1801.28</v>
      </c>
      <c r="F32" s="221">
        <v>1853.38</v>
      </c>
      <c r="G32" s="222">
        <v>1931.93</v>
      </c>
      <c r="H32" s="221">
        <v>2106.41</v>
      </c>
      <c r="I32" s="506">
        <v>2296.0300000000002</v>
      </c>
      <c r="J32" s="206">
        <v>2443.67</v>
      </c>
      <c r="K32" s="207">
        <v>2493.73</v>
      </c>
    </row>
    <row r="33" spans="1:9" ht="20" customHeight="1">
      <c r="A33" s="146" t="s">
        <v>2012</v>
      </c>
      <c r="B33" s="223"/>
      <c r="C33" s="223"/>
      <c r="D33" s="223"/>
      <c r="E33" s="223"/>
      <c r="F33" s="223"/>
      <c r="G33" s="223"/>
      <c r="H33" s="223"/>
      <c r="I33" s="224"/>
    </row>
    <row r="34" spans="1:9" ht="15.75" customHeight="1">
      <c r="A34" s="4"/>
      <c r="B34" s="225"/>
      <c r="C34" s="225"/>
      <c r="D34" s="225"/>
      <c r="E34" s="225"/>
      <c r="F34" s="225"/>
      <c r="G34" s="225"/>
      <c r="H34" s="225"/>
      <c r="I34" s="226"/>
    </row>
    <row r="35" spans="1:9" ht="14.25" customHeight="1">
      <c r="A35" s="4" t="s">
        <v>1948</v>
      </c>
      <c r="B35" s="225"/>
      <c r="C35" s="225"/>
      <c r="D35" s="225"/>
      <c r="E35" s="225"/>
      <c r="F35" s="225"/>
      <c r="G35" s="225"/>
      <c r="H35" s="225"/>
      <c r="I35" s="226"/>
    </row>
    <row r="36" spans="1:9" ht="13.5" customHeight="1">
      <c r="A36" s="4"/>
      <c r="B36" s="225"/>
      <c r="C36" s="225"/>
      <c r="D36" s="225"/>
      <c r="E36" s="225"/>
      <c r="F36" s="225"/>
      <c r="G36" s="225"/>
      <c r="H36" s="225"/>
      <c r="I36" s="226"/>
    </row>
    <row r="37" spans="1:9" ht="12.75" customHeight="1">
      <c r="A37" s="4" t="s">
        <v>1983</v>
      </c>
      <c r="B37" s="225"/>
      <c r="C37" s="225"/>
      <c r="D37" s="225"/>
      <c r="E37" s="225"/>
      <c r="F37" s="225"/>
      <c r="G37" s="225"/>
      <c r="H37" s="225"/>
      <c r="I37" s="226"/>
    </row>
    <row r="39" spans="1:9">
      <c r="A39" s="4"/>
    </row>
    <row r="40" spans="1:9">
      <c r="A40" s="4" t="s">
        <v>128</v>
      </c>
    </row>
  </sheetData>
  <mergeCells count="1">
    <mergeCell ref="A2:I2"/>
  </mergeCells>
  <phoneticPr fontId="0" type="noConversion"/>
  <pageMargins left="0.45" right="0.49" top="0.78" bottom="0.49" header="0.5" footer="0.4921259845"/>
  <pageSetup paperSize="9" scale="81" orientation="portrait" horizontalDpi="4294967292" verticalDpi="4294967292"/>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8C508-B12E-D146-84DD-797A9817D49D}">
  <sheetPr>
    <pageSetUpPr fitToPage="1"/>
  </sheetPr>
  <dimension ref="A1:K24"/>
  <sheetViews>
    <sheetView topLeftCell="A4" zoomScale="75" workbookViewId="0">
      <selection activeCell="A22" sqref="A22"/>
    </sheetView>
  </sheetViews>
  <sheetFormatPr baseColWidth="10" defaultColWidth="11.3984375" defaultRowHeight="13"/>
  <cols>
    <col min="1" max="1" width="14.3984375" style="2" customWidth="1"/>
    <col min="2" max="2" width="17" style="2" customWidth="1"/>
    <col min="3" max="3" width="16.3984375" style="2" customWidth="1"/>
    <col min="4" max="4" width="15.796875" style="2" customWidth="1"/>
    <col min="5" max="5" width="17" style="2" customWidth="1"/>
    <col min="6" max="6" width="18" style="2" customWidth="1"/>
    <col min="7" max="7" width="13.19921875" style="2" customWidth="1"/>
    <col min="8" max="16384" width="11.3984375" style="2"/>
  </cols>
  <sheetData>
    <row r="1" spans="1:11" s="1" customFormat="1" ht="14" customHeight="1"/>
    <row r="2" spans="1:11" s="1" customFormat="1" ht="28" customHeight="1">
      <c r="A2" s="124" t="s">
        <v>445</v>
      </c>
      <c r="G2" s="192">
        <v>2005</v>
      </c>
    </row>
    <row r="3" spans="1:11" ht="24" customHeight="1">
      <c r="A3" s="125" t="s">
        <v>1746</v>
      </c>
      <c r="B3" s="126" t="s">
        <v>329</v>
      </c>
      <c r="C3" s="127" t="s">
        <v>330</v>
      </c>
      <c r="D3" s="126" t="s">
        <v>331</v>
      </c>
      <c r="E3" s="127" t="s">
        <v>332</v>
      </c>
      <c r="F3" s="126" t="s">
        <v>43</v>
      </c>
      <c r="G3" s="127" t="s">
        <v>265</v>
      </c>
    </row>
    <row r="4" spans="1:11" ht="15" customHeight="1">
      <c r="A4" s="212"/>
      <c r="B4" s="129" t="s">
        <v>333</v>
      </c>
      <c r="C4" s="131" t="s">
        <v>334</v>
      </c>
      <c r="D4" s="129" t="s">
        <v>335</v>
      </c>
      <c r="E4" s="213" t="s">
        <v>336</v>
      </c>
      <c r="F4" s="129"/>
      <c r="G4" s="131" t="s">
        <v>267</v>
      </c>
    </row>
    <row r="5" spans="1:11" ht="15" customHeight="1">
      <c r="A5" s="212"/>
      <c r="B5" s="129" t="s">
        <v>337</v>
      </c>
      <c r="C5" s="131" t="s">
        <v>338</v>
      </c>
      <c r="D5" s="129" t="s">
        <v>339</v>
      </c>
      <c r="E5" s="213" t="s">
        <v>340</v>
      </c>
      <c r="F5" s="129"/>
      <c r="G5" s="131" t="s">
        <v>268</v>
      </c>
    </row>
    <row r="6" spans="1:11" ht="24" customHeight="1">
      <c r="A6" s="214"/>
      <c r="B6" s="135"/>
      <c r="C6" s="134"/>
      <c r="D6" s="135"/>
      <c r="E6" s="215" t="s">
        <v>341</v>
      </c>
      <c r="F6" s="135"/>
      <c r="G6" s="134"/>
    </row>
    <row r="7" spans="1:11" ht="23.25" customHeight="1" thickBot="1">
      <c r="A7" s="216">
        <v>1996</v>
      </c>
      <c r="B7" s="157">
        <v>7263879193.6000004</v>
      </c>
      <c r="C7" s="217">
        <v>3689716942.5</v>
      </c>
      <c r="D7" s="157">
        <v>38020066.050000004</v>
      </c>
      <c r="E7" s="217">
        <v>139019617.94999999</v>
      </c>
      <c r="F7" s="157">
        <v>11130635820.099998</v>
      </c>
      <c r="G7" s="158">
        <v>0.21512868002751498</v>
      </c>
    </row>
    <row r="8" spans="1:11" ht="20" customHeight="1" thickBot="1">
      <c r="A8" s="218">
        <v>1997</v>
      </c>
      <c r="B8" s="159">
        <v>6540588878</v>
      </c>
      <c r="C8" s="219">
        <v>4995296573</v>
      </c>
      <c r="D8" s="159">
        <v>16474356</v>
      </c>
      <c r="E8" s="219">
        <v>488324321</v>
      </c>
      <c r="F8" s="159">
        <v>12040684128</v>
      </c>
      <c r="G8" s="160">
        <v>8.1760675904660546E-2</v>
      </c>
      <c r="I8" s="10"/>
      <c r="J8" s="10"/>
      <c r="K8" s="10"/>
    </row>
    <row r="9" spans="1:11" ht="20" customHeight="1" thickBot="1">
      <c r="A9" s="218">
        <v>1998</v>
      </c>
      <c r="B9" s="159">
        <v>6687491385</v>
      </c>
      <c r="C9" s="219">
        <v>5281034163</v>
      </c>
      <c r="D9" s="159">
        <v>17124804</v>
      </c>
      <c r="E9" s="219">
        <v>722619796</v>
      </c>
      <c r="F9" s="159">
        <v>12708270148</v>
      </c>
      <c r="G9" s="160">
        <v>5.5444193444753077E-2</v>
      </c>
    </row>
    <row r="10" spans="1:11" ht="20" customHeight="1" thickBot="1">
      <c r="A10" s="218">
        <v>1999</v>
      </c>
      <c r="B10" s="159">
        <v>6794064715</v>
      </c>
      <c r="C10" s="219">
        <v>5396193285</v>
      </c>
      <c r="D10" s="159">
        <v>15330070</v>
      </c>
      <c r="E10" s="219">
        <v>828254703</v>
      </c>
      <c r="F10" s="159">
        <v>13033842773</v>
      </c>
      <c r="G10" s="160">
        <v>2.5618956884642392E-2</v>
      </c>
    </row>
    <row r="11" spans="1:11" ht="20" customHeight="1" thickBot="1">
      <c r="A11" s="218">
        <v>2000</v>
      </c>
      <c r="B11" s="159">
        <v>6892066397</v>
      </c>
      <c r="C11" s="219">
        <v>5620040093</v>
      </c>
      <c r="D11" s="159">
        <v>15057027</v>
      </c>
      <c r="E11" s="219">
        <v>914491167</v>
      </c>
      <c r="F11" s="159">
        <v>13441654684</v>
      </c>
      <c r="G11" s="160">
        <v>3.1288693450008058E-2</v>
      </c>
    </row>
    <row r="12" spans="1:11" ht="20" customHeight="1" thickBot="1">
      <c r="A12" s="218">
        <v>2001</v>
      </c>
      <c r="B12" s="159">
        <v>7135000924</v>
      </c>
      <c r="C12" s="219">
        <v>5862096902</v>
      </c>
      <c r="D12" s="159">
        <v>14859371</v>
      </c>
      <c r="E12" s="219">
        <v>985355210</v>
      </c>
      <c r="F12" s="159">
        <v>13997312407</v>
      </c>
      <c r="G12" s="160">
        <v>4.133849113542664E-2</v>
      </c>
    </row>
    <row r="13" spans="1:11" ht="20" customHeight="1" thickBot="1">
      <c r="A13" s="218">
        <v>2002</v>
      </c>
      <c r="B13" s="159">
        <v>7607493462</v>
      </c>
      <c r="C13" s="219">
        <v>6653772458</v>
      </c>
      <c r="D13" s="159">
        <v>15940357</v>
      </c>
      <c r="E13" s="219">
        <v>1077838954</v>
      </c>
      <c r="F13" s="159">
        <v>15355045231</v>
      </c>
      <c r="G13" s="160">
        <v>9.69995370912064E-2</v>
      </c>
    </row>
    <row r="14" spans="1:11" ht="20" customHeight="1" thickBot="1">
      <c r="A14" s="218">
        <v>2003</v>
      </c>
      <c r="B14" s="159">
        <v>8119693916</v>
      </c>
      <c r="C14" s="219">
        <v>7519644296</v>
      </c>
      <c r="D14" s="159">
        <v>16399234</v>
      </c>
      <c r="E14" s="219">
        <v>1164373707</v>
      </c>
      <c r="F14" s="159">
        <v>16820111153</v>
      </c>
      <c r="G14" s="160">
        <v>9.5412673812396667E-2</v>
      </c>
    </row>
    <row r="15" spans="1:11" ht="20" customHeight="1" thickBot="1">
      <c r="A15" s="218">
        <v>2004</v>
      </c>
      <c r="B15" s="159">
        <v>8488170971</v>
      </c>
      <c r="C15" s="219">
        <v>7961860655.6000004</v>
      </c>
      <c r="D15" s="159">
        <v>16728842</v>
      </c>
      <c r="E15" s="219">
        <v>1562944367</v>
      </c>
      <c r="F15" s="159">
        <v>18029704835.599998</v>
      </c>
      <c r="G15" s="160">
        <v>7.1913536812998877E-2</v>
      </c>
    </row>
    <row r="16" spans="1:11" ht="30" customHeight="1" thickBot="1">
      <c r="A16" s="412">
        <v>2005</v>
      </c>
      <c r="B16" s="413">
        <v>8881818765</v>
      </c>
      <c r="C16" s="414">
        <v>7722855151</v>
      </c>
      <c r="D16" s="413">
        <v>16867663</v>
      </c>
      <c r="E16" s="414">
        <v>1874878038</v>
      </c>
      <c r="F16" s="413">
        <v>18496419617</v>
      </c>
      <c r="G16" s="162">
        <v>2.5885880310057223E-2</v>
      </c>
    </row>
    <row r="17" spans="1:7" ht="20" customHeight="1">
      <c r="A17" s="146" t="s">
        <v>596</v>
      </c>
      <c r="B17" s="223"/>
      <c r="C17" s="223"/>
      <c r="D17" s="223"/>
      <c r="E17" s="223"/>
      <c r="F17" s="223"/>
      <c r="G17" s="224"/>
    </row>
    <row r="18" spans="1:7" ht="14.25" customHeight="1">
      <c r="A18" s="4"/>
      <c r="B18" s="225"/>
      <c r="C18" s="225"/>
      <c r="D18" s="225"/>
      <c r="E18" s="225"/>
      <c r="F18" s="225"/>
      <c r="G18" s="226"/>
    </row>
    <row r="19" spans="1:7" ht="12.75" customHeight="1">
      <c r="A19" s="241" t="s">
        <v>317</v>
      </c>
    </row>
    <row r="21" spans="1:7">
      <c r="A21" s="2" t="s">
        <v>446</v>
      </c>
    </row>
    <row r="24" spans="1:7">
      <c r="A24" s="2" t="s">
        <v>128</v>
      </c>
    </row>
  </sheetData>
  <phoneticPr fontId="0" type="noConversion"/>
  <pageMargins left="0.56000000000000005" right="0.51" top="0.94" bottom="0.49" header="0.51" footer="0.4921259845"/>
  <pageSetup paperSize="9" scale="83" orientation="portrait" horizontalDpi="4294967292" verticalDpi="4294967292"/>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4C1C1-7EE7-0244-B071-75231263E5DC}">
  <sheetPr>
    <pageSetUpPr fitToPage="1"/>
  </sheetPr>
  <dimension ref="A1:I17"/>
  <sheetViews>
    <sheetView topLeftCell="A2" zoomScale="75" workbookViewId="0">
      <selection activeCell="E18" sqref="E18"/>
    </sheetView>
  </sheetViews>
  <sheetFormatPr baseColWidth="10" defaultColWidth="11.3984375" defaultRowHeight="13"/>
  <cols>
    <col min="1" max="1" width="19.3984375" style="2" customWidth="1"/>
    <col min="2" max="3" width="17.19921875" style="2" customWidth="1"/>
    <col min="4" max="4" width="16.796875" style="2" customWidth="1"/>
    <col min="5" max="5" width="18.19921875" style="2" customWidth="1"/>
    <col min="6" max="7" width="13.3984375" style="2" customWidth="1"/>
    <col min="8" max="8" width="11.3984375" style="2"/>
    <col min="9" max="9" width="15.796875" style="2" hidden="1" customWidth="1"/>
    <col min="10" max="16384" width="11.3984375" style="2"/>
  </cols>
  <sheetData>
    <row r="1" spans="1:9" ht="14" customHeight="1">
      <c r="A1" s="242"/>
      <c r="B1" s="4"/>
      <c r="C1" s="4"/>
      <c r="D1" s="4"/>
      <c r="E1" s="4"/>
      <c r="F1" s="4"/>
      <c r="G1" s="4"/>
      <c r="I1" s="4"/>
    </row>
    <row r="2" spans="1:9" ht="28" customHeight="1">
      <c r="A2" s="19" t="s">
        <v>448</v>
      </c>
      <c r="B2" s="4"/>
      <c r="C2" s="4"/>
      <c r="D2" s="4"/>
      <c r="E2" s="4"/>
      <c r="F2" s="4"/>
      <c r="G2" s="192">
        <v>2005</v>
      </c>
      <c r="I2" s="4"/>
    </row>
    <row r="3" spans="1:9" ht="24" customHeight="1">
      <c r="A3" s="125" t="s">
        <v>321</v>
      </c>
      <c r="B3" s="126" t="s">
        <v>224</v>
      </c>
      <c r="C3" s="127" t="s">
        <v>225</v>
      </c>
      <c r="D3" s="126" t="s">
        <v>223</v>
      </c>
      <c r="E3" s="127" t="s">
        <v>43</v>
      </c>
      <c r="F3" s="126" t="s">
        <v>1806</v>
      </c>
      <c r="G3" s="127" t="s">
        <v>265</v>
      </c>
      <c r="I3" s="127" t="s">
        <v>43</v>
      </c>
    </row>
    <row r="4" spans="1:9" ht="15" customHeight="1">
      <c r="A4" s="212"/>
      <c r="B4" s="129"/>
      <c r="C4" s="131"/>
      <c r="D4" s="129"/>
      <c r="E4" s="213"/>
      <c r="F4" s="129" t="s">
        <v>1807</v>
      </c>
      <c r="G4" s="131" t="s">
        <v>267</v>
      </c>
      <c r="I4" s="213">
        <v>1999</v>
      </c>
    </row>
    <row r="5" spans="1:9" ht="15" customHeight="1">
      <c r="A5" s="128"/>
      <c r="B5" s="129"/>
      <c r="C5" s="131"/>
      <c r="D5" s="129"/>
      <c r="E5" s="131"/>
      <c r="F5" s="129" t="s">
        <v>1808</v>
      </c>
      <c r="G5" s="131" t="s">
        <v>268</v>
      </c>
      <c r="I5" s="131"/>
    </row>
    <row r="6" spans="1:9" ht="24" customHeight="1">
      <c r="A6" s="244"/>
      <c r="B6" s="245"/>
      <c r="C6" s="246"/>
      <c r="D6" s="245"/>
      <c r="E6" s="246"/>
      <c r="F6" s="135"/>
      <c r="G6" s="134"/>
      <c r="I6" s="246"/>
    </row>
    <row r="7" spans="1:9" ht="36" customHeight="1" thickBot="1">
      <c r="A7" s="247" t="s">
        <v>322</v>
      </c>
      <c r="B7" s="248">
        <v>3403154444</v>
      </c>
      <c r="C7" s="249">
        <v>4485302266</v>
      </c>
      <c r="D7" s="248">
        <v>993362055</v>
      </c>
      <c r="E7" s="249">
        <v>8881818765</v>
      </c>
      <c r="F7" s="250">
        <v>0.48019124505786781</v>
      </c>
      <c r="G7" s="251">
        <v>4.6376044420512415E-2</v>
      </c>
      <c r="I7" s="395">
        <v>6794064715</v>
      </c>
    </row>
    <row r="8" spans="1:9" ht="28.5" customHeight="1" thickBot="1">
      <c r="A8" s="247" t="s">
        <v>323</v>
      </c>
      <c r="B8" s="248">
        <v>3817788975</v>
      </c>
      <c r="C8" s="249">
        <v>3788951441</v>
      </c>
      <c r="D8" s="248">
        <v>116114735</v>
      </c>
      <c r="E8" s="249">
        <v>7722855151</v>
      </c>
      <c r="F8" s="250">
        <v>0.41753243659664535</v>
      </c>
      <c r="G8" s="251">
        <v>-3.0018800245128013E-2</v>
      </c>
      <c r="I8" s="395">
        <v>5396193285</v>
      </c>
    </row>
    <row r="9" spans="1:9" ht="30.75" customHeight="1" thickBot="1">
      <c r="A9" s="247" t="s">
        <v>324</v>
      </c>
      <c r="B9" s="248">
        <v>10672770</v>
      </c>
      <c r="C9" s="249">
        <v>6059125</v>
      </c>
      <c r="D9" s="248">
        <v>135768</v>
      </c>
      <c r="E9" s="249">
        <v>16867663</v>
      </c>
      <c r="F9" s="250">
        <v>9.1194205955929901E-4</v>
      </c>
      <c r="G9" s="251">
        <v>8.2983030146378325E-3</v>
      </c>
      <c r="I9" s="395">
        <v>15330070</v>
      </c>
    </row>
    <row r="10" spans="1:9" ht="34.5" customHeight="1" thickBot="1">
      <c r="A10" s="247" t="s">
        <v>325</v>
      </c>
      <c r="B10" s="248">
        <v>854281676</v>
      </c>
      <c r="C10" s="249">
        <v>898069921</v>
      </c>
      <c r="D10" s="248">
        <v>122526441</v>
      </c>
      <c r="E10" s="249">
        <v>1874878038</v>
      </c>
      <c r="F10" s="250">
        <v>0.10136437628592755</v>
      </c>
      <c r="G10" s="251">
        <v>0.19958078968526716</v>
      </c>
      <c r="I10" s="395">
        <v>828254703</v>
      </c>
    </row>
    <row r="11" spans="1:9" s="398" customFormat="1" ht="38.25" customHeight="1" thickBot="1">
      <c r="A11" s="396" t="s">
        <v>43</v>
      </c>
      <c r="B11" s="258">
        <v>8085897864</v>
      </c>
      <c r="C11" s="259">
        <v>9178382753</v>
      </c>
      <c r="D11" s="258">
        <v>1232138998</v>
      </c>
      <c r="E11" s="259">
        <v>18496419617</v>
      </c>
      <c r="F11" s="397">
        <v>1</v>
      </c>
      <c r="G11" s="279">
        <v>2.5885880310057223E-2</v>
      </c>
      <c r="I11" s="399">
        <v>13033842773</v>
      </c>
    </row>
    <row r="12" spans="1:9" ht="19.5" customHeight="1">
      <c r="A12" s="146" t="s">
        <v>693</v>
      </c>
      <c r="B12" s="146"/>
      <c r="C12" s="146"/>
      <c r="D12" s="146"/>
      <c r="E12" s="146"/>
      <c r="F12" s="146"/>
      <c r="G12" s="146"/>
      <c r="I12" s="146"/>
    </row>
    <row r="14" spans="1:9">
      <c r="A14" s="2" t="s">
        <v>1755</v>
      </c>
    </row>
    <row r="17" spans="1:1">
      <c r="A17" s="2" t="s">
        <v>128</v>
      </c>
    </row>
  </sheetData>
  <phoneticPr fontId="0" type="noConversion"/>
  <pageMargins left="0.56000000000000005" right="0.57999999999999996" top="0.96" bottom="0.49" header="0.61" footer="0.4921259845"/>
  <pageSetup paperSize="9" scale="80" orientation="portrait" horizontalDpi="4294967292" verticalDpi="4294967292"/>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9D983-B30E-424A-9A26-211209F204E7}">
  <sheetPr>
    <pageSetUpPr fitToPage="1"/>
  </sheetPr>
  <dimension ref="A1:G17"/>
  <sheetViews>
    <sheetView zoomScale="75" workbookViewId="0">
      <selection activeCell="A15" sqref="A15"/>
    </sheetView>
  </sheetViews>
  <sheetFormatPr baseColWidth="10" defaultColWidth="11.3984375" defaultRowHeight="13"/>
  <cols>
    <col min="1" max="1" width="19.796875" style="2" customWidth="1"/>
    <col min="2" max="7" width="14.796875" style="2" customWidth="1"/>
    <col min="8" max="16384" width="11.3984375" style="2"/>
  </cols>
  <sheetData>
    <row r="1" spans="1:7" ht="14" customHeight="1">
      <c r="A1" s="242"/>
      <c r="B1" s="4"/>
      <c r="C1" s="4"/>
      <c r="D1" s="4"/>
      <c r="E1" s="4"/>
      <c r="F1" s="4"/>
      <c r="G1" s="4"/>
    </row>
    <row r="2" spans="1:7" ht="26.25" customHeight="1">
      <c r="A2" s="1606" t="s">
        <v>449</v>
      </c>
      <c r="B2" s="1610"/>
      <c r="C2" s="1610"/>
      <c r="D2" s="1610"/>
      <c r="E2" s="1610"/>
      <c r="F2" s="1610"/>
      <c r="G2" s="192">
        <v>2005</v>
      </c>
    </row>
    <row r="3" spans="1:7" ht="24" customHeight="1">
      <c r="A3" s="125" t="s">
        <v>321</v>
      </c>
      <c r="B3" s="126" t="s">
        <v>224</v>
      </c>
      <c r="C3" s="127" t="s">
        <v>225</v>
      </c>
      <c r="D3" s="126" t="s">
        <v>223</v>
      </c>
      <c r="E3" s="127" t="s">
        <v>43</v>
      </c>
      <c r="F3" s="126" t="s">
        <v>1740</v>
      </c>
      <c r="G3" s="127" t="s">
        <v>265</v>
      </c>
    </row>
    <row r="4" spans="1:7" ht="15" customHeight="1">
      <c r="A4" s="212"/>
      <c r="B4" s="129"/>
      <c r="C4" s="131"/>
      <c r="D4" s="129"/>
      <c r="E4" s="213"/>
      <c r="F4" s="129" t="s">
        <v>1741</v>
      </c>
      <c r="G4" s="131" t="s">
        <v>267</v>
      </c>
    </row>
    <row r="5" spans="1:7" ht="15" customHeight="1">
      <c r="A5" s="128"/>
      <c r="B5" s="129"/>
      <c r="C5" s="131"/>
      <c r="D5" s="129"/>
      <c r="E5" s="131"/>
      <c r="F5" s="129" t="s">
        <v>1742</v>
      </c>
      <c r="G5" s="131" t="s">
        <v>268</v>
      </c>
    </row>
    <row r="6" spans="1:7" ht="24" customHeight="1">
      <c r="A6" s="244"/>
      <c r="B6" s="245"/>
      <c r="C6" s="246"/>
      <c r="D6" s="245"/>
      <c r="E6" s="246"/>
      <c r="F6" s="135"/>
      <c r="G6" s="134"/>
    </row>
    <row r="7" spans="1:7" ht="38.25" customHeight="1" thickBot="1">
      <c r="A7" s="247" t="s">
        <v>322</v>
      </c>
      <c r="B7" s="248">
        <v>3230.51</v>
      </c>
      <c r="C7" s="249">
        <v>3306.66</v>
      </c>
      <c r="D7" s="248">
        <v>830.78</v>
      </c>
      <c r="E7" s="249">
        <v>2463.36</v>
      </c>
      <c r="F7" s="248">
        <v>-16.559999999999945</v>
      </c>
      <c r="G7" s="251">
        <v>5.6161758211604608E-2</v>
      </c>
    </row>
    <row r="8" spans="1:7" ht="37.5" customHeight="1" thickBot="1">
      <c r="A8" s="247" t="s">
        <v>323</v>
      </c>
      <c r="B8" s="248">
        <v>2657.3</v>
      </c>
      <c r="C8" s="249">
        <v>2858.37</v>
      </c>
      <c r="D8" s="248">
        <v>656.78</v>
      </c>
      <c r="E8" s="249">
        <v>2627.65</v>
      </c>
      <c r="F8" s="248">
        <v>147.72999999999999</v>
      </c>
      <c r="G8" s="251">
        <v>-1.7172143136651439E-3</v>
      </c>
    </row>
    <row r="9" spans="1:7" ht="37.5" customHeight="1" thickBot="1">
      <c r="A9" s="247" t="s">
        <v>324</v>
      </c>
      <c r="B9" s="248">
        <v>2183.02</v>
      </c>
      <c r="C9" s="249">
        <v>2312.64</v>
      </c>
      <c r="D9" s="248">
        <v>672.12</v>
      </c>
      <c r="E9" s="249">
        <v>2187.48</v>
      </c>
      <c r="F9" s="248">
        <v>-292.44</v>
      </c>
      <c r="G9" s="251">
        <v>5.8902120243973198E-2</v>
      </c>
    </row>
    <row r="10" spans="1:7" ht="37.5" customHeight="1" thickBot="1">
      <c r="A10" s="247" t="s">
        <v>325</v>
      </c>
      <c r="B10" s="248">
        <v>2348.94</v>
      </c>
      <c r="C10" s="249">
        <v>2507.6</v>
      </c>
      <c r="D10" s="248">
        <v>664.87</v>
      </c>
      <c r="E10" s="249">
        <v>2069.14</v>
      </c>
      <c r="F10" s="248">
        <v>-410.78</v>
      </c>
      <c r="G10" s="251">
        <v>-1.0051910149989339E-2</v>
      </c>
    </row>
    <row r="11" spans="1:7" ht="36" customHeight="1" thickBot="1">
      <c r="A11" s="396" t="s">
        <v>43</v>
      </c>
      <c r="B11" s="258">
        <v>2828.49</v>
      </c>
      <c r="C11" s="259">
        <v>3016.46</v>
      </c>
      <c r="D11" s="258">
        <v>791.37</v>
      </c>
      <c r="E11" s="259">
        <v>2479.92</v>
      </c>
      <c r="F11" s="258">
        <v>0</v>
      </c>
      <c r="G11" s="279">
        <v>2.0589409397133288E-2</v>
      </c>
    </row>
    <row r="12" spans="1:7" ht="19.5" customHeight="1">
      <c r="A12" s="146" t="s">
        <v>693</v>
      </c>
      <c r="B12" s="146"/>
      <c r="C12" s="146"/>
      <c r="D12" s="146"/>
      <c r="E12" s="146"/>
      <c r="F12" s="146"/>
      <c r="G12" s="146"/>
    </row>
    <row r="14" spans="1:7">
      <c r="A14" s="2" t="s">
        <v>450</v>
      </c>
    </row>
    <row r="17" spans="1:1">
      <c r="A17" s="2" t="s">
        <v>128</v>
      </c>
    </row>
  </sheetData>
  <mergeCells count="1">
    <mergeCell ref="A2:F2"/>
  </mergeCells>
  <phoneticPr fontId="0" type="noConversion"/>
  <pageMargins left="0.6" right="0.57999999999999996" top="0.94" bottom="0.49" header="0.54" footer="0.4921259845"/>
  <pageSetup paperSize="9" scale="85" orientation="portrait" horizontalDpi="4294967292" verticalDpi="4294967292"/>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87498-7A88-024B-9D96-4D180B0907B7}">
  <sheetPr>
    <pageSetUpPr fitToPage="1"/>
  </sheetPr>
  <dimension ref="A1:K79"/>
  <sheetViews>
    <sheetView topLeftCell="A47" zoomScale="75" workbookViewId="0">
      <selection activeCell="I67" sqref="I67"/>
    </sheetView>
  </sheetViews>
  <sheetFormatPr baseColWidth="10" defaultColWidth="11.3984375" defaultRowHeight="13"/>
  <cols>
    <col min="1" max="1" width="21.59765625" style="2" customWidth="1"/>
    <col min="2" max="3" width="14.3984375" style="2" customWidth="1"/>
    <col min="4" max="6" width="13.19921875" style="2" customWidth="1"/>
    <col min="7" max="7" width="15.796875" style="2" customWidth="1"/>
    <col min="8" max="10" width="13.796875" style="2" customWidth="1"/>
    <col min="11" max="16384" width="11.3984375" style="2"/>
  </cols>
  <sheetData>
    <row r="1" spans="1:11" s="1" customFormat="1" ht="14" customHeight="1"/>
    <row r="2" spans="1:11" s="1" customFormat="1" ht="37.5" customHeight="1">
      <c r="A2" s="1606" t="s">
        <v>1949</v>
      </c>
      <c r="B2" s="1610"/>
      <c r="C2" s="1610"/>
      <c r="D2" s="1610"/>
      <c r="E2" s="1610"/>
      <c r="F2" s="124"/>
      <c r="G2" s="124">
        <v>2005</v>
      </c>
    </row>
    <row r="3" spans="1:11" ht="24" customHeight="1">
      <c r="A3" s="267" t="s">
        <v>1604</v>
      </c>
      <c r="B3" s="126" t="s">
        <v>329</v>
      </c>
      <c r="C3" s="127" t="s">
        <v>330</v>
      </c>
      <c r="D3" s="126" t="s">
        <v>331</v>
      </c>
      <c r="E3" s="127" t="s">
        <v>332</v>
      </c>
      <c r="F3" s="126" t="s">
        <v>43</v>
      </c>
      <c r="G3" s="840" t="s">
        <v>265</v>
      </c>
    </row>
    <row r="4" spans="1:11" ht="15" customHeight="1">
      <c r="A4" s="212"/>
      <c r="B4" s="129" t="s">
        <v>333</v>
      </c>
      <c r="C4" s="131" t="s">
        <v>334</v>
      </c>
      <c r="D4" s="129" t="s">
        <v>335</v>
      </c>
      <c r="E4" s="213" t="s">
        <v>336</v>
      </c>
      <c r="F4" s="129"/>
      <c r="G4" s="841" t="s">
        <v>267</v>
      </c>
    </row>
    <row r="5" spans="1:11" ht="15" customHeight="1">
      <c r="A5" s="212" t="s">
        <v>1254</v>
      </c>
      <c r="B5" s="129" t="s">
        <v>337</v>
      </c>
      <c r="C5" s="131" t="s">
        <v>338</v>
      </c>
      <c r="D5" s="129" t="s">
        <v>339</v>
      </c>
      <c r="E5" s="213" t="s">
        <v>340</v>
      </c>
      <c r="F5" s="129"/>
      <c r="G5" s="841" t="s">
        <v>268</v>
      </c>
    </row>
    <row r="6" spans="1:11" ht="24" customHeight="1">
      <c r="A6" s="308"/>
      <c r="B6" s="135"/>
      <c r="C6" s="134"/>
      <c r="D6" s="135"/>
      <c r="E6" s="215" t="s">
        <v>341</v>
      </c>
      <c r="F6" s="135"/>
      <c r="G6" s="842"/>
    </row>
    <row r="7" spans="1:11" ht="20" customHeight="1" thickBot="1">
      <c r="A7" s="216">
        <v>1996</v>
      </c>
      <c r="B7" s="157">
        <v>1532.58</v>
      </c>
      <c r="C7" s="217">
        <v>1600.27</v>
      </c>
      <c r="D7" s="157">
        <v>1366.25</v>
      </c>
      <c r="E7" s="217">
        <v>1143.27</v>
      </c>
      <c r="F7" s="157">
        <v>1547.05</v>
      </c>
      <c r="G7" s="843" t="s">
        <v>1646</v>
      </c>
    </row>
    <row r="8" spans="1:11" ht="20" customHeight="1" thickBot="1">
      <c r="A8" s="218">
        <v>1997</v>
      </c>
      <c r="B8" s="159">
        <v>1601.57</v>
      </c>
      <c r="C8" s="219">
        <v>1825.52</v>
      </c>
      <c r="D8" s="159">
        <v>1433.3</v>
      </c>
      <c r="E8" s="219">
        <v>1274.69</v>
      </c>
      <c r="F8" s="159">
        <v>1668.89</v>
      </c>
      <c r="G8" s="844">
        <v>7.8756342716783667E-2</v>
      </c>
      <c r="I8" s="10"/>
      <c r="J8" s="10"/>
      <c r="K8" s="10"/>
    </row>
    <row r="9" spans="1:11" ht="20" customHeight="1" thickBot="1">
      <c r="A9" s="218">
        <v>1998</v>
      </c>
      <c r="B9" s="159">
        <v>1665.1</v>
      </c>
      <c r="C9" s="219">
        <v>1936.95</v>
      </c>
      <c r="D9" s="159">
        <v>1447.82</v>
      </c>
      <c r="E9" s="219">
        <v>1462.67</v>
      </c>
      <c r="F9" s="159">
        <v>1753.2</v>
      </c>
      <c r="G9" s="844">
        <v>5.0518608176692181E-2</v>
      </c>
    </row>
    <row r="10" spans="1:11" ht="20" customHeight="1" thickBot="1">
      <c r="A10" s="218">
        <v>1999</v>
      </c>
      <c r="B10" s="159">
        <v>1699.05</v>
      </c>
      <c r="C10" s="219">
        <v>1987.08</v>
      </c>
      <c r="D10" s="159">
        <v>1494.45</v>
      </c>
      <c r="E10" s="219">
        <v>1528.46</v>
      </c>
      <c r="F10" s="159">
        <v>1793.68</v>
      </c>
      <c r="G10" s="844">
        <v>2.308920830481398E-2</v>
      </c>
    </row>
    <row r="11" spans="1:11" ht="20" customHeight="1" thickBot="1">
      <c r="A11" s="218">
        <v>2000</v>
      </c>
      <c r="B11" s="159">
        <v>1757.32</v>
      </c>
      <c r="C11" s="219">
        <v>2037.32</v>
      </c>
      <c r="D11" s="159">
        <v>1534.71</v>
      </c>
      <c r="E11" s="219">
        <v>1582.6</v>
      </c>
      <c r="F11" s="159">
        <v>1849.4</v>
      </c>
      <c r="G11" s="844">
        <v>3.1064626912269855E-2</v>
      </c>
    </row>
    <row r="12" spans="1:11" ht="20" customHeight="1" thickBot="1">
      <c r="A12" s="218">
        <v>2001</v>
      </c>
      <c r="B12" s="159">
        <v>1837.88</v>
      </c>
      <c r="C12" s="219">
        <v>2068.62</v>
      </c>
      <c r="D12" s="159">
        <v>1590.77</v>
      </c>
      <c r="E12" s="219">
        <v>1653.45</v>
      </c>
      <c r="F12" s="159">
        <v>1911.87</v>
      </c>
      <c r="G12" s="844">
        <v>3.3778522764139618E-2</v>
      </c>
    </row>
    <row r="13" spans="1:11" ht="20" customHeight="1" thickBot="1">
      <c r="A13" s="218">
        <v>2002</v>
      </c>
      <c r="B13" s="159">
        <v>1995.32</v>
      </c>
      <c r="C13" s="219">
        <v>2232.1999999999998</v>
      </c>
      <c r="D13" s="159">
        <v>1804.23</v>
      </c>
      <c r="E13" s="219">
        <v>1934.96</v>
      </c>
      <c r="F13" s="159">
        <v>2086.46</v>
      </c>
      <c r="G13" s="844">
        <v>9.131897043209003E-2</v>
      </c>
    </row>
    <row r="14" spans="1:11" ht="20" customHeight="1" thickBot="1">
      <c r="A14" s="218">
        <v>2003</v>
      </c>
      <c r="B14" s="159">
        <v>2209.88</v>
      </c>
      <c r="C14" s="219">
        <v>2420.15</v>
      </c>
      <c r="D14" s="159">
        <v>1971.77</v>
      </c>
      <c r="E14" s="219">
        <v>1929.36</v>
      </c>
      <c r="F14" s="159">
        <v>2275.08</v>
      </c>
      <c r="G14" s="844">
        <v>9.0401924791273292E-2</v>
      </c>
    </row>
    <row r="15" spans="1:11" ht="20" customHeight="1" thickBot="1">
      <c r="A15" s="218">
        <v>2004</v>
      </c>
      <c r="B15" s="159">
        <v>2332.37</v>
      </c>
      <c r="C15" s="219">
        <v>2632.17</v>
      </c>
      <c r="D15" s="159">
        <v>2065.8000000000002</v>
      </c>
      <c r="E15" s="219">
        <v>2090.15</v>
      </c>
      <c r="F15" s="159">
        <v>2429.89</v>
      </c>
      <c r="G15" s="844">
        <v>6.8045958823425901E-2</v>
      </c>
    </row>
    <row r="16" spans="1:11" ht="30" customHeight="1" thickBot="1">
      <c r="A16" s="220">
        <v>2005</v>
      </c>
      <c r="B16" s="221">
        <v>2463.36</v>
      </c>
      <c r="C16" s="222">
        <v>2627.65</v>
      </c>
      <c r="D16" s="221">
        <v>2187.48</v>
      </c>
      <c r="E16" s="222">
        <v>2069.14</v>
      </c>
      <c r="F16" s="221">
        <v>2479.92</v>
      </c>
      <c r="G16" s="845">
        <v>2.0589409397133274E-2</v>
      </c>
    </row>
    <row r="17" spans="1:7" ht="20" customHeight="1">
      <c r="A17" s="146" t="s">
        <v>693</v>
      </c>
      <c r="B17" s="223"/>
      <c r="C17" s="223"/>
      <c r="D17" s="223"/>
      <c r="E17" s="223"/>
      <c r="F17" s="223"/>
      <c r="G17" s="846"/>
    </row>
    <row r="18" spans="1:7" ht="13.5" customHeight="1">
      <c r="A18" s="4"/>
      <c r="B18" s="225"/>
      <c r="C18" s="225"/>
      <c r="D18" s="225"/>
      <c r="E18" s="225"/>
      <c r="F18" s="225"/>
      <c r="G18" s="847"/>
    </row>
    <row r="19" spans="1:7">
      <c r="A19" s="2" t="s">
        <v>447</v>
      </c>
      <c r="G19" s="847"/>
    </row>
    <row r="20" spans="1:7">
      <c r="G20" s="847"/>
    </row>
    <row r="21" spans="1:7">
      <c r="G21" s="847"/>
    </row>
    <row r="22" spans="1:7" ht="18">
      <c r="A22" s="816" t="s">
        <v>2009</v>
      </c>
      <c r="G22" s="847"/>
    </row>
    <row r="23" spans="1:7">
      <c r="G23" s="847"/>
    </row>
    <row r="24" spans="1:7" ht="19.5" customHeight="1">
      <c r="A24" s="267" t="s">
        <v>223</v>
      </c>
      <c r="B24" s="126" t="s">
        <v>329</v>
      </c>
      <c r="C24" s="127" t="s">
        <v>330</v>
      </c>
      <c r="D24" s="126" t="s">
        <v>331</v>
      </c>
      <c r="E24" s="127" t="s">
        <v>332</v>
      </c>
      <c r="F24" s="126" t="s">
        <v>43</v>
      </c>
      <c r="G24" s="853" t="s">
        <v>265</v>
      </c>
    </row>
    <row r="25" spans="1:7" ht="19.5" customHeight="1">
      <c r="A25" s="807" t="s">
        <v>287</v>
      </c>
      <c r="B25" s="129" t="s">
        <v>333</v>
      </c>
      <c r="C25" s="131" t="s">
        <v>334</v>
      </c>
      <c r="D25" s="129" t="s">
        <v>335</v>
      </c>
      <c r="E25" s="213" t="s">
        <v>336</v>
      </c>
      <c r="F25" s="129"/>
      <c r="G25" s="854" t="s">
        <v>267</v>
      </c>
    </row>
    <row r="26" spans="1:7" ht="19.5" customHeight="1">
      <c r="A26" s="212"/>
      <c r="B26" s="129" t="s">
        <v>337</v>
      </c>
      <c r="C26" s="131" t="s">
        <v>338</v>
      </c>
      <c r="D26" s="129" t="s">
        <v>339</v>
      </c>
      <c r="E26" s="213" t="s">
        <v>340</v>
      </c>
      <c r="F26" s="129"/>
      <c r="G26" s="854" t="s">
        <v>268</v>
      </c>
    </row>
    <row r="27" spans="1:7" ht="19.5" customHeight="1">
      <c r="A27" s="214" t="s">
        <v>1254</v>
      </c>
      <c r="B27" s="135"/>
      <c r="C27" s="134"/>
      <c r="D27" s="135"/>
      <c r="E27" s="215" t="s">
        <v>341</v>
      </c>
      <c r="F27" s="135"/>
      <c r="G27" s="855"/>
    </row>
    <row r="28" spans="1:7" ht="19.5" customHeight="1" thickBot="1">
      <c r="A28" s="216">
        <v>1996</v>
      </c>
      <c r="B28" s="157" t="s">
        <v>1646</v>
      </c>
      <c r="C28" s="217" t="s">
        <v>1646</v>
      </c>
      <c r="D28" s="157" t="s">
        <v>1646</v>
      </c>
      <c r="E28" s="217" t="s">
        <v>1646</v>
      </c>
      <c r="F28" s="157" t="s">
        <v>1646</v>
      </c>
      <c r="G28" s="843" t="s">
        <v>1646</v>
      </c>
    </row>
    <row r="29" spans="1:7" ht="19.5" customHeight="1" thickBot="1">
      <c r="A29" s="218">
        <v>1997</v>
      </c>
      <c r="B29" s="157">
        <v>580.09</v>
      </c>
      <c r="C29" s="217">
        <v>550.25</v>
      </c>
      <c r="D29" s="157">
        <v>481.77</v>
      </c>
      <c r="E29" s="217">
        <v>467.21</v>
      </c>
      <c r="F29" s="157">
        <v>571.27</v>
      </c>
      <c r="G29" s="844" t="s">
        <v>1646</v>
      </c>
    </row>
    <row r="30" spans="1:7" ht="19.5" customHeight="1" thickBot="1">
      <c r="A30" s="218">
        <v>1998</v>
      </c>
      <c r="B30" s="159">
        <v>596.35</v>
      </c>
      <c r="C30" s="219">
        <v>598.24</v>
      </c>
      <c r="D30" s="159">
        <v>486.78</v>
      </c>
      <c r="E30" s="219">
        <v>475.12</v>
      </c>
      <c r="F30" s="159">
        <v>588.77</v>
      </c>
      <c r="G30" s="844">
        <v>3.0633500796471091E-2</v>
      </c>
    </row>
    <row r="31" spans="1:7" ht="19.5" customHeight="1" thickBot="1">
      <c r="A31" s="218">
        <v>1999</v>
      </c>
      <c r="B31" s="159">
        <v>613.13</v>
      </c>
      <c r="C31" s="219">
        <v>598.32000000000005</v>
      </c>
      <c r="D31" s="159">
        <v>530.1</v>
      </c>
      <c r="E31" s="219">
        <v>498.95</v>
      </c>
      <c r="F31" s="159">
        <v>603.19000000000005</v>
      </c>
      <c r="G31" s="844">
        <v>2.4491737011057113E-2</v>
      </c>
    </row>
    <row r="32" spans="1:7" ht="19.5" customHeight="1" thickBot="1">
      <c r="A32" s="218">
        <v>2000</v>
      </c>
      <c r="B32" s="159">
        <v>634.51</v>
      </c>
      <c r="C32" s="219">
        <v>602.96</v>
      </c>
      <c r="D32" s="159">
        <v>556.69000000000005</v>
      </c>
      <c r="E32" s="219">
        <v>513.95000000000005</v>
      </c>
      <c r="F32" s="159">
        <v>621.73</v>
      </c>
      <c r="G32" s="844">
        <v>3.073658382930744E-2</v>
      </c>
    </row>
    <row r="33" spans="1:7" ht="19.5" customHeight="1" thickBot="1">
      <c r="A33" s="218">
        <v>2001</v>
      </c>
      <c r="B33" s="159">
        <v>669.16</v>
      </c>
      <c r="C33" s="219">
        <v>610.58000000000004</v>
      </c>
      <c r="D33" s="159">
        <v>579.95000000000005</v>
      </c>
      <c r="E33" s="219">
        <v>545.02</v>
      </c>
      <c r="F33" s="159">
        <v>652.66999999999996</v>
      </c>
      <c r="G33" s="844">
        <v>4.9764367169028212E-2</v>
      </c>
    </row>
    <row r="34" spans="1:7" ht="19.5" customHeight="1" thickBot="1">
      <c r="A34" s="218">
        <v>2002</v>
      </c>
      <c r="B34" s="159">
        <v>733.02</v>
      </c>
      <c r="C34" s="219">
        <v>642.46</v>
      </c>
      <c r="D34" s="159">
        <v>644.12</v>
      </c>
      <c r="E34" s="219">
        <v>599.79999999999995</v>
      </c>
      <c r="F34" s="159">
        <v>712.31</v>
      </c>
      <c r="G34" s="844">
        <v>9.1378491427520858E-2</v>
      </c>
    </row>
    <row r="35" spans="1:7" ht="19.5" customHeight="1" thickBot="1">
      <c r="A35" s="218">
        <v>2003</v>
      </c>
      <c r="B35" s="159">
        <v>802.85</v>
      </c>
      <c r="C35" s="219">
        <v>678.78</v>
      </c>
      <c r="D35" s="159">
        <v>685.16</v>
      </c>
      <c r="E35" s="219">
        <v>639.15</v>
      </c>
      <c r="F35" s="159">
        <v>775.13</v>
      </c>
      <c r="G35" s="844">
        <v>8.8191938903005695E-2</v>
      </c>
    </row>
    <row r="36" spans="1:7" ht="19.5" customHeight="1" thickBot="1">
      <c r="A36" s="218">
        <v>2004</v>
      </c>
      <c r="B36" s="159">
        <v>842.54</v>
      </c>
      <c r="C36" s="219">
        <v>700.46</v>
      </c>
      <c r="D36" s="159">
        <v>714.47</v>
      </c>
      <c r="E36" s="219">
        <v>676.24</v>
      </c>
      <c r="F36" s="159">
        <v>811.85</v>
      </c>
      <c r="G36" s="844">
        <v>4.7372698773109123E-2</v>
      </c>
    </row>
    <row r="37" spans="1:7" ht="19.5" customHeight="1" thickBot="1">
      <c r="A37" s="817">
        <v>2005</v>
      </c>
      <c r="B37" s="206">
        <v>845.51</v>
      </c>
      <c r="C37" s="207">
        <v>667.58</v>
      </c>
      <c r="D37" s="206">
        <v>678.63</v>
      </c>
      <c r="E37" s="207">
        <v>696.17</v>
      </c>
      <c r="F37" s="206">
        <v>810.41</v>
      </c>
      <c r="G37" s="845">
        <v>-1.773726673646725E-3</v>
      </c>
    </row>
    <row r="38" spans="1:7">
      <c r="A38" s="146"/>
      <c r="G38" s="847"/>
    </row>
    <row r="39" spans="1:7">
      <c r="G39" s="847"/>
    </row>
    <row r="40" spans="1:7" ht="18" customHeight="1">
      <c r="A40" s="267" t="s">
        <v>347</v>
      </c>
      <c r="B40" s="126" t="s">
        <v>329</v>
      </c>
      <c r="C40" s="127" t="s">
        <v>330</v>
      </c>
      <c r="D40" s="126" t="s">
        <v>331</v>
      </c>
      <c r="E40" s="127" t="s">
        <v>332</v>
      </c>
      <c r="F40" s="126" t="s">
        <v>43</v>
      </c>
      <c r="G40" s="853" t="s">
        <v>265</v>
      </c>
    </row>
    <row r="41" spans="1:7" ht="18" customHeight="1">
      <c r="A41" s="807" t="s">
        <v>288</v>
      </c>
      <c r="B41" s="129" t="s">
        <v>333</v>
      </c>
      <c r="C41" s="131" t="s">
        <v>334</v>
      </c>
      <c r="D41" s="129" t="s">
        <v>335</v>
      </c>
      <c r="E41" s="213" t="s">
        <v>336</v>
      </c>
      <c r="F41" s="129"/>
      <c r="G41" s="854" t="s">
        <v>267</v>
      </c>
    </row>
    <row r="42" spans="1:7" ht="18" customHeight="1">
      <c r="A42" s="212"/>
      <c r="B42" s="129" t="s">
        <v>337</v>
      </c>
      <c r="C42" s="131" t="s">
        <v>338</v>
      </c>
      <c r="D42" s="129" t="s">
        <v>339</v>
      </c>
      <c r="E42" s="213" t="s">
        <v>340</v>
      </c>
      <c r="F42" s="129"/>
      <c r="G42" s="854" t="s">
        <v>268</v>
      </c>
    </row>
    <row r="43" spans="1:7" ht="18" customHeight="1">
      <c r="A43" s="214" t="s">
        <v>1254</v>
      </c>
      <c r="B43" s="135"/>
      <c r="C43" s="134"/>
      <c r="D43" s="135"/>
      <c r="E43" s="215" t="s">
        <v>341</v>
      </c>
      <c r="F43" s="135"/>
      <c r="G43" s="855"/>
    </row>
    <row r="44" spans="1:7" ht="18" customHeight="1" thickBot="1">
      <c r="A44" s="216">
        <v>1996</v>
      </c>
      <c r="B44" s="157" t="s">
        <v>1646</v>
      </c>
      <c r="C44" s="217" t="s">
        <v>1646</v>
      </c>
      <c r="D44" s="157" t="s">
        <v>1646</v>
      </c>
      <c r="E44" s="217" t="s">
        <v>1646</v>
      </c>
      <c r="F44" s="157" t="s">
        <v>1646</v>
      </c>
      <c r="G44" s="843" t="s">
        <v>1646</v>
      </c>
    </row>
    <row r="45" spans="1:7" ht="18" customHeight="1" thickBot="1">
      <c r="A45" s="218">
        <v>1997</v>
      </c>
      <c r="B45" s="157">
        <v>1482.21</v>
      </c>
      <c r="C45" s="217">
        <v>1451.36</v>
      </c>
      <c r="D45" s="157">
        <v>1026.33</v>
      </c>
      <c r="E45" s="217">
        <v>1192.1400000000001</v>
      </c>
      <c r="F45" s="157">
        <v>1459.12</v>
      </c>
      <c r="G45" s="844" t="s">
        <v>1646</v>
      </c>
    </row>
    <row r="46" spans="1:7" ht="18" customHeight="1" thickBot="1">
      <c r="A46" s="218">
        <v>1998</v>
      </c>
      <c r="B46" s="159">
        <v>1603.6</v>
      </c>
      <c r="C46" s="219">
        <v>1550.75</v>
      </c>
      <c r="D46" s="159">
        <v>1128.4000000000001</v>
      </c>
      <c r="E46" s="219">
        <v>1346.71</v>
      </c>
      <c r="F46" s="159">
        <v>1563.95</v>
      </c>
      <c r="G46" s="844">
        <v>7.1844673501836764E-2</v>
      </c>
    </row>
    <row r="47" spans="1:7" ht="18" customHeight="1" thickBot="1">
      <c r="A47" s="218">
        <v>1999</v>
      </c>
      <c r="B47" s="159">
        <v>1573.73</v>
      </c>
      <c r="C47" s="219">
        <v>1627.32</v>
      </c>
      <c r="D47" s="159">
        <v>1190.3499999999999</v>
      </c>
      <c r="E47" s="219">
        <v>1353.56</v>
      </c>
      <c r="F47" s="159">
        <v>1581.32</v>
      </c>
      <c r="G47" s="844">
        <v>1.1106493174334098E-2</v>
      </c>
    </row>
    <row r="48" spans="1:7" ht="18" customHeight="1" thickBot="1">
      <c r="A48" s="218">
        <v>2000</v>
      </c>
      <c r="B48" s="159">
        <v>1562.73</v>
      </c>
      <c r="C48" s="219">
        <v>1613.39</v>
      </c>
      <c r="D48" s="159">
        <v>1195.6199999999999</v>
      </c>
      <c r="E48" s="219">
        <v>1337.81</v>
      </c>
      <c r="F48" s="159">
        <v>1566.95</v>
      </c>
      <c r="G48" s="844">
        <v>-9.0873447499556503E-3</v>
      </c>
    </row>
    <row r="49" spans="1:7" ht="18" customHeight="1" thickBot="1">
      <c r="A49" s="218">
        <v>2001</v>
      </c>
      <c r="B49" s="159">
        <v>1634.37</v>
      </c>
      <c r="C49" s="219">
        <v>1563.11</v>
      </c>
      <c r="D49" s="159">
        <v>1089.92</v>
      </c>
      <c r="E49" s="219">
        <v>1329.03</v>
      </c>
      <c r="F49" s="159">
        <v>1580.79</v>
      </c>
      <c r="G49" s="844">
        <v>8.8324451960815065E-3</v>
      </c>
    </row>
    <row r="50" spans="1:7" ht="18" customHeight="1" thickBot="1">
      <c r="A50" s="218">
        <v>2002</v>
      </c>
      <c r="B50" s="159">
        <v>1877.87</v>
      </c>
      <c r="C50" s="219">
        <v>1730.62</v>
      </c>
      <c r="D50" s="159">
        <v>1097.75</v>
      </c>
      <c r="E50" s="219">
        <v>1513.19</v>
      </c>
      <c r="F50" s="159">
        <v>1782.56</v>
      </c>
      <c r="G50" s="844">
        <v>0.12763871228942492</v>
      </c>
    </row>
    <row r="51" spans="1:7" ht="18" customHeight="1" thickBot="1">
      <c r="A51" s="218">
        <v>2003</v>
      </c>
      <c r="B51" s="159">
        <v>2190.81</v>
      </c>
      <c r="C51" s="219">
        <v>1928.08</v>
      </c>
      <c r="D51" s="159" t="s">
        <v>1646</v>
      </c>
      <c r="E51" s="219">
        <v>1700.21</v>
      </c>
      <c r="F51" s="159">
        <v>2027.01</v>
      </c>
      <c r="G51" s="844">
        <v>0.13713423391077995</v>
      </c>
    </row>
    <row r="52" spans="1:7" ht="18" customHeight="1" thickBot="1">
      <c r="A52" s="218">
        <v>2004</v>
      </c>
      <c r="B52" s="159">
        <v>2378.7399999999998</v>
      </c>
      <c r="C52" s="219">
        <v>2151.4699999999998</v>
      </c>
      <c r="D52" s="159" t="s">
        <v>1646</v>
      </c>
      <c r="E52" s="219">
        <v>1884.42</v>
      </c>
      <c r="F52" s="159">
        <v>2229.4699999999998</v>
      </c>
      <c r="G52" s="844">
        <v>9.9881105667954273E-2</v>
      </c>
    </row>
    <row r="53" spans="1:7" ht="18" customHeight="1" thickBot="1">
      <c r="A53" s="817">
        <v>2005</v>
      </c>
      <c r="B53" s="206">
        <v>2507.23</v>
      </c>
      <c r="C53" s="207">
        <v>2168.7399999999998</v>
      </c>
      <c r="D53" s="206">
        <v>1851.68</v>
      </c>
      <c r="E53" s="207">
        <v>1944.77</v>
      </c>
      <c r="F53" s="206">
        <v>2295.98</v>
      </c>
      <c r="G53" s="845">
        <v>2.9832202272288999E-2</v>
      </c>
    </row>
    <row r="54" spans="1:7">
      <c r="D54" s="5"/>
      <c r="E54" s="5"/>
      <c r="F54" s="5"/>
      <c r="G54" s="847"/>
    </row>
    <row r="55" spans="1:7">
      <c r="D55" s="5"/>
      <c r="E55" s="5"/>
      <c r="F55" s="5"/>
      <c r="G55" s="847"/>
    </row>
    <row r="56" spans="1:7" ht="17.25" customHeight="1">
      <c r="A56" s="267" t="s">
        <v>1602</v>
      </c>
      <c r="B56" s="126" t="s">
        <v>329</v>
      </c>
      <c r="C56" s="127" t="s">
        <v>330</v>
      </c>
      <c r="D56" s="126" t="s">
        <v>331</v>
      </c>
      <c r="E56" s="127" t="s">
        <v>332</v>
      </c>
      <c r="F56" s="126" t="s">
        <v>43</v>
      </c>
      <c r="G56" s="853" t="s">
        <v>265</v>
      </c>
    </row>
    <row r="57" spans="1:7" ht="17.25" customHeight="1">
      <c r="A57" s="807" t="s">
        <v>1603</v>
      </c>
      <c r="B57" s="129" t="s">
        <v>333</v>
      </c>
      <c r="C57" s="131" t="s">
        <v>334</v>
      </c>
      <c r="D57" s="129" t="s">
        <v>335</v>
      </c>
      <c r="E57" s="213" t="s">
        <v>336</v>
      </c>
      <c r="F57" s="129"/>
      <c r="G57" s="854" t="s">
        <v>267</v>
      </c>
    </row>
    <row r="58" spans="1:7" ht="17.25" customHeight="1">
      <c r="A58" s="212"/>
      <c r="B58" s="129" t="s">
        <v>337</v>
      </c>
      <c r="C58" s="131" t="s">
        <v>338</v>
      </c>
      <c r="D58" s="129" t="s">
        <v>339</v>
      </c>
      <c r="E58" s="213" t="s">
        <v>340</v>
      </c>
      <c r="F58" s="129"/>
      <c r="G58" s="854" t="s">
        <v>268</v>
      </c>
    </row>
    <row r="59" spans="1:7" ht="17.25" customHeight="1">
      <c r="A59" s="214" t="s">
        <v>1254</v>
      </c>
      <c r="B59" s="135"/>
      <c r="C59" s="134"/>
      <c r="D59" s="135"/>
      <c r="E59" s="215" t="s">
        <v>341</v>
      </c>
      <c r="F59" s="135"/>
      <c r="G59" s="855"/>
    </row>
    <row r="60" spans="1:7" ht="18" customHeight="1" thickBot="1">
      <c r="A60" s="216">
        <v>1996</v>
      </c>
      <c r="B60" s="157" t="s">
        <v>1646</v>
      </c>
      <c r="C60" s="217" t="s">
        <v>1646</v>
      </c>
      <c r="D60" s="157" t="s">
        <v>1646</v>
      </c>
      <c r="E60" s="217" t="s">
        <v>1646</v>
      </c>
      <c r="F60" s="157" t="s">
        <v>1646</v>
      </c>
      <c r="G60" s="843" t="s">
        <v>1646</v>
      </c>
    </row>
    <row r="61" spans="1:7" ht="18" customHeight="1" thickBot="1">
      <c r="A61" s="218">
        <v>1997</v>
      </c>
      <c r="B61" s="157">
        <v>2126.5300000000002</v>
      </c>
      <c r="C61" s="217">
        <v>1958.46</v>
      </c>
      <c r="D61" s="157">
        <v>1504.55</v>
      </c>
      <c r="E61" s="217">
        <v>1682.8</v>
      </c>
      <c r="F61" s="157">
        <v>2024.73</v>
      </c>
      <c r="G61" s="844" t="s">
        <v>1646</v>
      </c>
    </row>
    <row r="62" spans="1:7" ht="18" customHeight="1" thickBot="1">
      <c r="A62" s="218">
        <v>1998</v>
      </c>
      <c r="B62" s="159">
        <v>2235.63</v>
      </c>
      <c r="C62" s="219">
        <v>2101.02</v>
      </c>
      <c r="D62" s="159">
        <v>1540.56</v>
      </c>
      <c r="E62" s="219">
        <v>1785.82</v>
      </c>
      <c r="F62" s="159">
        <v>2142.38</v>
      </c>
      <c r="G62" s="844">
        <v>5.8106512967161184E-2</v>
      </c>
    </row>
    <row r="63" spans="1:7" ht="18" customHeight="1" thickBot="1">
      <c r="A63" s="218">
        <v>1999</v>
      </c>
      <c r="B63" s="159">
        <v>2291.9499999999998</v>
      </c>
      <c r="C63" s="219">
        <v>2146.02</v>
      </c>
      <c r="D63" s="159">
        <v>1573.36</v>
      </c>
      <c r="E63" s="219">
        <v>1836.75</v>
      </c>
      <c r="F63" s="159">
        <v>2190.21</v>
      </c>
      <c r="G63" s="844">
        <v>2.2325637842026014E-2</v>
      </c>
    </row>
    <row r="64" spans="1:7" ht="18" customHeight="1" thickBot="1">
      <c r="A64" s="218">
        <v>2000</v>
      </c>
      <c r="B64" s="159">
        <v>2391.3000000000002</v>
      </c>
      <c r="C64" s="219">
        <v>2189.4499999999998</v>
      </c>
      <c r="D64" s="159">
        <v>1603.82</v>
      </c>
      <c r="E64" s="219">
        <v>1892.01</v>
      </c>
      <c r="F64" s="159">
        <v>2256.67</v>
      </c>
      <c r="G64" s="844">
        <v>3.0344122253117334E-2</v>
      </c>
    </row>
    <row r="65" spans="1:7" ht="18" customHeight="1" thickBot="1">
      <c r="A65" s="218">
        <v>2001</v>
      </c>
      <c r="B65" s="159">
        <v>2526.09</v>
      </c>
      <c r="C65" s="219">
        <v>2257.6</v>
      </c>
      <c r="D65" s="159">
        <v>1672.86</v>
      </c>
      <c r="E65" s="219">
        <v>1970.97</v>
      </c>
      <c r="F65" s="159">
        <v>2352.56</v>
      </c>
      <c r="G65" s="844">
        <v>4.2491813158326064E-2</v>
      </c>
    </row>
    <row r="66" spans="1:7" ht="18" customHeight="1" thickBot="1">
      <c r="A66" s="218">
        <v>2002</v>
      </c>
      <c r="B66" s="159">
        <v>2766.22</v>
      </c>
      <c r="C66" s="219">
        <v>2437.5300000000002</v>
      </c>
      <c r="D66" s="159">
        <v>1880.68</v>
      </c>
      <c r="E66" s="219">
        <v>2141.06</v>
      </c>
      <c r="F66" s="159">
        <v>2553.98</v>
      </c>
      <c r="G66" s="844">
        <v>8.5617370013942207E-2</v>
      </c>
    </row>
    <row r="67" spans="1:7" ht="18" customHeight="1" thickBot="1">
      <c r="A67" s="218">
        <v>2003</v>
      </c>
      <c r="B67" s="159">
        <v>3047.08</v>
      </c>
      <c r="C67" s="219">
        <v>2613.56</v>
      </c>
      <c r="D67" s="159">
        <v>2034.73</v>
      </c>
      <c r="E67" s="219">
        <v>2312.13</v>
      </c>
      <c r="F67" s="159">
        <v>2767.57</v>
      </c>
      <c r="G67" s="844">
        <v>8.3630255522752828E-2</v>
      </c>
    </row>
    <row r="68" spans="1:7" ht="18" customHeight="1" thickBot="1">
      <c r="A68" s="218">
        <v>2004</v>
      </c>
      <c r="B68" s="159">
        <v>3173.07</v>
      </c>
      <c r="C68" s="219">
        <v>2831.45</v>
      </c>
      <c r="D68" s="159">
        <v>2136.08</v>
      </c>
      <c r="E68" s="219">
        <v>2495.14</v>
      </c>
      <c r="F68" s="159">
        <v>2944.97</v>
      </c>
      <c r="G68" s="844">
        <v>6.4099553037502144E-2</v>
      </c>
    </row>
    <row r="69" spans="1:7" ht="18" customHeight="1" thickBot="1">
      <c r="A69" s="817">
        <v>2005</v>
      </c>
      <c r="B69" s="206">
        <v>3301.13</v>
      </c>
      <c r="C69" s="207">
        <v>2823.32</v>
      </c>
      <c r="D69" s="206">
        <v>2250.2800000000002</v>
      </c>
      <c r="E69" s="207">
        <v>2555.81</v>
      </c>
      <c r="F69" s="206">
        <v>3001.01</v>
      </c>
      <c r="G69" s="845">
        <v>1.9029056323154547E-2</v>
      </c>
    </row>
    <row r="70" spans="1:7" ht="15" customHeight="1">
      <c r="A70" s="227" t="s">
        <v>1606</v>
      </c>
    </row>
    <row r="72" spans="1:7">
      <c r="A72" s="85" t="s">
        <v>2006</v>
      </c>
    </row>
    <row r="73" spans="1:7">
      <c r="A73" s="79" t="s">
        <v>98</v>
      </c>
    </row>
    <row r="75" spans="1:7" ht="12" customHeight="1">
      <c r="A75" s="76" t="s">
        <v>2007</v>
      </c>
      <c r="B75" s="163"/>
      <c r="F75" s="163"/>
      <c r="G75" s="644"/>
    </row>
    <row r="76" spans="1:7">
      <c r="A76" s="2" t="s">
        <v>2008</v>
      </c>
    </row>
    <row r="79" spans="1:7">
      <c r="A79" s="2" t="s">
        <v>128</v>
      </c>
    </row>
  </sheetData>
  <mergeCells count="1">
    <mergeCell ref="A2:E2"/>
  </mergeCells>
  <phoneticPr fontId="0" type="noConversion"/>
  <pageMargins left="0.47" right="0.45" top="0.48" bottom="0.49" header="0.42" footer="0.4921259845"/>
  <pageSetup paperSize="9" scale="56" orientation="portrait" horizontalDpi="1200" verticalDpi="1200"/>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D96EE-1BFE-D443-A3AD-E5A9CF47C660}">
  <sheetPr>
    <pageSetUpPr fitToPage="1"/>
  </sheetPr>
  <dimension ref="A1:B16"/>
  <sheetViews>
    <sheetView workbookViewId="0">
      <selection activeCell="B13" sqref="B13"/>
    </sheetView>
  </sheetViews>
  <sheetFormatPr baseColWidth="10" defaultColWidth="11.3984375" defaultRowHeight="13"/>
  <cols>
    <col min="1" max="1" width="5.59765625" style="649" customWidth="1"/>
    <col min="2" max="16384" width="11.3984375" style="649"/>
  </cols>
  <sheetData>
    <row r="1" spans="1:2" ht="16">
      <c r="A1" s="646" t="s">
        <v>973</v>
      </c>
    </row>
    <row r="2" spans="1:2" ht="16">
      <c r="A2" s="646"/>
    </row>
    <row r="3" spans="1:2">
      <c r="A3" s="649">
        <v>4.01</v>
      </c>
      <c r="B3" s="650" t="s">
        <v>2086</v>
      </c>
    </row>
    <row r="4" spans="1:2">
      <c r="A4" s="649">
        <v>4.0199999999999996</v>
      </c>
      <c r="B4" s="650" t="s">
        <v>549</v>
      </c>
    </row>
    <row r="5" spans="1:2">
      <c r="A5" s="649">
        <v>4.03</v>
      </c>
      <c r="B5" s="650" t="s">
        <v>550</v>
      </c>
    </row>
    <row r="6" spans="1:2">
      <c r="A6" s="649">
        <v>4.04</v>
      </c>
      <c r="B6" s="650" t="s">
        <v>974</v>
      </c>
    </row>
    <row r="7" spans="1:2">
      <c r="A7" s="649">
        <v>4.05</v>
      </c>
      <c r="B7" s="650" t="s">
        <v>975</v>
      </c>
    </row>
    <row r="8" spans="1:2">
      <c r="A8" s="649">
        <v>4.0599999999999996</v>
      </c>
      <c r="B8" s="650" t="s">
        <v>976</v>
      </c>
    </row>
    <row r="9" spans="1:2">
      <c r="A9" s="649">
        <v>4.07</v>
      </c>
      <c r="B9" s="650" t="s">
        <v>977</v>
      </c>
    </row>
    <row r="10" spans="1:2">
      <c r="A10" s="649">
        <v>4.08</v>
      </c>
      <c r="B10" s="650" t="s">
        <v>978</v>
      </c>
    </row>
    <row r="11" spans="1:2">
      <c r="A11" s="649">
        <v>4.09</v>
      </c>
      <c r="B11" s="650" t="s">
        <v>979</v>
      </c>
    </row>
    <row r="12" spans="1:2">
      <c r="A12" s="651">
        <v>4.0999999999999996</v>
      </c>
      <c r="B12" s="650" t="s">
        <v>980</v>
      </c>
    </row>
    <row r="13" spans="1:2">
      <c r="A13" s="786">
        <v>4.1100000000000003</v>
      </c>
      <c r="B13" s="787" t="s">
        <v>981</v>
      </c>
    </row>
    <row r="16" spans="1:2">
      <c r="A16" s="652" t="s">
        <v>128</v>
      </c>
    </row>
  </sheetData>
  <phoneticPr fontId="37" type="noConversion"/>
  <pageMargins left="0.46" right="0.35" top="0.78" bottom="0.984251969" header="0.38" footer="0.4921259845"/>
  <pageSetup paperSize="9" orientation="portrait"/>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4887-3A77-9D4C-96DD-D73D99E34B0E}">
  <sheetPr>
    <pageSetUpPr fitToPage="1"/>
  </sheetPr>
  <dimension ref="A1:H37"/>
  <sheetViews>
    <sheetView zoomScale="75" workbookViewId="0">
      <selection activeCell="A15" sqref="A15:IV15"/>
    </sheetView>
  </sheetViews>
  <sheetFormatPr baseColWidth="10" defaultColWidth="11.3984375" defaultRowHeight="13"/>
  <cols>
    <col min="1" max="1" width="16.796875" style="2" customWidth="1"/>
    <col min="2" max="2" width="12.796875" style="2" customWidth="1"/>
    <col min="3" max="3" width="11.3984375" style="2"/>
    <col min="4" max="4" width="11.796875" style="2" customWidth="1"/>
    <col min="5" max="5" width="12.796875" style="2" customWidth="1"/>
    <col min="6" max="6" width="11.3984375" style="2"/>
    <col min="7" max="7" width="12.796875" style="2" customWidth="1"/>
    <col min="8" max="8" width="13.19921875" style="2" customWidth="1"/>
    <col min="9" max="16384" width="11.3984375" style="2"/>
  </cols>
  <sheetData>
    <row r="1" spans="1:8" s="1" customFormat="1" ht="14" customHeight="1"/>
    <row r="2" spans="1:8" s="1" customFormat="1" ht="37.5" customHeight="1">
      <c r="A2" s="1606" t="s">
        <v>2188</v>
      </c>
      <c r="B2" s="1610"/>
      <c r="C2" s="1610"/>
      <c r="D2" s="1610"/>
      <c r="E2" s="1610"/>
      <c r="F2" s="1610"/>
      <c r="G2" s="1610"/>
      <c r="H2" s="192">
        <v>2005</v>
      </c>
    </row>
    <row r="3" spans="1:8" ht="24" customHeight="1">
      <c r="A3" s="125" t="s">
        <v>1746</v>
      </c>
      <c r="B3" s="126" t="s">
        <v>1805</v>
      </c>
      <c r="C3" s="127" t="s">
        <v>265</v>
      </c>
      <c r="D3" s="126" t="s">
        <v>2189</v>
      </c>
      <c r="E3" s="127" t="s">
        <v>2190</v>
      </c>
      <c r="F3" s="126" t="s">
        <v>265</v>
      </c>
      <c r="G3" s="127" t="s">
        <v>2191</v>
      </c>
      <c r="H3" s="126" t="s">
        <v>2191</v>
      </c>
    </row>
    <row r="4" spans="1:8" ht="15" customHeight="1">
      <c r="A4" s="212"/>
      <c r="B4" s="129" t="s">
        <v>2189</v>
      </c>
      <c r="C4" s="131" t="s">
        <v>267</v>
      </c>
      <c r="D4" s="129" t="s">
        <v>2192</v>
      </c>
      <c r="E4" s="131" t="s">
        <v>2193</v>
      </c>
      <c r="F4" s="129" t="s">
        <v>267</v>
      </c>
      <c r="G4" s="131" t="s">
        <v>1841</v>
      </c>
      <c r="H4" s="129" t="s">
        <v>1842</v>
      </c>
    </row>
    <row r="5" spans="1:8" ht="15" customHeight="1">
      <c r="A5" s="212"/>
      <c r="B5" s="129" t="s">
        <v>2194</v>
      </c>
      <c r="C5" s="131" t="s">
        <v>268</v>
      </c>
      <c r="D5" s="129" t="s">
        <v>2198</v>
      </c>
      <c r="E5" s="131" t="s">
        <v>1106</v>
      </c>
      <c r="F5" s="129" t="s">
        <v>268</v>
      </c>
      <c r="G5" s="692" t="s">
        <v>699</v>
      </c>
      <c r="H5" s="353" t="s">
        <v>699</v>
      </c>
    </row>
    <row r="6" spans="1:8" ht="15" customHeight="1">
      <c r="A6" s="214"/>
      <c r="B6" s="135"/>
      <c r="C6" s="134"/>
      <c r="D6" s="135"/>
      <c r="E6" s="131"/>
      <c r="F6" s="135"/>
      <c r="G6" s="134"/>
      <c r="H6" s="135"/>
    </row>
    <row r="7" spans="1:8" ht="30" customHeight="1" thickBot="1">
      <c r="A7" s="371">
        <v>1996</v>
      </c>
      <c r="B7" s="310">
        <v>1656431</v>
      </c>
      <c r="C7" s="356" t="s">
        <v>861</v>
      </c>
      <c r="D7" s="373">
        <v>0.23300000000000001</v>
      </c>
      <c r="E7" s="311">
        <v>821972</v>
      </c>
      <c r="F7" s="373" t="s">
        <v>861</v>
      </c>
      <c r="G7" s="311">
        <v>1508.6632014229194</v>
      </c>
      <c r="H7" s="310">
        <v>901.63486133741753</v>
      </c>
    </row>
    <row r="8" spans="1:8" ht="22.5" customHeight="1" thickBot="1">
      <c r="A8" s="371">
        <v>1997</v>
      </c>
      <c r="B8" s="159">
        <v>1955994</v>
      </c>
      <c r="C8" s="160">
        <v>0.1808484627491275</v>
      </c>
      <c r="D8" s="301">
        <v>0.27500000000000002</v>
      </c>
      <c r="E8" s="219">
        <v>988940</v>
      </c>
      <c r="F8" s="301">
        <v>0.203131006895612</v>
      </c>
      <c r="G8" s="219">
        <v>2016.5343367646167</v>
      </c>
      <c r="H8" s="159">
        <v>1019.5488672255641</v>
      </c>
    </row>
    <row r="9" spans="1:8" ht="22.5" customHeight="1" thickBot="1">
      <c r="A9" s="371">
        <v>1998</v>
      </c>
      <c r="B9" s="159">
        <v>2240522</v>
      </c>
      <c r="C9" s="160">
        <v>0.14546465888954668</v>
      </c>
      <c r="D9" s="301">
        <v>0.314</v>
      </c>
      <c r="E9" s="219">
        <v>1178551</v>
      </c>
      <c r="F9" s="301">
        <v>0.19173155095354621</v>
      </c>
      <c r="G9" s="219">
        <v>2075.8295126812504</v>
      </c>
      <c r="H9" s="159">
        <v>1091.9200739827595</v>
      </c>
    </row>
    <row r="10" spans="1:8" ht="22.5" customHeight="1" thickBot="1">
      <c r="A10" s="371">
        <v>1999</v>
      </c>
      <c r="B10" s="159">
        <v>2334267</v>
      </c>
      <c r="C10" s="160">
        <v>4.1840696052080718E-2</v>
      </c>
      <c r="D10" s="301">
        <v>0.32570843248350928</v>
      </c>
      <c r="E10" s="219">
        <v>1230090</v>
      </c>
      <c r="F10" s="301">
        <v>4.3730818606916459E-2</v>
      </c>
      <c r="G10" s="219">
        <v>2186.5653545675523</v>
      </c>
      <c r="H10" s="159">
        <v>1152.2555804455958</v>
      </c>
    </row>
    <row r="11" spans="1:8" ht="22.5" customHeight="1" thickBot="1">
      <c r="A11" s="371">
        <v>2000</v>
      </c>
      <c r="B11" s="159">
        <v>2337717</v>
      </c>
      <c r="C11" s="160">
        <v>1.4779800254212565E-3</v>
      </c>
      <c r="D11" s="301">
        <v>0.32427568045795824</v>
      </c>
      <c r="E11" s="219">
        <v>1242695</v>
      </c>
      <c r="F11" s="301">
        <v>1.0247217683258949E-2</v>
      </c>
      <c r="G11" s="219">
        <v>2048</v>
      </c>
      <c r="H11" s="159">
        <v>1088.8085894058177</v>
      </c>
    </row>
    <row r="12" spans="1:8" s="398" customFormat="1" ht="22.5" customHeight="1" thickBot="1">
      <c r="A12" s="776">
        <v>2001</v>
      </c>
      <c r="B12" s="314">
        <v>2376421</v>
      </c>
      <c r="C12" s="772">
        <v>1.6556323969068969E-2</v>
      </c>
      <c r="D12" s="204">
        <v>0.32731543251630535</v>
      </c>
      <c r="E12" s="315">
        <v>1268943</v>
      </c>
      <c r="F12" s="204">
        <v>2.1121836009640339E-2</v>
      </c>
      <c r="G12" s="315">
        <v>2094.0647990098846</v>
      </c>
      <c r="H12" s="314">
        <v>1118.1520446082575</v>
      </c>
    </row>
    <row r="13" spans="1:8" s="398" customFormat="1" ht="22.5" customHeight="1" thickBot="1">
      <c r="A13" s="776">
        <v>2002</v>
      </c>
      <c r="B13" s="314">
        <v>2433822</v>
      </c>
      <c r="C13" s="772">
        <v>2.415439015224996E-2</v>
      </c>
      <c r="D13" s="204">
        <v>0.33123274136234532</v>
      </c>
      <c r="E13" s="315">
        <v>1289405</v>
      </c>
      <c r="F13" s="204">
        <v>1.6125231787401009E-2</v>
      </c>
      <c r="G13" s="315">
        <v>2242.922441746387</v>
      </c>
      <c r="H13" s="314">
        <v>1188.2690726766377</v>
      </c>
    </row>
    <row r="14" spans="1:8" s="398" customFormat="1" ht="22.5" customHeight="1" thickBot="1">
      <c r="A14" s="776">
        <v>2003</v>
      </c>
      <c r="B14" s="314">
        <v>2427518.2400000002</v>
      </c>
      <c r="C14" s="772">
        <v>-2.5900661593164071E-3</v>
      </c>
      <c r="D14" s="204">
        <v>0.32781924661963846</v>
      </c>
      <c r="E14" s="315">
        <v>1287365.05</v>
      </c>
      <c r="F14" s="204">
        <v>-1.5820863111279649E-3</v>
      </c>
      <c r="G14" s="315">
        <v>2381.2207531966164</v>
      </c>
      <c r="H14" s="314">
        <v>1262.8124985787954</v>
      </c>
    </row>
    <row r="15" spans="1:8" s="398" customFormat="1" ht="22.5" customHeight="1" thickBot="1">
      <c r="A15" s="776">
        <v>2004</v>
      </c>
      <c r="B15" s="314">
        <v>2361377</v>
      </c>
      <c r="C15" s="772">
        <v>-2.7246444088510832E-2</v>
      </c>
      <c r="D15" s="204">
        <v>0.31678850545846371</v>
      </c>
      <c r="E15" s="315">
        <v>1245875</v>
      </c>
      <c r="F15" s="204">
        <v>-3.2228659617565387E-2</v>
      </c>
      <c r="G15" s="315">
        <v>2544.2606213303907</v>
      </c>
      <c r="H15" s="314">
        <v>1342.3653663095729</v>
      </c>
    </row>
    <row r="16" spans="1:8" ht="27.75" customHeight="1" thickBot="1">
      <c r="A16" s="220">
        <v>2005</v>
      </c>
      <c r="B16" s="221">
        <v>2262160</v>
      </c>
      <c r="C16" s="777">
        <v>-4.2016586085152859E-2</v>
      </c>
      <c r="D16" s="302">
        <v>0.30157087047434061</v>
      </c>
      <c r="E16" s="222">
        <v>1215989</v>
      </c>
      <c r="F16" s="778">
        <v>-2.3987960268887328E-2</v>
      </c>
      <c r="G16" s="222">
        <v>2633.0518524427443</v>
      </c>
      <c r="H16" s="343">
        <v>1415.3561591576192</v>
      </c>
    </row>
    <row r="17" spans="1:8" ht="16.5" customHeight="1">
      <c r="A17" s="660" t="s">
        <v>1151</v>
      </c>
      <c r="B17" s="146"/>
      <c r="C17" s="146"/>
      <c r="D17" s="146"/>
      <c r="E17" s="146"/>
      <c r="F17" s="146"/>
      <c r="G17" s="146"/>
      <c r="H17" s="146"/>
    </row>
    <row r="18" spans="1:8" ht="10.5" customHeight="1">
      <c r="A18" s="661"/>
      <c r="B18" s="4"/>
      <c r="C18" s="4"/>
      <c r="D18" s="4"/>
      <c r="E18" s="4"/>
      <c r="F18" s="4"/>
      <c r="G18" s="4"/>
      <c r="H18" s="4"/>
    </row>
    <row r="19" spans="1:8" ht="16.5" customHeight="1">
      <c r="A19" s="661" t="s">
        <v>2195</v>
      </c>
      <c r="B19" s="4"/>
      <c r="C19" s="4"/>
      <c r="D19" s="4"/>
      <c r="E19" s="4"/>
      <c r="F19" s="4"/>
      <c r="G19" s="4"/>
      <c r="H19" s="4"/>
    </row>
    <row r="20" spans="1:8" ht="12.75" customHeight="1">
      <c r="A20" s="661"/>
      <c r="B20" s="4"/>
      <c r="C20" s="4"/>
      <c r="D20" s="4"/>
      <c r="E20" s="4"/>
      <c r="F20" s="4"/>
      <c r="G20" s="4"/>
      <c r="H20" s="4"/>
    </row>
    <row r="21" spans="1:8">
      <c r="A21" s="4" t="s">
        <v>2196</v>
      </c>
      <c r="B21" s="4"/>
      <c r="C21" s="4"/>
      <c r="D21" s="4"/>
      <c r="E21" s="4"/>
      <c r="F21" s="4"/>
      <c r="G21" s="4"/>
      <c r="H21" s="4"/>
    </row>
    <row r="22" spans="1:8" ht="15" customHeight="1">
      <c r="A22" s="401" t="s">
        <v>2197</v>
      </c>
    </row>
    <row r="23" spans="1:8" ht="15" customHeight="1"/>
    <row r="24" spans="1:8" ht="15" customHeight="1">
      <c r="A24" s="779"/>
    </row>
    <row r="25" spans="1:8" ht="15" customHeight="1">
      <c r="A25" s="637" t="s">
        <v>128</v>
      </c>
    </row>
    <row r="26" spans="1:8" ht="30" customHeight="1"/>
    <row r="27" spans="1:8" ht="30" customHeight="1"/>
    <row r="28" spans="1:8" ht="30" customHeight="1"/>
    <row r="29" spans="1:8" ht="30" customHeight="1"/>
    <row r="30" spans="1:8" ht="30" customHeight="1"/>
    <row r="31" spans="1:8" ht="30" customHeight="1"/>
    <row r="32" spans="1:8" ht="30" customHeight="1"/>
    <row r="33" ht="30" customHeight="1"/>
    <row r="34" ht="30" customHeight="1"/>
    <row r="35" ht="30" customHeight="1"/>
    <row r="36" ht="30" customHeight="1"/>
    <row r="37" ht="30" customHeight="1"/>
  </sheetData>
  <mergeCells count="1">
    <mergeCell ref="A2:G2"/>
  </mergeCells>
  <phoneticPr fontId="0" type="noConversion"/>
  <pageMargins left="0.57999999999999996" right="0.66" top="0.83" bottom="0.76" header="0.47" footer="0.47"/>
  <pageSetup paperSize="9" scale="88" orientation="portrait" horizontalDpi="4294967292" verticalDpi="4294967292"/>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3FE0D-9FCA-8142-96E6-A4FCE1888C6B}">
  <sheetPr>
    <pageSetUpPr fitToPage="1"/>
  </sheetPr>
  <dimension ref="A1:H42"/>
  <sheetViews>
    <sheetView zoomScale="75" workbookViewId="0">
      <selection activeCell="H5" sqref="H5"/>
    </sheetView>
  </sheetViews>
  <sheetFormatPr baseColWidth="10" defaultColWidth="11.3984375" defaultRowHeight="13"/>
  <cols>
    <col min="1" max="3" width="13.19921875" style="2" customWidth="1"/>
    <col min="4" max="4" width="13.796875" style="2" customWidth="1"/>
    <col min="5" max="5" width="13.19921875" style="2" customWidth="1"/>
    <col min="6" max="7" width="14" style="170" customWidth="1"/>
    <col min="8" max="8" width="14.59765625" style="2" customWidth="1"/>
    <col min="9" max="16384" width="11.3984375" style="2"/>
  </cols>
  <sheetData>
    <row r="1" spans="1:8" s="1" customFormat="1" ht="14" customHeight="1">
      <c r="F1" s="150"/>
      <c r="G1" s="150"/>
    </row>
    <row r="2" spans="1:8" s="1" customFormat="1" ht="28" customHeight="1">
      <c r="A2" s="124" t="s">
        <v>551</v>
      </c>
      <c r="F2" s="150"/>
      <c r="G2" s="192"/>
      <c r="H2" s="192">
        <v>2005</v>
      </c>
    </row>
    <row r="3" spans="1:8" ht="24" customHeight="1">
      <c r="A3" s="125" t="s">
        <v>222</v>
      </c>
      <c r="B3" s="1614" t="s">
        <v>1553</v>
      </c>
      <c r="C3" s="1615"/>
      <c r="D3" s="1615"/>
      <c r="E3" s="125"/>
      <c r="F3" s="126"/>
      <c r="G3" s="653"/>
      <c r="H3" s="781" t="s">
        <v>984</v>
      </c>
    </row>
    <row r="4" spans="1:8" ht="15" customHeight="1">
      <c r="A4" s="212"/>
      <c r="B4" s="129" t="s">
        <v>982</v>
      </c>
      <c r="C4" s="213" t="s">
        <v>983</v>
      </c>
      <c r="D4" s="155" t="s">
        <v>43</v>
      </c>
      <c r="E4" s="213" t="s">
        <v>265</v>
      </c>
      <c r="F4" s="155" t="s">
        <v>984</v>
      </c>
      <c r="G4" s="213" t="s">
        <v>984</v>
      </c>
      <c r="H4" s="782" t="s">
        <v>1555</v>
      </c>
    </row>
    <row r="5" spans="1:8" ht="15" customHeight="1">
      <c r="A5" s="212"/>
      <c r="B5" s="129" t="s">
        <v>1333</v>
      </c>
      <c r="C5" s="131" t="s">
        <v>1333</v>
      </c>
      <c r="D5" s="129" t="s">
        <v>1333</v>
      </c>
      <c r="E5" s="131" t="s">
        <v>267</v>
      </c>
      <c r="F5" s="155" t="s">
        <v>985</v>
      </c>
      <c r="G5" s="213" t="s">
        <v>986</v>
      </c>
      <c r="H5" s="783" t="s">
        <v>2204</v>
      </c>
    </row>
    <row r="6" spans="1:8" ht="15" customHeight="1">
      <c r="A6" s="212"/>
      <c r="B6" s="129"/>
      <c r="C6" s="131"/>
      <c r="D6" s="129"/>
      <c r="E6" s="131" t="s">
        <v>268</v>
      </c>
      <c r="F6" s="155" t="s">
        <v>987</v>
      </c>
      <c r="G6" s="213" t="s">
        <v>1554</v>
      </c>
      <c r="H6" s="783" t="s">
        <v>2205</v>
      </c>
    </row>
    <row r="7" spans="1:8" ht="16" customHeight="1">
      <c r="A7" s="214"/>
      <c r="B7" s="135"/>
      <c r="C7" s="134"/>
      <c r="D7" s="135"/>
      <c r="E7" s="134"/>
      <c r="F7" s="155" t="s">
        <v>1554</v>
      </c>
      <c r="G7" s="215"/>
      <c r="H7" s="782" t="s">
        <v>2206</v>
      </c>
    </row>
    <row r="8" spans="1:8" ht="30" customHeight="1" thickBot="1">
      <c r="A8" s="654" t="s">
        <v>230</v>
      </c>
      <c r="B8" s="138">
        <v>177751</v>
      </c>
      <c r="C8" s="139">
        <v>211892</v>
      </c>
      <c r="D8" s="138">
        <v>389643</v>
      </c>
      <c r="E8" s="235">
        <v>4.9053362940725898E-3</v>
      </c>
      <c r="F8" s="310">
        <v>44554</v>
      </c>
      <c r="G8" s="311">
        <v>46076</v>
      </c>
      <c r="H8" s="784">
        <v>90630</v>
      </c>
    </row>
    <row r="9" spans="1:8" ht="20" customHeight="1" thickBot="1">
      <c r="A9" s="655" t="s">
        <v>231</v>
      </c>
      <c r="B9" s="138">
        <v>130445</v>
      </c>
      <c r="C9" s="139">
        <v>149896</v>
      </c>
      <c r="D9" s="138">
        <v>280341</v>
      </c>
      <c r="E9" s="235">
        <v>-3.4006409151993384E-2</v>
      </c>
      <c r="F9" s="310">
        <v>32867</v>
      </c>
      <c r="G9" s="311">
        <v>28017</v>
      </c>
      <c r="H9" s="784">
        <v>28017</v>
      </c>
    </row>
    <row r="10" spans="1:8" ht="20" customHeight="1" thickBot="1">
      <c r="A10" s="655" t="s">
        <v>232</v>
      </c>
      <c r="B10" s="138">
        <v>65769</v>
      </c>
      <c r="C10" s="139">
        <v>73194</v>
      </c>
      <c r="D10" s="138">
        <v>138963</v>
      </c>
      <c r="E10" s="235">
        <v>-1.0876141532197792E-2</v>
      </c>
      <c r="F10" s="310">
        <v>16404</v>
      </c>
      <c r="G10" s="311">
        <v>8984</v>
      </c>
      <c r="H10" s="784">
        <v>25388</v>
      </c>
    </row>
    <row r="11" spans="1:8" ht="20" customHeight="1" thickBot="1">
      <c r="A11" s="655" t="s">
        <v>233</v>
      </c>
      <c r="B11" s="138">
        <v>7076</v>
      </c>
      <c r="C11" s="139">
        <v>7306</v>
      </c>
      <c r="D11" s="138">
        <v>14382</v>
      </c>
      <c r="E11" s="235">
        <v>-4.017618793379605E-2</v>
      </c>
      <c r="F11" s="310">
        <v>1022</v>
      </c>
      <c r="G11" s="311">
        <v>299</v>
      </c>
      <c r="H11" s="784" t="s">
        <v>1646</v>
      </c>
    </row>
    <row r="12" spans="1:8" ht="20" customHeight="1" thickBot="1">
      <c r="A12" s="655" t="s">
        <v>234</v>
      </c>
      <c r="B12" s="138">
        <v>16551</v>
      </c>
      <c r="C12" s="139">
        <v>17607</v>
      </c>
      <c r="D12" s="138">
        <v>34158</v>
      </c>
      <c r="E12" s="235">
        <v>-0.26931633438863695</v>
      </c>
      <c r="F12" s="310">
        <v>3430</v>
      </c>
      <c r="G12" s="311">
        <v>1752</v>
      </c>
      <c r="H12" s="784" t="s">
        <v>1646</v>
      </c>
    </row>
    <row r="13" spans="1:8" ht="20" customHeight="1" thickBot="1">
      <c r="A13" s="655" t="s">
        <v>235</v>
      </c>
      <c r="B13" s="138">
        <v>8613</v>
      </c>
      <c r="C13" s="139">
        <v>9279</v>
      </c>
      <c r="D13" s="138">
        <v>17892</v>
      </c>
      <c r="E13" s="235">
        <v>-2.6868269335363865E-2</v>
      </c>
      <c r="F13" s="310">
        <v>908</v>
      </c>
      <c r="G13" s="311">
        <v>317</v>
      </c>
      <c r="H13" s="784">
        <v>170</v>
      </c>
    </row>
    <row r="14" spans="1:8" ht="20" customHeight="1" thickBot="1">
      <c r="A14" s="655" t="s">
        <v>236</v>
      </c>
      <c r="B14" s="138">
        <v>5756</v>
      </c>
      <c r="C14" s="139">
        <v>5939</v>
      </c>
      <c r="D14" s="138">
        <v>11695</v>
      </c>
      <c r="E14" s="235">
        <v>-6.7086790044671343E-2</v>
      </c>
      <c r="F14" s="310">
        <v>741</v>
      </c>
      <c r="G14" s="311" t="s">
        <v>1646</v>
      </c>
      <c r="H14" s="784" t="s">
        <v>1646</v>
      </c>
    </row>
    <row r="15" spans="1:8" ht="20" customHeight="1" thickBot="1">
      <c r="A15" s="655" t="s">
        <v>237</v>
      </c>
      <c r="B15" s="138">
        <v>4360</v>
      </c>
      <c r="C15" s="139">
        <v>4565</v>
      </c>
      <c r="D15" s="138">
        <v>8925</v>
      </c>
      <c r="E15" s="235">
        <v>-0.33151074825855742</v>
      </c>
      <c r="F15" s="310">
        <v>1011</v>
      </c>
      <c r="G15" s="311">
        <v>1059</v>
      </c>
      <c r="H15" s="784" t="s">
        <v>1646</v>
      </c>
    </row>
    <row r="16" spans="1:8" ht="20" customHeight="1" thickBot="1">
      <c r="A16" s="655" t="s">
        <v>238</v>
      </c>
      <c r="B16" s="138">
        <v>16196</v>
      </c>
      <c r="C16" s="139">
        <v>17728</v>
      </c>
      <c r="D16" s="138">
        <v>33924</v>
      </c>
      <c r="E16" s="235">
        <v>-1.7066033088980963E-2</v>
      </c>
      <c r="F16" s="310">
        <v>1874</v>
      </c>
      <c r="G16" s="311">
        <v>2096</v>
      </c>
      <c r="H16" s="784" t="s">
        <v>1646</v>
      </c>
    </row>
    <row r="17" spans="1:8" ht="20" customHeight="1" thickBot="1">
      <c r="A17" s="655" t="s">
        <v>239</v>
      </c>
      <c r="B17" s="138">
        <v>42759</v>
      </c>
      <c r="C17" s="139">
        <v>46924</v>
      </c>
      <c r="D17" s="138">
        <v>89683</v>
      </c>
      <c r="E17" s="235">
        <v>-2.4431898530387582E-2</v>
      </c>
      <c r="F17" s="310">
        <v>10163</v>
      </c>
      <c r="G17" s="311">
        <v>6630</v>
      </c>
      <c r="H17" s="784">
        <v>16793</v>
      </c>
    </row>
    <row r="18" spans="1:8" ht="20" customHeight="1" thickBot="1">
      <c r="A18" s="655" t="s">
        <v>240</v>
      </c>
      <c r="B18" s="138">
        <v>28051</v>
      </c>
      <c r="C18" s="139">
        <v>31276</v>
      </c>
      <c r="D18" s="138">
        <v>59327</v>
      </c>
      <c r="E18" s="235">
        <v>3.1110415906286389E-2</v>
      </c>
      <c r="F18" s="310" t="s">
        <v>1646</v>
      </c>
      <c r="G18" s="311">
        <v>6326</v>
      </c>
      <c r="H18" s="784" t="s">
        <v>1646</v>
      </c>
    </row>
    <row r="19" spans="1:8" ht="20" customHeight="1" thickBot="1">
      <c r="A19" s="655" t="s">
        <v>241</v>
      </c>
      <c r="B19" s="138">
        <v>23978</v>
      </c>
      <c r="C19" s="139">
        <v>27097</v>
      </c>
      <c r="D19" s="138">
        <v>51075</v>
      </c>
      <c r="E19" s="235">
        <v>-2.220733224849239E-2</v>
      </c>
      <c r="F19" s="310">
        <v>11063</v>
      </c>
      <c r="G19" s="311">
        <v>13165</v>
      </c>
      <c r="H19" s="784" t="s">
        <v>1646</v>
      </c>
    </row>
    <row r="20" spans="1:8" ht="20" customHeight="1" thickBot="1">
      <c r="A20" s="655" t="s">
        <v>242</v>
      </c>
      <c r="B20" s="138">
        <v>46342</v>
      </c>
      <c r="C20" s="139">
        <v>47901</v>
      </c>
      <c r="D20" s="138">
        <v>94243</v>
      </c>
      <c r="E20" s="235">
        <v>-5.3271854218150401E-2</v>
      </c>
      <c r="F20" s="310" t="s">
        <v>1646</v>
      </c>
      <c r="G20" s="311">
        <v>1169</v>
      </c>
      <c r="H20" s="784" t="s">
        <v>1646</v>
      </c>
    </row>
    <row r="21" spans="1:8" ht="20" customHeight="1" thickBot="1">
      <c r="A21" s="655" t="s">
        <v>243</v>
      </c>
      <c r="B21" s="138">
        <v>11709</v>
      </c>
      <c r="C21" s="139">
        <v>12203</v>
      </c>
      <c r="D21" s="138">
        <v>23912</v>
      </c>
      <c r="E21" s="235">
        <v>-5.2003161792236966E-3</v>
      </c>
      <c r="F21" s="310" t="s">
        <v>1646</v>
      </c>
      <c r="G21" s="311">
        <v>1737</v>
      </c>
      <c r="H21" s="784" t="s">
        <v>1646</v>
      </c>
    </row>
    <row r="22" spans="1:8" ht="20" customHeight="1" thickBot="1">
      <c r="A22" s="655" t="s">
        <v>244</v>
      </c>
      <c r="B22" s="138">
        <v>6548</v>
      </c>
      <c r="C22" s="139">
        <v>6932</v>
      </c>
      <c r="D22" s="138">
        <v>13480</v>
      </c>
      <c r="E22" s="235">
        <v>6.8908096106573627E-2</v>
      </c>
      <c r="F22" s="310">
        <v>1296</v>
      </c>
      <c r="G22" s="311">
        <v>432</v>
      </c>
      <c r="H22" s="784" t="s">
        <v>1646</v>
      </c>
    </row>
    <row r="23" spans="1:8" ht="20" customHeight="1" thickBot="1">
      <c r="A23" s="655" t="s">
        <v>245</v>
      </c>
      <c r="B23" s="138">
        <v>3440</v>
      </c>
      <c r="C23" s="139">
        <v>3268</v>
      </c>
      <c r="D23" s="138">
        <v>6708</v>
      </c>
      <c r="E23" s="235">
        <v>-1.1931064958020326E-2</v>
      </c>
      <c r="F23" s="310">
        <v>274</v>
      </c>
      <c r="G23" s="311">
        <v>205</v>
      </c>
      <c r="H23" s="784">
        <v>1041</v>
      </c>
    </row>
    <row r="24" spans="1:8" ht="20" customHeight="1" thickBot="1">
      <c r="A24" s="655" t="s">
        <v>246</v>
      </c>
      <c r="B24" s="138">
        <v>77100</v>
      </c>
      <c r="C24" s="139">
        <v>87188</v>
      </c>
      <c r="D24" s="138">
        <v>164288</v>
      </c>
      <c r="E24" s="235">
        <v>1.9453562763336704E-2</v>
      </c>
      <c r="F24" s="310">
        <v>16840</v>
      </c>
      <c r="G24" s="311">
        <v>19211</v>
      </c>
      <c r="H24" s="784" t="s">
        <v>1646</v>
      </c>
    </row>
    <row r="25" spans="1:8" ht="20" customHeight="1" thickBot="1">
      <c r="A25" s="655" t="s">
        <v>247</v>
      </c>
      <c r="B25" s="138">
        <v>27849</v>
      </c>
      <c r="C25" s="139">
        <v>31508</v>
      </c>
      <c r="D25" s="138">
        <v>59357</v>
      </c>
      <c r="E25" s="235">
        <v>-2.1577160188573502E-2</v>
      </c>
      <c r="F25" s="310">
        <v>4597</v>
      </c>
      <c r="G25" s="311">
        <v>2755</v>
      </c>
      <c r="H25" s="784">
        <v>7532</v>
      </c>
    </row>
    <row r="26" spans="1:8" ht="20" customHeight="1" thickBot="1">
      <c r="A26" s="655" t="s">
        <v>248</v>
      </c>
      <c r="B26" s="138">
        <v>71589</v>
      </c>
      <c r="C26" s="139">
        <v>69302</v>
      </c>
      <c r="D26" s="138">
        <v>140891</v>
      </c>
      <c r="E26" s="235">
        <v>-0.12190637640151822</v>
      </c>
      <c r="F26" s="310">
        <v>15537</v>
      </c>
      <c r="G26" s="311" t="s">
        <v>1646</v>
      </c>
      <c r="H26" s="784" t="s">
        <v>1646</v>
      </c>
    </row>
    <row r="27" spans="1:8" ht="20" customHeight="1" thickBot="1">
      <c r="A27" s="655" t="s">
        <v>249</v>
      </c>
      <c r="B27" s="138">
        <v>45449</v>
      </c>
      <c r="C27" s="139">
        <v>48976</v>
      </c>
      <c r="D27" s="138">
        <v>94425</v>
      </c>
      <c r="E27" s="235">
        <v>-7.842084715986726E-2</v>
      </c>
      <c r="F27" s="310">
        <v>6366</v>
      </c>
      <c r="G27" s="311">
        <v>3649</v>
      </c>
      <c r="H27" s="784" t="s">
        <v>1646</v>
      </c>
    </row>
    <row r="28" spans="1:8" ht="20" customHeight="1" thickBot="1">
      <c r="A28" s="655" t="s">
        <v>250</v>
      </c>
      <c r="B28" s="138">
        <v>42145</v>
      </c>
      <c r="C28" s="139">
        <v>55260</v>
      </c>
      <c r="D28" s="138">
        <v>97405</v>
      </c>
      <c r="E28" s="235">
        <v>9.4200795887912445E-3</v>
      </c>
      <c r="F28" s="310">
        <v>21506</v>
      </c>
      <c r="G28" s="311" t="s">
        <v>1646</v>
      </c>
      <c r="H28" s="784" t="s">
        <v>1646</v>
      </c>
    </row>
    <row r="29" spans="1:8" ht="20" customHeight="1" thickBot="1">
      <c r="A29" s="655" t="s">
        <v>251</v>
      </c>
      <c r="B29" s="138">
        <v>62082</v>
      </c>
      <c r="C29" s="139">
        <v>77028</v>
      </c>
      <c r="D29" s="138">
        <v>139110</v>
      </c>
      <c r="E29" s="235">
        <v>-0.1041286973769795</v>
      </c>
      <c r="F29" s="310">
        <v>29341</v>
      </c>
      <c r="G29" s="311">
        <v>19343</v>
      </c>
      <c r="H29" s="784">
        <v>48684</v>
      </c>
    </row>
    <row r="30" spans="1:8" ht="20" customHeight="1" thickBot="1">
      <c r="A30" s="655" t="s">
        <v>252</v>
      </c>
      <c r="B30" s="138">
        <v>35056</v>
      </c>
      <c r="C30" s="139">
        <v>42127</v>
      </c>
      <c r="D30" s="138">
        <v>77183</v>
      </c>
      <c r="E30" s="235">
        <v>-0.1551033365443559</v>
      </c>
      <c r="F30" s="310">
        <v>7431</v>
      </c>
      <c r="G30" s="311">
        <v>4017</v>
      </c>
      <c r="H30" s="784" t="s">
        <v>1646</v>
      </c>
    </row>
    <row r="31" spans="1:8" ht="20" customHeight="1" thickBot="1">
      <c r="A31" s="655" t="s">
        <v>253</v>
      </c>
      <c r="B31" s="138">
        <v>22233</v>
      </c>
      <c r="C31" s="139">
        <v>27159</v>
      </c>
      <c r="D31" s="138">
        <v>49392</v>
      </c>
      <c r="E31" s="235">
        <v>-7.4310774593774012E-2</v>
      </c>
      <c r="F31" s="310">
        <v>9294</v>
      </c>
      <c r="G31" s="311">
        <v>7649</v>
      </c>
      <c r="H31" s="784">
        <v>16943</v>
      </c>
    </row>
    <row r="32" spans="1:8" ht="20" customHeight="1" thickBot="1">
      <c r="A32" s="655" t="s">
        <v>254</v>
      </c>
      <c r="B32" s="138">
        <v>68812</v>
      </c>
      <c r="C32" s="139">
        <v>78661</v>
      </c>
      <c r="D32" s="138">
        <v>147473</v>
      </c>
      <c r="E32" s="235">
        <v>-2.8274162515484567E-2</v>
      </c>
      <c r="F32" s="310">
        <v>26178</v>
      </c>
      <c r="G32" s="311">
        <v>18281</v>
      </c>
      <c r="H32" s="784">
        <v>44459</v>
      </c>
    </row>
    <row r="33" spans="1:8" ht="20" customHeight="1" thickBot="1">
      <c r="A33" s="655" t="s">
        <v>255</v>
      </c>
      <c r="B33" s="138">
        <v>10607</v>
      </c>
      <c r="C33" s="139">
        <v>13678</v>
      </c>
      <c r="D33" s="138">
        <v>24285</v>
      </c>
      <c r="E33" s="235">
        <v>-1.8986063421531005E-2</v>
      </c>
      <c r="F33" s="310">
        <v>4164</v>
      </c>
      <c r="G33" s="311">
        <v>1146</v>
      </c>
      <c r="H33" s="784" t="s">
        <v>1646</v>
      </c>
    </row>
    <row r="34" spans="1:8" ht="30" customHeight="1" thickBot="1">
      <c r="A34" s="656" t="s">
        <v>256</v>
      </c>
      <c r="B34" s="144">
        <v>1058266</v>
      </c>
      <c r="C34" s="145">
        <v>1203894</v>
      </c>
      <c r="D34" s="144">
        <v>2262160</v>
      </c>
      <c r="E34" s="657">
        <v>-4.2016586085152859E-2</v>
      </c>
      <c r="F34" s="658" t="s">
        <v>1646</v>
      </c>
      <c r="G34" s="659" t="s">
        <v>1646</v>
      </c>
      <c r="H34" s="785" t="s">
        <v>1646</v>
      </c>
    </row>
    <row r="35" spans="1:8" ht="20" customHeight="1">
      <c r="A35" s="660" t="s">
        <v>1151</v>
      </c>
      <c r="B35" s="223"/>
      <c r="C35" s="223"/>
      <c r="D35" s="223"/>
      <c r="E35" s="223"/>
      <c r="F35" s="223"/>
      <c r="G35" s="223"/>
    </row>
    <row r="36" spans="1:8" ht="14.25" customHeight="1">
      <c r="A36" s="661"/>
      <c r="B36" s="225"/>
      <c r="C36" s="225"/>
      <c r="D36" s="225"/>
      <c r="E36" s="225"/>
      <c r="F36" s="225"/>
      <c r="G36" s="225"/>
    </row>
    <row r="37" spans="1:8" ht="20" customHeight="1">
      <c r="A37" s="661" t="s">
        <v>988</v>
      </c>
      <c r="B37" s="225"/>
      <c r="C37" s="225"/>
      <c r="D37" s="225"/>
      <c r="E37" s="225"/>
      <c r="F37" s="225"/>
      <c r="G37" s="225"/>
    </row>
    <row r="38" spans="1:8" ht="15.75" customHeight="1">
      <c r="A38" s="661"/>
      <c r="B38" s="225"/>
      <c r="C38" s="225"/>
      <c r="D38" s="225"/>
      <c r="E38" s="225"/>
      <c r="F38" s="225"/>
      <c r="G38" s="225"/>
    </row>
    <row r="39" spans="1:8" ht="11.25" customHeight="1">
      <c r="A39" s="4" t="s">
        <v>989</v>
      </c>
      <c r="B39" s="225"/>
      <c r="C39" s="225"/>
      <c r="D39" s="225"/>
      <c r="E39" s="225"/>
      <c r="F39" s="225"/>
      <c r="G39" s="225"/>
    </row>
    <row r="41" spans="1:8">
      <c r="E41" s="9"/>
    </row>
    <row r="42" spans="1:8">
      <c r="A42" s="2" t="s">
        <v>128</v>
      </c>
    </row>
  </sheetData>
  <mergeCells count="1">
    <mergeCell ref="B3:D3"/>
  </mergeCells>
  <phoneticPr fontId="0" type="noConversion"/>
  <pageMargins left="0.56000000000000005" right="0.5" top="0.76" bottom="0.49" header="0.42" footer="0.4921259845"/>
  <pageSetup paperSize="9" scale="85" orientation="portrait" horizontalDpi="1200" verticalDpi="1200"/>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7BC5B-4FA2-334D-BDCE-4771CDD1D947}">
  <sheetPr>
    <pageSetUpPr fitToPage="1"/>
  </sheetPr>
  <dimension ref="A1:I35"/>
  <sheetViews>
    <sheetView zoomScale="75" workbookViewId="0">
      <selection activeCell="A3" sqref="A3"/>
    </sheetView>
  </sheetViews>
  <sheetFormatPr baseColWidth="10" defaultColWidth="11.3984375" defaultRowHeight="13"/>
  <cols>
    <col min="1" max="5" width="17.796875" style="2" customWidth="1"/>
    <col min="6" max="6" width="15.796875" style="2" customWidth="1"/>
    <col min="7" max="16384" width="11.3984375" style="2"/>
  </cols>
  <sheetData>
    <row r="1" spans="1:9" s="1" customFormat="1" ht="14" customHeight="1"/>
    <row r="2" spans="1:9" s="1" customFormat="1" ht="28" customHeight="1">
      <c r="A2" s="124" t="s">
        <v>552</v>
      </c>
      <c r="E2" s="192">
        <v>2005</v>
      </c>
    </row>
    <row r="3" spans="1:9" ht="27" customHeight="1">
      <c r="A3" s="125" t="s">
        <v>990</v>
      </c>
      <c r="B3" s="126" t="s">
        <v>1803</v>
      </c>
      <c r="C3" s="127" t="s">
        <v>1804</v>
      </c>
      <c r="D3" s="126" t="s">
        <v>43</v>
      </c>
      <c r="E3" s="127" t="s">
        <v>1806</v>
      </c>
    </row>
    <row r="4" spans="1:9" ht="15" customHeight="1">
      <c r="A4" s="128"/>
      <c r="B4" s="129"/>
      <c r="C4" s="131"/>
      <c r="D4" s="129"/>
      <c r="E4" s="131" t="s">
        <v>1807</v>
      </c>
    </row>
    <row r="5" spans="1:9" ht="15" customHeight="1">
      <c r="A5" s="128"/>
      <c r="B5" s="129"/>
      <c r="C5" s="131"/>
      <c r="D5" s="129"/>
      <c r="E5" s="131" t="s">
        <v>991</v>
      </c>
    </row>
    <row r="6" spans="1:9" ht="24" customHeight="1">
      <c r="A6" s="132"/>
      <c r="B6" s="135"/>
      <c r="C6" s="134"/>
      <c r="D6" s="135"/>
      <c r="E6" s="134"/>
    </row>
    <row r="7" spans="1:9" ht="30" customHeight="1" thickBot="1">
      <c r="A7" s="137" t="s">
        <v>992</v>
      </c>
      <c r="B7" s="138">
        <v>88543</v>
      </c>
      <c r="C7" s="139">
        <v>84371</v>
      </c>
      <c r="D7" s="138">
        <v>172914</v>
      </c>
      <c r="E7" s="235">
        <v>7.6437564098030195E-2</v>
      </c>
      <c r="G7" s="140"/>
      <c r="H7" s="140"/>
      <c r="I7" s="140"/>
    </row>
    <row r="8" spans="1:9" ht="20" customHeight="1" thickBot="1">
      <c r="A8" s="141" t="s">
        <v>993</v>
      </c>
      <c r="B8" s="197">
        <v>97856</v>
      </c>
      <c r="C8" s="198">
        <v>92872</v>
      </c>
      <c r="D8" s="197">
        <v>190728</v>
      </c>
      <c r="E8" s="235">
        <v>8.4312338649786045E-2</v>
      </c>
      <c r="G8" s="140"/>
      <c r="H8" s="140"/>
      <c r="I8" s="140"/>
    </row>
    <row r="9" spans="1:9" ht="20" customHeight="1" thickBot="1">
      <c r="A9" s="141" t="s">
        <v>1085</v>
      </c>
      <c r="B9" s="197">
        <v>96189</v>
      </c>
      <c r="C9" s="198">
        <v>91277</v>
      </c>
      <c r="D9" s="197">
        <v>187466</v>
      </c>
      <c r="E9" s="235">
        <v>8.2870353997948856E-2</v>
      </c>
      <c r="G9" s="140"/>
      <c r="H9" s="140"/>
      <c r="I9" s="140"/>
    </row>
    <row r="10" spans="1:9" ht="20" customHeight="1" thickBot="1">
      <c r="A10" s="141" t="s">
        <v>1086</v>
      </c>
      <c r="B10" s="197">
        <v>49316</v>
      </c>
      <c r="C10" s="198">
        <v>47100</v>
      </c>
      <c r="D10" s="197">
        <v>96416</v>
      </c>
      <c r="E10" s="235">
        <v>4.2621211585387418E-2</v>
      </c>
      <c r="G10" s="140"/>
      <c r="H10" s="140"/>
      <c r="I10" s="140"/>
    </row>
    <row r="11" spans="1:9" ht="20" customHeight="1" thickBot="1">
      <c r="A11" s="141" t="s">
        <v>1087</v>
      </c>
      <c r="B11" s="197">
        <v>41812</v>
      </c>
      <c r="C11" s="198">
        <v>41049</v>
      </c>
      <c r="D11" s="197">
        <v>82861</v>
      </c>
      <c r="E11" s="235">
        <v>3.6629150900024755E-2</v>
      </c>
      <c r="G11" s="140"/>
      <c r="H11" s="140"/>
      <c r="I11" s="140"/>
    </row>
    <row r="12" spans="1:9" ht="20" customHeight="1" thickBot="1">
      <c r="A12" s="141" t="s">
        <v>1088</v>
      </c>
      <c r="B12" s="197">
        <v>88348</v>
      </c>
      <c r="C12" s="198">
        <v>93679</v>
      </c>
      <c r="D12" s="197">
        <v>182027</v>
      </c>
      <c r="E12" s="235">
        <v>8.0466014782331924E-2</v>
      </c>
      <c r="G12" s="140"/>
      <c r="H12" s="140"/>
      <c r="I12" s="140"/>
    </row>
    <row r="13" spans="1:9" ht="20" customHeight="1" thickBot="1">
      <c r="A13" s="141" t="s">
        <v>1089</v>
      </c>
      <c r="B13" s="197">
        <v>68354</v>
      </c>
      <c r="C13" s="198">
        <v>81388</v>
      </c>
      <c r="D13" s="197">
        <v>149742</v>
      </c>
      <c r="E13" s="235">
        <v>6.6194256816493977E-2</v>
      </c>
      <c r="G13" s="140"/>
      <c r="H13" s="140"/>
      <c r="I13" s="140"/>
    </row>
    <row r="14" spans="1:9" ht="20" customHeight="1" thickBot="1">
      <c r="A14" s="141" t="s">
        <v>1090</v>
      </c>
      <c r="B14" s="197">
        <v>66686</v>
      </c>
      <c r="C14" s="198">
        <v>87434</v>
      </c>
      <c r="D14" s="197">
        <v>154120</v>
      </c>
      <c r="E14" s="235">
        <v>6.8129575273190232E-2</v>
      </c>
      <c r="G14" s="140"/>
      <c r="H14" s="140"/>
      <c r="I14" s="140"/>
    </row>
    <row r="15" spans="1:9" ht="20" customHeight="1" thickBot="1">
      <c r="A15" s="141" t="s">
        <v>1091</v>
      </c>
      <c r="B15" s="197">
        <v>84717</v>
      </c>
      <c r="C15" s="198">
        <v>104362</v>
      </c>
      <c r="D15" s="197">
        <v>189079</v>
      </c>
      <c r="E15" s="235">
        <v>8.3583389327014895E-2</v>
      </c>
      <c r="G15" s="140"/>
      <c r="H15" s="140"/>
      <c r="I15" s="140"/>
    </row>
    <row r="16" spans="1:9" ht="20" customHeight="1" thickBot="1">
      <c r="A16" s="141" t="s">
        <v>1092</v>
      </c>
      <c r="B16" s="197">
        <v>84102</v>
      </c>
      <c r="C16" s="198">
        <v>92375</v>
      </c>
      <c r="D16" s="197">
        <v>176477</v>
      </c>
      <c r="E16" s="235">
        <v>7.8012607419457508E-2</v>
      </c>
      <c r="G16" s="140"/>
      <c r="H16" s="140"/>
      <c r="I16" s="140"/>
    </row>
    <row r="17" spans="1:9" ht="20" customHeight="1" thickBot="1">
      <c r="A17" s="141" t="s">
        <v>1093</v>
      </c>
      <c r="B17" s="197">
        <v>62969</v>
      </c>
      <c r="C17" s="198">
        <v>61425</v>
      </c>
      <c r="D17" s="197">
        <v>124394</v>
      </c>
      <c r="E17" s="235">
        <v>5.498903702655869E-2</v>
      </c>
      <c r="G17" s="140"/>
      <c r="H17" s="140"/>
      <c r="I17" s="140"/>
    </row>
    <row r="18" spans="1:9" ht="20" customHeight="1" thickBot="1">
      <c r="A18" s="141" t="s">
        <v>1094</v>
      </c>
      <c r="B18" s="197">
        <v>43938</v>
      </c>
      <c r="C18" s="198">
        <v>43275</v>
      </c>
      <c r="D18" s="197">
        <v>87213</v>
      </c>
      <c r="E18" s="235">
        <v>3.8552975916822857E-2</v>
      </c>
      <c r="G18" s="140"/>
      <c r="H18" s="140"/>
      <c r="I18" s="140"/>
    </row>
    <row r="19" spans="1:9" ht="20" customHeight="1" thickBot="1">
      <c r="A19" s="141" t="s">
        <v>1095</v>
      </c>
      <c r="B19" s="197">
        <v>34553</v>
      </c>
      <c r="C19" s="198">
        <v>37146</v>
      </c>
      <c r="D19" s="197">
        <v>71699</v>
      </c>
      <c r="E19" s="235">
        <v>3.1694928740672632E-2</v>
      </c>
      <c r="G19" s="140"/>
      <c r="H19" s="140"/>
      <c r="I19" s="140"/>
    </row>
    <row r="20" spans="1:9" ht="20" customHeight="1" thickBot="1">
      <c r="A20" s="141" t="s">
        <v>1096</v>
      </c>
      <c r="B20" s="197">
        <v>28626</v>
      </c>
      <c r="C20" s="198">
        <v>36154</v>
      </c>
      <c r="D20" s="197">
        <v>64780</v>
      </c>
      <c r="E20" s="235">
        <v>2.8636347561622519E-2</v>
      </c>
      <c r="G20" s="140"/>
      <c r="H20" s="140"/>
      <c r="I20" s="140"/>
    </row>
    <row r="21" spans="1:9" ht="20" customHeight="1" thickBot="1">
      <c r="A21" s="141" t="s">
        <v>1097</v>
      </c>
      <c r="B21" s="197">
        <v>27494</v>
      </c>
      <c r="C21" s="198">
        <v>37082</v>
      </c>
      <c r="D21" s="197">
        <v>64576</v>
      </c>
      <c r="E21" s="235">
        <v>2.8546168263960107E-2</v>
      </c>
      <c r="G21" s="140"/>
      <c r="H21" s="140"/>
      <c r="I21" s="140"/>
    </row>
    <row r="22" spans="1:9" ht="20" customHeight="1" thickBot="1">
      <c r="A22" s="141" t="s">
        <v>1098</v>
      </c>
      <c r="B22" s="197">
        <v>26875</v>
      </c>
      <c r="C22" s="198">
        <v>39946</v>
      </c>
      <c r="D22" s="197">
        <v>66821</v>
      </c>
      <c r="E22" s="235">
        <v>2.9538582593627329E-2</v>
      </c>
      <c r="G22" s="140"/>
      <c r="H22" s="140"/>
      <c r="I22" s="140"/>
    </row>
    <row r="23" spans="1:9" ht="20" customHeight="1" thickBot="1">
      <c r="A23" s="141" t="s">
        <v>1099</v>
      </c>
      <c r="B23" s="197">
        <v>21697</v>
      </c>
      <c r="C23" s="198">
        <v>39112</v>
      </c>
      <c r="D23" s="197">
        <v>60809</v>
      </c>
      <c r="E23" s="235">
        <v>2.688094564487039E-2</v>
      </c>
      <c r="G23" s="140"/>
      <c r="H23" s="140"/>
      <c r="I23" s="140"/>
    </row>
    <row r="24" spans="1:9" ht="20" customHeight="1" thickBot="1">
      <c r="A24" s="141" t="s">
        <v>1100</v>
      </c>
      <c r="B24" s="197">
        <v>16121</v>
      </c>
      <c r="C24" s="198">
        <v>35590</v>
      </c>
      <c r="D24" s="197">
        <v>51711</v>
      </c>
      <c r="E24" s="235">
        <v>2.285912579127913E-2</v>
      </c>
      <c r="G24" s="140"/>
      <c r="H24" s="140"/>
      <c r="I24" s="140"/>
    </row>
    <row r="25" spans="1:9" ht="20" customHeight="1" thickBot="1">
      <c r="A25" s="141" t="s">
        <v>1101</v>
      </c>
      <c r="B25" s="197">
        <v>8211</v>
      </c>
      <c r="C25" s="198">
        <v>22519</v>
      </c>
      <c r="D25" s="197">
        <v>30730</v>
      </c>
      <c r="E25" s="235">
        <v>1.3584361848852424E-2</v>
      </c>
      <c r="G25" s="140"/>
      <c r="H25" s="140"/>
      <c r="I25" s="140"/>
    </row>
    <row r="26" spans="1:9" ht="20" customHeight="1" thickBot="1">
      <c r="A26" s="141" t="s">
        <v>1102</v>
      </c>
      <c r="B26" s="197">
        <v>3350</v>
      </c>
      <c r="C26" s="198">
        <v>12917</v>
      </c>
      <c r="D26" s="197">
        <v>16267</v>
      </c>
      <c r="E26" s="235">
        <v>7.1909148778158925E-3</v>
      </c>
      <c r="G26" s="140"/>
      <c r="H26" s="140"/>
      <c r="I26" s="140"/>
    </row>
    <row r="27" spans="1:9" ht="20" customHeight="1" thickBot="1">
      <c r="A27" s="141" t="s">
        <v>1103</v>
      </c>
      <c r="B27" s="197">
        <v>827</v>
      </c>
      <c r="C27" s="198">
        <v>4104</v>
      </c>
      <c r="D27" s="197">
        <v>4931</v>
      </c>
      <c r="E27" s="235">
        <v>2.1797750822223007E-3</v>
      </c>
      <c r="G27" s="140"/>
      <c r="H27" s="140"/>
      <c r="I27" s="140"/>
    </row>
    <row r="28" spans="1:9" ht="20" customHeight="1" thickBot="1">
      <c r="A28" s="141" t="s">
        <v>1104</v>
      </c>
      <c r="B28" s="197">
        <v>17682</v>
      </c>
      <c r="C28" s="198">
        <v>18717</v>
      </c>
      <c r="D28" s="197">
        <v>36399</v>
      </c>
      <c r="E28" s="235">
        <v>1.609037380202992E-2</v>
      </c>
      <c r="G28" s="140"/>
      <c r="H28" s="140"/>
      <c r="I28" s="140"/>
    </row>
    <row r="29" spans="1:9" ht="30" customHeight="1" thickBot="1">
      <c r="A29" s="143" t="s">
        <v>43</v>
      </c>
      <c r="B29" s="221">
        <v>1058266</v>
      </c>
      <c r="C29" s="222">
        <v>1203894</v>
      </c>
      <c r="D29" s="221">
        <v>2262160</v>
      </c>
      <c r="E29" s="657">
        <v>1</v>
      </c>
      <c r="G29" s="140"/>
      <c r="H29" s="140"/>
      <c r="I29" s="140"/>
    </row>
    <row r="30" spans="1:9" ht="20" customHeight="1">
      <c r="A30" s="660" t="s">
        <v>1151</v>
      </c>
      <c r="B30" s="146"/>
      <c r="C30" s="146"/>
      <c r="D30" s="146"/>
      <c r="E30" s="146"/>
    </row>
    <row r="32" spans="1:9">
      <c r="A32" s="661" t="s">
        <v>988</v>
      </c>
    </row>
    <row r="35" spans="1:1">
      <c r="A35" s="2" t="s">
        <v>128</v>
      </c>
    </row>
  </sheetData>
  <phoneticPr fontId="0" type="noConversion"/>
  <pageMargins left="0.74" right="0.88" top="0.85" bottom="0.49" header="0.49" footer="0.4921259845"/>
  <pageSetup paperSize="9" scale="82" orientation="portrait" horizontalDpi="1200" verticalDpi="1200"/>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30D88-A88E-6949-8BBA-3837199797DF}">
  <sheetPr>
    <pageSetUpPr fitToPage="1"/>
  </sheetPr>
  <dimension ref="A1:K43"/>
  <sheetViews>
    <sheetView zoomScale="75" workbookViewId="0">
      <selection activeCell="L8" sqref="L8"/>
    </sheetView>
  </sheetViews>
  <sheetFormatPr baseColWidth="10" defaultColWidth="11.3984375" defaultRowHeight="13"/>
  <cols>
    <col min="1" max="1" width="11.796875" style="2" customWidth="1"/>
    <col min="2" max="6" width="11.3984375" style="2"/>
    <col min="7" max="7" width="13.19921875" style="2" customWidth="1"/>
    <col min="8" max="8" width="12.3984375" style="2" customWidth="1"/>
    <col min="9" max="9" width="13.19921875" style="2" customWidth="1"/>
    <col min="10" max="16384" width="11.3984375" style="2"/>
  </cols>
  <sheetData>
    <row r="1" spans="1:11" s="1" customFormat="1" ht="14" customHeight="1"/>
    <row r="2" spans="1:11" s="1" customFormat="1" ht="27" customHeight="1">
      <c r="A2" s="124" t="s">
        <v>1123</v>
      </c>
      <c r="I2" s="192">
        <v>2005</v>
      </c>
    </row>
    <row r="3" spans="1:11" ht="24" customHeight="1">
      <c r="A3" s="125" t="s">
        <v>222</v>
      </c>
      <c r="B3" s="1614" t="s">
        <v>1105</v>
      </c>
      <c r="C3" s="1615"/>
      <c r="D3" s="1615"/>
      <c r="E3" s="1615"/>
      <c r="F3" s="1615"/>
      <c r="G3" s="269" t="s">
        <v>1106</v>
      </c>
      <c r="H3" s="126"/>
      <c r="I3" s="127" t="s">
        <v>1107</v>
      </c>
    </row>
    <row r="4" spans="1:11" ht="15" customHeight="1">
      <c r="A4" s="212"/>
      <c r="B4" s="129" t="s">
        <v>1108</v>
      </c>
      <c r="C4" s="213" t="s">
        <v>1109</v>
      </c>
      <c r="D4" s="155" t="s">
        <v>1110</v>
      </c>
      <c r="E4" s="213" t="s">
        <v>1111</v>
      </c>
      <c r="F4" s="155" t="s">
        <v>1112</v>
      </c>
      <c r="G4" s="369" t="s">
        <v>43</v>
      </c>
      <c r="H4" s="130" t="s">
        <v>265</v>
      </c>
      <c r="I4" s="213" t="s">
        <v>1113</v>
      </c>
    </row>
    <row r="5" spans="1:11" ht="15" customHeight="1">
      <c r="A5" s="212"/>
      <c r="B5" s="129"/>
      <c r="C5" s="131" t="s">
        <v>1114</v>
      </c>
      <c r="D5" s="129" t="s">
        <v>1114</v>
      </c>
      <c r="E5" s="131" t="s">
        <v>1114</v>
      </c>
      <c r="F5" s="155" t="s">
        <v>1115</v>
      </c>
      <c r="G5" s="369"/>
      <c r="H5" s="130" t="s">
        <v>1376</v>
      </c>
      <c r="I5" s="213" t="s">
        <v>1116</v>
      </c>
    </row>
    <row r="6" spans="1:11" ht="15" customHeight="1">
      <c r="A6" s="212"/>
      <c r="B6" s="129"/>
      <c r="C6" s="131"/>
      <c r="D6" s="129"/>
      <c r="E6" s="131"/>
      <c r="F6" s="155" t="s">
        <v>1117</v>
      </c>
      <c r="G6" s="369"/>
      <c r="H6" s="130" t="s">
        <v>268</v>
      </c>
      <c r="I6" s="213" t="s">
        <v>1124</v>
      </c>
    </row>
    <row r="7" spans="1:11" ht="13.5" customHeight="1">
      <c r="A7" s="214"/>
      <c r="B7" s="135"/>
      <c r="C7" s="134"/>
      <c r="D7" s="135"/>
      <c r="E7" s="134"/>
      <c r="F7" s="156"/>
      <c r="G7" s="370"/>
      <c r="H7" s="135"/>
      <c r="I7" s="215"/>
    </row>
    <row r="8" spans="1:11" ht="30" customHeight="1" thickBot="1">
      <c r="A8" s="654" t="s">
        <v>230</v>
      </c>
      <c r="B8" s="138">
        <v>192485</v>
      </c>
      <c r="C8" s="139">
        <v>33421</v>
      </c>
      <c r="D8" s="138">
        <v>14496</v>
      </c>
      <c r="E8" s="139">
        <v>13123</v>
      </c>
      <c r="F8" s="138">
        <v>6579</v>
      </c>
      <c r="G8" s="662">
        <v>260104</v>
      </c>
      <c r="H8" s="172">
        <v>1.6499792873277526E-2</v>
      </c>
      <c r="I8" s="249">
        <v>17666</v>
      </c>
      <c r="K8" s="140"/>
    </row>
    <row r="9" spans="1:11" ht="20" customHeight="1" thickBot="1">
      <c r="A9" s="655" t="s">
        <v>231</v>
      </c>
      <c r="B9" s="197">
        <v>82877</v>
      </c>
      <c r="C9" s="198">
        <v>24440</v>
      </c>
      <c r="D9" s="197">
        <v>11774</v>
      </c>
      <c r="E9" s="198">
        <v>16152</v>
      </c>
      <c r="F9" s="197">
        <v>9701</v>
      </c>
      <c r="G9" s="663">
        <v>144944</v>
      </c>
      <c r="H9" s="172">
        <v>-2.6888398042282928E-2</v>
      </c>
      <c r="I9" s="198">
        <v>12438</v>
      </c>
      <c r="K9" s="140"/>
    </row>
    <row r="10" spans="1:11" ht="20" customHeight="1" thickBot="1">
      <c r="A10" s="655" t="s">
        <v>232</v>
      </c>
      <c r="B10" s="197">
        <v>30052</v>
      </c>
      <c r="C10" s="198">
        <v>10789</v>
      </c>
      <c r="D10" s="197">
        <v>5770</v>
      </c>
      <c r="E10" s="198">
        <v>9149</v>
      </c>
      <c r="F10" s="197">
        <v>6142</v>
      </c>
      <c r="G10" s="663">
        <v>61902</v>
      </c>
      <c r="H10" s="172">
        <v>8.2908474907562747E-3</v>
      </c>
      <c r="I10" s="198">
        <v>1918</v>
      </c>
      <c r="K10" s="140"/>
    </row>
    <row r="11" spans="1:11" ht="20" customHeight="1" thickBot="1">
      <c r="A11" s="655" t="s">
        <v>233</v>
      </c>
      <c r="B11" s="197">
        <v>2370</v>
      </c>
      <c r="C11" s="198">
        <v>1337</v>
      </c>
      <c r="D11" s="197">
        <v>547</v>
      </c>
      <c r="E11" s="198">
        <v>1047</v>
      </c>
      <c r="F11" s="197">
        <v>653</v>
      </c>
      <c r="G11" s="663">
        <v>5954</v>
      </c>
      <c r="H11" s="172">
        <v>-4.1841004184100417E-2</v>
      </c>
      <c r="I11" s="198">
        <v>252</v>
      </c>
      <c r="K11" s="140"/>
    </row>
    <row r="12" spans="1:11" ht="20" customHeight="1" thickBot="1">
      <c r="A12" s="655" t="s">
        <v>234</v>
      </c>
      <c r="B12" s="197">
        <v>12129</v>
      </c>
      <c r="C12" s="198">
        <v>1349</v>
      </c>
      <c r="D12" s="197">
        <v>1450</v>
      </c>
      <c r="E12" s="198">
        <v>1931</v>
      </c>
      <c r="F12" s="197">
        <v>1262</v>
      </c>
      <c r="G12" s="663">
        <v>18121</v>
      </c>
      <c r="H12" s="172">
        <v>-0.15900125307467397</v>
      </c>
      <c r="I12" s="198">
        <v>1194</v>
      </c>
      <c r="K12" s="140"/>
    </row>
    <row r="13" spans="1:11" ht="20" customHeight="1" thickBot="1">
      <c r="A13" s="655" t="s">
        <v>235</v>
      </c>
      <c r="B13" s="197">
        <v>4064</v>
      </c>
      <c r="C13" s="198">
        <v>1634</v>
      </c>
      <c r="D13" s="197">
        <v>770</v>
      </c>
      <c r="E13" s="198">
        <v>1124</v>
      </c>
      <c r="F13" s="197">
        <v>545</v>
      </c>
      <c r="G13" s="663">
        <v>8137</v>
      </c>
      <c r="H13" s="172">
        <v>-3.0270527946609463E-2</v>
      </c>
      <c r="I13" s="198">
        <v>381</v>
      </c>
      <c r="K13" s="140"/>
    </row>
    <row r="14" spans="1:11" ht="20" customHeight="1" thickBot="1">
      <c r="A14" s="655" t="s">
        <v>236</v>
      </c>
      <c r="B14" s="197">
        <v>3626</v>
      </c>
      <c r="C14" s="198">
        <v>883</v>
      </c>
      <c r="D14" s="197">
        <v>402</v>
      </c>
      <c r="E14" s="198">
        <v>594</v>
      </c>
      <c r="F14" s="197">
        <v>369</v>
      </c>
      <c r="G14" s="663">
        <v>5874</v>
      </c>
      <c r="H14" s="172">
        <v>-4.4567338972023425E-2</v>
      </c>
      <c r="I14" s="198">
        <v>274</v>
      </c>
      <c r="K14" s="140"/>
    </row>
    <row r="15" spans="1:11" ht="20" customHeight="1" thickBot="1">
      <c r="A15" s="655" t="s">
        <v>237</v>
      </c>
      <c r="B15" s="197">
        <v>3782</v>
      </c>
      <c r="C15" s="198">
        <v>596</v>
      </c>
      <c r="D15" s="197">
        <v>331</v>
      </c>
      <c r="E15" s="198">
        <v>372</v>
      </c>
      <c r="F15" s="197">
        <v>273</v>
      </c>
      <c r="G15" s="663">
        <v>5354</v>
      </c>
      <c r="H15" s="172">
        <v>-0.23775626423690205</v>
      </c>
      <c r="I15" s="198">
        <v>312</v>
      </c>
      <c r="K15" s="140"/>
    </row>
    <row r="16" spans="1:11" ht="20" customHeight="1" thickBot="1">
      <c r="A16" s="655" t="s">
        <v>238</v>
      </c>
      <c r="B16" s="197">
        <v>9517</v>
      </c>
      <c r="C16" s="198">
        <v>2510</v>
      </c>
      <c r="D16" s="197">
        <v>1453</v>
      </c>
      <c r="E16" s="198">
        <v>2182</v>
      </c>
      <c r="F16" s="197">
        <v>851</v>
      </c>
      <c r="G16" s="663">
        <v>16513</v>
      </c>
      <c r="H16" s="172">
        <v>-6.0212850719936262E-2</v>
      </c>
      <c r="I16" s="198">
        <v>834</v>
      </c>
      <c r="K16" s="140"/>
    </row>
    <row r="17" spans="1:11" ht="20" customHeight="1" thickBot="1">
      <c r="A17" s="655" t="s">
        <v>1118</v>
      </c>
      <c r="B17" s="197">
        <v>18252</v>
      </c>
      <c r="C17" s="198">
        <v>6460</v>
      </c>
      <c r="D17" s="197">
        <v>3910</v>
      </c>
      <c r="E17" s="198">
        <v>5074</v>
      </c>
      <c r="F17" s="197">
        <v>3093</v>
      </c>
      <c r="G17" s="663">
        <v>36789</v>
      </c>
      <c r="H17" s="172">
        <v>-2.1907319277909232E-2</v>
      </c>
      <c r="I17" s="198">
        <v>4303</v>
      </c>
      <c r="K17" s="140"/>
    </row>
    <row r="18" spans="1:11" ht="20" customHeight="1" thickBot="1">
      <c r="A18" s="655" t="s">
        <v>1119</v>
      </c>
      <c r="B18" s="197">
        <v>11731</v>
      </c>
      <c r="C18" s="198">
        <v>4714</v>
      </c>
      <c r="D18" s="197">
        <v>2885</v>
      </c>
      <c r="E18" s="198">
        <v>4093</v>
      </c>
      <c r="F18" s="197">
        <v>2472</v>
      </c>
      <c r="G18" s="663">
        <v>25895</v>
      </c>
      <c r="H18" s="172">
        <v>6.2882239461478473E-2</v>
      </c>
      <c r="I18" s="198">
        <v>3272</v>
      </c>
      <c r="K18" s="140"/>
    </row>
    <row r="19" spans="1:11" ht="20" customHeight="1" thickBot="1">
      <c r="A19" s="655" t="s">
        <v>241</v>
      </c>
      <c r="B19" s="197">
        <v>20141</v>
      </c>
      <c r="C19" s="198">
        <v>4740</v>
      </c>
      <c r="D19" s="197">
        <v>2488</v>
      </c>
      <c r="E19" s="198">
        <v>2275</v>
      </c>
      <c r="F19" s="197">
        <v>1028</v>
      </c>
      <c r="G19" s="663">
        <v>30672</v>
      </c>
      <c r="H19" s="172">
        <v>-1.8904135879474138E-2</v>
      </c>
      <c r="I19" s="198">
        <v>2428</v>
      </c>
      <c r="K19" s="140"/>
    </row>
    <row r="20" spans="1:11" ht="20" customHeight="1" thickBot="1">
      <c r="A20" s="655" t="s">
        <v>242</v>
      </c>
      <c r="B20" s="159">
        <v>21641</v>
      </c>
      <c r="C20" s="219">
        <v>9095</v>
      </c>
      <c r="D20" s="197">
        <v>4948</v>
      </c>
      <c r="E20" s="198">
        <v>6825</v>
      </c>
      <c r="F20" s="159">
        <v>2673</v>
      </c>
      <c r="G20" s="374">
        <v>45182</v>
      </c>
      <c r="H20" s="172">
        <v>-1.549255877802715E-2</v>
      </c>
      <c r="I20" s="219">
        <v>3518</v>
      </c>
      <c r="K20" s="140"/>
    </row>
    <row r="21" spans="1:11" ht="20" customHeight="1" thickBot="1">
      <c r="A21" s="655" t="s">
        <v>243</v>
      </c>
      <c r="B21" s="197">
        <v>5182</v>
      </c>
      <c r="C21" s="198">
        <v>1919</v>
      </c>
      <c r="D21" s="197">
        <v>1129</v>
      </c>
      <c r="E21" s="198">
        <v>1708</v>
      </c>
      <c r="F21" s="197">
        <v>885</v>
      </c>
      <c r="G21" s="663">
        <v>10823</v>
      </c>
      <c r="H21" s="172">
        <v>-8.4426021487183825E-2</v>
      </c>
      <c r="I21" s="198">
        <v>1042</v>
      </c>
      <c r="K21" s="140"/>
    </row>
    <row r="22" spans="1:11" ht="20" customHeight="1" thickBot="1">
      <c r="A22" s="655" t="s">
        <v>244</v>
      </c>
      <c r="B22" s="197">
        <v>1993</v>
      </c>
      <c r="C22" s="198">
        <v>685</v>
      </c>
      <c r="D22" s="197">
        <v>572</v>
      </c>
      <c r="E22" s="198">
        <v>1001</v>
      </c>
      <c r="F22" s="197">
        <v>807</v>
      </c>
      <c r="G22" s="663">
        <v>5058</v>
      </c>
      <c r="H22" s="172">
        <v>0.10509067074502949</v>
      </c>
      <c r="I22" s="198">
        <v>682</v>
      </c>
      <c r="K22" s="140"/>
    </row>
    <row r="23" spans="1:11" ht="20" customHeight="1" thickBot="1">
      <c r="A23" s="655" t="s">
        <v>245</v>
      </c>
      <c r="B23" s="197">
        <v>635</v>
      </c>
      <c r="C23" s="198">
        <v>379</v>
      </c>
      <c r="D23" s="197">
        <v>231</v>
      </c>
      <c r="E23" s="198">
        <v>444</v>
      </c>
      <c r="F23" s="197">
        <v>468</v>
      </c>
      <c r="G23" s="663">
        <v>2157</v>
      </c>
      <c r="H23" s="172">
        <v>9.8314606741573031E-3</v>
      </c>
      <c r="I23" s="198">
        <v>72</v>
      </c>
      <c r="K23" s="140"/>
    </row>
    <row r="24" spans="1:11" ht="20" customHeight="1" thickBot="1">
      <c r="A24" s="655" t="s">
        <v>246</v>
      </c>
      <c r="B24" s="197">
        <v>28181</v>
      </c>
      <c r="C24" s="198">
        <v>14124</v>
      </c>
      <c r="D24" s="197">
        <v>6108</v>
      </c>
      <c r="E24" s="198">
        <v>10709</v>
      </c>
      <c r="F24" s="197">
        <v>7843</v>
      </c>
      <c r="G24" s="663">
        <v>66965</v>
      </c>
      <c r="H24" s="172">
        <v>-1.417677540925686E-2</v>
      </c>
      <c r="I24" s="198">
        <v>7426</v>
      </c>
      <c r="K24" s="140"/>
    </row>
    <row r="25" spans="1:11" ht="20" customHeight="1" thickBot="1">
      <c r="A25" s="655" t="s">
        <v>247</v>
      </c>
      <c r="B25" s="197">
        <v>16463</v>
      </c>
      <c r="C25" s="198">
        <v>4738</v>
      </c>
      <c r="D25" s="197">
        <v>2681</v>
      </c>
      <c r="E25" s="198">
        <v>3779</v>
      </c>
      <c r="F25" s="197">
        <v>1963</v>
      </c>
      <c r="G25" s="663">
        <v>29624</v>
      </c>
      <c r="H25" s="172">
        <v>-4.9042660396372189E-3</v>
      </c>
      <c r="I25" s="198">
        <v>2328</v>
      </c>
      <c r="K25" s="140"/>
    </row>
    <row r="26" spans="1:11" ht="20" customHeight="1" thickBot="1">
      <c r="A26" s="655" t="s">
        <v>248</v>
      </c>
      <c r="B26" s="197">
        <v>22160</v>
      </c>
      <c r="C26" s="198">
        <v>10306</v>
      </c>
      <c r="D26" s="197">
        <v>6983</v>
      </c>
      <c r="E26" s="198">
        <v>10843</v>
      </c>
      <c r="F26" s="197">
        <v>6255</v>
      </c>
      <c r="G26" s="663">
        <v>56547</v>
      </c>
      <c r="H26" s="172">
        <v>-3.826725853359865E-2</v>
      </c>
      <c r="I26" s="198">
        <v>4981</v>
      </c>
      <c r="K26" s="140"/>
    </row>
    <row r="27" spans="1:11" ht="20" customHeight="1" thickBot="1">
      <c r="A27" s="655" t="s">
        <v>249</v>
      </c>
      <c r="B27" s="197">
        <v>35998</v>
      </c>
      <c r="C27" s="198">
        <v>12811</v>
      </c>
      <c r="D27" s="197">
        <v>4687</v>
      </c>
      <c r="E27" s="198">
        <v>2484</v>
      </c>
      <c r="F27" s="197">
        <v>1629</v>
      </c>
      <c r="G27" s="663">
        <v>57609</v>
      </c>
      <c r="H27" s="172">
        <v>-6.1930720397460667E-3</v>
      </c>
      <c r="I27" s="198">
        <v>2963</v>
      </c>
      <c r="K27" s="140"/>
    </row>
    <row r="28" spans="1:11" ht="20" customHeight="1" thickBot="1">
      <c r="A28" s="655" t="s">
        <v>250</v>
      </c>
      <c r="B28" s="197">
        <v>37540</v>
      </c>
      <c r="C28" s="198">
        <v>12158</v>
      </c>
      <c r="D28" s="197">
        <v>3896</v>
      </c>
      <c r="E28" s="198">
        <v>4625</v>
      </c>
      <c r="F28" s="197">
        <v>2151</v>
      </c>
      <c r="G28" s="663">
        <v>60370</v>
      </c>
      <c r="H28" s="172">
        <v>2.0748609843140508E-3</v>
      </c>
      <c r="I28" s="198">
        <v>4515</v>
      </c>
      <c r="K28" s="140"/>
    </row>
    <row r="29" spans="1:11" ht="20" customHeight="1" thickBot="1">
      <c r="A29" s="655" t="s">
        <v>251</v>
      </c>
      <c r="B29" s="197">
        <v>44078</v>
      </c>
      <c r="C29" s="198">
        <v>13075</v>
      </c>
      <c r="D29" s="197">
        <v>6962</v>
      </c>
      <c r="E29" s="198">
        <v>6939</v>
      </c>
      <c r="F29" s="197">
        <v>3798</v>
      </c>
      <c r="G29" s="663">
        <v>74852</v>
      </c>
      <c r="H29" s="172">
        <v>-7.239695640320222E-2</v>
      </c>
      <c r="I29" s="198">
        <v>8335</v>
      </c>
      <c r="K29" s="140"/>
    </row>
    <row r="30" spans="1:11" ht="20" customHeight="1" thickBot="1">
      <c r="A30" s="655" t="s">
        <v>252</v>
      </c>
      <c r="B30" s="197">
        <v>29685</v>
      </c>
      <c r="C30" s="198">
        <v>5186</v>
      </c>
      <c r="D30" s="197">
        <v>2900</v>
      </c>
      <c r="E30" s="198">
        <v>4030</v>
      </c>
      <c r="F30" s="197">
        <v>2314</v>
      </c>
      <c r="G30" s="663">
        <v>44115</v>
      </c>
      <c r="H30" s="172">
        <v>-0.11775293482391057</v>
      </c>
      <c r="I30" s="198">
        <v>3837</v>
      </c>
      <c r="K30" s="140"/>
    </row>
    <row r="31" spans="1:11" ht="20" customHeight="1" thickBot="1">
      <c r="A31" s="655" t="s">
        <v>253</v>
      </c>
      <c r="B31" s="197">
        <v>19225</v>
      </c>
      <c r="C31" s="198">
        <v>4697</v>
      </c>
      <c r="D31" s="197">
        <v>2208</v>
      </c>
      <c r="E31" s="198">
        <v>2197</v>
      </c>
      <c r="F31" s="197">
        <v>1013</v>
      </c>
      <c r="G31" s="663">
        <v>29340</v>
      </c>
      <c r="H31" s="172">
        <v>-3.6294958121202169E-2</v>
      </c>
      <c r="I31" s="198">
        <v>2485</v>
      </c>
      <c r="K31" s="140"/>
    </row>
    <row r="32" spans="1:11" ht="20" customHeight="1" thickBot="1">
      <c r="A32" s="655" t="s">
        <v>254</v>
      </c>
      <c r="B32" s="197">
        <v>61057</v>
      </c>
      <c r="C32" s="198">
        <v>19101</v>
      </c>
      <c r="D32" s="197">
        <v>9711</v>
      </c>
      <c r="E32" s="198">
        <v>6980</v>
      </c>
      <c r="F32" s="197">
        <v>2949</v>
      </c>
      <c r="G32" s="663">
        <v>99798</v>
      </c>
      <c r="H32" s="172">
        <v>-5.7032711604966271E-2</v>
      </c>
      <c r="I32" s="198">
        <v>12195</v>
      </c>
      <c r="K32" s="140"/>
    </row>
    <row r="33" spans="1:11" ht="20" customHeight="1" thickBot="1">
      <c r="A33" s="655" t="s">
        <v>255</v>
      </c>
      <c r="B33" s="197">
        <v>8734</v>
      </c>
      <c r="C33" s="198">
        <v>1956</v>
      </c>
      <c r="D33" s="197">
        <v>807</v>
      </c>
      <c r="E33" s="198">
        <v>929</v>
      </c>
      <c r="F33" s="197">
        <v>864</v>
      </c>
      <c r="G33" s="663">
        <v>13290</v>
      </c>
      <c r="H33" s="172">
        <v>-8.6528420110398331E-3</v>
      </c>
      <c r="I33" s="198">
        <v>1292</v>
      </c>
      <c r="J33" s="10"/>
      <c r="K33" s="140"/>
    </row>
    <row r="34" spans="1:11" ht="30" customHeight="1" thickBot="1">
      <c r="A34" s="259" t="s">
        <v>256</v>
      </c>
      <c r="B34" s="258">
        <v>723598</v>
      </c>
      <c r="C34" s="259">
        <v>203103</v>
      </c>
      <c r="D34" s="258">
        <v>100099</v>
      </c>
      <c r="E34" s="259">
        <v>120609</v>
      </c>
      <c r="F34" s="258">
        <v>68580</v>
      </c>
      <c r="G34" s="259">
        <v>1215989</v>
      </c>
      <c r="H34" s="173">
        <v>-2.3987960268887328E-2</v>
      </c>
      <c r="I34" s="259">
        <v>100943</v>
      </c>
      <c r="K34" s="140"/>
    </row>
    <row r="35" spans="1:11" ht="19.5" customHeight="1">
      <c r="A35" s="660" t="s">
        <v>1151</v>
      </c>
      <c r="B35" s="223"/>
      <c r="C35" s="223"/>
      <c r="D35" s="223"/>
      <c r="E35" s="223"/>
      <c r="F35" s="223"/>
      <c r="G35" s="223"/>
      <c r="H35" s="223"/>
      <c r="I35" s="223"/>
    </row>
    <row r="36" spans="1:11" ht="13.5" customHeight="1">
      <c r="A36" s="661"/>
      <c r="B36" s="225"/>
      <c r="C36" s="225"/>
      <c r="D36" s="225"/>
      <c r="E36" s="225"/>
      <c r="F36" s="225"/>
      <c r="G36" s="225"/>
      <c r="H36" s="225"/>
      <c r="I36" s="225"/>
    </row>
    <row r="37" spans="1:11" ht="15.75" customHeight="1">
      <c r="A37" s="661" t="s">
        <v>1120</v>
      </c>
      <c r="B37" s="225"/>
      <c r="C37" s="225"/>
      <c r="D37" s="225"/>
      <c r="E37" s="225"/>
      <c r="F37" s="225"/>
      <c r="G37" s="225"/>
      <c r="H37" s="225"/>
      <c r="I37" s="225"/>
    </row>
    <row r="38" spans="1:11" ht="13.5" customHeight="1">
      <c r="A38" s="661"/>
      <c r="B38" s="225"/>
      <c r="C38" s="225"/>
      <c r="D38" s="225"/>
      <c r="E38" s="225"/>
      <c r="F38" s="225"/>
      <c r="G38" s="225"/>
      <c r="H38" s="225"/>
      <c r="I38" s="225"/>
    </row>
    <row r="39" spans="1:11" ht="11.25" customHeight="1">
      <c r="A39" s="4" t="s">
        <v>1121</v>
      </c>
      <c r="B39" s="225"/>
      <c r="C39" s="225"/>
      <c r="D39" s="225"/>
      <c r="E39" s="225"/>
      <c r="F39" s="225"/>
      <c r="G39" s="225"/>
      <c r="H39" s="225"/>
      <c r="I39" s="225"/>
    </row>
    <row r="40" spans="1:11">
      <c r="A40" s="507" t="s">
        <v>1122</v>
      </c>
    </row>
    <row r="43" spans="1:11">
      <c r="A43" s="2" t="s">
        <v>128</v>
      </c>
    </row>
  </sheetData>
  <mergeCells count="1">
    <mergeCell ref="B3:F3"/>
  </mergeCells>
  <phoneticPr fontId="0" type="noConversion"/>
  <pageMargins left="0.65" right="0.72" top="0.92" bottom="0.49" header="0.52" footer="0.4921259845"/>
  <pageSetup paperSize="9" scale="83" orientation="portrait" horizontalDpi="1200" verticalDpi="1200"/>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9CD38-85EC-BC44-8E69-CCA927FE4E9F}">
  <sheetPr>
    <pageSetUpPr fitToPage="1"/>
  </sheetPr>
  <dimension ref="A1:I42"/>
  <sheetViews>
    <sheetView zoomScale="75" workbookViewId="0">
      <selection activeCell="A20" sqref="A20"/>
    </sheetView>
  </sheetViews>
  <sheetFormatPr baseColWidth="10" defaultColWidth="11.3984375" defaultRowHeight="13"/>
  <cols>
    <col min="1" max="8" width="12.19921875" style="2" customWidth="1"/>
    <col min="9" max="9" width="13" style="2" customWidth="1"/>
    <col min="10" max="16384" width="11.3984375" style="2"/>
  </cols>
  <sheetData>
    <row r="1" spans="1:9" s="1" customFormat="1" ht="14" customHeight="1"/>
    <row r="2" spans="1:9" s="1" customFormat="1" ht="28" customHeight="1">
      <c r="A2" s="124" t="s">
        <v>1138</v>
      </c>
      <c r="I2" s="192">
        <v>2005</v>
      </c>
    </row>
    <row r="3" spans="1:9" ht="24" customHeight="1">
      <c r="A3" s="125" t="s">
        <v>222</v>
      </c>
      <c r="B3" s="504" t="s">
        <v>1125</v>
      </c>
      <c r="C3" s="127"/>
      <c r="D3" s="126"/>
      <c r="E3" s="125"/>
      <c r="F3" s="504"/>
      <c r="G3" s="127"/>
      <c r="H3" s="504"/>
      <c r="I3" s="269" t="s">
        <v>1106</v>
      </c>
    </row>
    <row r="4" spans="1:9" ht="15" customHeight="1">
      <c r="A4" s="212"/>
      <c r="B4" s="129" t="s">
        <v>1126</v>
      </c>
      <c r="C4" s="213" t="s">
        <v>1127</v>
      </c>
      <c r="D4" s="155" t="s">
        <v>1128</v>
      </c>
      <c r="E4" s="213" t="s">
        <v>1129</v>
      </c>
      <c r="F4" s="155" t="s">
        <v>1130</v>
      </c>
      <c r="G4" s="213" t="s">
        <v>1272</v>
      </c>
      <c r="H4" s="155" t="s">
        <v>1131</v>
      </c>
      <c r="I4" s="614" t="s">
        <v>43</v>
      </c>
    </row>
    <row r="5" spans="1:9" ht="15" customHeight="1">
      <c r="A5" s="212"/>
      <c r="B5" s="129" t="s">
        <v>948</v>
      </c>
      <c r="C5" s="131" t="s">
        <v>1132</v>
      </c>
      <c r="D5" s="129" t="s">
        <v>1133</v>
      </c>
      <c r="E5" s="131" t="s">
        <v>1134</v>
      </c>
      <c r="F5" s="155" t="s">
        <v>1135</v>
      </c>
      <c r="G5" s="213" t="s">
        <v>1135</v>
      </c>
      <c r="H5" s="155" t="s">
        <v>1136</v>
      </c>
      <c r="I5" s="614"/>
    </row>
    <row r="6" spans="1:9" ht="15" customHeight="1">
      <c r="A6" s="212"/>
      <c r="B6" s="129"/>
      <c r="C6" s="131"/>
      <c r="D6" s="129"/>
      <c r="E6" s="131"/>
      <c r="F6" s="155"/>
      <c r="G6" s="213"/>
      <c r="H6" s="155" t="s">
        <v>1137</v>
      </c>
      <c r="I6" s="614"/>
    </row>
    <row r="7" spans="1:9" ht="16" customHeight="1">
      <c r="A7" s="214"/>
      <c r="B7" s="135"/>
      <c r="C7" s="134"/>
      <c r="D7" s="135"/>
      <c r="E7" s="134"/>
      <c r="F7" s="156"/>
      <c r="G7" s="215"/>
      <c r="H7" s="156"/>
      <c r="I7" s="616"/>
    </row>
    <row r="8" spans="1:9" ht="30" customHeight="1" thickBot="1">
      <c r="A8" s="654" t="s">
        <v>230</v>
      </c>
      <c r="B8" s="138">
        <v>31423</v>
      </c>
      <c r="C8" s="139">
        <v>104482</v>
      </c>
      <c r="D8" s="138">
        <v>58502</v>
      </c>
      <c r="E8" s="139">
        <v>35922</v>
      </c>
      <c r="F8" s="138">
        <v>20700</v>
      </c>
      <c r="G8" s="139">
        <v>8500</v>
      </c>
      <c r="H8" s="138">
        <v>575</v>
      </c>
      <c r="I8" s="662">
        <v>260104</v>
      </c>
    </row>
    <row r="9" spans="1:9" ht="20" customHeight="1" thickBot="1">
      <c r="A9" s="655" t="s">
        <v>231</v>
      </c>
      <c r="B9" s="197">
        <v>34515</v>
      </c>
      <c r="C9" s="198">
        <v>35748</v>
      </c>
      <c r="D9" s="197">
        <v>43279</v>
      </c>
      <c r="E9" s="198">
        <v>15036</v>
      </c>
      <c r="F9" s="197">
        <v>10092</v>
      </c>
      <c r="G9" s="198">
        <v>6274</v>
      </c>
      <c r="H9" s="197" t="s">
        <v>695</v>
      </c>
      <c r="I9" s="663">
        <v>144944</v>
      </c>
    </row>
    <row r="10" spans="1:9" ht="20" customHeight="1" thickBot="1">
      <c r="A10" s="655" t="s">
        <v>232</v>
      </c>
      <c r="B10" s="197">
        <v>7421</v>
      </c>
      <c r="C10" s="198">
        <v>8538</v>
      </c>
      <c r="D10" s="197">
        <v>18204</v>
      </c>
      <c r="E10" s="198">
        <v>18522</v>
      </c>
      <c r="F10" s="197">
        <v>4149</v>
      </c>
      <c r="G10" s="198">
        <v>5068</v>
      </c>
      <c r="H10" s="197" t="s">
        <v>695</v>
      </c>
      <c r="I10" s="663">
        <v>61902</v>
      </c>
    </row>
    <row r="11" spans="1:9" ht="20" customHeight="1" thickBot="1">
      <c r="A11" s="655" t="s">
        <v>233</v>
      </c>
      <c r="B11" s="197">
        <v>955</v>
      </c>
      <c r="C11" s="198">
        <v>1002</v>
      </c>
      <c r="D11" s="197">
        <v>1720</v>
      </c>
      <c r="E11" s="198">
        <v>1460</v>
      </c>
      <c r="F11" s="197">
        <v>398</v>
      </c>
      <c r="G11" s="198">
        <v>419</v>
      </c>
      <c r="H11" s="197" t="s">
        <v>695</v>
      </c>
      <c r="I11" s="663">
        <v>5954</v>
      </c>
    </row>
    <row r="12" spans="1:9" ht="20" customHeight="1" thickBot="1">
      <c r="A12" s="655" t="s">
        <v>234</v>
      </c>
      <c r="B12" s="197">
        <v>1478</v>
      </c>
      <c r="C12" s="198">
        <v>2233</v>
      </c>
      <c r="D12" s="197">
        <v>6144</v>
      </c>
      <c r="E12" s="198">
        <v>2197</v>
      </c>
      <c r="F12" s="197">
        <v>1213</v>
      </c>
      <c r="G12" s="198">
        <v>925</v>
      </c>
      <c r="H12" s="197">
        <v>3931</v>
      </c>
      <c r="I12" s="663">
        <v>18121</v>
      </c>
    </row>
    <row r="13" spans="1:9" ht="20" customHeight="1" thickBot="1">
      <c r="A13" s="655" t="s">
        <v>235</v>
      </c>
      <c r="B13" s="197">
        <v>1402</v>
      </c>
      <c r="C13" s="198">
        <v>1757</v>
      </c>
      <c r="D13" s="197">
        <v>3121</v>
      </c>
      <c r="E13" s="198">
        <v>1244</v>
      </c>
      <c r="F13" s="197">
        <v>437</v>
      </c>
      <c r="G13" s="198">
        <v>176</v>
      </c>
      <c r="H13" s="197" t="s">
        <v>695</v>
      </c>
      <c r="I13" s="663">
        <v>8137</v>
      </c>
    </row>
    <row r="14" spans="1:9" ht="20" customHeight="1" thickBot="1">
      <c r="A14" s="655" t="s">
        <v>236</v>
      </c>
      <c r="B14" s="197">
        <v>1380</v>
      </c>
      <c r="C14" s="198">
        <v>1708</v>
      </c>
      <c r="D14" s="197">
        <v>2220</v>
      </c>
      <c r="E14" s="198">
        <v>416</v>
      </c>
      <c r="F14" s="197">
        <v>81</v>
      </c>
      <c r="G14" s="198">
        <v>69</v>
      </c>
      <c r="H14" s="197" t="s">
        <v>695</v>
      </c>
      <c r="I14" s="663">
        <v>5874</v>
      </c>
    </row>
    <row r="15" spans="1:9" ht="20" customHeight="1" thickBot="1">
      <c r="A15" s="655" t="s">
        <v>237</v>
      </c>
      <c r="B15" s="197">
        <v>774</v>
      </c>
      <c r="C15" s="198">
        <v>1250</v>
      </c>
      <c r="D15" s="197">
        <v>2348</v>
      </c>
      <c r="E15" s="198">
        <v>616</v>
      </c>
      <c r="F15" s="197">
        <v>162</v>
      </c>
      <c r="G15" s="198">
        <v>204</v>
      </c>
      <c r="H15" s="197" t="s">
        <v>695</v>
      </c>
      <c r="I15" s="663">
        <v>5354</v>
      </c>
    </row>
    <row r="16" spans="1:9" ht="20" customHeight="1" thickBot="1">
      <c r="A16" s="655" t="s">
        <v>238</v>
      </c>
      <c r="B16" s="197">
        <v>2388</v>
      </c>
      <c r="C16" s="198">
        <v>2570</v>
      </c>
      <c r="D16" s="197">
        <v>6922</v>
      </c>
      <c r="E16" s="198">
        <v>2962</v>
      </c>
      <c r="F16" s="197">
        <v>874</v>
      </c>
      <c r="G16" s="198">
        <v>797</v>
      </c>
      <c r="H16" s="197" t="s">
        <v>695</v>
      </c>
      <c r="I16" s="663">
        <v>16513</v>
      </c>
    </row>
    <row r="17" spans="1:9" ht="20" customHeight="1" thickBot="1">
      <c r="A17" s="655" t="s">
        <v>239</v>
      </c>
      <c r="B17" s="197">
        <v>732</v>
      </c>
      <c r="C17" s="198">
        <v>5896</v>
      </c>
      <c r="D17" s="197">
        <v>16144</v>
      </c>
      <c r="E17" s="198">
        <v>7848</v>
      </c>
      <c r="F17" s="197">
        <v>2759</v>
      </c>
      <c r="G17" s="198">
        <v>3410</v>
      </c>
      <c r="H17" s="197" t="s">
        <v>695</v>
      </c>
      <c r="I17" s="663">
        <v>36789</v>
      </c>
    </row>
    <row r="18" spans="1:9" ht="20" customHeight="1" thickBot="1">
      <c r="A18" s="655" t="s">
        <v>240</v>
      </c>
      <c r="B18" s="197">
        <v>2144</v>
      </c>
      <c r="C18" s="198">
        <v>4952</v>
      </c>
      <c r="D18" s="197">
        <v>8987</v>
      </c>
      <c r="E18" s="198">
        <v>5770</v>
      </c>
      <c r="F18" s="197">
        <v>2320</v>
      </c>
      <c r="G18" s="198">
        <v>1722</v>
      </c>
      <c r="H18" s="197" t="s">
        <v>695</v>
      </c>
      <c r="I18" s="663">
        <v>25895</v>
      </c>
    </row>
    <row r="19" spans="1:9" ht="20" customHeight="1" thickBot="1">
      <c r="A19" s="655" t="s">
        <v>241</v>
      </c>
      <c r="B19" s="197">
        <v>2241</v>
      </c>
      <c r="C19" s="198">
        <v>2738</v>
      </c>
      <c r="D19" s="197">
        <v>4440</v>
      </c>
      <c r="E19" s="198">
        <v>5253</v>
      </c>
      <c r="F19" s="197">
        <v>4558</v>
      </c>
      <c r="G19" s="198">
        <v>11442</v>
      </c>
      <c r="H19" s="197" t="s">
        <v>695</v>
      </c>
      <c r="I19" s="663">
        <v>30672</v>
      </c>
    </row>
    <row r="20" spans="1:9" ht="20" customHeight="1" thickBot="1">
      <c r="A20" s="655" t="s">
        <v>242</v>
      </c>
      <c r="B20" s="159">
        <v>8550</v>
      </c>
      <c r="C20" s="219">
        <v>9904</v>
      </c>
      <c r="D20" s="197">
        <v>19956</v>
      </c>
      <c r="E20" s="198">
        <v>4584</v>
      </c>
      <c r="F20" s="159">
        <v>1575</v>
      </c>
      <c r="G20" s="219">
        <v>613</v>
      </c>
      <c r="H20" s="159" t="s">
        <v>695</v>
      </c>
      <c r="I20" s="663">
        <v>45182</v>
      </c>
    </row>
    <row r="21" spans="1:9" ht="20" customHeight="1" thickBot="1">
      <c r="A21" s="655" t="s">
        <v>243</v>
      </c>
      <c r="B21" s="197">
        <v>1401</v>
      </c>
      <c r="C21" s="198">
        <v>1437</v>
      </c>
      <c r="D21" s="197">
        <v>4718</v>
      </c>
      <c r="E21" s="198">
        <v>1600</v>
      </c>
      <c r="F21" s="197">
        <v>927</v>
      </c>
      <c r="G21" s="198">
        <v>740</v>
      </c>
      <c r="H21" s="197" t="s">
        <v>695</v>
      </c>
      <c r="I21" s="663">
        <v>10823</v>
      </c>
    </row>
    <row r="22" spans="1:9" ht="20" customHeight="1" thickBot="1">
      <c r="A22" s="655" t="s">
        <v>244</v>
      </c>
      <c r="B22" s="197">
        <v>305</v>
      </c>
      <c r="C22" s="198">
        <v>354</v>
      </c>
      <c r="D22" s="197">
        <v>677</v>
      </c>
      <c r="E22" s="198">
        <v>1882</v>
      </c>
      <c r="F22" s="197">
        <v>570</v>
      </c>
      <c r="G22" s="198">
        <v>1270</v>
      </c>
      <c r="H22" s="197" t="s">
        <v>695</v>
      </c>
      <c r="I22" s="663">
        <v>5058</v>
      </c>
    </row>
    <row r="23" spans="1:9" ht="20" customHeight="1" thickBot="1">
      <c r="A23" s="655" t="s">
        <v>245</v>
      </c>
      <c r="B23" s="197">
        <v>568</v>
      </c>
      <c r="C23" s="198">
        <v>463</v>
      </c>
      <c r="D23" s="197">
        <v>622</v>
      </c>
      <c r="E23" s="198">
        <v>215</v>
      </c>
      <c r="F23" s="197">
        <v>61</v>
      </c>
      <c r="G23" s="198">
        <v>228</v>
      </c>
      <c r="H23" s="197" t="s">
        <v>695</v>
      </c>
      <c r="I23" s="663">
        <v>2157</v>
      </c>
    </row>
    <row r="24" spans="1:9" ht="20" customHeight="1" thickBot="1">
      <c r="A24" s="655" t="s">
        <v>246</v>
      </c>
      <c r="B24" s="197">
        <v>12164</v>
      </c>
      <c r="C24" s="198">
        <v>10138</v>
      </c>
      <c r="D24" s="197">
        <v>32533</v>
      </c>
      <c r="E24" s="198">
        <v>6628</v>
      </c>
      <c r="F24" s="197">
        <v>2852</v>
      </c>
      <c r="G24" s="198">
        <v>2650</v>
      </c>
      <c r="H24" s="197" t="s">
        <v>695</v>
      </c>
      <c r="I24" s="663">
        <v>66965</v>
      </c>
    </row>
    <row r="25" spans="1:9" ht="20" customHeight="1" thickBot="1">
      <c r="A25" s="655" t="s">
        <v>247</v>
      </c>
      <c r="B25" s="197">
        <v>3697</v>
      </c>
      <c r="C25" s="198">
        <v>5503</v>
      </c>
      <c r="D25" s="197">
        <v>8154</v>
      </c>
      <c r="E25" s="198">
        <v>8425</v>
      </c>
      <c r="F25" s="197">
        <v>1995</v>
      </c>
      <c r="G25" s="198">
        <v>1850</v>
      </c>
      <c r="H25" s="197" t="s">
        <v>695</v>
      </c>
      <c r="I25" s="663">
        <v>29624</v>
      </c>
    </row>
    <row r="26" spans="1:9" ht="20" customHeight="1" thickBot="1">
      <c r="A26" s="655" t="s">
        <v>248</v>
      </c>
      <c r="B26" s="197">
        <v>6366</v>
      </c>
      <c r="C26" s="198">
        <v>7715</v>
      </c>
      <c r="D26" s="197">
        <v>16256</v>
      </c>
      <c r="E26" s="198">
        <v>16283</v>
      </c>
      <c r="F26" s="197">
        <v>4548</v>
      </c>
      <c r="G26" s="198">
        <v>5379</v>
      </c>
      <c r="H26" s="197" t="s">
        <v>695</v>
      </c>
      <c r="I26" s="663">
        <v>56547</v>
      </c>
    </row>
    <row r="27" spans="1:9" ht="20" customHeight="1" thickBot="1">
      <c r="A27" s="655" t="s">
        <v>249</v>
      </c>
      <c r="B27" s="197">
        <v>6507</v>
      </c>
      <c r="C27" s="198">
        <v>14961</v>
      </c>
      <c r="D27" s="197">
        <v>30210</v>
      </c>
      <c r="E27" s="198">
        <v>4744</v>
      </c>
      <c r="F27" s="197">
        <v>925</v>
      </c>
      <c r="G27" s="198">
        <v>262</v>
      </c>
      <c r="H27" s="197" t="s">
        <v>695</v>
      </c>
      <c r="I27" s="663">
        <v>57609</v>
      </c>
    </row>
    <row r="28" spans="1:9" ht="20" customHeight="1" thickBot="1">
      <c r="A28" s="655" t="s">
        <v>250</v>
      </c>
      <c r="B28" s="197">
        <v>3281</v>
      </c>
      <c r="C28" s="198">
        <v>5094</v>
      </c>
      <c r="D28" s="197">
        <v>14292</v>
      </c>
      <c r="E28" s="198">
        <v>24235</v>
      </c>
      <c r="F28" s="197">
        <v>4200</v>
      </c>
      <c r="G28" s="198">
        <v>9268</v>
      </c>
      <c r="H28" s="197" t="s">
        <v>695</v>
      </c>
      <c r="I28" s="663">
        <v>60370</v>
      </c>
    </row>
    <row r="29" spans="1:9" ht="20" customHeight="1" thickBot="1">
      <c r="A29" s="655" t="s">
        <v>251</v>
      </c>
      <c r="B29" s="197">
        <v>8237</v>
      </c>
      <c r="C29" s="198">
        <v>5971</v>
      </c>
      <c r="D29" s="197">
        <v>11228</v>
      </c>
      <c r="E29" s="198">
        <v>9834</v>
      </c>
      <c r="F29" s="197">
        <v>26058</v>
      </c>
      <c r="G29" s="198">
        <v>13524</v>
      </c>
      <c r="H29" s="197" t="s">
        <v>695</v>
      </c>
      <c r="I29" s="663">
        <v>74852</v>
      </c>
    </row>
    <row r="30" spans="1:9" ht="20" customHeight="1" thickBot="1">
      <c r="A30" s="655" t="s">
        <v>252</v>
      </c>
      <c r="B30" s="197">
        <v>46</v>
      </c>
      <c r="C30" s="198">
        <v>4277</v>
      </c>
      <c r="D30" s="197">
        <v>16534</v>
      </c>
      <c r="E30" s="198">
        <v>15317</v>
      </c>
      <c r="F30" s="197">
        <v>2998</v>
      </c>
      <c r="G30" s="198">
        <v>4943</v>
      </c>
      <c r="H30" s="197" t="s">
        <v>695</v>
      </c>
      <c r="I30" s="663">
        <v>44115</v>
      </c>
    </row>
    <row r="31" spans="1:9" ht="20" customHeight="1" thickBot="1">
      <c r="A31" s="655" t="s">
        <v>253</v>
      </c>
      <c r="B31" s="197">
        <v>6814</v>
      </c>
      <c r="C31" s="198">
        <v>4065</v>
      </c>
      <c r="D31" s="197">
        <v>4662</v>
      </c>
      <c r="E31" s="198">
        <v>2786</v>
      </c>
      <c r="F31" s="197">
        <v>7961</v>
      </c>
      <c r="G31" s="198">
        <v>3052</v>
      </c>
      <c r="H31" s="197" t="s">
        <v>695</v>
      </c>
      <c r="I31" s="663">
        <v>29340</v>
      </c>
    </row>
    <row r="32" spans="1:9" ht="20" customHeight="1" thickBot="1">
      <c r="A32" s="655" t="s">
        <v>254</v>
      </c>
      <c r="B32" s="197">
        <v>21560</v>
      </c>
      <c r="C32" s="198">
        <v>26195</v>
      </c>
      <c r="D32" s="197">
        <v>13011</v>
      </c>
      <c r="E32" s="198">
        <v>7797</v>
      </c>
      <c r="F32" s="197">
        <v>14854</v>
      </c>
      <c r="G32" s="198">
        <v>15650</v>
      </c>
      <c r="H32" s="197">
        <v>731</v>
      </c>
      <c r="I32" s="663">
        <v>99798</v>
      </c>
    </row>
    <row r="33" spans="1:9" ht="20" customHeight="1" thickBot="1">
      <c r="A33" s="655" t="s">
        <v>255</v>
      </c>
      <c r="B33" s="197">
        <v>2691</v>
      </c>
      <c r="C33" s="198">
        <v>2402</v>
      </c>
      <c r="D33" s="197">
        <v>3392</v>
      </c>
      <c r="E33" s="198">
        <v>1086</v>
      </c>
      <c r="F33" s="197">
        <v>2786</v>
      </c>
      <c r="G33" s="198">
        <v>933</v>
      </c>
      <c r="H33" s="197" t="s">
        <v>695</v>
      </c>
      <c r="I33" s="663">
        <v>13290</v>
      </c>
    </row>
    <row r="34" spans="1:9" ht="30" customHeight="1" thickBot="1">
      <c r="A34" s="259" t="s">
        <v>256</v>
      </c>
      <c r="B34" s="258">
        <v>169040</v>
      </c>
      <c r="C34" s="259">
        <v>271353</v>
      </c>
      <c r="D34" s="258">
        <v>348276</v>
      </c>
      <c r="E34" s="259">
        <v>202662</v>
      </c>
      <c r="F34" s="258">
        <v>120053</v>
      </c>
      <c r="G34" s="259">
        <v>99368</v>
      </c>
      <c r="H34" s="258">
        <v>5237</v>
      </c>
      <c r="I34" s="259">
        <v>1215989</v>
      </c>
    </row>
    <row r="35" spans="1:9" ht="20" customHeight="1">
      <c r="A35" s="660" t="s">
        <v>1151</v>
      </c>
      <c r="B35" s="223"/>
      <c r="C35" s="223"/>
      <c r="D35" s="223"/>
      <c r="E35" s="223"/>
      <c r="F35" s="223"/>
      <c r="G35" s="223"/>
      <c r="H35" s="223"/>
      <c r="I35" s="223"/>
    </row>
    <row r="36" spans="1:9" ht="14.25" customHeight="1">
      <c r="A36" s="661"/>
      <c r="B36" s="225"/>
      <c r="C36" s="225"/>
      <c r="D36" s="225"/>
      <c r="E36" s="225"/>
      <c r="F36" s="225"/>
      <c r="G36" s="225"/>
      <c r="H36" s="225"/>
      <c r="I36" s="225"/>
    </row>
    <row r="37" spans="1:9" ht="20" customHeight="1">
      <c r="A37" s="661" t="s">
        <v>1120</v>
      </c>
      <c r="B37" s="225"/>
      <c r="C37" s="225"/>
      <c r="D37" s="225"/>
      <c r="E37" s="225"/>
      <c r="F37" s="225"/>
      <c r="G37" s="225"/>
      <c r="H37" s="225"/>
      <c r="I37" s="225"/>
    </row>
    <row r="38" spans="1:9" ht="13.5" customHeight="1">
      <c r="A38" s="661"/>
      <c r="B38" s="225"/>
      <c r="C38" s="225"/>
      <c r="D38" s="225"/>
      <c r="E38" s="225"/>
      <c r="F38" s="225"/>
      <c r="G38" s="225"/>
      <c r="H38" s="225"/>
      <c r="I38" s="225"/>
    </row>
    <row r="39" spans="1:9" ht="11.25" customHeight="1">
      <c r="A39" s="4" t="s">
        <v>1121</v>
      </c>
      <c r="B39" s="225"/>
      <c r="C39" s="225"/>
      <c r="D39" s="225"/>
      <c r="E39" s="225"/>
      <c r="F39" s="225"/>
      <c r="G39" s="225"/>
      <c r="H39" s="225"/>
      <c r="I39" s="225"/>
    </row>
    <row r="40" spans="1:9" ht="11.25" customHeight="1">
      <c r="A40" s="4"/>
      <c r="B40" s="225"/>
      <c r="C40" s="225"/>
      <c r="D40" s="225"/>
      <c r="E40" s="225"/>
      <c r="F40" s="225"/>
      <c r="G40" s="225"/>
      <c r="H40" s="225"/>
      <c r="I40" s="225"/>
    </row>
    <row r="41" spans="1:9" ht="11.25" customHeight="1">
      <c r="A41" s="4"/>
      <c r="B41" s="225"/>
      <c r="C41" s="225"/>
      <c r="D41" s="225"/>
      <c r="E41" s="225"/>
      <c r="F41" s="225"/>
      <c r="G41" s="225"/>
      <c r="H41" s="225"/>
      <c r="I41" s="225"/>
    </row>
    <row r="42" spans="1:9">
      <c r="A42" s="401" t="s">
        <v>128</v>
      </c>
    </row>
  </sheetData>
  <phoneticPr fontId="0" type="noConversion"/>
  <pageMargins left="0.6" right="0.69" top="0.83" bottom="0.49" header="0.51" footer="0.4921259845"/>
  <pageSetup paperSize="9" scale="81" orientation="portrait" horizontalDpi="4294967292" verticalDpi="4294967292"/>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A71C2-55DE-0D43-9D77-4694A69A2347}">
  <sheetPr>
    <pageSetUpPr fitToPage="1"/>
  </sheetPr>
  <dimension ref="A1:I42"/>
  <sheetViews>
    <sheetView zoomScale="75" workbookViewId="0">
      <selection activeCell="J11" sqref="J11"/>
    </sheetView>
  </sheetViews>
  <sheetFormatPr baseColWidth="10" defaultColWidth="11.3984375" defaultRowHeight="13"/>
  <cols>
    <col min="1" max="9" width="13.3984375" style="2" customWidth="1"/>
    <col min="10" max="10" width="16.19921875" style="2" customWidth="1"/>
    <col min="11" max="16384" width="11.3984375" style="2"/>
  </cols>
  <sheetData>
    <row r="1" spans="1:9" s="1" customFormat="1" ht="14" customHeight="1"/>
    <row r="2" spans="1:9" s="1" customFormat="1" ht="28" customHeight="1">
      <c r="A2" s="124" t="s">
        <v>1150</v>
      </c>
      <c r="I2" s="192">
        <v>2005</v>
      </c>
    </row>
    <row r="3" spans="1:9" ht="24" customHeight="1">
      <c r="A3" s="125" t="s">
        <v>222</v>
      </c>
      <c r="B3" s="504"/>
      <c r="C3" s="127"/>
      <c r="D3" s="504" t="s">
        <v>1139</v>
      </c>
      <c r="E3" s="125"/>
      <c r="F3" s="504"/>
      <c r="G3" s="127"/>
      <c r="H3" s="504"/>
      <c r="I3" s="127"/>
    </row>
    <row r="4" spans="1:9" ht="15" customHeight="1">
      <c r="A4" s="212"/>
      <c r="B4" s="505" t="s">
        <v>1140</v>
      </c>
      <c r="C4" s="213"/>
      <c r="D4" s="155"/>
      <c r="E4" s="213"/>
      <c r="F4" s="664" t="s">
        <v>1141</v>
      </c>
      <c r="G4" s="213"/>
      <c r="H4" s="155"/>
      <c r="I4" s="131"/>
    </row>
    <row r="5" spans="1:9" ht="15" customHeight="1">
      <c r="A5" s="212"/>
      <c r="B5" s="129" t="s">
        <v>1142</v>
      </c>
      <c r="C5" s="131" t="s">
        <v>1143</v>
      </c>
      <c r="D5" s="129" t="s">
        <v>1144</v>
      </c>
      <c r="E5" s="131" t="s">
        <v>1145</v>
      </c>
      <c r="F5" s="155" t="s">
        <v>1142</v>
      </c>
      <c r="G5" s="213" t="s">
        <v>1143</v>
      </c>
      <c r="H5" s="155" t="s">
        <v>1144</v>
      </c>
      <c r="I5" s="131" t="s">
        <v>1145</v>
      </c>
    </row>
    <row r="6" spans="1:9" ht="31" customHeight="1">
      <c r="A6" s="214"/>
      <c r="B6" s="135" t="s">
        <v>223</v>
      </c>
      <c r="C6" s="134"/>
      <c r="D6" s="135"/>
      <c r="E6" s="134"/>
      <c r="F6" s="156" t="s">
        <v>223</v>
      </c>
      <c r="G6" s="215"/>
      <c r="H6" s="156"/>
      <c r="I6" s="134"/>
    </row>
    <row r="7" spans="1:9" ht="30" customHeight="1" thickBot="1">
      <c r="A7" s="665" t="s">
        <v>230</v>
      </c>
      <c r="B7" s="248">
        <v>36000</v>
      </c>
      <c r="C7" s="249">
        <v>47500</v>
      </c>
      <c r="D7" s="248">
        <v>47500</v>
      </c>
      <c r="E7" s="249">
        <v>47500</v>
      </c>
      <c r="F7" s="666">
        <v>47500</v>
      </c>
      <c r="G7" s="249">
        <v>47500</v>
      </c>
      <c r="H7" s="248">
        <v>47500</v>
      </c>
      <c r="I7" s="249">
        <v>47500</v>
      </c>
    </row>
    <row r="8" spans="1:9" ht="20" customHeight="1" thickBot="1">
      <c r="A8" s="655" t="s">
        <v>231</v>
      </c>
      <c r="B8" s="197">
        <v>35200</v>
      </c>
      <c r="C8" s="198">
        <v>47200</v>
      </c>
      <c r="D8" s="197">
        <v>55700</v>
      </c>
      <c r="E8" s="198">
        <v>64200</v>
      </c>
      <c r="F8" s="667">
        <v>49000</v>
      </c>
      <c r="G8" s="198">
        <v>57500</v>
      </c>
      <c r="H8" s="197">
        <v>66000</v>
      </c>
      <c r="I8" s="198">
        <v>74500</v>
      </c>
    </row>
    <row r="9" spans="1:9" ht="20" customHeight="1" thickBot="1">
      <c r="A9" s="655" t="s">
        <v>232</v>
      </c>
      <c r="B9" s="197">
        <v>29400</v>
      </c>
      <c r="C9" s="198">
        <v>36960</v>
      </c>
      <c r="D9" s="197">
        <v>44520</v>
      </c>
      <c r="E9" s="198">
        <v>52080</v>
      </c>
      <c r="F9" s="667">
        <v>59400</v>
      </c>
      <c r="G9" s="198">
        <v>66960</v>
      </c>
      <c r="H9" s="197">
        <v>74520</v>
      </c>
      <c r="I9" s="198">
        <v>82080</v>
      </c>
    </row>
    <row r="10" spans="1:9" ht="20" customHeight="1" thickBot="1">
      <c r="A10" s="655" t="s">
        <v>233</v>
      </c>
      <c r="B10" s="197">
        <v>25500</v>
      </c>
      <c r="C10" s="198">
        <v>32700</v>
      </c>
      <c r="D10" s="197">
        <v>40000</v>
      </c>
      <c r="E10" s="198">
        <v>47200</v>
      </c>
      <c r="F10" s="667">
        <v>51600</v>
      </c>
      <c r="G10" s="198">
        <v>58800</v>
      </c>
      <c r="H10" s="197">
        <v>65000</v>
      </c>
      <c r="I10" s="198">
        <v>65000</v>
      </c>
    </row>
    <row r="11" spans="1:9" ht="20" customHeight="1" thickBot="1">
      <c r="A11" s="655" t="s">
        <v>234</v>
      </c>
      <c r="B11" s="197">
        <v>28320</v>
      </c>
      <c r="C11" s="198">
        <v>45000</v>
      </c>
      <c r="D11" s="197">
        <v>52500</v>
      </c>
      <c r="E11" s="198">
        <v>60997</v>
      </c>
      <c r="F11" s="667">
        <v>40000</v>
      </c>
      <c r="G11" s="198">
        <v>67965</v>
      </c>
      <c r="H11" s="197">
        <v>76500</v>
      </c>
      <c r="I11" s="198">
        <v>81000</v>
      </c>
    </row>
    <row r="12" spans="1:9" ht="20" customHeight="1" thickBot="1">
      <c r="A12" s="655" t="s">
        <v>235</v>
      </c>
      <c r="B12" s="197">
        <v>34000</v>
      </c>
      <c r="C12" s="198">
        <v>43100</v>
      </c>
      <c r="D12" s="197">
        <v>52200</v>
      </c>
      <c r="E12" s="198">
        <v>61300</v>
      </c>
      <c r="F12" s="667">
        <v>69500</v>
      </c>
      <c r="G12" s="198">
        <v>78600</v>
      </c>
      <c r="H12" s="197">
        <v>87700</v>
      </c>
      <c r="I12" s="198">
        <v>96800</v>
      </c>
    </row>
    <row r="13" spans="1:9" ht="20" customHeight="1" thickBot="1">
      <c r="A13" s="655" t="s">
        <v>236</v>
      </c>
      <c r="B13" s="197">
        <v>28500</v>
      </c>
      <c r="C13" s="198">
        <v>35700</v>
      </c>
      <c r="D13" s="197">
        <v>42900</v>
      </c>
      <c r="E13" s="198">
        <v>50100</v>
      </c>
      <c r="F13" s="667">
        <v>57000</v>
      </c>
      <c r="G13" s="198">
        <v>64200</v>
      </c>
      <c r="H13" s="197">
        <v>71400</v>
      </c>
      <c r="I13" s="198">
        <v>78600</v>
      </c>
    </row>
    <row r="14" spans="1:9" ht="20" customHeight="1" thickBot="1">
      <c r="A14" s="655" t="s">
        <v>237</v>
      </c>
      <c r="B14" s="197">
        <v>31600</v>
      </c>
      <c r="C14" s="198">
        <v>44500</v>
      </c>
      <c r="D14" s="197">
        <v>52600</v>
      </c>
      <c r="E14" s="198">
        <v>64700</v>
      </c>
      <c r="F14" s="667">
        <v>51800</v>
      </c>
      <c r="G14" s="198">
        <v>63200</v>
      </c>
      <c r="H14" s="197">
        <v>70000</v>
      </c>
      <c r="I14" s="198">
        <v>80100</v>
      </c>
    </row>
    <row r="15" spans="1:9" ht="20" customHeight="1" thickBot="1">
      <c r="A15" s="655" t="s">
        <v>238</v>
      </c>
      <c r="B15" s="197">
        <v>35800</v>
      </c>
      <c r="C15" s="198">
        <v>45000</v>
      </c>
      <c r="D15" s="197">
        <v>54200</v>
      </c>
      <c r="E15" s="198">
        <v>63400</v>
      </c>
      <c r="F15" s="667">
        <v>72200</v>
      </c>
      <c r="G15" s="198">
        <v>81400</v>
      </c>
      <c r="H15" s="197">
        <v>90600</v>
      </c>
      <c r="I15" s="198">
        <v>99800</v>
      </c>
    </row>
    <row r="16" spans="1:9" ht="20" customHeight="1" thickBot="1">
      <c r="A16" s="655" t="s">
        <v>239</v>
      </c>
      <c r="B16" s="197">
        <v>36800</v>
      </c>
      <c r="C16" s="198">
        <v>55200</v>
      </c>
      <c r="D16" s="197">
        <v>65200</v>
      </c>
      <c r="E16" s="198">
        <v>75200</v>
      </c>
      <c r="F16" s="667">
        <v>54600</v>
      </c>
      <c r="G16" s="198">
        <v>64600</v>
      </c>
      <c r="H16" s="197">
        <v>74600</v>
      </c>
      <c r="I16" s="198">
        <v>84600</v>
      </c>
    </row>
    <row r="17" spans="1:9" ht="20" customHeight="1" thickBot="1">
      <c r="A17" s="655" t="s">
        <v>240</v>
      </c>
      <c r="B17" s="197">
        <v>30900</v>
      </c>
      <c r="C17" s="198">
        <v>41100</v>
      </c>
      <c r="D17" s="197">
        <v>49300</v>
      </c>
      <c r="E17" s="198">
        <v>57500</v>
      </c>
      <c r="F17" s="667">
        <v>49900</v>
      </c>
      <c r="G17" s="198">
        <v>57100</v>
      </c>
      <c r="H17" s="197">
        <v>64300</v>
      </c>
      <c r="I17" s="198">
        <v>71500</v>
      </c>
    </row>
    <row r="18" spans="1:9" ht="20" customHeight="1" thickBot="1">
      <c r="A18" s="655" t="s">
        <v>241</v>
      </c>
      <c r="B18" s="197">
        <v>39000</v>
      </c>
      <c r="C18" s="198">
        <v>74000</v>
      </c>
      <c r="D18" s="197">
        <v>82000</v>
      </c>
      <c r="E18" s="198">
        <v>88000</v>
      </c>
      <c r="F18" s="667">
        <v>64000</v>
      </c>
      <c r="G18" s="198">
        <v>74000</v>
      </c>
      <c r="H18" s="197">
        <v>82000</v>
      </c>
      <c r="I18" s="198">
        <v>88000</v>
      </c>
    </row>
    <row r="19" spans="1:9" ht="20" customHeight="1" thickBot="1">
      <c r="A19" s="655" t="s">
        <v>242</v>
      </c>
      <c r="B19" s="159">
        <v>31000</v>
      </c>
      <c r="C19" s="219">
        <v>44000</v>
      </c>
      <c r="D19" s="197">
        <v>56000</v>
      </c>
      <c r="E19" s="198">
        <v>68000</v>
      </c>
      <c r="F19" s="668">
        <v>63000</v>
      </c>
      <c r="G19" s="219">
        <v>77000</v>
      </c>
      <c r="H19" s="159">
        <v>88000</v>
      </c>
      <c r="I19" s="198">
        <v>101000</v>
      </c>
    </row>
    <row r="20" spans="1:9" ht="20" customHeight="1" thickBot="1">
      <c r="A20" s="655" t="s">
        <v>243</v>
      </c>
      <c r="B20" s="197">
        <v>24420</v>
      </c>
      <c r="C20" s="198">
        <v>30920</v>
      </c>
      <c r="D20" s="197">
        <v>37420</v>
      </c>
      <c r="E20" s="198">
        <v>43920</v>
      </c>
      <c r="F20" s="667">
        <v>49100</v>
      </c>
      <c r="G20" s="198">
        <v>55600</v>
      </c>
      <c r="H20" s="197">
        <v>62100</v>
      </c>
      <c r="I20" s="198">
        <v>68600</v>
      </c>
    </row>
    <row r="21" spans="1:9" ht="20" customHeight="1" thickBot="1">
      <c r="A21" s="655" t="s">
        <v>244</v>
      </c>
      <c r="B21" s="197">
        <v>27920</v>
      </c>
      <c r="C21" s="198">
        <v>35964</v>
      </c>
      <c r="D21" s="197">
        <v>44008</v>
      </c>
      <c r="E21" s="198">
        <v>52052</v>
      </c>
      <c r="F21" s="667">
        <v>47060</v>
      </c>
      <c r="G21" s="198">
        <v>55104</v>
      </c>
      <c r="H21" s="197">
        <v>63148</v>
      </c>
      <c r="I21" s="198">
        <v>71192</v>
      </c>
    </row>
    <row r="22" spans="1:9" ht="20" customHeight="1" thickBot="1">
      <c r="A22" s="655" t="s">
        <v>245</v>
      </c>
      <c r="B22" s="197">
        <v>31100</v>
      </c>
      <c r="C22" s="198">
        <v>38800</v>
      </c>
      <c r="D22" s="197">
        <v>46400</v>
      </c>
      <c r="E22" s="198">
        <v>54100</v>
      </c>
      <c r="F22" s="667">
        <v>62100</v>
      </c>
      <c r="G22" s="198">
        <v>69800</v>
      </c>
      <c r="H22" s="197">
        <v>77500</v>
      </c>
      <c r="I22" s="198">
        <v>85200</v>
      </c>
    </row>
    <row r="23" spans="1:9" ht="20" customHeight="1" thickBot="1">
      <c r="A23" s="655" t="s">
        <v>246</v>
      </c>
      <c r="B23" s="197">
        <v>24750</v>
      </c>
      <c r="C23" s="198">
        <v>37444</v>
      </c>
      <c r="D23" s="197">
        <v>52888</v>
      </c>
      <c r="E23" s="198">
        <v>68333</v>
      </c>
      <c r="F23" s="667">
        <v>49500</v>
      </c>
      <c r="G23" s="198">
        <v>59444</v>
      </c>
      <c r="H23" s="197">
        <v>74888</v>
      </c>
      <c r="I23" s="198">
        <v>90333</v>
      </c>
    </row>
    <row r="24" spans="1:9" ht="20" customHeight="1" thickBot="1">
      <c r="A24" s="655" t="s">
        <v>247</v>
      </c>
      <c r="B24" s="197">
        <v>33000</v>
      </c>
      <c r="C24" s="198">
        <v>40000</v>
      </c>
      <c r="D24" s="197">
        <v>44000</v>
      </c>
      <c r="E24" s="198">
        <v>50000</v>
      </c>
      <c r="F24" s="667">
        <v>54000</v>
      </c>
      <c r="G24" s="198">
        <v>60000</v>
      </c>
      <c r="H24" s="197">
        <v>62000</v>
      </c>
      <c r="I24" s="198">
        <v>68000</v>
      </c>
    </row>
    <row r="25" spans="1:9" ht="20" customHeight="1" thickBot="1">
      <c r="A25" s="655" t="s">
        <v>248</v>
      </c>
      <c r="B25" s="197">
        <v>24400</v>
      </c>
      <c r="C25" s="198">
        <v>31700</v>
      </c>
      <c r="D25" s="197">
        <v>39000</v>
      </c>
      <c r="E25" s="198">
        <v>46200</v>
      </c>
      <c r="F25" s="667">
        <v>49900</v>
      </c>
      <c r="G25" s="198">
        <v>57100</v>
      </c>
      <c r="H25" s="197">
        <v>64400</v>
      </c>
      <c r="I25" s="198">
        <v>71700</v>
      </c>
    </row>
    <row r="26" spans="1:9" ht="20" customHeight="1" thickBot="1">
      <c r="A26" s="655" t="s">
        <v>249</v>
      </c>
      <c r="B26" s="197">
        <v>29800</v>
      </c>
      <c r="C26" s="198">
        <v>29800</v>
      </c>
      <c r="D26" s="197">
        <v>29800</v>
      </c>
      <c r="E26" s="198">
        <v>29800</v>
      </c>
      <c r="F26" s="667">
        <v>34800</v>
      </c>
      <c r="G26" s="198">
        <v>34800</v>
      </c>
      <c r="H26" s="197">
        <v>34800</v>
      </c>
      <c r="I26" s="198">
        <v>34800</v>
      </c>
    </row>
    <row r="27" spans="1:9" ht="20" customHeight="1" thickBot="1">
      <c r="A27" s="655" t="s">
        <v>250</v>
      </c>
      <c r="B27" s="197">
        <v>22000</v>
      </c>
      <c r="C27" s="198">
        <v>34000</v>
      </c>
      <c r="D27" s="197">
        <v>39000</v>
      </c>
      <c r="E27" s="198">
        <v>65000</v>
      </c>
      <c r="F27" s="667">
        <v>34000</v>
      </c>
      <c r="G27" s="198">
        <v>34000</v>
      </c>
      <c r="H27" s="197">
        <v>39000</v>
      </c>
      <c r="I27" s="198">
        <v>65000</v>
      </c>
    </row>
    <row r="28" spans="1:9" ht="20" customHeight="1" thickBot="1">
      <c r="A28" s="655" t="s">
        <v>251</v>
      </c>
      <c r="B28" s="197">
        <v>30000</v>
      </c>
      <c r="C28" s="198">
        <v>52000</v>
      </c>
      <c r="D28" s="197">
        <v>59000</v>
      </c>
      <c r="E28" s="198">
        <v>66000</v>
      </c>
      <c r="F28" s="667">
        <v>45000</v>
      </c>
      <c r="G28" s="198">
        <v>52000</v>
      </c>
      <c r="H28" s="197">
        <v>59000</v>
      </c>
      <c r="I28" s="198">
        <v>66000</v>
      </c>
    </row>
    <row r="29" spans="1:9" ht="20" customHeight="1" thickBot="1">
      <c r="A29" s="655" t="s">
        <v>252</v>
      </c>
      <c r="B29" s="197">
        <v>29500</v>
      </c>
      <c r="C29" s="198">
        <v>50825</v>
      </c>
      <c r="D29" s="197">
        <v>61825</v>
      </c>
      <c r="E29" s="198">
        <v>72825</v>
      </c>
      <c r="F29" s="667">
        <v>44250</v>
      </c>
      <c r="G29" s="198">
        <v>55250</v>
      </c>
      <c r="H29" s="197">
        <v>66250</v>
      </c>
      <c r="I29" s="198">
        <v>77250</v>
      </c>
    </row>
    <row r="30" spans="1:9" ht="20" customHeight="1" thickBot="1">
      <c r="A30" s="655" t="s">
        <v>253</v>
      </c>
      <c r="B30" s="197">
        <v>36000</v>
      </c>
      <c r="C30" s="198">
        <v>46000</v>
      </c>
      <c r="D30" s="197">
        <v>56000</v>
      </c>
      <c r="E30" s="198">
        <v>66000</v>
      </c>
      <c r="F30" s="667">
        <v>53100</v>
      </c>
      <c r="G30" s="198">
        <v>63100</v>
      </c>
      <c r="H30" s="197">
        <v>73100</v>
      </c>
      <c r="I30" s="198">
        <v>74100</v>
      </c>
    </row>
    <row r="31" spans="1:9" ht="20" customHeight="1" thickBot="1">
      <c r="A31" s="655" t="s">
        <v>254</v>
      </c>
      <c r="B31" s="197">
        <v>30000</v>
      </c>
      <c r="C31" s="198">
        <v>52000</v>
      </c>
      <c r="D31" s="197">
        <v>59000</v>
      </c>
      <c r="E31" s="198">
        <v>66000</v>
      </c>
      <c r="F31" s="667">
        <v>45000</v>
      </c>
      <c r="G31" s="198">
        <v>52000</v>
      </c>
      <c r="H31" s="197">
        <v>59000</v>
      </c>
      <c r="I31" s="198">
        <v>66000</v>
      </c>
    </row>
    <row r="32" spans="1:9" ht="23.25" customHeight="1" thickBot="1">
      <c r="A32" s="669" t="s">
        <v>255</v>
      </c>
      <c r="B32" s="670">
        <v>33000</v>
      </c>
      <c r="C32" s="671">
        <v>47000</v>
      </c>
      <c r="D32" s="670">
        <v>51000</v>
      </c>
      <c r="E32" s="671">
        <v>57000</v>
      </c>
      <c r="F32" s="672">
        <v>38000</v>
      </c>
      <c r="G32" s="671">
        <v>47000</v>
      </c>
      <c r="H32" s="670">
        <v>51000</v>
      </c>
      <c r="I32" s="671">
        <v>57000</v>
      </c>
    </row>
    <row r="33" spans="1:9" ht="17.25" customHeight="1">
      <c r="A33" s="661" t="s">
        <v>1151</v>
      </c>
      <c r="B33" s="225"/>
      <c r="C33" s="225"/>
      <c r="D33" s="225"/>
      <c r="E33" s="225"/>
      <c r="F33" s="225"/>
      <c r="G33" s="225"/>
      <c r="H33" s="225"/>
      <c r="I33" s="225"/>
    </row>
    <row r="34" spans="1:9" ht="12" customHeight="1">
      <c r="A34" s="661"/>
      <c r="B34" s="225"/>
      <c r="C34" s="225"/>
      <c r="D34" s="225"/>
      <c r="E34" s="225"/>
      <c r="F34" s="225"/>
      <c r="G34" s="225"/>
      <c r="H34" s="225"/>
      <c r="I34" s="225"/>
    </row>
    <row r="35" spans="1:9" ht="17.25" customHeight="1">
      <c r="A35" s="661" t="s">
        <v>1146</v>
      </c>
      <c r="B35" s="225"/>
      <c r="C35" s="225"/>
      <c r="D35" s="225"/>
      <c r="E35" s="225"/>
      <c r="F35" s="225"/>
      <c r="G35" s="225"/>
      <c r="H35" s="225"/>
      <c r="I35" s="225"/>
    </row>
    <row r="36" spans="1:9" ht="12" customHeight="1">
      <c r="A36" s="661"/>
      <c r="B36" s="225"/>
      <c r="C36" s="225"/>
      <c r="D36" s="225"/>
      <c r="E36" s="225"/>
      <c r="F36" s="225"/>
      <c r="G36" s="225"/>
      <c r="H36" s="225"/>
      <c r="I36" s="225"/>
    </row>
    <row r="37" spans="1:9" ht="12" customHeight="1">
      <c r="A37" s="661" t="s">
        <v>1147</v>
      </c>
      <c r="B37" s="225"/>
      <c r="C37" s="225"/>
      <c r="D37" s="225"/>
      <c r="E37" s="225"/>
      <c r="F37" s="225"/>
      <c r="G37" s="225"/>
      <c r="H37" s="225"/>
      <c r="I37" s="225"/>
    </row>
    <row r="38" spans="1:9" ht="14.25" customHeight="1">
      <c r="A38" s="4" t="s">
        <v>1148</v>
      </c>
      <c r="B38" s="225"/>
      <c r="C38" s="225"/>
      <c r="D38" s="225"/>
      <c r="E38" s="225"/>
      <c r="F38" s="225"/>
      <c r="G38" s="225"/>
      <c r="H38" s="225"/>
      <c r="I38" s="225"/>
    </row>
    <row r="39" spans="1:9">
      <c r="A39" s="401" t="s">
        <v>1149</v>
      </c>
    </row>
    <row r="40" spans="1:9">
      <c r="A40" s="401"/>
    </row>
    <row r="42" spans="1:9">
      <c r="A42" s="2" t="s">
        <v>128</v>
      </c>
    </row>
  </sheetData>
  <phoneticPr fontId="0" type="noConversion"/>
  <pageMargins left="0.57999999999999996" right="0.59" top="0.78" bottom="0.49" header="0.4" footer="0.4921259845"/>
  <pageSetup paperSize="9" scale="76" orientation="portrait" horizontalDpi="4294967292" verticalDpi="4294967292"/>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163FC-BF94-F241-89C5-78D4A5162C16}">
  <sheetPr>
    <pageSetUpPr fitToPage="1"/>
  </sheetPr>
  <dimension ref="A1:L35"/>
  <sheetViews>
    <sheetView topLeftCell="A2" zoomScale="75" workbookViewId="0">
      <selection activeCell="I7" sqref="I7"/>
    </sheetView>
  </sheetViews>
  <sheetFormatPr baseColWidth="10" defaultColWidth="11.3984375" defaultRowHeight="13"/>
  <cols>
    <col min="1" max="3" width="12.3984375" style="2" customWidth="1"/>
    <col min="4" max="4" width="12.796875" style="2" customWidth="1"/>
    <col min="5" max="5" width="13.19921875" style="2" customWidth="1"/>
    <col min="6" max="6" width="12.3984375" style="2" customWidth="1"/>
    <col min="7" max="7" width="13.19921875" style="2" customWidth="1"/>
    <col min="8" max="8" width="12.3984375" style="210" customWidth="1"/>
    <col min="9" max="16384" width="11.3984375" style="2"/>
  </cols>
  <sheetData>
    <row r="1" spans="1:12" s="1" customFormat="1" ht="14" customHeight="1">
      <c r="H1" s="191"/>
    </row>
    <row r="2" spans="1:12" s="1" customFormat="1" ht="28" customHeight="1">
      <c r="A2" s="19" t="s">
        <v>1847</v>
      </c>
      <c r="B2" s="19"/>
      <c r="H2" s="192">
        <v>2005</v>
      </c>
    </row>
    <row r="3" spans="1:12" ht="24" customHeight="1">
      <c r="A3" s="125" t="s">
        <v>1254</v>
      </c>
      <c r="B3" s="126" t="s">
        <v>1848</v>
      </c>
      <c r="C3" s="127" t="s">
        <v>265</v>
      </c>
      <c r="D3" s="126" t="s">
        <v>1849</v>
      </c>
      <c r="E3" s="127" t="s">
        <v>1817</v>
      </c>
      <c r="F3" s="126"/>
      <c r="G3" s="127" t="s">
        <v>1850</v>
      </c>
      <c r="H3" s="193"/>
    </row>
    <row r="4" spans="1:12" ht="15" customHeight="1">
      <c r="A4" s="212"/>
      <c r="B4" s="129" t="s">
        <v>2182</v>
      </c>
      <c r="C4" s="131" t="s">
        <v>267</v>
      </c>
      <c r="D4" s="129" t="s">
        <v>2183</v>
      </c>
      <c r="E4" s="131" t="s">
        <v>1851</v>
      </c>
      <c r="F4" s="1600" t="s">
        <v>2187</v>
      </c>
      <c r="G4" s="131" t="s">
        <v>1852</v>
      </c>
      <c r="H4" s="1600" t="s">
        <v>2187</v>
      </c>
    </row>
    <row r="5" spans="1:12" ht="15" customHeight="1">
      <c r="A5" s="212"/>
      <c r="B5" s="129" t="s">
        <v>154</v>
      </c>
      <c r="C5" s="131" t="s">
        <v>268</v>
      </c>
      <c r="D5" s="129" t="s">
        <v>1853</v>
      </c>
      <c r="E5" s="131" t="s">
        <v>2184</v>
      </c>
      <c r="F5" s="1600" t="s">
        <v>1840</v>
      </c>
      <c r="G5" s="131" t="s">
        <v>2185</v>
      </c>
      <c r="H5" s="1600" t="s">
        <v>1840</v>
      </c>
    </row>
    <row r="6" spans="1:12" ht="24" customHeight="1">
      <c r="A6" s="214"/>
      <c r="B6" s="135"/>
      <c r="C6" s="134"/>
      <c r="D6" s="135" t="s">
        <v>1854</v>
      </c>
      <c r="E6" s="134" t="s">
        <v>154</v>
      </c>
      <c r="F6" s="1601" t="s">
        <v>263</v>
      </c>
      <c r="G6" s="134" t="s">
        <v>154</v>
      </c>
      <c r="H6" s="1601" t="s">
        <v>263</v>
      </c>
    </row>
    <row r="7" spans="1:12" ht="30" customHeight="1" thickBot="1">
      <c r="A7" s="371">
        <v>1996</v>
      </c>
      <c r="B7" s="766">
        <v>2470.5</v>
      </c>
      <c r="C7" s="699" t="s">
        <v>1646</v>
      </c>
      <c r="D7" s="373">
        <v>0.26510074357417535</v>
      </c>
      <c r="E7" s="699">
        <v>1815.5686129999999</v>
      </c>
      <c r="F7" s="373">
        <v>0.2482836813614821</v>
      </c>
      <c r="G7" s="699">
        <v>1467.1668685500001</v>
      </c>
      <c r="H7" s="373">
        <v>0.19641864881833015</v>
      </c>
      <c r="J7" s="10"/>
      <c r="K7" s="10"/>
      <c r="L7" s="10"/>
    </row>
    <row r="8" spans="1:12" ht="20" customHeight="1" thickBot="1">
      <c r="A8" s="218">
        <v>1997</v>
      </c>
      <c r="B8" s="767">
        <v>2716.0039999999999</v>
      </c>
      <c r="C8" s="160">
        <v>9.9374215745800409E-2</v>
      </c>
      <c r="D8" s="301">
        <v>0.23152856917736497</v>
      </c>
      <c r="E8" s="701">
        <v>2087.17148</v>
      </c>
      <c r="F8" s="301">
        <v>0.26871138542004225</v>
      </c>
      <c r="G8" s="701">
        <v>1994.2314670000001</v>
      </c>
      <c r="H8" s="301">
        <v>0.32454456351229566</v>
      </c>
    </row>
    <row r="9" spans="1:12" ht="20" customHeight="1" thickBot="1">
      <c r="A9" s="218">
        <v>1998</v>
      </c>
      <c r="B9" s="767">
        <v>2972.5</v>
      </c>
      <c r="C9" s="160">
        <v>9.4438741621882774E-2</v>
      </c>
      <c r="D9" s="301">
        <v>0.23858957510513035</v>
      </c>
      <c r="E9" s="701">
        <v>2263.292488</v>
      </c>
      <c r="F9" s="301">
        <v>0.29253266403277173</v>
      </c>
      <c r="G9" s="701">
        <v>2446.4709480000001</v>
      </c>
      <c r="H9" s="301">
        <v>0.3175521493515443</v>
      </c>
    </row>
    <row r="10" spans="1:12" ht="20" customHeight="1" thickBot="1">
      <c r="A10" s="218">
        <v>1999</v>
      </c>
      <c r="B10" s="767">
        <v>3270</v>
      </c>
      <c r="C10" s="160">
        <v>0.10008410428931876</v>
      </c>
      <c r="D10" s="301">
        <v>0.24261539724770631</v>
      </c>
      <c r="E10" s="701">
        <v>2476.6476510000002</v>
      </c>
      <c r="F10" s="301">
        <v>0.31373131445899005</v>
      </c>
      <c r="G10" s="701">
        <v>2689.6721769999999</v>
      </c>
      <c r="H10" s="301">
        <v>0.33145279359936858</v>
      </c>
    </row>
    <row r="11" spans="1:12" ht="20" customHeight="1" thickBot="1">
      <c r="A11" s="218">
        <v>2000</v>
      </c>
      <c r="B11" s="767">
        <v>3319.5</v>
      </c>
      <c r="C11" s="160">
        <v>1.5137614678899083E-2</v>
      </c>
      <c r="D11" s="301">
        <v>0.23698356288597677</v>
      </c>
      <c r="E11" s="701">
        <v>2532.833063</v>
      </c>
      <c r="F11" s="301">
        <v>0.31286862956128064</v>
      </c>
      <c r="G11" s="701">
        <v>2545.3263492000001</v>
      </c>
      <c r="H11" s="301">
        <v>0.3246756501223273</v>
      </c>
    </row>
    <row r="12" spans="1:12" s="163" customFormat="1" ht="20" customHeight="1" thickBot="1">
      <c r="A12" s="218">
        <v>2001</v>
      </c>
      <c r="B12" s="767">
        <v>3369</v>
      </c>
      <c r="C12" s="160">
        <v>1.4911884319927699E-2</v>
      </c>
      <c r="D12" s="301">
        <v>0.20699731491831064</v>
      </c>
      <c r="E12" s="701">
        <v>2671.6260460402113</v>
      </c>
      <c r="F12" s="301">
        <v>0.31892270100585679</v>
      </c>
      <c r="G12" s="701">
        <v>2657.2</v>
      </c>
      <c r="H12" s="301">
        <v>0.32313659872418687</v>
      </c>
    </row>
    <row r="13" spans="1:12" ht="20" customHeight="1" thickBot="1">
      <c r="A13" s="218">
        <v>2002</v>
      </c>
      <c r="B13" s="767">
        <v>3420</v>
      </c>
      <c r="C13" s="160">
        <v>1.5138023152270703E-2</v>
      </c>
      <c r="D13" s="301">
        <v>0.16712682076023389</v>
      </c>
      <c r="E13" s="701">
        <v>2848.426273</v>
      </c>
      <c r="F13" s="301">
        <v>0.32754041548755747</v>
      </c>
      <c r="G13" s="701">
        <v>2892</v>
      </c>
      <c r="H13" s="301">
        <v>0.33503586516078104</v>
      </c>
    </row>
    <row r="14" spans="1:12" s="163" customFormat="1" ht="21.75" customHeight="1" thickBot="1">
      <c r="A14" s="218">
        <v>2003</v>
      </c>
      <c r="B14" s="767">
        <v>3471</v>
      </c>
      <c r="C14" s="160">
        <v>1.4912280701754385E-2</v>
      </c>
      <c r="D14" s="301">
        <v>0.14690290982425813</v>
      </c>
      <c r="E14" s="701">
        <v>2961.1</v>
      </c>
      <c r="F14" s="301">
        <v>0.3270202057873508</v>
      </c>
      <c r="G14" s="701">
        <v>3065.5</v>
      </c>
      <c r="H14" s="301">
        <v>0.34986041988328265</v>
      </c>
    </row>
    <row r="15" spans="1:12" ht="20" customHeight="1" thickBot="1">
      <c r="A15" s="218">
        <v>2004</v>
      </c>
      <c r="B15" s="767">
        <v>3523.5</v>
      </c>
      <c r="C15" s="160">
        <v>1.512532411408816E-2</v>
      </c>
      <c r="D15" s="301">
        <v>0.14139350078047386</v>
      </c>
      <c r="E15" s="701">
        <v>3025.3</v>
      </c>
      <c r="F15" s="301">
        <v>0.32786069857980232</v>
      </c>
      <c r="G15" s="701">
        <v>3169.8</v>
      </c>
      <c r="H15" s="301">
        <v>0.35221732419197194</v>
      </c>
    </row>
    <row r="16" spans="1:12" s="163" customFormat="1" ht="21.75" customHeight="1" thickBot="1">
      <c r="A16" s="630">
        <v>2005</v>
      </c>
      <c r="B16" s="768">
        <v>3576</v>
      </c>
      <c r="C16" s="632">
        <v>1.489995742869306E-2</v>
      </c>
      <c r="D16" s="769">
        <v>0.12762163310961971</v>
      </c>
      <c r="E16" s="770">
        <v>3119.6250399999999</v>
      </c>
      <c r="F16" s="769">
        <v>0.32919981434691908</v>
      </c>
      <c r="G16" s="770">
        <v>3201.7620889999998</v>
      </c>
      <c r="H16" s="769">
        <v>0.35637005695084922</v>
      </c>
    </row>
    <row r="17" spans="1:8" s="163" customFormat="1" ht="21.75" customHeight="1" thickBot="1">
      <c r="A17" s="218">
        <v>2006</v>
      </c>
      <c r="B17" s="767">
        <v>3780</v>
      </c>
      <c r="C17" s="160">
        <v>5.7046979865771813E-2</v>
      </c>
      <c r="D17" s="1073">
        <v>0.14549879814814826</v>
      </c>
      <c r="E17" s="1074">
        <v>3230.0145429999998</v>
      </c>
      <c r="F17" s="301" t="s">
        <v>1646</v>
      </c>
      <c r="G17" s="701" t="s">
        <v>1646</v>
      </c>
      <c r="H17" s="301" t="s">
        <v>1646</v>
      </c>
    </row>
    <row r="18" spans="1:8" ht="21.75" customHeight="1" thickBot="1">
      <c r="A18" s="218">
        <v>2007</v>
      </c>
      <c r="B18" s="767">
        <v>3987</v>
      </c>
      <c r="C18" s="160">
        <v>5.4761904761904762E-2</v>
      </c>
      <c r="D18" s="301" t="s">
        <v>1646</v>
      </c>
      <c r="E18" s="701" t="s">
        <v>1646</v>
      </c>
      <c r="F18" s="301" t="s">
        <v>1646</v>
      </c>
      <c r="G18" s="701" t="s">
        <v>1646</v>
      </c>
      <c r="H18" s="301" t="s">
        <v>1646</v>
      </c>
    </row>
    <row r="19" spans="1:8" s="163" customFormat="1" ht="21.75" customHeight="1" thickBot="1">
      <c r="A19" s="218">
        <v>2008</v>
      </c>
      <c r="B19" s="767">
        <v>4045.5</v>
      </c>
      <c r="C19" s="160">
        <v>1.4672686230248307E-2</v>
      </c>
      <c r="D19" s="301" t="s">
        <v>1646</v>
      </c>
      <c r="E19" s="701" t="s">
        <v>1646</v>
      </c>
      <c r="F19" s="301" t="s">
        <v>1646</v>
      </c>
      <c r="G19" s="701" t="s">
        <v>1646</v>
      </c>
      <c r="H19" s="301" t="s">
        <v>1646</v>
      </c>
    </row>
    <row r="20" spans="1:8" ht="21.75" customHeight="1" thickBot="1">
      <c r="A20" s="620">
        <v>2009</v>
      </c>
      <c r="B20" s="771">
        <v>4107</v>
      </c>
      <c r="C20" s="772">
        <v>1.5202076381164257E-2</v>
      </c>
      <c r="D20" s="773" t="s">
        <v>1646</v>
      </c>
      <c r="E20" s="707" t="s">
        <v>1646</v>
      </c>
      <c r="F20" s="774" t="s">
        <v>1646</v>
      </c>
      <c r="G20" s="707" t="s">
        <v>1646</v>
      </c>
      <c r="H20" s="773" t="s">
        <v>1646</v>
      </c>
    </row>
    <row r="21" spans="1:8" ht="20" customHeight="1">
      <c r="A21" s="775" t="s">
        <v>1151</v>
      </c>
      <c r="B21" s="146"/>
      <c r="C21" s="146"/>
      <c r="D21" s="146"/>
      <c r="E21" s="146"/>
      <c r="F21" s="146"/>
      <c r="G21" s="146"/>
      <c r="H21" s="281"/>
    </row>
    <row r="22" spans="1:8" ht="13.5" customHeight="1">
      <c r="A22" s="748"/>
      <c r="B22" s="4"/>
      <c r="C22" s="4"/>
      <c r="D22" s="4"/>
      <c r="E22" s="4"/>
      <c r="F22" s="4"/>
      <c r="G22" s="4"/>
      <c r="H22" s="282"/>
    </row>
    <row r="23" spans="1:8" ht="20" customHeight="1">
      <c r="A23" s="661" t="s">
        <v>1855</v>
      </c>
      <c r="B23" s="4"/>
      <c r="C23" s="4"/>
      <c r="D23" s="4"/>
      <c r="E23" s="4"/>
      <c r="F23" s="4"/>
      <c r="G23" s="4"/>
      <c r="H23" s="282"/>
    </row>
    <row r="24" spans="1:8" ht="12.75" customHeight="1">
      <c r="A24" s="748"/>
      <c r="B24" s="4"/>
      <c r="C24" s="4"/>
      <c r="D24" s="4"/>
      <c r="E24" s="4"/>
      <c r="F24" s="4"/>
      <c r="G24" s="4"/>
      <c r="H24" s="282"/>
    </row>
    <row r="25" spans="1:8" ht="14.25" customHeight="1">
      <c r="A25" s="748" t="s">
        <v>1856</v>
      </c>
      <c r="B25" s="4"/>
      <c r="C25" s="4"/>
      <c r="D25" s="4"/>
      <c r="E25" s="4"/>
      <c r="F25" s="4"/>
      <c r="G25" s="4"/>
      <c r="H25" s="282"/>
    </row>
    <row r="26" spans="1:8" ht="14.25" customHeight="1">
      <c r="A26" s="748" t="s">
        <v>2154</v>
      </c>
      <c r="B26" s="4"/>
      <c r="C26" s="4"/>
      <c r="D26" s="4"/>
      <c r="E26" s="4"/>
      <c r="F26" s="4"/>
      <c r="G26" s="4"/>
      <c r="H26" s="282"/>
    </row>
    <row r="27" spans="1:8" ht="12" customHeight="1">
      <c r="A27" s="401" t="s">
        <v>2176</v>
      </c>
    </row>
    <row r="28" spans="1:8" ht="12" customHeight="1">
      <c r="A28" s="401" t="s">
        <v>2177</v>
      </c>
    </row>
    <row r="29" spans="1:8">
      <c r="A29" s="401" t="s">
        <v>2178</v>
      </c>
      <c r="B29" s="401"/>
    </row>
    <row r="30" spans="1:8">
      <c r="A30" s="401" t="s">
        <v>2179</v>
      </c>
    </row>
    <row r="31" spans="1:8">
      <c r="A31" s="401" t="s">
        <v>2180</v>
      </c>
    </row>
    <row r="32" spans="1:8">
      <c r="A32" s="401" t="s">
        <v>2181</v>
      </c>
    </row>
    <row r="35" spans="1:1">
      <c r="A35" s="2" t="s">
        <v>128</v>
      </c>
    </row>
  </sheetData>
  <phoneticPr fontId="0" type="noConversion"/>
  <pageMargins left="0.6" right="0.7" top="0.81" bottom="0.49" header="0.49" footer="0.4921259845"/>
  <pageSetup paperSize="9" scale="80" orientation="portrait" horizontalDpi="4294967292" verticalDpi="4294967292"/>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36AC4-277C-6947-A8BA-4CE8CFCB3C42}">
  <sheetPr>
    <pageSetUpPr fitToPage="1"/>
  </sheetPr>
  <dimension ref="A1:M49"/>
  <sheetViews>
    <sheetView topLeftCell="A25" zoomScale="75" workbookViewId="0">
      <selection activeCell="A39" sqref="A39"/>
    </sheetView>
  </sheetViews>
  <sheetFormatPr baseColWidth="10" defaultColWidth="11.3984375" defaultRowHeight="13"/>
  <cols>
    <col min="1" max="1" width="9.796875" style="2" customWidth="1"/>
    <col min="2" max="3" width="11" style="2" customWidth="1"/>
    <col min="4" max="4" width="11.19921875" style="21" customWidth="1"/>
    <col min="5" max="5" width="15.3984375" style="2" customWidth="1"/>
    <col min="6" max="6" width="14.796875" style="2" customWidth="1"/>
    <col min="7" max="7" width="11" style="2" customWidth="1"/>
    <col min="8" max="8" width="15" style="163" customWidth="1"/>
    <col min="9" max="9" width="10.19921875" style="2" customWidth="1"/>
    <col min="10" max="16384" width="11.3984375" style="2"/>
  </cols>
  <sheetData>
    <row r="1" spans="1:10" s="1" customFormat="1" ht="14" customHeight="1">
      <c r="D1" s="305"/>
      <c r="H1" s="18"/>
    </row>
    <row r="2" spans="1:10" s="1" customFormat="1" ht="28" customHeight="1">
      <c r="A2" s="124" t="s">
        <v>719</v>
      </c>
      <c r="D2" s="305"/>
      <c r="H2" s="18"/>
      <c r="I2" s="192">
        <v>2005</v>
      </c>
    </row>
    <row r="3" spans="1:10" ht="24" customHeight="1">
      <c r="A3" s="125" t="s">
        <v>222</v>
      </c>
      <c r="B3" s="126" t="s">
        <v>1195</v>
      </c>
      <c r="C3" s="127" t="s">
        <v>2167</v>
      </c>
      <c r="D3" s="503" t="s">
        <v>1403</v>
      </c>
      <c r="E3" s="125" t="s">
        <v>2200</v>
      </c>
      <c r="F3" s="504"/>
      <c r="G3" s="127"/>
      <c r="H3" s="268"/>
      <c r="I3" s="127"/>
    </row>
    <row r="4" spans="1:10" ht="18" customHeight="1">
      <c r="A4" s="212"/>
      <c r="B4" s="129" t="s">
        <v>2168</v>
      </c>
      <c r="C4" s="213" t="s">
        <v>2169</v>
      </c>
      <c r="D4" s="639" t="s">
        <v>720</v>
      </c>
      <c r="E4" s="213" t="s">
        <v>2170</v>
      </c>
      <c r="F4" s="155" t="s">
        <v>2171</v>
      </c>
      <c r="G4" s="638" t="s">
        <v>2171</v>
      </c>
      <c r="H4" s="693" t="s">
        <v>43</v>
      </c>
      <c r="I4" s="128" t="s">
        <v>265</v>
      </c>
    </row>
    <row r="5" spans="1:10" ht="18.75" customHeight="1">
      <c r="A5" s="212"/>
      <c r="B5" s="129" t="s">
        <v>1324</v>
      </c>
      <c r="C5" s="131" t="s">
        <v>2172</v>
      </c>
      <c r="D5" s="130"/>
      <c r="E5" s="131" t="s">
        <v>2173</v>
      </c>
      <c r="F5" s="155" t="s">
        <v>2173</v>
      </c>
      <c r="G5" s="638" t="s">
        <v>2173</v>
      </c>
      <c r="H5" s="693" t="s">
        <v>2174</v>
      </c>
      <c r="I5" s="128" t="s">
        <v>1376</v>
      </c>
    </row>
    <row r="6" spans="1:10" ht="15" customHeight="1">
      <c r="A6" s="212"/>
      <c r="B6" s="129">
        <v>2002</v>
      </c>
      <c r="C6" s="131" t="s">
        <v>2203</v>
      </c>
      <c r="D6" s="130"/>
      <c r="E6" s="131" t="s">
        <v>699</v>
      </c>
      <c r="F6" s="155" t="s">
        <v>699</v>
      </c>
      <c r="G6" s="638" t="s">
        <v>161</v>
      </c>
      <c r="H6" s="693" t="s">
        <v>2175</v>
      </c>
      <c r="I6" s="128" t="s">
        <v>268</v>
      </c>
    </row>
    <row r="7" spans="1:10" ht="18" customHeight="1">
      <c r="A7" s="212"/>
      <c r="B7" s="129"/>
      <c r="C7" s="131"/>
      <c r="D7" s="130"/>
      <c r="E7" s="131"/>
      <c r="F7" s="155"/>
      <c r="G7" s="638" t="s">
        <v>2170</v>
      </c>
      <c r="H7" s="693" t="s">
        <v>1325</v>
      </c>
      <c r="I7" s="131"/>
    </row>
    <row r="8" spans="1:10" ht="23.25" customHeight="1">
      <c r="A8" s="214"/>
      <c r="B8" s="135"/>
      <c r="C8" s="134"/>
      <c r="D8" s="133"/>
      <c r="E8" s="134"/>
      <c r="F8" s="156"/>
      <c r="G8" s="468" t="s">
        <v>1326</v>
      </c>
      <c r="H8" s="309"/>
      <c r="I8" s="134"/>
    </row>
    <row r="9" spans="1:10" ht="30" customHeight="1" thickBot="1">
      <c r="A9" s="654" t="s">
        <v>230</v>
      </c>
      <c r="B9" s="138">
        <v>1260027.48</v>
      </c>
      <c r="C9" s="139">
        <v>157</v>
      </c>
      <c r="D9" s="741" t="s">
        <v>1646</v>
      </c>
      <c r="E9" s="139">
        <v>296502819.67834657</v>
      </c>
      <c r="F9" s="138">
        <v>313342470.24873346</v>
      </c>
      <c r="G9" s="455">
        <v>1.0567942341616008</v>
      </c>
      <c r="H9" s="742">
        <v>609845289.92708004</v>
      </c>
      <c r="I9" s="455">
        <v>1.9501330646822357E-2</v>
      </c>
      <c r="J9" s="9"/>
    </row>
    <row r="10" spans="1:10" ht="20" customHeight="1" thickBot="1">
      <c r="A10" s="655" t="s">
        <v>231</v>
      </c>
      <c r="B10" s="197">
        <v>958809.16</v>
      </c>
      <c r="C10" s="198">
        <v>58</v>
      </c>
      <c r="D10" s="743" t="s">
        <v>1646</v>
      </c>
      <c r="E10" s="198">
        <v>371232904.3619135</v>
      </c>
      <c r="F10" s="197">
        <v>92824633.625226319</v>
      </c>
      <c r="G10" s="462">
        <v>0.25004419741503287</v>
      </c>
      <c r="H10" s="631">
        <v>464057537.98713982</v>
      </c>
      <c r="I10" s="462">
        <v>8.4383349328160939E-3</v>
      </c>
      <c r="J10" s="9"/>
    </row>
    <row r="11" spans="1:10" ht="20" customHeight="1" thickBot="1">
      <c r="A11" s="655" t="s">
        <v>232</v>
      </c>
      <c r="B11" s="197">
        <v>351458</v>
      </c>
      <c r="C11" s="198">
        <v>63</v>
      </c>
      <c r="D11" s="743" t="s">
        <v>1646</v>
      </c>
      <c r="E11" s="198">
        <v>132698258.43780097</v>
      </c>
      <c r="F11" s="197">
        <v>37405179.232615292</v>
      </c>
      <c r="G11" s="462">
        <v>0.2818814630498564</v>
      </c>
      <c r="H11" s="631">
        <v>170103437.67041627</v>
      </c>
      <c r="I11" s="462">
        <v>1.2550285230518599E-2</v>
      </c>
      <c r="J11" s="9"/>
    </row>
    <row r="12" spans="1:10" ht="20" customHeight="1" thickBot="1">
      <c r="A12" s="655" t="s">
        <v>233</v>
      </c>
      <c r="B12" s="197">
        <v>34196</v>
      </c>
      <c r="C12" s="198">
        <v>51</v>
      </c>
      <c r="D12" s="743" t="s">
        <v>1646</v>
      </c>
      <c r="E12" s="198">
        <v>13714535.263672749</v>
      </c>
      <c r="F12" s="197">
        <v>2836111.3415476624</v>
      </c>
      <c r="G12" s="462">
        <v>0.20679602239676276</v>
      </c>
      <c r="H12" s="631">
        <v>16550646.605220411</v>
      </c>
      <c r="I12" s="462">
        <v>3.9472044065704814E-3</v>
      </c>
      <c r="J12" s="9"/>
    </row>
    <row r="13" spans="1:10" ht="20" customHeight="1" thickBot="1">
      <c r="A13" s="655" t="s">
        <v>234</v>
      </c>
      <c r="B13" s="197">
        <v>132093</v>
      </c>
      <c r="C13" s="198">
        <v>117</v>
      </c>
      <c r="D13" s="743" t="s">
        <v>1646</v>
      </c>
      <c r="E13" s="198">
        <v>38010939.644046403</v>
      </c>
      <c r="F13" s="197">
        <v>25921232.59900482</v>
      </c>
      <c r="G13" s="462">
        <v>0.68194137902783536</v>
      </c>
      <c r="H13" s="631">
        <v>63932172.243051223</v>
      </c>
      <c r="I13" s="462">
        <v>1.6955979608940908E-2</v>
      </c>
      <c r="J13" s="9"/>
    </row>
    <row r="14" spans="1:10" ht="20" customHeight="1" thickBot="1">
      <c r="A14" s="655" t="s">
        <v>235</v>
      </c>
      <c r="B14" s="197">
        <v>32848</v>
      </c>
      <c r="C14" s="198">
        <v>30</v>
      </c>
      <c r="D14" s="743" t="s">
        <v>1646</v>
      </c>
      <c r="E14" s="198">
        <v>14641622.803398328</v>
      </c>
      <c r="F14" s="197">
        <v>1256600.3714841157</v>
      </c>
      <c r="G14" s="462">
        <v>8.5823845372690388E-2</v>
      </c>
      <c r="H14" s="631">
        <v>15898223.174882444</v>
      </c>
      <c r="I14" s="462">
        <v>1.4003336181526604E-2</v>
      </c>
      <c r="J14" s="9"/>
    </row>
    <row r="15" spans="1:10" ht="20" customHeight="1" thickBot="1">
      <c r="A15" s="655" t="s">
        <v>236</v>
      </c>
      <c r="B15" s="197">
        <v>37906</v>
      </c>
      <c r="C15" s="198">
        <v>129</v>
      </c>
      <c r="D15" s="743" t="s">
        <v>1646</v>
      </c>
      <c r="E15" s="198">
        <v>10268872.53158091</v>
      </c>
      <c r="F15" s="197">
        <v>8077390.4879969619</v>
      </c>
      <c r="G15" s="462">
        <v>0.78658980946113999</v>
      </c>
      <c r="H15" s="631">
        <v>18346263.019577872</v>
      </c>
      <c r="I15" s="462">
        <v>1.6703471269410075E-2</v>
      </c>
      <c r="J15" s="9"/>
    </row>
    <row r="16" spans="1:10" ht="20" customHeight="1" thickBot="1">
      <c r="A16" s="655" t="s">
        <v>237</v>
      </c>
      <c r="B16" s="197">
        <v>38096</v>
      </c>
      <c r="C16" s="198">
        <v>77</v>
      </c>
      <c r="D16" s="743" t="s">
        <v>1646</v>
      </c>
      <c r="E16" s="198">
        <v>13405659.092043305</v>
      </c>
      <c r="F16" s="197">
        <v>5032562.7196445148</v>
      </c>
      <c r="G16" s="462">
        <v>0.37540584055516557</v>
      </c>
      <c r="H16" s="631">
        <v>18438221.81168782</v>
      </c>
      <c r="I16" s="462">
        <v>5.0536289299725201E-3</v>
      </c>
      <c r="J16" s="9"/>
    </row>
    <row r="17" spans="1:10" ht="20" customHeight="1" thickBot="1">
      <c r="A17" s="655" t="s">
        <v>238</v>
      </c>
      <c r="B17" s="197">
        <v>102091</v>
      </c>
      <c r="C17" s="198">
        <v>227</v>
      </c>
      <c r="D17" s="743" t="s">
        <v>1646</v>
      </c>
      <c r="E17" s="198">
        <v>16893564.123271856</v>
      </c>
      <c r="F17" s="197">
        <v>32517830.851975452</v>
      </c>
      <c r="G17" s="462">
        <v>1.9248650323101606</v>
      </c>
      <c r="H17" s="631">
        <v>49411394.975247309</v>
      </c>
      <c r="I17" s="462">
        <v>2.1399158341775415E-2</v>
      </c>
      <c r="J17" s="9"/>
    </row>
    <row r="18" spans="1:10" ht="20" customHeight="1" thickBot="1">
      <c r="A18" s="655" t="s">
        <v>239</v>
      </c>
      <c r="B18" s="197">
        <v>243781</v>
      </c>
      <c r="C18" s="198">
        <v>45</v>
      </c>
      <c r="D18" s="743" t="s">
        <v>1646</v>
      </c>
      <c r="E18" s="198">
        <v>100765679.98979178</v>
      </c>
      <c r="F18" s="197">
        <v>17222774.217344627</v>
      </c>
      <c r="G18" s="462">
        <v>0.17091904921486567</v>
      </c>
      <c r="H18" s="631">
        <v>117988454.20713641</v>
      </c>
      <c r="I18" s="462">
        <v>1.9174102803386495E-2</v>
      </c>
      <c r="J18" s="9"/>
    </row>
    <row r="19" spans="1:10" ht="20" customHeight="1" thickBot="1">
      <c r="A19" s="655" t="s">
        <v>240</v>
      </c>
      <c r="B19" s="197">
        <v>244860.92</v>
      </c>
      <c r="C19" s="198">
        <v>76</v>
      </c>
      <c r="D19" s="743" t="s">
        <v>1646</v>
      </c>
      <c r="E19" s="198">
        <v>86598978.584821552</v>
      </c>
      <c r="F19" s="197">
        <v>31912150.036922127</v>
      </c>
      <c r="G19" s="462">
        <v>0.36850492417372993</v>
      </c>
      <c r="H19" s="631">
        <v>118511128.62174368</v>
      </c>
      <c r="I19" s="462">
        <v>9.9723657974704061E-3</v>
      </c>
      <c r="J19" s="9"/>
    </row>
    <row r="20" spans="1:10" ht="20" customHeight="1" thickBot="1">
      <c r="A20" s="655" t="s">
        <v>241</v>
      </c>
      <c r="B20" s="197">
        <v>198409.44</v>
      </c>
      <c r="C20" s="198">
        <v>166</v>
      </c>
      <c r="D20" s="743" t="s">
        <v>1646</v>
      </c>
      <c r="E20" s="198">
        <v>44622165.677474767</v>
      </c>
      <c r="F20" s="197">
        <v>51406741.931008175</v>
      </c>
      <c r="G20" s="462">
        <v>1.1520449792278518</v>
      </c>
      <c r="H20" s="631">
        <v>96028907.608482942</v>
      </c>
      <c r="I20" s="462">
        <v>6.9350981428095704E-3</v>
      </c>
      <c r="J20" s="9"/>
    </row>
    <row r="21" spans="1:10" ht="20" customHeight="1" thickBot="1">
      <c r="A21" s="655" t="s">
        <v>242</v>
      </c>
      <c r="B21" s="159">
        <v>264826.8</v>
      </c>
      <c r="C21" s="219">
        <v>116</v>
      </c>
      <c r="D21" s="743" t="s">
        <v>1646</v>
      </c>
      <c r="E21" s="198">
        <v>76590558.174298704</v>
      </c>
      <c r="F21" s="159">
        <v>51583929.438035607</v>
      </c>
      <c r="G21" s="462">
        <v>0.67350246123869473</v>
      </c>
      <c r="H21" s="313">
        <v>128174487.61233431</v>
      </c>
      <c r="I21" s="462">
        <v>1.092572972642003E-2</v>
      </c>
      <c r="J21" s="9"/>
    </row>
    <row r="22" spans="1:10" ht="20" customHeight="1" thickBot="1">
      <c r="A22" s="655" t="s">
        <v>243</v>
      </c>
      <c r="B22" s="197">
        <v>74626.52</v>
      </c>
      <c r="C22" s="198">
        <v>98</v>
      </c>
      <c r="D22" s="743" t="s">
        <v>1646</v>
      </c>
      <c r="E22" s="198">
        <v>23628028.58951547</v>
      </c>
      <c r="F22" s="197">
        <v>12490732.666111305</v>
      </c>
      <c r="G22" s="462">
        <v>0.5286404923199497</v>
      </c>
      <c r="H22" s="631">
        <v>36118761.255626775</v>
      </c>
      <c r="I22" s="462">
        <v>1.4458625333026554E-2</v>
      </c>
      <c r="J22" s="9"/>
    </row>
    <row r="23" spans="1:10" ht="20" customHeight="1" thickBot="1">
      <c r="A23" s="655" t="s">
        <v>244</v>
      </c>
      <c r="B23" s="197">
        <v>52885.96</v>
      </c>
      <c r="C23" s="198">
        <v>61</v>
      </c>
      <c r="D23" s="743" t="s">
        <v>1646</v>
      </c>
      <c r="E23" s="198">
        <v>20169780.944325272</v>
      </c>
      <c r="F23" s="197">
        <v>5426687.4829124846</v>
      </c>
      <c r="G23" s="462">
        <v>0.26905039265878949</v>
      </c>
      <c r="H23" s="631">
        <v>25596468.427237757</v>
      </c>
      <c r="I23" s="462">
        <v>8.4643583237498099E-4</v>
      </c>
      <c r="J23" s="9"/>
    </row>
    <row r="24" spans="1:10" ht="20" customHeight="1" thickBot="1">
      <c r="A24" s="655" t="s">
        <v>245</v>
      </c>
      <c r="B24" s="197">
        <v>14728.92</v>
      </c>
      <c r="C24" s="198">
        <v>66</v>
      </c>
      <c r="D24" s="743" t="s">
        <v>1646</v>
      </c>
      <c r="E24" s="198">
        <v>5477838.118366315</v>
      </c>
      <c r="F24" s="197">
        <v>1650865.5252341935</v>
      </c>
      <c r="G24" s="462">
        <v>0.30137172540734736</v>
      </c>
      <c r="H24" s="631">
        <v>7128703.6436005086</v>
      </c>
      <c r="I24" s="462">
        <v>3.1627277389492114E-3</v>
      </c>
      <c r="J24" s="9"/>
    </row>
    <row r="25" spans="1:10" ht="20" customHeight="1" thickBot="1">
      <c r="A25" s="655" t="s">
        <v>246</v>
      </c>
      <c r="B25" s="197">
        <v>457064.68</v>
      </c>
      <c r="C25" s="198">
        <v>80</v>
      </c>
      <c r="D25" s="743" t="s">
        <v>1646</v>
      </c>
      <c r="E25" s="198">
        <v>158428370.67204556</v>
      </c>
      <c r="F25" s="197">
        <v>62788028.743329138</v>
      </c>
      <c r="G25" s="462">
        <v>0.39631808669738461</v>
      </c>
      <c r="H25" s="631">
        <v>221216399.4153747</v>
      </c>
      <c r="I25" s="462">
        <v>1.2683351146937083E-2</v>
      </c>
      <c r="J25" s="9"/>
    </row>
    <row r="26" spans="1:10" ht="20" customHeight="1" thickBot="1">
      <c r="A26" s="655" t="s">
        <v>247</v>
      </c>
      <c r="B26" s="197">
        <v>190311.2</v>
      </c>
      <c r="C26" s="198">
        <v>63</v>
      </c>
      <c r="D26" s="743" t="s">
        <v>1646</v>
      </c>
      <c r="E26" s="198">
        <v>71854858.336438596</v>
      </c>
      <c r="F26" s="197">
        <v>20254552.595115468</v>
      </c>
      <c r="G26" s="462">
        <v>0.28188146304985617</v>
      </c>
      <c r="H26" s="631">
        <v>92109410.931554064</v>
      </c>
      <c r="I26" s="462">
        <v>8.8326740446851293E-3</v>
      </c>
      <c r="J26" s="9"/>
    </row>
    <row r="27" spans="1:10" ht="20" customHeight="1" thickBot="1">
      <c r="A27" s="655" t="s">
        <v>248</v>
      </c>
      <c r="B27" s="197">
        <v>556036.84</v>
      </c>
      <c r="C27" s="198">
        <v>105</v>
      </c>
      <c r="D27" s="743" t="s">
        <v>1646</v>
      </c>
      <c r="E27" s="198">
        <v>169959860.4459241</v>
      </c>
      <c r="F27" s="197">
        <v>99158435.212149441</v>
      </c>
      <c r="G27" s="462">
        <v>0.58342266786985597</v>
      </c>
      <c r="H27" s="631">
        <v>269118295.65807354</v>
      </c>
      <c r="I27" s="462">
        <v>1.7247906920578204E-2</v>
      </c>
      <c r="J27" s="9"/>
    </row>
    <row r="28" spans="1:10" ht="20" customHeight="1" thickBot="1">
      <c r="A28" s="655" t="s">
        <v>249</v>
      </c>
      <c r="B28" s="197">
        <v>230472.16</v>
      </c>
      <c r="C28" s="198">
        <v>80</v>
      </c>
      <c r="D28" s="743" t="s">
        <v>1646</v>
      </c>
      <c r="E28" s="198">
        <v>79886568.338789567</v>
      </c>
      <c r="F28" s="197">
        <v>31660491.916848958</v>
      </c>
      <c r="G28" s="462">
        <v>0.39631808669738477</v>
      </c>
      <c r="H28" s="631">
        <v>111547060.25563852</v>
      </c>
      <c r="I28" s="462">
        <v>1.2227630021142799E-2</v>
      </c>
      <c r="J28" s="9"/>
    </row>
    <row r="29" spans="1:10" ht="20" customHeight="1" thickBot="1">
      <c r="A29" s="655" t="s">
        <v>250</v>
      </c>
      <c r="B29" s="197">
        <v>320653.40000000002</v>
      </c>
      <c r="C29" s="198">
        <v>85</v>
      </c>
      <c r="D29" s="743" t="s">
        <v>1646</v>
      </c>
      <c r="E29" s="198">
        <v>108384865.75258079</v>
      </c>
      <c r="F29" s="197">
        <v>46809341.352413446</v>
      </c>
      <c r="G29" s="462">
        <v>0.43188078914328359</v>
      </c>
      <c r="H29" s="631">
        <v>155194207.10499424</v>
      </c>
      <c r="I29" s="462">
        <v>2.7739762178622618E-2</v>
      </c>
      <c r="J29" s="9"/>
    </row>
    <row r="30" spans="1:10" ht="20" customHeight="1" thickBot="1">
      <c r="A30" s="655" t="s">
        <v>251</v>
      </c>
      <c r="B30" s="197">
        <v>645243.52</v>
      </c>
      <c r="C30" s="198">
        <v>95</v>
      </c>
      <c r="D30" s="743" t="s">
        <v>1646</v>
      </c>
      <c r="E30" s="198">
        <v>207401287.83307812</v>
      </c>
      <c r="F30" s="197">
        <v>104892473.82993707</v>
      </c>
      <c r="G30" s="462">
        <v>0.50574649234751723</v>
      </c>
      <c r="H30" s="631">
        <v>312293761.66301519</v>
      </c>
      <c r="I30" s="462">
        <v>1.6206233809636705E-2</v>
      </c>
      <c r="J30" s="9"/>
    </row>
    <row r="31" spans="1:10" ht="20" customHeight="1" thickBot="1">
      <c r="A31" s="655" t="s">
        <v>252</v>
      </c>
      <c r="B31" s="197">
        <v>278849.71999999997</v>
      </c>
      <c r="C31" s="198">
        <v>30</v>
      </c>
      <c r="D31" s="743" t="s">
        <v>1646</v>
      </c>
      <c r="E31" s="198">
        <v>124294094.58941908</v>
      </c>
      <c r="F31" s="197">
        <v>10667397.15478088</v>
      </c>
      <c r="G31" s="462">
        <v>8.5823845372690583E-2</v>
      </c>
      <c r="H31" s="631">
        <v>134961491.74419996</v>
      </c>
      <c r="I31" s="462">
        <v>1.7289598826918162E-2</v>
      </c>
      <c r="J31" s="9"/>
    </row>
    <row r="32" spans="1:10" ht="20" customHeight="1" thickBot="1">
      <c r="A32" s="655" t="s">
        <v>253</v>
      </c>
      <c r="B32" s="197">
        <v>169002.8</v>
      </c>
      <c r="C32" s="198">
        <v>56</v>
      </c>
      <c r="D32" s="743" t="s">
        <v>1646</v>
      </c>
      <c r="E32" s="198">
        <v>66096305.991375253</v>
      </c>
      <c r="F32" s="197">
        <v>15699974.804412082</v>
      </c>
      <c r="G32" s="462">
        <v>0.2375318040687589</v>
      </c>
      <c r="H32" s="631">
        <v>81796280.795787334</v>
      </c>
      <c r="I32" s="462">
        <v>9.6229940398233627E-3</v>
      </c>
      <c r="J32" s="9"/>
    </row>
    <row r="33" spans="1:13" ht="20" customHeight="1" thickBot="1">
      <c r="A33" s="655" t="s">
        <v>254</v>
      </c>
      <c r="B33" s="197">
        <v>430700.68</v>
      </c>
      <c r="C33" s="198">
        <v>155</v>
      </c>
      <c r="D33" s="743" t="s">
        <v>1646</v>
      </c>
      <c r="E33" s="198">
        <v>102374871.10804169</v>
      </c>
      <c r="F33" s="197">
        <v>106081519.9116133</v>
      </c>
      <c r="G33" s="462">
        <v>1.0362066273046613</v>
      </c>
      <c r="H33" s="631">
        <v>208456391.01965499</v>
      </c>
      <c r="I33" s="462">
        <v>2.0118835457775042E-2</v>
      </c>
    </row>
    <row r="34" spans="1:13" ht="20" customHeight="1" thickBot="1">
      <c r="A34" s="655" t="s">
        <v>255</v>
      </c>
      <c r="B34" s="197">
        <v>68547.600000000006</v>
      </c>
      <c r="C34" s="198">
        <v>33</v>
      </c>
      <c r="D34" s="743" t="s">
        <v>1646</v>
      </c>
      <c r="E34" s="198">
        <v>30096710.917638835</v>
      </c>
      <c r="F34" s="197">
        <v>3079891.7036036104</v>
      </c>
      <c r="G34" s="462">
        <v>0.10233316564165065</v>
      </c>
      <c r="H34" s="631">
        <v>33176602.621242445</v>
      </c>
      <c r="I34" s="462">
        <v>6.8709152893349223E-3</v>
      </c>
      <c r="K34" s="10"/>
      <c r="L34" s="10"/>
      <c r="M34" s="10"/>
    </row>
    <row r="35" spans="1:13" s="163" customFormat="1" ht="30" customHeight="1" thickBot="1">
      <c r="A35" s="656" t="s">
        <v>256</v>
      </c>
      <c r="B35" s="258">
        <v>7388526.7999999989</v>
      </c>
      <c r="C35" s="259">
        <v>100</v>
      </c>
      <c r="D35" s="744" t="s">
        <v>1646</v>
      </c>
      <c r="E35" s="259">
        <v>2384000000</v>
      </c>
      <c r="F35" s="258">
        <v>1192000000</v>
      </c>
      <c r="G35" s="745">
        <v>0.5</v>
      </c>
      <c r="H35" s="258">
        <v>3576000000</v>
      </c>
      <c r="I35" s="745">
        <v>1.4899957428692989E-2</v>
      </c>
    </row>
    <row r="36" spans="1:13" ht="20" customHeight="1">
      <c r="A36" s="660" t="s">
        <v>1151</v>
      </c>
      <c r="B36" s="223"/>
      <c r="C36" s="223"/>
      <c r="D36" s="746"/>
      <c r="E36" s="223"/>
      <c r="F36" s="223"/>
      <c r="G36" s="223"/>
      <c r="H36" s="391"/>
      <c r="I36" s="223"/>
    </row>
    <row r="37" spans="1:13" ht="14.25" customHeight="1">
      <c r="A37" s="661"/>
      <c r="B37" s="225"/>
      <c r="C37" s="225"/>
      <c r="D37" s="747"/>
      <c r="E37" s="225"/>
      <c r="F37" s="225"/>
      <c r="G37" s="225"/>
      <c r="H37" s="392"/>
      <c r="I37" s="225"/>
    </row>
    <row r="38" spans="1:13" ht="15.75" customHeight="1">
      <c r="A38" s="661" t="s">
        <v>711</v>
      </c>
      <c r="B38" s="225"/>
      <c r="C38" s="225"/>
      <c r="D38" s="747"/>
      <c r="E38" s="225"/>
      <c r="F38" s="225"/>
      <c r="G38" s="225"/>
      <c r="H38" s="392"/>
      <c r="I38" s="225"/>
    </row>
    <row r="39" spans="1:13" ht="13.5" customHeight="1">
      <c r="A39" s="661"/>
      <c r="B39" s="225"/>
      <c r="C39" s="225"/>
      <c r="D39" s="747"/>
      <c r="E39" s="225"/>
      <c r="F39" s="225"/>
      <c r="G39" s="225"/>
      <c r="H39" s="392"/>
      <c r="I39" s="225"/>
    </row>
    <row r="40" spans="1:13" ht="11.25" customHeight="1">
      <c r="A40" s="4" t="s">
        <v>712</v>
      </c>
      <c r="B40" s="225"/>
      <c r="C40" s="225"/>
      <c r="D40" s="747"/>
      <c r="E40" s="225"/>
      <c r="F40" s="225"/>
      <c r="G40" s="225"/>
      <c r="H40" s="392"/>
      <c r="I40" s="225"/>
    </row>
    <row r="41" spans="1:13">
      <c r="A41" s="2" t="s">
        <v>713</v>
      </c>
    </row>
    <row r="42" spans="1:13">
      <c r="A42" s="2" t="s">
        <v>714</v>
      </c>
    </row>
    <row r="43" spans="1:13">
      <c r="A43" s="2" t="s">
        <v>715</v>
      </c>
    </row>
    <row r="44" spans="1:13">
      <c r="A44" s="2" t="s">
        <v>716</v>
      </c>
    </row>
    <row r="45" spans="1:13">
      <c r="A45" s="2" t="s">
        <v>717</v>
      </c>
    </row>
    <row r="46" spans="1:13">
      <c r="A46" s="748" t="s">
        <v>718</v>
      </c>
    </row>
    <row r="49" spans="1:1">
      <c r="A49" s="2" t="s">
        <v>128</v>
      </c>
    </row>
  </sheetData>
  <phoneticPr fontId="0" type="noConversion"/>
  <pageMargins left="0.56000000000000005" right="0.51" top="0.81" bottom="0.49" header="0.42" footer="0.4921259845"/>
  <pageSetup paperSize="9" scale="84" orientation="portrait" horizontalDpi="1200" verticalDpi="1200"/>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6D707-0779-8F4B-A044-B1F3BBE37F72}">
  <sheetPr>
    <pageSetUpPr fitToPage="1"/>
  </sheetPr>
  <dimension ref="A1:I47"/>
  <sheetViews>
    <sheetView topLeftCell="A24" zoomScale="75" workbookViewId="0">
      <selection activeCell="A37" sqref="A37"/>
    </sheetView>
  </sheetViews>
  <sheetFormatPr baseColWidth="10" defaultColWidth="11.3984375" defaultRowHeight="13"/>
  <cols>
    <col min="1" max="1" width="12.59765625" style="2" customWidth="1"/>
    <col min="2" max="2" width="12.59765625" style="21" customWidth="1"/>
    <col min="3" max="3" width="14.796875" style="163" customWidth="1"/>
    <col min="4" max="4" width="14.796875" style="9" customWidth="1"/>
    <col min="5" max="5" width="15.796875" style="2" customWidth="1"/>
    <col min="6" max="6" width="12.59765625" style="21" customWidth="1"/>
    <col min="7" max="7" width="13.19921875" style="21" customWidth="1"/>
    <col min="8" max="16384" width="11.3984375" style="2"/>
  </cols>
  <sheetData>
    <row r="1" spans="1:9" s="1" customFormat="1" ht="14" customHeight="1">
      <c r="B1" s="305"/>
      <c r="D1" s="306"/>
      <c r="E1" s="18"/>
      <c r="F1" s="306"/>
      <c r="H1" s="305"/>
      <c r="I1" s="305"/>
    </row>
    <row r="2" spans="1:9" s="1" customFormat="1" ht="28" customHeight="1">
      <c r="A2" s="124" t="s">
        <v>206</v>
      </c>
      <c r="B2" s="305"/>
      <c r="D2" s="306"/>
      <c r="E2" s="18"/>
      <c r="F2" s="305"/>
      <c r="G2" s="192">
        <v>2005</v>
      </c>
    </row>
    <row r="3" spans="1:9" ht="24" customHeight="1">
      <c r="A3" s="125" t="s">
        <v>222</v>
      </c>
      <c r="B3" s="503" t="s">
        <v>207</v>
      </c>
      <c r="C3" s="127" t="s">
        <v>2170</v>
      </c>
      <c r="D3" s="423" t="s">
        <v>2171</v>
      </c>
      <c r="E3" s="269" t="s">
        <v>1817</v>
      </c>
      <c r="F3" s="503" t="s">
        <v>1818</v>
      </c>
      <c r="G3" s="329" t="s">
        <v>265</v>
      </c>
    </row>
    <row r="4" spans="1:9" ht="15" customHeight="1">
      <c r="A4" s="212"/>
      <c r="B4" s="130" t="s">
        <v>1819</v>
      </c>
      <c r="C4" s="213" t="s">
        <v>1820</v>
      </c>
      <c r="D4" s="639" t="s">
        <v>1820</v>
      </c>
      <c r="E4" s="369" t="s">
        <v>1821</v>
      </c>
      <c r="F4" s="130" t="s">
        <v>43</v>
      </c>
      <c r="G4" s="128" t="s">
        <v>266</v>
      </c>
    </row>
    <row r="5" spans="1:9" ht="15.75" customHeight="1">
      <c r="A5" s="212"/>
      <c r="B5" s="130" t="s">
        <v>1833</v>
      </c>
      <c r="C5" s="131" t="s">
        <v>1822</v>
      </c>
      <c r="D5" s="639" t="s">
        <v>1822</v>
      </c>
      <c r="E5" s="369" t="s">
        <v>1822</v>
      </c>
      <c r="F5" s="130" t="s">
        <v>1823</v>
      </c>
      <c r="G5" s="128" t="s">
        <v>1376</v>
      </c>
    </row>
    <row r="6" spans="1:9" ht="15" customHeight="1">
      <c r="A6" s="212"/>
      <c r="B6" s="130"/>
      <c r="C6" s="131" t="s">
        <v>1824</v>
      </c>
      <c r="D6" s="639" t="s">
        <v>1824</v>
      </c>
      <c r="E6" s="369" t="s">
        <v>1824</v>
      </c>
      <c r="F6" s="130" t="s">
        <v>1825</v>
      </c>
      <c r="G6" s="128" t="s">
        <v>268</v>
      </c>
    </row>
    <row r="7" spans="1:9" ht="21" customHeight="1">
      <c r="A7" s="214"/>
      <c r="B7" s="133"/>
      <c r="C7" s="134" t="s">
        <v>1834</v>
      </c>
      <c r="D7" s="425" t="s">
        <v>1834</v>
      </c>
      <c r="E7" s="370" t="s">
        <v>1835</v>
      </c>
      <c r="F7" s="425" t="s">
        <v>1836</v>
      </c>
      <c r="G7" s="638"/>
    </row>
    <row r="8" spans="1:9" ht="30" customHeight="1" thickBot="1">
      <c r="A8" s="654" t="s">
        <v>230</v>
      </c>
      <c r="B8" s="172">
        <v>0.13289999982908962</v>
      </c>
      <c r="C8" s="139">
        <v>257097594.99376974</v>
      </c>
      <c r="D8" s="741">
        <v>271699256.00623024</v>
      </c>
      <c r="E8" s="662">
        <v>528796851</v>
      </c>
      <c r="F8" s="172">
        <v>0.86710000017091038</v>
      </c>
      <c r="G8" s="455">
        <v>8.4674361105510298E-2</v>
      </c>
    </row>
    <row r="9" spans="1:9" ht="20" customHeight="1" thickBot="1">
      <c r="A9" s="655" t="s">
        <v>231</v>
      </c>
      <c r="B9" s="484">
        <v>-2.7712498962273457E-11</v>
      </c>
      <c r="C9" s="198">
        <v>371232904.37220132</v>
      </c>
      <c r="D9" s="743">
        <v>92824633.627798721</v>
      </c>
      <c r="E9" s="663">
        <v>464057538</v>
      </c>
      <c r="F9" s="172">
        <v>1.0000000000277125</v>
      </c>
      <c r="G9" s="455">
        <v>8.4383349659895579E-3</v>
      </c>
    </row>
    <row r="10" spans="1:9" ht="20" customHeight="1" thickBot="1">
      <c r="A10" s="655" t="s">
        <v>232</v>
      </c>
      <c r="B10" s="484">
        <v>0.14530000691875955</v>
      </c>
      <c r="C10" s="198">
        <v>113417200.56868115</v>
      </c>
      <c r="D10" s="743">
        <v>31970206.431318849</v>
      </c>
      <c r="E10" s="663">
        <v>145387407</v>
      </c>
      <c r="F10" s="172">
        <v>0.85469999308124045</v>
      </c>
      <c r="G10" s="455">
        <v>3.1497884238715024E-2</v>
      </c>
    </row>
    <row r="11" spans="1:9" ht="20" customHeight="1" thickBot="1">
      <c r="A11" s="655" t="s">
        <v>233</v>
      </c>
      <c r="B11" s="484">
        <v>0.22400004626109526</v>
      </c>
      <c r="C11" s="198">
        <v>10642478.730160631</v>
      </c>
      <c r="D11" s="743">
        <v>2200822.2698393692</v>
      </c>
      <c r="E11" s="663">
        <v>12843301</v>
      </c>
      <c r="F11" s="172">
        <v>0.77599995373890474</v>
      </c>
      <c r="G11" s="455">
        <v>1.1770148981888218E-2</v>
      </c>
    </row>
    <row r="12" spans="1:9" ht="20" customHeight="1" thickBot="1">
      <c r="A12" s="655" t="s">
        <v>234</v>
      </c>
      <c r="B12" s="484">
        <v>0.20384372665309658</v>
      </c>
      <c r="C12" s="198">
        <v>30262648.053418055</v>
      </c>
      <c r="D12" s="743">
        <v>20637351.946581945</v>
      </c>
      <c r="E12" s="663">
        <v>50900000</v>
      </c>
      <c r="F12" s="172">
        <v>0.79615627334690342</v>
      </c>
      <c r="G12" s="455">
        <v>-2.1925020656789806E-2</v>
      </c>
    </row>
    <row r="13" spans="1:9" ht="20" customHeight="1" thickBot="1">
      <c r="A13" s="655" t="s">
        <v>235</v>
      </c>
      <c r="B13" s="484">
        <v>1.1000125144100537E-8</v>
      </c>
      <c r="C13" s="198">
        <v>14641622.642338645</v>
      </c>
      <c r="D13" s="743">
        <v>1256600.3576613544</v>
      </c>
      <c r="E13" s="663">
        <v>15898223</v>
      </c>
      <c r="F13" s="172">
        <v>0.99999998899987486</v>
      </c>
      <c r="G13" s="455">
        <v>1.4003292371100429E-2</v>
      </c>
    </row>
    <row r="14" spans="1:9" ht="20" customHeight="1" thickBot="1">
      <c r="A14" s="655" t="s">
        <v>236</v>
      </c>
      <c r="B14" s="484">
        <v>0.48219999953873016</v>
      </c>
      <c r="C14" s="198">
        <v>5317222.2015893161</v>
      </c>
      <c r="D14" s="743">
        <v>4182472.7984106834</v>
      </c>
      <c r="E14" s="663">
        <v>9499695</v>
      </c>
      <c r="F14" s="172">
        <v>0.51780000046126984</v>
      </c>
      <c r="G14" s="455">
        <v>-2.509436363300499E-2</v>
      </c>
    </row>
    <row r="15" spans="1:9" ht="20" customHeight="1" thickBot="1">
      <c r="A15" s="655" t="s">
        <v>237</v>
      </c>
      <c r="B15" s="484">
        <v>0.30000001454486647</v>
      </c>
      <c r="C15" s="198">
        <v>9383961.1694467925</v>
      </c>
      <c r="D15" s="743">
        <v>3522793.8305532075</v>
      </c>
      <c r="E15" s="663">
        <v>12906755</v>
      </c>
      <c r="F15" s="172">
        <v>0.69999998545513353</v>
      </c>
      <c r="G15" s="455">
        <v>5.0535522196242244E-3</v>
      </c>
    </row>
    <row r="16" spans="1:9" ht="20" customHeight="1" thickBot="1">
      <c r="A16" s="655" t="s">
        <v>238</v>
      </c>
      <c r="B16" s="484">
        <v>0.25500000519230925</v>
      </c>
      <c r="C16" s="198">
        <v>12585705.184120923</v>
      </c>
      <c r="D16" s="743">
        <v>24225783.815879077</v>
      </c>
      <c r="E16" s="663">
        <v>36811489</v>
      </c>
      <c r="F16" s="172">
        <v>0.74499999480769075</v>
      </c>
      <c r="G16" s="455">
        <v>7.7008681842678284E-2</v>
      </c>
    </row>
    <row r="17" spans="1:7" ht="20" customHeight="1" thickBot="1">
      <c r="A17" s="655" t="s">
        <v>239</v>
      </c>
      <c r="B17" s="484">
        <v>1.7555650266842804E-9</v>
      </c>
      <c r="C17" s="198">
        <v>100765679.81289108</v>
      </c>
      <c r="D17" s="743">
        <v>17222774.187108926</v>
      </c>
      <c r="E17" s="663">
        <v>117988454</v>
      </c>
      <c r="F17" s="172">
        <v>0.99999999824443497</v>
      </c>
      <c r="G17" s="455">
        <v>1.917410434961031E-2</v>
      </c>
    </row>
    <row r="18" spans="1:7" ht="20" customHeight="1" thickBot="1">
      <c r="A18" s="655" t="s">
        <v>240</v>
      </c>
      <c r="B18" s="484">
        <v>0.30000000029719209</v>
      </c>
      <c r="C18" s="198">
        <v>60619284.983638555</v>
      </c>
      <c r="D18" s="743">
        <v>22338505.016361449</v>
      </c>
      <c r="E18" s="663">
        <v>82957790</v>
      </c>
      <c r="F18" s="172">
        <v>0.69999999970280791</v>
      </c>
      <c r="G18" s="455">
        <v>3.9677433739037982E-2</v>
      </c>
    </row>
    <row r="19" spans="1:7" ht="20" customHeight="1" thickBot="1">
      <c r="A19" s="655" t="s">
        <v>241</v>
      </c>
      <c r="B19" s="484">
        <v>-4.0770748999108264E-9</v>
      </c>
      <c r="C19" s="198">
        <v>44622165.859402679</v>
      </c>
      <c r="D19" s="743">
        <v>51406742.140597314</v>
      </c>
      <c r="E19" s="663">
        <v>96028908</v>
      </c>
      <c r="F19" s="172">
        <v>1.0000000040770749</v>
      </c>
      <c r="G19" s="455">
        <v>6.9350966170087514E-3</v>
      </c>
    </row>
    <row r="20" spans="1:7" ht="20" customHeight="1" thickBot="1">
      <c r="A20" s="655" t="s">
        <v>242</v>
      </c>
      <c r="B20" s="484">
        <v>0.20420980883106354</v>
      </c>
      <c r="C20" s="198">
        <v>60950014.931260712</v>
      </c>
      <c r="D20" s="743">
        <v>41049985.068739288</v>
      </c>
      <c r="E20" s="374">
        <v>102000000</v>
      </c>
      <c r="F20" s="172">
        <v>0.79579019116893646</v>
      </c>
      <c r="G20" s="455">
        <v>-3.7735858134567368E-2</v>
      </c>
    </row>
    <row r="21" spans="1:7" ht="20" customHeight="1" thickBot="1">
      <c r="A21" s="655" t="s">
        <v>243</v>
      </c>
      <c r="B21" s="484">
        <v>8.0810115135719784E-2</v>
      </c>
      <c r="C21" s="198">
        <v>21718644.878766645</v>
      </c>
      <c r="D21" s="743">
        <v>11481355.121233355</v>
      </c>
      <c r="E21" s="663">
        <v>33200000</v>
      </c>
      <c r="F21" s="172">
        <v>0.91918988486428022</v>
      </c>
      <c r="G21" s="455">
        <v>3.7500000000000089E-2</v>
      </c>
    </row>
    <row r="22" spans="1:7" ht="20" customHeight="1" thickBot="1">
      <c r="A22" s="655" t="s">
        <v>244</v>
      </c>
      <c r="B22" s="484">
        <v>0.12027356179971194</v>
      </c>
      <c r="C22" s="198">
        <v>17743889.549431313</v>
      </c>
      <c r="D22" s="743">
        <v>4774000.4505686862</v>
      </c>
      <c r="E22" s="663">
        <v>22517890</v>
      </c>
      <c r="F22" s="172">
        <v>0.87972643820028806</v>
      </c>
      <c r="G22" s="455">
        <v>1.8665740164691691E-3</v>
      </c>
    </row>
    <row r="23" spans="1:7" ht="20" customHeight="1" thickBot="1">
      <c r="A23" s="655" t="s">
        <v>245</v>
      </c>
      <c r="B23" s="484">
        <v>0.1955000114013169</v>
      </c>
      <c r="C23" s="198">
        <v>4406920.703771132</v>
      </c>
      <c r="D23" s="743">
        <v>1328121.2962288677</v>
      </c>
      <c r="E23" s="663">
        <v>5735042</v>
      </c>
      <c r="F23" s="172">
        <v>0.8044999885986831</v>
      </c>
      <c r="G23" s="455">
        <v>8.8056567285526022E-3</v>
      </c>
    </row>
    <row r="24" spans="1:7" ht="20" customHeight="1" thickBot="1">
      <c r="A24" s="655" t="s">
        <v>246</v>
      </c>
      <c r="B24" s="484">
        <v>0.39999999841433465</v>
      </c>
      <c r="C24" s="198">
        <v>95057022.654441714</v>
      </c>
      <c r="D24" s="743">
        <v>37672817.345558286</v>
      </c>
      <c r="E24" s="663">
        <v>132729840</v>
      </c>
      <c r="F24" s="172">
        <v>0.60000000158566535</v>
      </c>
      <c r="G24" s="455">
        <v>0.11693016561806258</v>
      </c>
    </row>
    <row r="25" spans="1:7" ht="20" customHeight="1" thickBot="1">
      <c r="A25" s="655" t="s">
        <v>247</v>
      </c>
      <c r="B25" s="484">
        <v>0.28411157629702299</v>
      </c>
      <c r="C25" s="198">
        <v>51440061.269873746</v>
      </c>
      <c r="D25" s="743">
        <v>14499999.730126254</v>
      </c>
      <c r="E25" s="663">
        <v>65940061</v>
      </c>
      <c r="F25" s="172">
        <v>0.71588842370297701</v>
      </c>
      <c r="G25" s="455">
        <v>0.11737187667398041</v>
      </c>
    </row>
    <row r="26" spans="1:7" ht="20" customHeight="1" thickBot="1">
      <c r="A26" s="655" t="s">
        <v>248</v>
      </c>
      <c r="B26" s="484">
        <v>0.45748764630443661</v>
      </c>
      <c r="C26" s="198">
        <v>92205323.924287766</v>
      </c>
      <c r="D26" s="743">
        <v>53794676.075712226</v>
      </c>
      <c r="E26" s="663">
        <v>146000000</v>
      </c>
      <c r="F26" s="172">
        <v>0.54251235369556339</v>
      </c>
      <c r="G26" s="455">
        <v>6.8965517241379448E-3</v>
      </c>
    </row>
    <row r="27" spans="1:7" ht="20" customHeight="1" thickBot="1">
      <c r="A27" s="655" t="s">
        <v>249</v>
      </c>
      <c r="B27" s="484">
        <v>2.2917548969658696E-9</v>
      </c>
      <c r="C27" s="198">
        <v>79886568.155709133</v>
      </c>
      <c r="D27" s="743">
        <v>31660491.844290871</v>
      </c>
      <c r="E27" s="663">
        <v>111547060</v>
      </c>
      <c r="F27" s="172">
        <v>0.9999999977082451</v>
      </c>
      <c r="G27" s="455">
        <v>1.2227623624086137E-2</v>
      </c>
    </row>
    <row r="28" spans="1:7" ht="20" customHeight="1" thickBot="1">
      <c r="A28" s="655" t="s">
        <v>250</v>
      </c>
      <c r="B28" s="484">
        <v>6.7653449509208485E-10</v>
      </c>
      <c r="C28" s="198">
        <v>108384865.6792547</v>
      </c>
      <c r="D28" s="743">
        <v>46809341.320745312</v>
      </c>
      <c r="E28" s="663">
        <v>155194207</v>
      </c>
      <c r="F28" s="172">
        <v>0.9999999993234655</v>
      </c>
      <c r="G28" s="455">
        <v>2.7739757970834944E-2</v>
      </c>
    </row>
    <row r="29" spans="1:7" ht="20" customHeight="1" thickBot="1">
      <c r="A29" s="655" t="s">
        <v>251</v>
      </c>
      <c r="B29" s="484">
        <v>-1.0790635052160269E-9</v>
      </c>
      <c r="C29" s="198">
        <v>207401288.05687729</v>
      </c>
      <c r="D29" s="743">
        <v>104892473.94312271</v>
      </c>
      <c r="E29" s="663">
        <v>312293762</v>
      </c>
      <c r="F29" s="172">
        <v>1.0000000010790635</v>
      </c>
      <c r="G29" s="455">
        <v>1.6206236052164646E-2</v>
      </c>
    </row>
    <row r="30" spans="1:7" ht="20" customHeight="1" thickBot="1">
      <c r="A30" s="655" t="s">
        <v>252</v>
      </c>
      <c r="B30" s="484">
        <v>-1.895355650205488E-9</v>
      </c>
      <c r="C30" s="198">
        <v>124294094.8250006</v>
      </c>
      <c r="D30" s="743">
        <v>10667397.174999392</v>
      </c>
      <c r="E30" s="663">
        <v>134961492</v>
      </c>
      <c r="F30" s="172">
        <v>1.0000000018953557</v>
      </c>
      <c r="G30" s="455">
        <v>1.728960141924496E-2</v>
      </c>
    </row>
    <row r="31" spans="1:7" ht="20" customHeight="1" thickBot="1">
      <c r="A31" s="655" t="s">
        <v>253</v>
      </c>
      <c r="B31" s="484">
        <v>-2.4966009259941302E-9</v>
      </c>
      <c r="C31" s="198">
        <v>66096306.156391352</v>
      </c>
      <c r="D31" s="743">
        <v>15699974.843608653</v>
      </c>
      <c r="E31" s="663">
        <v>81796281</v>
      </c>
      <c r="F31" s="172">
        <v>1.0000000024966009</v>
      </c>
      <c r="G31" s="455">
        <v>9.6229962978724437E-3</v>
      </c>
    </row>
    <row r="32" spans="1:7" ht="20" customHeight="1" thickBot="1">
      <c r="A32" s="655" t="s">
        <v>254</v>
      </c>
      <c r="B32" s="484">
        <v>9.4288243879248057E-11</v>
      </c>
      <c r="C32" s="198">
        <v>102374871.09838894</v>
      </c>
      <c r="D32" s="743">
        <v>106081519.90161106</v>
      </c>
      <c r="E32" s="663">
        <v>208456391</v>
      </c>
      <c r="F32" s="172">
        <v>0.99999999990571176</v>
      </c>
      <c r="G32" s="455">
        <v>2.011883283544047E-2</v>
      </c>
    </row>
    <row r="33" spans="1:9" ht="20" customHeight="1" thickBot="1">
      <c r="A33" s="655" t="s">
        <v>255</v>
      </c>
      <c r="B33" s="484">
        <v>-1.1416405598652091E-8</v>
      </c>
      <c r="C33" s="198">
        <v>30096711.261235092</v>
      </c>
      <c r="D33" s="743">
        <v>3079891.7387649035</v>
      </c>
      <c r="E33" s="663">
        <v>33176603</v>
      </c>
      <c r="F33" s="172">
        <v>1.0000000114164056</v>
      </c>
      <c r="G33" s="455">
        <v>6.8709132462150269E-3</v>
      </c>
      <c r="H33" s="10"/>
      <c r="I33" s="10"/>
    </row>
    <row r="34" spans="1:9" s="280" customFormat="1" ht="30" customHeight="1" thickBot="1">
      <c r="A34" s="656" t="s">
        <v>1837</v>
      </c>
      <c r="B34" s="749">
        <v>0.12762163310961971</v>
      </c>
      <c r="C34" s="259">
        <v>2092645051.7163491</v>
      </c>
      <c r="D34" s="744">
        <v>1026979988.283651</v>
      </c>
      <c r="E34" s="259">
        <v>3119625040</v>
      </c>
      <c r="F34" s="750">
        <v>0.87237836689038029</v>
      </c>
      <c r="G34" s="751">
        <v>3.1194723788243062E-2</v>
      </c>
      <c r="H34" s="752"/>
    </row>
    <row r="35" spans="1:9" ht="20" customHeight="1">
      <c r="A35" s="660" t="s">
        <v>1151</v>
      </c>
      <c r="B35" s="746"/>
      <c r="C35" s="391"/>
      <c r="D35" s="223"/>
      <c r="E35" s="223"/>
      <c r="F35" s="747"/>
    </row>
    <row r="36" spans="1:9" ht="11.25" customHeight="1">
      <c r="A36" s="661"/>
      <c r="B36" s="747"/>
      <c r="C36" s="392"/>
      <c r="D36" s="225"/>
      <c r="E36" s="225"/>
      <c r="F36" s="747"/>
    </row>
    <row r="37" spans="1:9" ht="15.75" customHeight="1">
      <c r="A37" s="661" t="s">
        <v>1826</v>
      </c>
      <c r="B37" s="747"/>
      <c r="C37" s="392"/>
      <c r="D37" s="225"/>
      <c r="E37" s="225"/>
      <c r="F37" s="747"/>
    </row>
    <row r="38" spans="1:9" ht="10.5" customHeight="1">
      <c r="A38" s="661"/>
      <c r="B38" s="747"/>
      <c r="C38" s="392"/>
      <c r="D38" s="225"/>
      <c r="E38" s="225"/>
      <c r="F38" s="747"/>
    </row>
    <row r="39" spans="1:9" ht="11.25" customHeight="1">
      <c r="A39" s="4" t="s">
        <v>1827</v>
      </c>
      <c r="B39" s="747"/>
      <c r="C39" s="392"/>
      <c r="D39" s="225"/>
      <c r="E39" s="225"/>
      <c r="F39" s="747"/>
    </row>
    <row r="40" spans="1:9">
      <c r="A40" s="2" t="s">
        <v>1828</v>
      </c>
    </row>
    <row r="41" spans="1:9">
      <c r="A41" s="2" t="s">
        <v>1829</v>
      </c>
    </row>
    <row r="42" spans="1:9">
      <c r="A42" s="2" t="s">
        <v>1830</v>
      </c>
    </row>
    <row r="43" spans="1:9">
      <c r="A43" s="2" t="s">
        <v>1831</v>
      </c>
    </row>
    <row r="44" spans="1:9">
      <c r="A44" s="2" t="s">
        <v>1832</v>
      </c>
    </row>
    <row r="47" spans="1:9">
      <c r="A47" s="2" t="s">
        <v>128</v>
      </c>
    </row>
  </sheetData>
  <phoneticPr fontId="0" type="noConversion"/>
  <pageMargins left="0.53" right="0.64" top="0.67" bottom="0.49" header="0.38" footer="0.4921259845"/>
  <pageSetup paperSize="9" scale="90" orientation="portrait" horizontalDpi="1200" verticalDpi="1200"/>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B4A84-F861-B946-85F4-2CAB85C80BF1}">
  <sheetPr>
    <pageSetUpPr fitToPage="1"/>
  </sheetPr>
  <dimension ref="A1:L42"/>
  <sheetViews>
    <sheetView zoomScale="75" workbookViewId="0">
      <selection activeCell="F5" sqref="F5"/>
    </sheetView>
  </sheetViews>
  <sheetFormatPr baseColWidth="10" defaultColWidth="11.3984375" defaultRowHeight="13"/>
  <cols>
    <col min="1" max="1" width="11.796875" style="2" customWidth="1"/>
    <col min="2" max="3" width="17.19921875" style="2" customWidth="1"/>
    <col min="4" max="4" width="17.19921875" style="163" customWidth="1"/>
    <col min="5" max="5" width="16" style="21" customWidth="1"/>
    <col min="6" max="6" width="13.19921875" style="765" customWidth="1"/>
    <col min="7" max="7" width="13.19921875" style="21" customWidth="1"/>
    <col min="8" max="8" width="14.59765625" style="21" customWidth="1"/>
    <col min="9" max="9" width="7.3984375" style="2" customWidth="1"/>
    <col min="10" max="10" width="11.59765625" style="2" customWidth="1"/>
    <col min="11" max="16384" width="11.3984375" style="2"/>
  </cols>
  <sheetData>
    <row r="1" spans="1:10" s="1" customFormat="1" ht="14" customHeight="1">
      <c r="D1" s="18"/>
      <c r="E1" s="305"/>
      <c r="F1" s="753"/>
      <c r="G1" s="305"/>
      <c r="H1" s="305"/>
    </row>
    <row r="2" spans="1:10" s="1" customFormat="1" ht="28" customHeight="1">
      <c r="A2" s="124" t="s">
        <v>1838</v>
      </c>
      <c r="D2" s="18"/>
      <c r="E2" s="305"/>
      <c r="F2" s="753"/>
      <c r="G2" s="305"/>
      <c r="H2" s="192">
        <v>2005</v>
      </c>
    </row>
    <row r="3" spans="1:10" ht="24" customHeight="1">
      <c r="A3" s="125" t="s">
        <v>222</v>
      </c>
      <c r="B3" s="126" t="s">
        <v>2056</v>
      </c>
      <c r="C3" s="127" t="s">
        <v>2056</v>
      </c>
      <c r="D3" s="268" t="s">
        <v>43</v>
      </c>
      <c r="E3" s="329" t="s">
        <v>265</v>
      </c>
      <c r="F3" s="754"/>
      <c r="G3" s="329" t="s">
        <v>43</v>
      </c>
      <c r="H3" s="503" t="s">
        <v>43</v>
      </c>
    </row>
    <row r="4" spans="1:10" ht="15" customHeight="1">
      <c r="A4" s="212"/>
      <c r="B4" s="155" t="s">
        <v>1839</v>
      </c>
      <c r="C4" s="213" t="s">
        <v>1839</v>
      </c>
      <c r="D4" s="693" t="s">
        <v>2186</v>
      </c>
      <c r="E4" s="128" t="s">
        <v>267</v>
      </c>
      <c r="F4" s="755" t="s">
        <v>2187</v>
      </c>
      <c r="G4" s="638" t="s">
        <v>2056</v>
      </c>
      <c r="H4" s="130" t="s">
        <v>2056</v>
      </c>
    </row>
    <row r="5" spans="1:10" ht="15.75" customHeight="1">
      <c r="A5" s="212"/>
      <c r="B5" s="129" t="s">
        <v>2201</v>
      </c>
      <c r="C5" s="131" t="s">
        <v>2202</v>
      </c>
      <c r="D5" s="693" t="s">
        <v>1846</v>
      </c>
      <c r="E5" s="128" t="s">
        <v>268</v>
      </c>
      <c r="F5" s="755" t="s">
        <v>1840</v>
      </c>
      <c r="G5" s="638" t="s">
        <v>1841</v>
      </c>
      <c r="H5" s="130" t="s">
        <v>1842</v>
      </c>
    </row>
    <row r="6" spans="1:10" ht="15" customHeight="1">
      <c r="A6" s="212"/>
      <c r="B6" s="129" t="s">
        <v>699</v>
      </c>
      <c r="C6" s="131" t="s">
        <v>1843</v>
      </c>
      <c r="D6" s="693" t="s">
        <v>699</v>
      </c>
      <c r="E6" s="128"/>
      <c r="F6" s="755" t="s">
        <v>263</v>
      </c>
      <c r="G6" s="638" t="s">
        <v>699</v>
      </c>
      <c r="H6" s="130" t="s">
        <v>699</v>
      </c>
    </row>
    <row r="7" spans="1:10" ht="24" customHeight="1">
      <c r="A7" s="214"/>
      <c r="B7" s="135"/>
      <c r="C7" s="134" t="s">
        <v>699</v>
      </c>
      <c r="D7" s="309"/>
      <c r="E7" s="468"/>
      <c r="F7" s="756"/>
      <c r="G7" s="468"/>
      <c r="H7" s="425"/>
    </row>
    <row r="8" spans="1:10" ht="30" customHeight="1" thickBot="1">
      <c r="A8" s="654" t="s">
        <v>230</v>
      </c>
      <c r="B8" s="138">
        <v>512713601</v>
      </c>
      <c r="C8" s="139">
        <v>2855552</v>
      </c>
      <c r="D8" s="742">
        <v>515569153</v>
      </c>
      <c r="E8" s="455">
        <v>4.0601509382869092E-2</v>
      </c>
      <c r="F8" s="757">
        <v>0.51380649416005697</v>
      </c>
      <c r="G8" s="434">
        <v>1982.1654146033893</v>
      </c>
      <c r="H8" s="741">
        <v>1323.1834089153404</v>
      </c>
      <c r="I8" s="9"/>
      <c r="J8" s="140"/>
    </row>
    <row r="9" spans="1:10" ht="20" customHeight="1" thickBot="1">
      <c r="A9" s="655" t="s">
        <v>231</v>
      </c>
      <c r="B9" s="197">
        <v>429456770</v>
      </c>
      <c r="C9" s="198">
        <v>34600768</v>
      </c>
      <c r="D9" s="631">
        <v>464057538</v>
      </c>
      <c r="E9" s="455">
        <v>1.4176892053091518E-3</v>
      </c>
      <c r="F9" s="758">
        <v>0.19958806487483455</v>
      </c>
      <c r="G9" s="759">
        <v>3201.6333066563639</v>
      </c>
      <c r="H9" s="741">
        <v>1655.332391623059</v>
      </c>
      <c r="I9" s="9"/>
      <c r="J9" s="140"/>
    </row>
    <row r="10" spans="1:10" ht="20" customHeight="1" thickBot="1">
      <c r="A10" s="655" t="s">
        <v>232</v>
      </c>
      <c r="B10" s="197">
        <v>149203073</v>
      </c>
      <c r="C10" s="198">
        <v>0</v>
      </c>
      <c r="D10" s="631">
        <v>149203073</v>
      </c>
      <c r="E10" s="455">
        <v>3.9356385851206453E-2</v>
      </c>
      <c r="F10" s="758">
        <v>0.21989667062688448</v>
      </c>
      <c r="G10" s="759">
        <v>2410.3110238764498</v>
      </c>
      <c r="H10" s="741">
        <v>1073.6892050401905</v>
      </c>
      <c r="I10" s="9"/>
      <c r="J10" s="140"/>
    </row>
    <row r="11" spans="1:10" ht="20" customHeight="1" thickBot="1">
      <c r="A11" s="655" t="s">
        <v>233</v>
      </c>
      <c r="B11" s="197">
        <v>11831414</v>
      </c>
      <c r="C11" s="198">
        <v>687714</v>
      </c>
      <c r="D11" s="631">
        <v>12519128</v>
      </c>
      <c r="E11" s="455">
        <v>-4.9249857529432776E-2</v>
      </c>
      <c r="F11" s="758">
        <v>0.17135953877937823</v>
      </c>
      <c r="G11" s="759">
        <v>2102.6415854887468</v>
      </c>
      <c r="H11" s="741">
        <v>870.47197886246693</v>
      </c>
      <c r="I11" s="9"/>
      <c r="J11" s="140"/>
    </row>
    <row r="12" spans="1:10" ht="20" customHeight="1" thickBot="1">
      <c r="A12" s="655" t="s">
        <v>234</v>
      </c>
      <c r="B12" s="197">
        <v>40456096</v>
      </c>
      <c r="C12" s="198">
        <v>319290</v>
      </c>
      <c r="D12" s="631">
        <v>40775386</v>
      </c>
      <c r="E12" s="455">
        <v>-0.21259417119214191</v>
      </c>
      <c r="F12" s="758">
        <v>0.4054489637449416</v>
      </c>
      <c r="G12" s="759">
        <v>2250.1730588819601</v>
      </c>
      <c r="H12" s="741">
        <v>1193.7287311903508</v>
      </c>
      <c r="I12" s="9"/>
      <c r="J12" s="140"/>
    </row>
    <row r="13" spans="1:10" ht="20" customHeight="1" thickBot="1">
      <c r="A13" s="655" t="s">
        <v>235</v>
      </c>
      <c r="B13" s="197">
        <v>15926675</v>
      </c>
      <c r="C13" s="198">
        <v>0</v>
      </c>
      <c r="D13" s="631">
        <v>15926675</v>
      </c>
      <c r="E13" s="455">
        <v>-7.3785308678108105E-3</v>
      </c>
      <c r="F13" s="758">
        <v>7.9074383071168333E-2</v>
      </c>
      <c r="G13" s="759">
        <v>1957.3153496374584</v>
      </c>
      <c r="H13" s="741">
        <v>890.15621506818695</v>
      </c>
      <c r="I13" s="9"/>
      <c r="J13" s="140"/>
    </row>
    <row r="14" spans="1:10" ht="20" customHeight="1" thickBot="1">
      <c r="A14" s="655" t="s">
        <v>236</v>
      </c>
      <c r="B14" s="197">
        <v>9218469</v>
      </c>
      <c r="C14" s="198">
        <v>275540</v>
      </c>
      <c r="D14" s="631">
        <v>9494009</v>
      </c>
      <c r="E14" s="455">
        <v>4.4563583487235566E-3</v>
      </c>
      <c r="F14" s="758">
        <v>0.44027438777443756</v>
      </c>
      <c r="G14" s="759">
        <v>1616.2766428328225</v>
      </c>
      <c r="H14" s="741">
        <v>811.80068405301415</v>
      </c>
      <c r="I14" s="9"/>
      <c r="J14" s="140"/>
    </row>
    <row r="15" spans="1:10" ht="20" customHeight="1" thickBot="1">
      <c r="A15" s="655" t="s">
        <v>237</v>
      </c>
      <c r="B15" s="197">
        <v>13896528</v>
      </c>
      <c r="C15" s="198">
        <v>-196276</v>
      </c>
      <c r="D15" s="631">
        <v>13700252</v>
      </c>
      <c r="E15" s="455">
        <v>-0.2000679030598457</v>
      </c>
      <c r="F15" s="758">
        <v>0.27294191376917737</v>
      </c>
      <c r="G15" s="759">
        <v>2558.8815838625328</v>
      </c>
      <c r="H15" s="741">
        <v>1535.0422408963586</v>
      </c>
      <c r="I15" s="9"/>
      <c r="J15" s="140"/>
    </row>
    <row r="16" spans="1:10" ht="20" customHeight="1" thickBot="1">
      <c r="A16" s="655" t="s">
        <v>238</v>
      </c>
      <c r="B16" s="197">
        <v>35730762</v>
      </c>
      <c r="C16" s="198">
        <v>2235317</v>
      </c>
      <c r="D16" s="631">
        <v>37966079</v>
      </c>
      <c r="E16" s="455">
        <v>8.3397800780663459E-2</v>
      </c>
      <c r="F16" s="758">
        <v>0.65810388267906206</v>
      </c>
      <c r="G16" s="759">
        <v>2299.1630230727305</v>
      </c>
      <c r="H16" s="741">
        <v>1119.1510140313642</v>
      </c>
      <c r="I16" s="9"/>
      <c r="J16" s="140"/>
    </row>
    <row r="17" spans="1:10" ht="20" customHeight="1" thickBot="1">
      <c r="A17" s="655" t="s">
        <v>239</v>
      </c>
      <c r="B17" s="197">
        <v>117301662</v>
      </c>
      <c r="C17" s="198">
        <v>0</v>
      </c>
      <c r="D17" s="631">
        <v>117301662</v>
      </c>
      <c r="E17" s="455">
        <v>2.2417647521588983E-2</v>
      </c>
      <c r="F17" s="758">
        <v>0.14601221080737969</v>
      </c>
      <c r="G17" s="759">
        <v>3188.4982467585419</v>
      </c>
      <c r="H17" s="741">
        <v>1307.9587212738199</v>
      </c>
      <c r="I17" s="9"/>
      <c r="J17" s="140"/>
    </row>
    <row r="18" spans="1:10" ht="20" customHeight="1" thickBot="1">
      <c r="A18" s="655" t="s">
        <v>240</v>
      </c>
      <c r="B18" s="197">
        <v>81421395</v>
      </c>
      <c r="C18" s="198">
        <v>4921871</v>
      </c>
      <c r="D18" s="631">
        <v>86343266</v>
      </c>
      <c r="E18" s="455">
        <v>8.2024325334945317E-2</v>
      </c>
      <c r="F18" s="758">
        <v>0.26927555647478058</v>
      </c>
      <c r="G18" s="759">
        <v>3334.3605329214133</v>
      </c>
      <c r="H18" s="741">
        <v>1455.3789337064068</v>
      </c>
      <c r="I18" s="9"/>
      <c r="J18" s="140"/>
    </row>
    <row r="19" spans="1:10" ht="20" customHeight="1" thickBot="1">
      <c r="A19" s="655" t="s">
        <v>241</v>
      </c>
      <c r="B19" s="197">
        <v>122357777</v>
      </c>
      <c r="C19" s="198">
        <v>84756</v>
      </c>
      <c r="D19" s="631">
        <v>122442533</v>
      </c>
      <c r="E19" s="455">
        <v>3.5630929951285077E-2</v>
      </c>
      <c r="F19" s="758">
        <v>0.63556645793990563</v>
      </c>
      <c r="G19" s="759">
        <v>3991.9970331246741</v>
      </c>
      <c r="H19" s="741">
        <v>2397.308526676456</v>
      </c>
      <c r="I19" s="9"/>
      <c r="J19" s="140"/>
    </row>
    <row r="20" spans="1:10" ht="20" customHeight="1" thickBot="1">
      <c r="A20" s="655" t="s">
        <v>242</v>
      </c>
      <c r="B20" s="197">
        <v>93311550</v>
      </c>
      <c r="C20" s="198">
        <v>3941484</v>
      </c>
      <c r="D20" s="313">
        <v>97253034</v>
      </c>
      <c r="E20" s="455">
        <v>-1.8130698507087296E-2</v>
      </c>
      <c r="F20" s="758">
        <v>0.40245082739526666</v>
      </c>
      <c r="G20" s="759">
        <v>2152.4729759638794</v>
      </c>
      <c r="H20" s="741">
        <v>1031.93907239795</v>
      </c>
      <c r="I20" s="9"/>
      <c r="J20" s="140"/>
    </row>
    <row r="21" spans="1:10" ht="20" customHeight="1" thickBot="1">
      <c r="A21" s="655" t="s">
        <v>243</v>
      </c>
      <c r="B21" s="197">
        <v>31311533</v>
      </c>
      <c r="C21" s="198">
        <v>1961057</v>
      </c>
      <c r="D21" s="631">
        <v>33272590</v>
      </c>
      <c r="E21" s="455">
        <v>4.411322265064372E-2</v>
      </c>
      <c r="F21" s="758">
        <v>0.34582393495667152</v>
      </c>
      <c r="G21" s="759">
        <v>3074.248359974129</v>
      </c>
      <c r="H21" s="741">
        <v>1391.4599364335897</v>
      </c>
      <c r="I21" s="9"/>
      <c r="J21" s="140"/>
    </row>
    <row r="22" spans="1:10" ht="20" customHeight="1" thickBot="1">
      <c r="A22" s="655" t="s">
        <v>244</v>
      </c>
      <c r="B22" s="197">
        <v>21164553</v>
      </c>
      <c r="C22" s="198">
        <v>958371</v>
      </c>
      <c r="D22" s="631">
        <v>22122924</v>
      </c>
      <c r="E22" s="455">
        <v>6.6328327297549478E-2</v>
      </c>
      <c r="F22" s="758">
        <v>0.21200922626683524</v>
      </c>
      <c r="G22" s="759">
        <v>4373.8481613285885</v>
      </c>
      <c r="H22" s="741">
        <v>1641.16646884273</v>
      </c>
      <c r="I22" s="9"/>
      <c r="J22" s="140"/>
    </row>
    <row r="23" spans="1:10" ht="20" customHeight="1" thickBot="1">
      <c r="A23" s="655" t="s">
        <v>245</v>
      </c>
      <c r="B23" s="197">
        <v>4867890</v>
      </c>
      <c r="C23" s="198">
        <v>51527</v>
      </c>
      <c r="D23" s="631">
        <v>4919417</v>
      </c>
      <c r="E23" s="455">
        <v>1.8044704495096563E-2</v>
      </c>
      <c r="F23" s="758">
        <v>0.23158008357494395</v>
      </c>
      <c r="G23" s="759">
        <v>2280.6754751970329</v>
      </c>
      <c r="H23" s="741">
        <v>733.36568276684557</v>
      </c>
      <c r="I23" s="9"/>
      <c r="J23" s="140"/>
    </row>
    <row r="24" spans="1:10" ht="20" customHeight="1" thickBot="1">
      <c r="A24" s="655" t="s">
        <v>246</v>
      </c>
      <c r="B24" s="197">
        <v>141992127</v>
      </c>
      <c r="C24" s="198">
        <v>0</v>
      </c>
      <c r="D24" s="631">
        <v>141992127</v>
      </c>
      <c r="E24" s="455">
        <v>8.2418870752171677E-2</v>
      </c>
      <c r="F24" s="758">
        <v>0.28383080704185804</v>
      </c>
      <c r="G24" s="759">
        <v>2120.3931456731129</v>
      </c>
      <c r="H24" s="741">
        <v>864.28787860342811</v>
      </c>
      <c r="I24" s="9"/>
      <c r="J24" s="140"/>
    </row>
    <row r="25" spans="1:10" ht="20" customHeight="1" thickBot="1">
      <c r="A25" s="655" t="s">
        <v>247</v>
      </c>
      <c r="B25" s="197">
        <v>60004710</v>
      </c>
      <c r="C25" s="198">
        <v>3055930</v>
      </c>
      <c r="D25" s="631">
        <v>63060640</v>
      </c>
      <c r="E25" s="455">
        <v>-8.1148624677760545E-3</v>
      </c>
      <c r="F25" s="758">
        <v>0.21989667405849353</v>
      </c>
      <c r="G25" s="759">
        <v>2128.7010532001082</v>
      </c>
      <c r="H25" s="741">
        <v>1062.3960105800495</v>
      </c>
      <c r="I25" s="9"/>
      <c r="J25" s="140"/>
    </row>
    <row r="26" spans="1:10" ht="20" customHeight="1" thickBot="1">
      <c r="A26" s="655" t="s">
        <v>248</v>
      </c>
      <c r="B26" s="197">
        <v>137233035</v>
      </c>
      <c r="C26" s="198">
        <v>11408312</v>
      </c>
      <c r="D26" s="631">
        <v>148641347</v>
      </c>
      <c r="E26" s="455">
        <v>-5.5188593399867524E-3</v>
      </c>
      <c r="F26" s="758">
        <v>0.36845668520482394</v>
      </c>
      <c r="G26" s="759">
        <v>2628.633649884167</v>
      </c>
      <c r="H26" s="741">
        <v>1055.0095250938668</v>
      </c>
      <c r="I26" s="9"/>
      <c r="J26" s="140"/>
    </row>
    <row r="27" spans="1:10" ht="20" customHeight="1" thickBot="1">
      <c r="A27" s="655" t="s">
        <v>249</v>
      </c>
      <c r="B27" s="197">
        <v>96679781</v>
      </c>
      <c r="C27" s="198">
        <v>3788458</v>
      </c>
      <c r="D27" s="631">
        <v>100468239</v>
      </c>
      <c r="E27" s="455">
        <v>-8.565808907185217E-2</v>
      </c>
      <c r="F27" s="758">
        <v>0.28387025873918226</v>
      </c>
      <c r="G27" s="759">
        <v>1743.9677654533145</v>
      </c>
      <c r="H27" s="741">
        <v>1064.0004130262114</v>
      </c>
      <c r="I27" s="9"/>
      <c r="J27" s="140"/>
    </row>
    <row r="28" spans="1:10" ht="20" customHeight="1" thickBot="1">
      <c r="A28" s="655" t="s">
        <v>250</v>
      </c>
      <c r="B28" s="197">
        <v>228301022</v>
      </c>
      <c r="C28" s="198">
        <v>2614841</v>
      </c>
      <c r="D28" s="631">
        <v>230915863</v>
      </c>
      <c r="E28" s="455">
        <v>0.18403222918401413</v>
      </c>
      <c r="F28" s="758">
        <v>0.53063048769412602</v>
      </c>
      <c r="G28" s="759">
        <v>3825.010154050025</v>
      </c>
      <c r="H28" s="741">
        <v>2370.6777167496534</v>
      </c>
      <c r="I28" s="9"/>
      <c r="J28" s="140"/>
    </row>
    <row r="29" spans="1:10" ht="20" customHeight="1" thickBot="1">
      <c r="A29" s="655" t="s">
        <v>251</v>
      </c>
      <c r="B29" s="197">
        <v>281589801</v>
      </c>
      <c r="C29" s="198">
        <v>1184297</v>
      </c>
      <c r="D29" s="631">
        <v>282774098</v>
      </c>
      <c r="E29" s="455">
        <v>-0.10271294445726137</v>
      </c>
      <c r="F29" s="758">
        <v>0.33587758451624516</v>
      </c>
      <c r="G29" s="759">
        <v>3777.7761182065942</v>
      </c>
      <c r="H29" s="741">
        <v>2032.7373876788154</v>
      </c>
      <c r="I29" s="9"/>
      <c r="J29" s="140"/>
    </row>
    <row r="30" spans="1:10" ht="20" customHeight="1" thickBot="1">
      <c r="A30" s="655" t="s">
        <v>252</v>
      </c>
      <c r="B30" s="197">
        <v>121245919</v>
      </c>
      <c r="C30" s="198">
        <v>13724419</v>
      </c>
      <c r="D30" s="631">
        <v>134970338</v>
      </c>
      <c r="E30" s="455">
        <v>1.2573232280386261E-2</v>
      </c>
      <c r="F30" s="758">
        <v>7.9100661361609689E-2</v>
      </c>
      <c r="G30" s="759">
        <v>3059.511232007254</v>
      </c>
      <c r="H30" s="741">
        <v>1748.705518054494</v>
      </c>
      <c r="I30" s="9"/>
      <c r="J30" s="140"/>
    </row>
    <row r="31" spans="1:10" ht="20" customHeight="1" thickBot="1">
      <c r="A31" s="655" t="s">
        <v>253</v>
      </c>
      <c r="B31" s="197">
        <v>81253640</v>
      </c>
      <c r="C31" s="198">
        <v>519956</v>
      </c>
      <c r="D31" s="631">
        <v>81773596</v>
      </c>
      <c r="E31" s="455">
        <v>4.3678839248415683E-3</v>
      </c>
      <c r="F31" s="758">
        <v>0.19193996311474429</v>
      </c>
      <c r="G31" s="759">
        <v>2787.1027948193591</v>
      </c>
      <c r="H31" s="741">
        <v>1655.604065435698</v>
      </c>
      <c r="I31" s="9"/>
      <c r="J31" s="140"/>
    </row>
    <row r="32" spans="1:10" ht="20" customHeight="1" thickBot="1">
      <c r="A32" s="655" t="s">
        <v>254</v>
      </c>
      <c r="B32" s="197">
        <v>211986811</v>
      </c>
      <c r="C32" s="198">
        <v>29135708</v>
      </c>
      <c r="D32" s="631">
        <v>241122519</v>
      </c>
      <c r="E32" s="455">
        <v>-1.0242190212504387E-2</v>
      </c>
      <c r="F32" s="758">
        <v>0.57542384915114464</v>
      </c>
      <c r="G32" s="759">
        <v>2416.1057235615945</v>
      </c>
      <c r="H32" s="741">
        <v>1635.0282356770392</v>
      </c>
      <c r="J32" s="140"/>
    </row>
    <row r="33" spans="1:12" ht="20" customHeight="1" thickBot="1">
      <c r="A33" s="655" t="s">
        <v>255</v>
      </c>
      <c r="B33" s="197">
        <v>32149108</v>
      </c>
      <c r="C33" s="198">
        <v>1027495</v>
      </c>
      <c r="D33" s="631">
        <v>33176603</v>
      </c>
      <c r="E33" s="455">
        <v>6.8709132462150086E-3</v>
      </c>
      <c r="F33" s="758">
        <v>9.28332536034506E-2</v>
      </c>
      <c r="G33" s="759">
        <v>2496.3583897667418</v>
      </c>
      <c r="H33" s="741">
        <v>1366.1355981058266</v>
      </c>
      <c r="J33" s="10"/>
      <c r="K33" s="10"/>
      <c r="L33" s="10"/>
    </row>
    <row r="34" spans="1:12" ht="30" customHeight="1" thickBot="1">
      <c r="A34" s="656" t="s">
        <v>256</v>
      </c>
      <c r="B34" s="258">
        <v>3082605702</v>
      </c>
      <c r="C34" s="259">
        <v>119156387</v>
      </c>
      <c r="D34" s="258">
        <v>3201762089</v>
      </c>
      <c r="E34" s="446">
        <v>1.007353086203688E-2</v>
      </c>
      <c r="F34" s="760">
        <v>0.35637005757550527</v>
      </c>
      <c r="G34" s="761">
        <v>2633.0518524427443</v>
      </c>
      <c r="H34" s="762">
        <v>1415.3561591576192</v>
      </c>
      <c r="J34" s="140"/>
    </row>
    <row r="35" spans="1:12" ht="20" customHeight="1">
      <c r="A35" s="660" t="s">
        <v>1151</v>
      </c>
      <c r="B35" s="223"/>
      <c r="C35" s="223"/>
      <c r="D35" s="391"/>
      <c r="E35" s="746"/>
      <c r="F35" s="763"/>
      <c r="G35" s="746"/>
      <c r="H35" s="746"/>
    </row>
    <row r="36" spans="1:12" ht="8.25" customHeight="1">
      <c r="A36" s="661"/>
      <c r="B36" s="225"/>
      <c r="C36" s="225"/>
      <c r="D36" s="392"/>
      <c r="E36" s="747"/>
      <c r="F36" s="764"/>
      <c r="G36" s="747"/>
      <c r="H36" s="747"/>
    </row>
    <row r="37" spans="1:12" ht="14.25" customHeight="1">
      <c r="A37" s="661" t="s">
        <v>1844</v>
      </c>
      <c r="B37" s="225"/>
      <c r="C37" s="225"/>
      <c r="D37" s="392"/>
      <c r="E37" s="747"/>
      <c r="F37" s="764"/>
      <c r="G37" s="747"/>
      <c r="H37" s="747"/>
    </row>
    <row r="38" spans="1:12" ht="12.75" customHeight="1">
      <c r="A38" s="661"/>
      <c r="B38" s="225"/>
      <c r="C38" s="225"/>
      <c r="D38" s="392"/>
      <c r="E38" s="747"/>
      <c r="F38" s="764"/>
      <c r="G38" s="747"/>
      <c r="H38" s="747"/>
    </row>
    <row r="39" spans="1:12" ht="11.25" customHeight="1">
      <c r="A39" s="4" t="s">
        <v>1845</v>
      </c>
      <c r="B39" s="225"/>
      <c r="C39" s="225"/>
      <c r="D39" s="392"/>
      <c r="E39" s="747"/>
      <c r="F39" s="764"/>
      <c r="G39" s="747"/>
      <c r="H39" s="747"/>
    </row>
    <row r="42" spans="1:12">
      <c r="A42" s="2" t="s">
        <v>128</v>
      </c>
    </row>
  </sheetData>
  <phoneticPr fontId="0" type="noConversion"/>
  <pageMargins left="0.59" right="0.56999999999999995" top="0.87" bottom="0.49" header="0.42" footer="0.4921259845"/>
  <pageSetup paperSize="9" scale="76" orientation="portrait" horizontalDpi="4294967292" verticalDpi="4294967292"/>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8EAED-B4C7-FB4A-92A0-68F3B2EB6F96}">
  <sheetPr>
    <pageSetUpPr fitToPage="1"/>
  </sheetPr>
  <dimension ref="A1:I49"/>
  <sheetViews>
    <sheetView zoomScale="75" workbookViewId="0">
      <selection activeCell="A36" sqref="A36"/>
    </sheetView>
  </sheetViews>
  <sheetFormatPr baseColWidth="10" defaultColWidth="11.3984375" defaultRowHeight="13"/>
  <cols>
    <col min="1" max="7" width="13.19921875" style="2" customWidth="1"/>
    <col min="8" max="8" width="12.796875" style="2" customWidth="1"/>
    <col min="9" max="9" width="13.796875" style="21" customWidth="1"/>
    <col min="10" max="16384" width="11.3984375" style="2"/>
  </cols>
  <sheetData>
    <row r="1" spans="1:9" s="1" customFormat="1" ht="14" customHeight="1">
      <c r="I1" s="305"/>
    </row>
    <row r="2" spans="1:9" s="1" customFormat="1" ht="28" customHeight="1">
      <c r="A2" s="124" t="s">
        <v>863</v>
      </c>
      <c r="H2" s="677"/>
      <c r="I2" s="350">
        <v>2005</v>
      </c>
    </row>
    <row r="3" spans="1:9" ht="24" customHeight="1">
      <c r="A3" s="125" t="s">
        <v>222</v>
      </c>
      <c r="B3" s="1614" t="s">
        <v>137</v>
      </c>
      <c r="C3" s="1615"/>
      <c r="D3" s="1615"/>
      <c r="E3" s="1616" t="s">
        <v>138</v>
      </c>
      <c r="F3" s="1615"/>
      <c r="G3" s="1615"/>
      <c r="H3" s="673" t="s">
        <v>864</v>
      </c>
      <c r="I3" s="674" t="s">
        <v>865</v>
      </c>
    </row>
    <row r="4" spans="1:9" ht="15" customHeight="1">
      <c r="A4" s="212"/>
      <c r="B4" s="129" t="s">
        <v>982</v>
      </c>
      <c r="C4" s="213" t="s">
        <v>983</v>
      </c>
      <c r="D4" s="155" t="s">
        <v>43</v>
      </c>
      <c r="E4" s="213" t="s">
        <v>982</v>
      </c>
      <c r="F4" s="155" t="s">
        <v>983</v>
      </c>
      <c r="G4" s="131" t="s">
        <v>43</v>
      </c>
      <c r="H4" s="639" t="s">
        <v>866</v>
      </c>
      <c r="I4" s="128" t="s">
        <v>1106</v>
      </c>
    </row>
    <row r="5" spans="1:9" ht="18.75" customHeight="1">
      <c r="A5" s="212"/>
      <c r="B5" s="129" t="s">
        <v>1333</v>
      </c>
      <c r="C5" s="131" t="s">
        <v>1333</v>
      </c>
      <c r="D5" s="129" t="s">
        <v>1333</v>
      </c>
      <c r="E5" s="213" t="s">
        <v>1333</v>
      </c>
      <c r="F5" s="155" t="s">
        <v>1333</v>
      </c>
      <c r="G5" s="131" t="s">
        <v>1333</v>
      </c>
      <c r="H5" s="639" t="s">
        <v>139</v>
      </c>
      <c r="I5" s="128" t="s">
        <v>140</v>
      </c>
    </row>
    <row r="6" spans="1:9" ht="15" customHeight="1">
      <c r="A6" s="212"/>
      <c r="B6" s="129"/>
      <c r="C6" s="131"/>
      <c r="D6" s="129"/>
      <c r="E6" s="213"/>
      <c r="F6" s="155"/>
      <c r="G6" s="131"/>
      <c r="H6" s="675">
        <v>2000</v>
      </c>
      <c r="I6" s="128" t="s">
        <v>867</v>
      </c>
    </row>
    <row r="7" spans="1:9" ht="16" customHeight="1">
      <c r="A7" s="214"/>
      <c r="B7" s="135"/>
      <c r="C7" s="134"/>
      <c r="D7" s="135"/>
      <c r="E7" s="215"/>
      <c r="F7" s="156"/>
      <c r="G7" s="134"/>
      <c r="H7" s="156"/>
      <c r="I7" s="132"/>
    </row>
    <row r="8" spans="1:9" ht="30" customHeight="1" thickBot="1">
      <c r="A8" s="654" t="s">
        <v>230</v>
      </c>
      <c r="B8" s="138">
        <v>636885</v>
      </c>
      <c r="C8" s="139">
        <v>655596</v>
      </c>
      <c r="D8" s="138">
        <v>1292481</v>
      </c>
      <c r="E8" s="235">
        <v>0.27909434199266742</v>
      </c>
      <c r="F8" s="196">
        <v>0.32320514463175493</v>
      </c>
      <c r="G8" s="235">
        <v>0.30146903513475248</v>
      </c>
      <c r="H8" s="138">
        <v>567573</v>
      </c>
      <c r="I8" s="678">
        <v>0.45827408985275903</v>
      </c>
    </row>
    <row r="9" spans="1:9" ht="20" customHeight="1" thickBot="1">
      <c r="A9" s="655" t="s">
        <v>231</v>
      </c>
      <c r="B9" s="138">
        <v>469229</v>
      </c>
      <c r="C9" s="139">
        <v>494428</v>
      </c>
      <c r="D9" s="138">
        <v>963657</v>
      </c>
      <c r="E9" s="235">
        <v>0.27799858917500836</v>
      </c>
      <c r="F9" s="196">
        <v>0.30317053241321285</v>
      </c>
      <c r="G9" s="235">
        <v>0.29091367571656718</v>
      </c>
      <c r="H9" s="138">
        <v>415901</v>
      </c>
      <c r="I9" s="678">
        <v>0.34850601465252545</v>
      </c>
    </row>
    <row r="10" spans="1:9" ht="20" customHeight="1" thickBot="1">
      <c r="A10" s="655" t="s">
        <v>232</v>
      </c>
      <c r="B10" s="138">
        <v>175354</v>
      </c>
      <c r="C10" s="139">
        <v>180412</v>
      </c>
      <c r="D10" s="138">
        <v>355766</v>
      </c>
      <c r="E10" s="235">
        <v>0.37506415593599235</v>
      </c>
      <c r="F10" s="196">
        <v>0.40570472030685323</v>
      </c>
      <c r="G10" s="235">
        <v>0.39060224979340352</v>
      </c>
      <c r="H10" s="138">
        <v>140594</v>
      </c>
      <c r="I10" s="678">
        <v>0.4402890592770673</v>
      </c>
    </row>
    <row r="11" spans="1:9" ht="20" customHeight="1" thickBot="1">
      <c r="A11" s="655" t="s">
        <v>233</v>
      </c>
      <c r="B11" s="138">
        <v>17548</v>
      </c>
      <c r="C11" s="139">
        <v>17104</v>
      </c>
      <c r="D11" s="138">
        <v>34652</v>
      </c>
      <c r="E11" s="235">
        <v>0.40323683610667882</v>
      </c>
      <c r="F11" s="196">
        <v>0.4271515434985968</v>
      </c>
      <c r="G11" s="235">
        <v>0.41504097887567815</v>
      </c>
      <c r="H11" s="138">
        <v>13430</v>
      </c>
      <c r="I11" s="678">
        <v>0.44333581533879374</v>
      </c>
    </row>
    <row r="12" spans="1:9" ht="20" customHeight="1" thickBot="1">
      <c r="A12" s="655" t="s">
        <v>234</v>
      </c>
      <c r="B12" s="138">
        <v>69164</v>
      </c>
      <c r="C12" s="139">
        <v>67345</v>
      </c>
      <c r="D12" s="138">
        <v>136509</v>
      </c>
      <c r="E12" s="235">
        <v>0.23930079231970389</v>
      </c>
      <c r="F12" s="196">
        <v>0.26144479916846092</v>
      </c>
      <c r="G12" s="235">
        <v>0.25022525987297539</v>
      </c>
      <c r="H12" s="138">
        <v>50089</v>
      </c>
      <c r="I12" s="678">
        <v>0.36177603865120084</v>
      </c>
    </row>
    <row r="13" spans="1:9" ht="20" customHeight="1" thickBot="1">
      <c r="A13" s="655" t="s">
        <v>235</v>
      </c>
      <c r="B13" s="138">
        <v>16615</v>
      </c>
      <c r="C13" s="139">
        <v>16463</v>
      </c>
      <c r="D13" s="138">
        <v>33078</v>
      </c>
      <c r="E13" s="235">
        <v>0.5183869996990671</v>
      </c>
      <c r="F13" s="196">
        <v>0.56362752839701147</v>
      </c>
      <c r="G13" s="235">
        <v>0.54090331942680936</v>
      </c>
      <c r="H13" s="138">
        <v>12445</v>
      </c>
      <c r="I13" s="678">
        <v>0.65383688228204095</v>
      </c>
    </row>
    <row r="14" spans="1:9" ht="20" customHeight="1" thickBot="1">
      <c r="A14" s="655" t="s">
        <v>236</v>
      </c>
      <c r="B14" s="138">
        <v>19907</v>
      </c>
      <c r="C14" s="139">
        <v>19187</v>
      </c>
      <c r="D14" s="138">
        <v>39094</v>
      </c>
      <c r="E14" s="235">
        <v>0.28914452202742752</v>
      </c>
      <c r="F14" s="196">
        <v>0.30953249596080679</v>
      </c>
      <c r="G14" s="235">
        <v>0.29915076482324654</v>
      </c>
      <c r="H14" s="138">
        <v>15153</v>
      </c>
      <c r="I14" s="678">
        <v>0.38764601069095228</v>
      </c>
    </row>
    <row r="15" spans="1:9" ht="20" customHeight="1" thickBot="1">
      <c r="A15" s="655" t="s">
        <v>237</v>
      </c>
      <c r="B15" s="138">
        <v>18933</v>
      </c>
      <c r="C15" s="139">
        <v>19165</v>
      </c>
      <c r="D15" s="138">
        <v>38098</v>
      </c>
      <c r="E15" s="235">
        <v>0.23028574446733216</v>
      </c>
      <c r="F15" s="196">
        <v>0.2381946256196191</v>
      </c>
      <c r="G15" s="235">
        <v>0.23426426584072654</v>
      </c>
      <c r="H15" s="138">
        <v>15382</v>
      </c>
      <c r="I15" s="678">
        <v>0.34806917175919905</v>
      </c>
    </row>
    <row r="16" spans="1:9" ht="20" customHeight="1" thickBot="1">
      <c r="A16" s="655" t="s">
        <v>238</v>
      </c>
      <c r="B16" s="138">
        <v>53736</v>
      </c>
      <c r="C16" s="139">
        <v>52614</v>
      </c>
      <c r="D16" s="138">
        <v>106350</v>
      </c>
      <c r="E16" s="235">
        <v>0.30139943427125204</v>
      </c>
      <c r="F16" s="196">
        <v>0.33694453947618502</v>
      </c>
      <c r="G16" s="235">
        <v>0.31898448519040901</v>
      </c>
      <c r="H16" s="138">
        <v>40819</v>
      </c>
      <c r="I16" s="678">
        <v>0.40454200249883632</v>
      </c>
    </row>
    <row r="17" spans="1:9" ht="20" customHeight="1" thickBot="1">
      <c r="A17" s="655" t="s">
        <v>239</v>
      </c>
      <c r="B17" s="138">
        <v>126703</v>
      </c>
      <c r="C17" s="139">
        <v>128759</v>
      </c>
      <c r="D17" s="138">
        <v>255462</v>
      </c>
      <c r="E17" s="235">
        <v>0.33747425080700538</v>
      </c>
      <c r="F17" s="196">
        <v>0.36443277751458153</v>
      </c>
      <c r="G17" s="235">
        <v>0.35106199747907713</v>
      </c>
      <c r="H17" s="138">
        <v>94093</v>
      </c>
      <c r="I17" s="678">
        <v>0.39098551433156559</v>
      </c>
    </row>
    <row r="18" spans="1:9" ht="20" customHeight="1" thickBot="1">
      <c r="A18" s="655" t="s">
        <v>240</v>
      </c>
      <c r="B18" s="138">
        <v>121437</v>
      </c>
      <c r="C18" s="139">
        <v>125415</v>
      </c>
      <c r="D18" s="138">
        <v>246852</v>
      </c>
      <c r="E18" s="235">
        <v>0.23099220171776311</v>
      </c>
      <c r="F18" s="196">
        <v>0.24938005820675357</v>
      </c>
      <c r="G18" s="235">
        <v>0.24033428937176932</v>
      </c>
      <c r="H18" s="138">
        <v>102584</v>
      </c>
      <c r="I18" s="678">
        <v>0.25242727910785306</v>
      </c>
    </row>
    <row r="19" spans="1:9" ht="20" customHeight="1" thickBot="1">
      <c r="A19" s="655" t="s">
        <v>241</v>
      </c>
      <c r="B19" s="138">
        <v>90556</v>
      </c>
      <c r="C19" s="139">
        <v>99980</v>
      </c>
      <c r="D19" s="138">
        <v>190536</v>
      </c>
      <c r="E19" s="235">
        <v>0.26478643049604667</v>
      </c>
      <c r="F19" s="196">
        <v>0.27102420484096817</v>
      </c>
      <c r="G19" s="235">
        <v>0.26805957929210228</v>
      </c>
      <c r="H19" s="138">
        <v>95999</v>
      </c>
      <c r="I19" s="678">
        <v>0.31950332815966831</v>
      </c>
    </row>
    <row r="20" spans="1:9" ht="20" customHeight="1" thickBot="1">
      <c r="A20" s="655" t="s">
        <v>242</v>
      </c>
      <c r="B20" s="138">
        <v>129650</v>
      </c>
      <c r="C20" s="139">
        <v>135014</v>
      </c>
      <c r="D20" s="138">
        <v>264664</v>
      </c>
      <c r="E20" s="235">
        <v>0.35743925954492867</v>
      </c>
      <c r="F20" s="196">
        <v>0.35478542965914645</v>
      </c>
      <c r="G20" s="235">
        <v>0.35608545174258682</v>
      </c>
      <c r="H20" s="138">
        <v>111675</v>
      </c>
      <c r="I20" s="678">
        <v>0.40458473248265053</v>
      </c>
    </row>
    <row r="21" spans="1:9" ht="20" customHeight="1" thickBot="1">
      <c r="A21" s="655" t="s">
        <v>243</v>
      </c>
      <c r="B21" s="138">
        <v>36267</v>
      </c>
      <c r="C21" s="139">
        <v>37849</v>
      </c>
      <c r="D21" s="138">
        <v>74116</v>
      </c>
      <c r="E21" s="235">
        <v>0.32285548846058398</v>
      </c>
      <c r="F21" s="196">
        <v>0.32241274538296916</v>
      </c>
      <c r="G21" s="235">
        <v>0.32262939176426142</v>
      </c>
      <c r="H21" s="138">
        <v>31427</v>
      </c>
      <c r="I21" s="678">
        <v>0.34438540108823623</v>
      </c>
    </row>
    <row r="22" spans="1:9" ht="20" customHeight="1" thickBot="1">
      <c r="A22" s="655" t="s">
        <v>244</v>
      </c>
      <c r="B22" s="138">
        <v>26121</v>
      </c>
      <c r="C22" s="139">
        <v>26289</v>
      </c>
      <c r="D22" s="138">
        <v>52410</v>
      </c>
      <c r="E22" s="235">
        <v>0.25067952988017306</v>
      </c>
      <c r="F22" s="196">
        <v>0.26368443075050402</v>
      </c>
      <c r="G22" s="235">
        <v>0.25720282388857091</v>
      </c>
      <c r="H22" s="138">
        <v>21572</v>
      </c>
      <c r="I22" s="678">
        <v>0.23447061005006489</v>
      </c>
    </row>
    <row r="23" spans="1:9" ht="20" customHeight="1" thickBot="1">
      <c r="A23" s="655" t="s">
        <v>245</v>
      </c>
      <c r="B23" s="138">
        <v>7697</v>
      </c>
      <c r="C23" s="139">
        <v>7290</v>
      </c>
      <c r="D23" s="138">
        <v>14987</v>
      </c>
      <c r="E23" s="235">
        <v>0.44692737430167595</v>
      </c>
      <c r="F23" s="196">
        <v>0.44828532235939644</v>
      </c>
      <c r="G23" s="235">
        <v>0.44758790952158539</v>
      </c>
      <c r="H23" s="138">
        <v>5290</v>
      </c>
      <c r="I23" s="678">
        <v>0.40775047258979208</v>
      </c>
    </row>
    <row r="24" spans="1:9" ht="20" customHeight="1" thickBot="1">
      <c r="A24" s="655" t="s">
        <v>246</v>
      </c>
      <c r="B24" s="138">
        <v>228276</v>
      </c>
      <c r="C24" s="139">
        <v>232641</v>
      </c>
      <c r="D24" s="138">
        <v>460917</v>
      </c>
      <c r="E24" s="235">
        <v>0.33774904063502076</v>
      </c>
      <c r="F24" s="196">
        <v>0.37477486771463325</v>
      </c>
      <c r="G24" s="235">
        <v>0.35643727612563653</v>
      </c>
      <c r="H24" s="138">
        <v>183750</v>
      </c>
      <c r="I24" s="678">
        <v>0.36443537414965987</v>
      </c>
    </row>
    <row r="25" spans="1:9" ht="20" customHeight="1" thickBot="1">
      <c r="A25" s="655" t="s">
        <v>247</v>
      </c>
      <c r="B25" s="138">
        <v>94950</v>
      </c>
      <c r="C25" s="139">
        <v>96347</v>
      </c>
      <c r="D25" s="138">
        <v>191297</v>
      </c>
      <c r="E25" s="235">
        <v>0.29330173775671409</v>
      </c>
      <c r="F25" s="196">
        <v>0.3270262696295681</v>
      </c>
      <c r="G25" s="235">
        <v>0.31028714511989208</v>
      </c>
      <c r="H25" s="138">
        <v>77781</v>
      </c>
      <c r="I25" s="678">
        <v>0.38086422133940168</v>
      </c>
    </row>
    <row r="26" spans="1:9" ht="20" customHeight="1" thickBot="1">
      <c r="A26" s="655" t="s">
        <v>248</v>
      </c>
      <c r="B26" s="138">
        <v>282908</v>
      </c>
      <c r="C26" s="139">
        <v>284320</v>
      </c>
      <c r="D26" s="138">
        <v>567228</v>
      </c>
      <c r="E26" s="235">
        <v>0.25304692691617064</v>
      </c>
      <c r="F26" s="196">
        <v>0.24374648283624087</v>
      </c>
      <c r="G26" s="235">
        <v>0.24838512908389571</v>
      </c>
      <c r="H26" s="138">
        <v>224128</v>
      </c>
      <c r="I26" s="678">
        <v>0.25229779411764708</v>
      </c>
    </row>
    <row r="27" spans="1:9" ht="20" customHeight="1" thickBot="1">
      <c r="A27" s="655" t="s">
        <v>249</v>
      </c>
      <c r="B27" s="138">
        <v>116518</v>
      </c>
      <c r="C27" s="139">
        <v>117503</v>
      </c>
      <c r="D27" s="138">
        <v>234021</v>
      </c>
      <c r="E27" s="235">
        <v>0.39005990490739628</v>
      </c>
      <c r="F27" s="196">
        <v>0.41680637941158949</v>
      </c>
      <c r="G27" s="235">
        <v>0.4034894304357301</v>
      </c>
      <c r="H27" s="138">
        <v>91537</v>
      </c>
      <c r="I27" s="678">
        <v>0.62935206528507603</v>
      </c>
    </row>
    <row r="28" spans="1:9" ht="20" customHeight="1" thickBot="1">
      <c r="A28" s="655" t="s">
        <v>250</v>
      </c>
      <c r="B28" s="138">
        <v>154391</v>
      </c>
      <c r="C28" s="139">
        <v>167754</v>
      </c>
      <c r="D28" s="138">
        <v>322145</v>
      </c>
      <c r="E28" s="235">
        <v>0.27297575635885513</v>
      </c>
      <c r="F28" s="196">
        <v>0.32941092313745129</v>
      </c>
      <c r="G28" s="235">
        <v>0.30236384236911951</v>
      </c>
      <c r="H28" s="138">
        <v>134916</v>
      </c>
      <c r="I28" s="678">
        <v>0.44746360698508703</v>
      </c>
    </row>
    <row r="29" spans="1:9" ht="20" customHeight="1" thickBot="1">
      <c r="A29" s="655" t="s">
        <v>251</v>
      </c>
      <c r="B29" s="138">
        <v>322415</v>
      </c>
      <c r="C29" s="139">
        <v>341115</v>
      </c>
      <c r="D29" s="138">
        <v>663530</v>
      </c>
      <c r="E29" s="235">
        <v>0.19255307600452831</v>
      </c>
      <c r="F29" s="196">
        <v>0.22581240930477992</v>
      </c>
      <c r="G29" s="235">
        <v>0.20965140988350187</v>
      </c>
      <c r="H29" s="138">
        <v>278752</v>
      </c>
      <c r="I29" s="678">
        <v>0.26852542762025028</v>
      </c>
    </row>
    <row r="30" spans="1:9" ht="20" customHeight="1" thickBot="1">
      <c r="A30" s="655" t="s">
        <v>252</v>
      </c>
      <c r="B30" s="138">
        <v>142835</v>
      </c>
      <c r="C30" s="139">
        <v>146692</v>
      </c>
      <c r="D30" s="138">
        <v>289527</v>
      </c>
      <c r="E30" s="235">
        <v>0.24543004165645674</v>
      </c>
      <c r="F30" s="196">
        <v>0.28717994164644289</v>
      </c>
      <c r="G30" s="235">
        <v>0.26658308206143122</v>
      </c>
      <c r="H30" s="138">
        <v>107378</v>
      </c>
      <c r="I30" s="678">
        <v>0.41083834677494457</v>
      </c>
    </row>
    <row r="31" spans="1:9" ht="20" customHeight="1" thickBot="1">
      <c r="A31" s="655" t="s">
        <v>253</v>
      </c>
      <c r="B31" s="138">
        <v>81954</v>
      </c>
      <c r="C31" s="139">
        <v>87305</v>
      </c>
      <c r="D31" s="138">
        <v>169259</v>
      </c>
      <c r="E31" s="235">
        <v>0.27128633135661467</v>
      </c>
      <c r="F31" s="196">
        <v>0.31108183952809115</v>
      </c>
      <c r="G31" s="235">
        <v>0.29181313844463219</v>
      </c>
      <c r="H31" s="138">
        <v>74049</v>
      </c>
      <c r="I31" s="678">
        <v>0.39622412186525141</v>
      </c>
    </row>
    <row r="32" spans="1:9" ht="20" customHeight="1" thickBot="1">
      <c r="A32" s="655" t="s">
        <v>254</v>
      </c>
      <c r="B32" s="138">
        <v>209141</v>
      </c>
      <c r="C32" s="139">
        <v>227580</v>
      </c>
      <c r="D32" s="138">
        <v>436721</v>
      </c>
      <c r="E32" s="235">
        <v>0.32902204732692297</v>
      </c>
      <c r="F32" s="196">
        <v>0.34564109324193693</v>
      </c>
      <c r="G32" s="235">
        <v>0.3376824105092267</v>
      </c>
      <c r="H32" s="138">
        <v>181611</v>
      </c>
      <c r="I32" s="678">
        <v>0.54951517253910831</v>
      </c>
    </row>
    <row r="33" spans="1:9" ht="20" customHeight="1" thickBot="1">
      <c r="A33" s="655" t="s">
        <v>255</v>
      </c>
      <c r="B33" s="138">
        <v>33330</v>
      </c>
      <c r="C33" s="139">
        <v>34568</v>
      </c>
      <c r="D33" s="138">
        <v>67898</v>
      </c>
      <c r="E33" s="235">
        <v>0.31824182418241825</v>
      </c>
      <c r="F33" s="196">
        <v>0.39568386947465867</v>
      </c>
      <c r="G33" s="235">
        <v>0.35766885622551475</v>
      </c>
      <c r="H33" s="138">
        <v>27471</v>
      </c>
      <c r="I33" s="678">
        <v>0.48378289832914712</v>
      </c>
    </row>
    <row r="34" spans="1:9" ht="30" customHeight="1" thickBot="1">
      <c r="A34" s="656" t="s">
        <v>256</v>
      </c>
      <c r="B34" s="258">
        <v>3682520</v>
      </c>
      <c r="C34" s="259">
        <v>3818735</v>
      </c>
      <c r="D34" s="258">
        <v>7501255</v>
      </c>
      <c r="E34" s="657">
        <v>0.28737549286901359</v>
      </c>
      <c r="F34" s="679">
        <v>0.31525989627455164</v>
      </c>
      <c r="G34" s="657">
        <v>0.30157087047434061</v>
      </c>
      <c r="H34" s="239">
        <v>3115399</v>
      </c>
      <c r="I34" s="680">
        <v>0.39031565459191586</v>
      </c>
    </row>
    <row r="35" spans="1:9" ht="20" customHeight="1">
      <c r="A35" s="660" t="s">
        <v>868</v>
      </c>
      <c r="B35" s="223"/>
      <c r="C35" s="223"/>
      <c r="D35" s="223"/>
      <c r="E35" s="223"/>
      <c r="F35" s="223"/>
      <c r="G35" s="223"/>
    </row>
    <row r="36" spans="1:9" ht="14.25" customHeight="1">
      <c r="A36" s="661"/>
      <c r="B36" s="225"/>
      <c r="C36" s="225"/>
      <c r="D36" s="225"/>
      <c r="E36" s="225"/>
      <c r="F36" s="225"/>
      <c r="G36" s="225"/>
    </row>
    <row r="37" spans="1:9" ht="20" customHeight="1">
      <c r="A37" s="661" t="s">
        <v>869</v>
      </c>
      <c r="B37" s="225"/>
      <c r="C37" s="225"/>
      <c r="D37" s="225"/>
      <c r="E37" s="225"/>
      <c r="F37" s="225"/>
      <c r="G37" s="225"/>
    </row>
    <row r="38" spans="1:9" ht="15.75" customHeight="1">
      <c r="A38" s="661"/>
      <c r="B38" s="225"/>
      <c r="C38" s="225"/>
      <c r="D38" s="225"/>
      <c r="E38" s="225"/>
      <c r="F38" s="225"/>
      <c r="G38" s="225"/>
    </row>
    <row r="39" spans="1:9" ht="11.25" customHeight="1">
      <c r="A39" s="4" t="s">
        <v>922</v>
      </c>
      <c r="B39" s="225"/>
      <c r="C39" s="225"/>
      <c r="D39" s="225"/>
      <c r="E39" s="225"/>
      <c r="F39" s="225"/>
      <c r="G39" s="225"/>
    </row>
    <row r="40" spans="1:9">
      <c r="A40" s="2" t="s">
        <v>130</v>
      </c>
    </row>
    <row r="41" spans="1:9">
      <c r="A41" s="2" t="s">
        <v>131</v>
      </c>
    </row>
    <row r="42" spans="1:9">
      <c r="A42" s="2" t="s">
        <v>132</v>
      </c>
    </row>
    <row r="43" spans="1:9">
      <c r="A43" s="2" t="s">
        <v>133</v>
      </c>
    </row>
    <row r="44" spans="1:9">
      <c r="A44" s="2" t="s">
        <v>134</v>
      </c>
    </row>
    <row r="45" spans="1:9">
      <c r="A45" s="681" t="s">
        <v>135</v>
      </c>
    </row>
    <row r="46" spans="1:9">
      <c r="A46" s="681" t="s">
        <v>136</v>
      </c>
    </row>
    <row r="49" spans="1:1">
      <c r="A49" s="2" t="s">
        <v>128</v>
      </c>
    </row>
  </sheetData>
  <mergeCells count="2">
    <mergeCell ref="B3:D3"/>
    <mergeCell ref="E3:G3"/>
  </mergeCells>
  <phoneticPr fontId="0" type="noConversion"/>
  <pageMargins left="0.57999999999999996" right="0.51" top="0.87" bottom="0.49" header="0.51" footer="0.4921259845"/>
  <pageSetup paperSize="9" scale="78" orientation="portrait" horizontalDpi="1200" verticalDpi="1200"/>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A9B1F-19FC-DC45-85C6-45CE845EDC57}">
  <dimension ref="A1:B9"/>
  <sheetViews>
    <sheetView workbookViewId="0">
      <selection activeCell="A9" sqref="A9"/>
    </sheetView>
  </sheetViews>
  <sheetFormatPr baseColWidth="10" defaultColWidth="11.3984375" defaultRowHeight="13"/>
  <cols>
    <col min="1" max="1" width="5.59765625" style="106" customWidth="1"/>
    <col min="2" max="16384" width="11.3984375" style="106"/>
  </cols>
  <sheetData>
    <row r="1" spans="1:2" ht="16">
      <c r="A1" s="105" t="s">
        <v>1656</v>
      </c>
    </row>
    <row r="2" spans="1:2" ht="16">
      <c r="A2" s="105"/>
    </row>
    <row r="3" spans="1:2">
      <c r="A3" s="106">
        <v>5.01</v>
      </c>
      <c r="B3" s="107" t="s">
        <v>1657</v>
      </c>
    </row>
    <row r="4" spans="1:2">
      <c r="A4" s="106">
        <v>5.0199999999999996</v>
      </c>
      <c r="B4" s="107" t="s">
        <v>1658</v>
      </c>
    </row>
    <row r="5" spans="1:2">
      <c r="A5" s="106">
        <v>5.03</v>
      </c>
      <c r="B5" s="106" t="s">
        <v>1659</v>
      </c>
    </row>
    <row r="6" spans="1:2">
      <c r="A6" s="106">
        <v>5.04</v>
      </c>
      <c r="B6" s="106" t="s">
        <v>1660</v>
      </c>
    </row>
    <row r="9" spans="1:2">
      <c r="A9" s="108" t="s">
        <v>128</v>
      </c>
    </row>
  </sheetData>
  <phoneticPr fontId="37" type="noConversion"/>
  <pageMargins left="0.54" right="0.51" top="0.78" bottom="0.984251969" header="0.36" footer="0.4921259845"/>
  <pageSetup paperSize="9" orientation="portrait"/>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59828-3974-2747-931E-B45F283DF8C8}">
  <dimension ref="A1:V109"/>
  <sheetViews>
    <sheetView topLeftCell="A82" zoomScale="75" workbookViewId="0">
      <selection activeCell="S103" sqref="S103"/>
    </sheetView>
  </sheetViews>
  <sheetFormatPr baseColWidth="10" defaultColWidth="11.3984375" defaultRowHeight="13"/>
  <cols>
    <col min="1" max="1" width="5.796875" style="21" customWidth="1"/>
    <col min="2" max="2" width="48.796875" style="21" customWidth="1"/>
    <col min="3" max="4" width="10.796875" style="21" customWidth="1"/>
    <col min="5" max="7" width="10.796875" style="2" customWidth="1"/>
    <col min="8" max="9" width="10.796875" style="9" customWidth="1"/>
    <col min="10" max="18" width="10.796875" style="2" customWidth="1"/>
    <col min="19" max="19" width="11.796875" style="564" customWidth="1"/>
    <col min="20" max="20" width="11.3984375" style="2"/>
    <col min="21" max="22" width="12.19921875" style="2" customWidth="1"/>
    <col min="23" max="16384" width="11.3984375" style="2"/>
  </cols>
  <sheetData>
    <row r="1" spans="1:22" s="1" customFormat="1" ht="14" customHeight="1">
      <c r="A1" s="305"/>
      <c r="B1" s="305"/>
      <c r="C1" s="305"/>
      <c r="D1" s="305"/>
      <c r="H1" s="306"/>
      <c r="I1" s="306"/>
      <c r="S1" s="530"/>
    </row>
    <row r="2" spans="1:22" s="1" customFormat="1" ht="19.5" customHeight="1">
      <c r="A2" s="1618" t="s">
        <v>141</v>
      </c>
      <c r="B2" s="1609"/>
      <c r="C2" s="305"/>
      <c r="D2" s="305"/>
      <c r="H2" s="306"/>
      <c r="I2" s="306"/>
      <c r="J2" s="18"/>
      <c r="V2" s="531">
        <v>2005</v>
      </c>
    </row>
    <row r="3" spans="1:22" s="1" customFormat="1" ht="12" customHeight="1">
      <c r="A3" s="305"/>
      <c r="B3" s="305"/>
      <c r="C3" s="305"/>
      <c r="D3" s="305"/>
      <c r="H3" s="306"/>
      <c r="I3" s="306"/>
      <c r="S3" s="532"/>
    </row>
    <row r="4" spans="1:22" ht="18" customHeight="1">
      <c r="A4" s="30" t="s">
        <v>1575</v>
      </c>
      <c r="B4" s="30" t="s">
        <v>142</v>
      </c>
      <c r="C4" s="31" t="s">
        <v>143</v>
      </c>
      <c r="D4" s="32" t="s">
        <v>144</v>
      </c>
      <c r="E4" s="31" t="s">
        <v>700</v>
      </c>
      <c r="F4" s="32" t="s">
        <v>145</v>
      </c>
      <c r="G4" s="32" t="s">
        <v>145</v>
      </c>
      <c r="H4" s="34" t="s">
        <v>145</v>
      </c>
      <c r="I4" s="33" t="s">
        <v>2056</v>
      </c>
      <c r="J4" s="31" t="s">
        <v>2056</v>
      </c>
      <c r="K4" s="32" t="s">
        <v>146</v>
      </c>
      <c r="L4" s="32" t="s">
        <v>146</v>
      </c>
      <c r="M4" s="31" t="s">
        <v>147</v>
      </c>
      <c r="N4" s="34" t="s">
        <v>148</v>
      </c>
      <c r="O4" s="33" t="s">
        <v>148</v>
      </c>
      <c r="P4" s="34" t="s">
        <v>148</v>
      </c>
      <c r="Q4" s="32" t="s">
        <v>148</v>
      </c>
      <c r="R4" s="34" t="s">
        <v>2220</v>
      </c>
      <c r="S4" s="37" t="s">
        <v>149</v>
      </c>
      <c r="T4" s="34" t="s">
        <v>150</v>
      </c>
      <c r="U4" s="32" t="s">
        <v>151</v>
      </c>
      <c r="V4" s="34" t="s">
        <v>152</v>
      </c>
    </row>
    <row r="5" spans="1:22" ht="15" customHeight="1">
      <c r="A5" s="36" t="s">
        <v>1567</v>
      </c>
      <c r="B5" s="36"/>
      <c r="C5" s="37" t="s">
        <v>153</v>
      </c>
      <c r="D5" s="38" t="s">
        <v>43</v>
      </c>
      <c r="E5" s="37" t="s">
        <v>154</v>
      </c>
      <c r="F5" s="38" t="s">
        <v>155</v>
      </c>
      <c r="G5" s="38" t="s">
        <v>155</v>
      </c>
      <c r="H5" s="40" t="s">
        <v>156</v>
      </c>
      <c r="I5" s="39" t="s">
        <v>157</v>
      </c>
      <c r="J5" s="37" t="s">
        <v>157</v>
      </c>
      <c r="K5" s="38" t="s">
        <v>158</v>
      </c>
      <c r="L5" s="38" t="s">
        <v>158</v>
      </c>
      <c r="M5" s="37" t="s">
        <v>159</v>
      </c>
      <c r="N5" s="40" t="s">
        <v>160</v>
      </c>
      <c r="O5" s="39" t="s">
        <v>160</v>
      </c>
      <c r="P5" s="40" t="s">
        <v>2220</v>
      </c>
      <c r="Q5" s="38" t="s">
        <v>2220</v>
      </c>
      <c r="R5" s="40" t="s">
        <v>161</v>
      </c>
      <c r="S5" s="37" t="s">
        <v>162</v>
      </c>
      <c r="T5" s="40" t="s">
        <v>163</v>
      </c>
      <c r="U5" s="38" t="s">
        <v>164</v>
      </c>
      <c r="V5" s="40" t="s">
        <v>164</v>
      </c>
    </row>
    <row r="6" spans="1:22" ht="15" customHeight="1">
      <c r="A6" s="38"/>
      <c r="B6" s="36"/>
      <c r="C6" s="37"/>
      <c r="D6" s="38" t="s">
        <v>154</v>
      </c>
      <c r="E6" s="37"/>
      <c r="F6" s="38" t="s">
        <v>154</v>
      </c>
      <c r="G6" s="38" t="s">
        <v>165</v>
      </c>
      <c r="H6" s="40" t="s">
        <v>166</v>
      </c>
      <c r="I6" s="39" t="s">
        <v>167</v>
      </c>
      <c r="J6" s="37" t="s">
        <v>167</v>
      </c>
      <c r="K6" s="38" t="s">
        <v>168</v>
      </c>
      <c r="L6" s="38" t="s">
        <v>168</v>
      </c>
      <c r="M6" s="37" t="s">
        <v>169</v>
      </c>
      <c r="N6" s="40" t="s">
        <v>170</v>
      </c>
      <c r="O6" s="39" t="s">
        <v>171</v>
      </c>
      <c r="P6" s="40" t="s">
        <v>172</v>
      </c>
      <c r="Q6" s="38" t="s">
        <v>165</v>
      </c>
      <c r="R6" s="40" t="s">
        <v>700</v>
      </c>
      <c r="S6" s="37" t="s">
        <v>173</v>
      </c>
      <c r="T6" s="40" t="s">
        <v>174</v>
      </c>
      <c r="U6" s="38" t="s">
        <v>163</v>
      </c>
      <c r="V6" s="40" t="s">
        <v>163</v>
      </c>
    </row>
    <row r="7" spans="1:22" ht="15" customHeight="1">
      <c r="A7" s="38"/>
      <c r="B7" s="36"/>
      <c r="C7" s="493"/>
      <c r="D7" s="38"/>
      <c r="E7" s="37"/>
      <c r="F7" s="38"/>
      <c r="G7" s="38" t="s">
        <v>175</v>
      </c>
      <c r="H7" s="40" t="s">
        <v>176</v>
      </c>
      <c r="I7" s="39" t="s">
        <v>172</v>
      </c>
      <c r="J7" s="37" t="s">
        <v>165</v>
      </c>
      <c r="K7" s="38" t="s">
        <v>177</v>
      </c>
      <c r="L7" s="38" t="s">
        <v>178</v>
      </c>
      <c r="M7" s="37" t="s">
        <v>179</v>
      </c>
      <c r="N7" s="40" t="s">
        <v>172</v>
      </c>
      <c r="O7" s="39" t="s">
        <v>169</v>
      </c>
      <c r="P7" s="40"/>
      <c r="Q7" s="38" t="s">
        <v>175</v>
      </c>
      <c r="R7" s="40"/>
      <c r="S7" s="37" t="s">
        <v>700</v>
      </c>
      <c r="T7" s="40" t="s">
        <v>154</v>
      </c>
      <c r="U7" s="38" t="s">
        <v>174</v>
      </c>
      <c r="V7" s="40" t="s">
        <v>174</v>
      </c>
    </row>
    <row r="8" spans="1:22" ht="15" customHeight="1">
      <c r="A8" s="38"/>
      <c r="B8" s="36"/>
      <c r="C8" s="493"/>
      <c r="D8" s="38"/>
      <c r="E8" s="37"/>
      <c r="F8" s="38"/>
      <c r="G8" s="38" t="s">
        <v>180</v>
      </c>
      <c r="H8" s="40"/>
      <c r="I8" s="39"/>
      <c r="J8" s="37" t="s">
        <v>175</v>
      </c>
      <c r="K8" s="38" t="s">
        <v>181</v>
      </c>
      <c r="L8" s="38" t="s">
        <v>169</v>
      </c>
      <c r="M8" s="37" t="s">
        <v>182</v>
      </c>
      <c r="N8" s="40"/>
      <c r="O8" s="39" t="s">
        <v>183</v>
      </c>
      <c r="P8" s="40"/>
      <c r="Q8" s="38" t="s">
        <v>180</v>
      </c>
      <c r="R8" s="40"/>
      <c r="S8" s="37" t="s">
        <v>154</v>
      </c>
      <c r="T8" s="40"/>
      <c r="U8" s="38" t="s">
        <v>184</v>
      </c>
      <c r="V8" s="40" t="s">
        <v>185</v>
      </c>
    </row>
    <row r="9" spans="1:22" ht="15" customHeight="1">
      <c r="A9" s="38"/>
      <c r="B9" s="36"/>
      <c r="C9" s="37"/>
      <c r="D9" s="38"/>
      <c r="E9" s="37"/>
      <c r="F9" s="38"/>
      <c r="G9" s="38"/>
      <c r="H9" s="40"/>
      <c r="I9" s="39"/>
      <c r="J9" s="37" t="s">
        <v>180</v>
      </c>
      <c r="K9" s="38" t="s">
        <v>1614</v>
      </c>
      <c r="L9" s="38" t="s">
        <v>939</v>
      </c>
      <c r="M9" s="37"/>
      <c r="N9" s="40"/>
      <c r="O9" s="39" t="s">
        <v>699</v>
      </c>
      <c r="P9" s="40"/>
      <c r="Q9" s="38"/>
      <c r="R9" s="40"/>
      <c r="S9" s="37"/>
      <c r="T9" s="40"/>
      <c r="U9" s="38"/>
      <c r="V9" s="40"/>
    </row>
    <row r="10" spans="1:22" ht="18" customHeight="1">
      <c r="A10" s="44">
        <v>0</v>
      </c>
      <c r="B10" s="44"/>
      <c r="C10" s="45">
        <v>1</v>
      </c>
      <c r="D10" s="46">
        <v>2</v>
      </c>
      <c r="E10" s="45">
        <v>3</v>
      </c>
      <c r="F10" s="46" t="s">
        <v>577</v>
      </c>
      <c r="G10" s="46" t="s">
        <v>1954</v>
      </c>
      <c r="H10" s="48" t="s">
        <v>1956</v>
      </c>
      <c r="I10" s="47" t="s">
        <v>1957</v>
      </c>
      <c r="J10" s="45" t="s">
        <v>1958</v>
      </c>
      <c r="K10" s="46" t="s">
        <v>1960</v>
      </c>
      <c r="L10" s="46" t="s">
        <v>1961</v>
      </c>
      <c r="M10" s="45">
        <v>7</v>
      </c>
      <c r="N10" s="48" t="s">
        <v>1962</v>
      </c>
      <c r="O10" s="47" t="s">
        <v>1963</v>
      </c>
      <c r="P10" s="48" t="s">
        <v>1965</v>
      </c>
      <c r="Q10" s="46" t="s">
        <v>1966</v>
      </c>
      <c r="R10" s="48" t="s">
        <v>1968</v>
      </c>
      <c r="S10" s="45">
        <v>10</v>
      </c>
      <c r="T10" s="48" t="s">
        <v>1970</v>
      </c>
      <c r="U10" s="46" t="s">
        <v>1972</v>
      </c>
      <c r="V10" s="48" t="s">
        <v>1974</v>
      </c>
    </row>
    <row r="11" spans="1:22" ht="14" thickBot="1">
      <c r="A11" s="50">
        <v>8</v>
      </c>
      <c r="B11" s="533" t="s">
        <v>1036</v>
      </c>
      <c r="C11" s="534">
        <v>950845.21</v>
      </c>
      <c r="D11" s="535">
        <v>2275.97843534</v>
      </c>
      <c r="E11" s="536">
        <v>2235.2660874000003</v>
      </c>
      <c r="F11" s="535">
        <v>-121.34524994</v>
      </c>
      <c r="G11" s="537">
        <v>-127.61830071163739</v>
      </c>
      <c r="H11" s="538">
        <v>-5.3315641332898955E-2</v>
      </c>
      <c r="I11" s="428">
        <v>2224.9643462899999</v>
      </c>
      <c r="J11" s="429">
        <v>2339.9858598330638</v>
      </c>
      <c r="K11" s="430">
        <v>5.3064141290530185E-2</v>
      </c>
      <c r="L11" s="537">
        <v>125.44305679191541</v>
      </c>
      <c r="M11" s="429">
        <v>23.007858008770938</v>
      </c>
      <c r="N11" s="535">
        <v>618.20000000000005</v>
      </c>
      <c r="O11" s="429">
        <v>650.15839959902621</v>
      </c>
      <c r="P11" s="535">
        <v>370.01681861999998</v>
      </c>
      <c r="Q11" s="537">
        <v>389.14516761355929</v>
      </c>
      <c r="R11" s="538">
        <v>0.16553591570406426</v>
      </c>
      <c r="S11" s="539" t="s">
        <v>1646</v>
      </c>
      <c r="T11" s="535">
        <v>335.28991310999999</v>
      </c>
      <c r="U11" s="535">
        <v>34.726905509999995</v>
      </c>
      <c r="V11" s="535" t="s">
        <v>695</v>
      </c>
    </row>
    <row r="12" spans="1:22" ht="14" thickBot="1">
      <c r="A12" s="540">
        <v>32</v>
      </c>
      <c r="B12" s="541" t="s">
        <v>1037</v>
      </c>
      <c r="C12" s="534">
        <v>32046</v>
      </c>
      <c r="D12" s="535">
        <v>75.089266590000008</v>
      </c>
      <c r="E12" s="536">
        <v>75.932413499999996</v>
      </c>
      <c r="F12" s="535">
        <v>-1.84124044</v>
      </c>
      <c r="G12" s="537">
        <v>-57.456170504899205</v>
      </c>
      <c r="H12" s="538">
        <v>-2.4520687491242678E-2</v>
      </c>
      <c r="I12" s="428">
        <v>74.072757799999991</v>
      </c>
      <c r="J12" s="429">
        <v>2311.4509704799348</v>
      </c>
      <c r="K12" s="430">
        <v>4.4316770577268079E-2</v>
      </c>
      <c r="L12" s="537">
        <v>105.65926176589839</v>
      </c>
      <c r="M12" s="429">
        <v>-42.275846283467502</v>
      </c>
      <c r="N12" s="535">
        <v>21.1</v>
      </c>
      <c r="O12" s="429">
        <v>658.42850901828626</v>
      </c>
      <c r="P12" s="535">
        <v>24.213490510000003</v>
      </c>
      <c r="Q12" s="537">
        <v>755.58542438993959</v>
      </c>
      <c r="R12" s="538">
        <v>0.31888213997043574</v>
      </c>
      <c r="S12" s="539">
        <v>35.2142968</v>
      </c>
      <c r="T12" s="542">
        <v>15.186482700000001</v>
      </c>
      <c r="U12" s="542">
        <v>9.0270078100000024</v>
      </c>
      <c r="V12" s="542" t="s">
        <v>695</v>
      </c>
    </row>
    <row r="13" spans="1:22" ht="14" thickBot="1">
      <c r="A13" s="540">
        <v>57</v>
      </c>
      <c r="B13" s="541" t="s">
        <v>1038</v>
      </c>
      <c r="C13" s="534">
        <v>18775</v>
      </c>
      <c r="D13" s="535">
        <v>60.210197019999995</v>
      </c>
      <c r="E13" s="536">
        <v>61.692996000000001</v>
      </c>
      <c r="F13" s="535">
        <v>2.9364847000000003</v>
      </c>
      <c r="G13" s="537">
        <v>156.40397869507325</v>
      </c>
      <c r="H13" s="538">
        <v>4.8770554579394408E-2</v>
      </c>
      <c r="I13" s="428">
        <v>60.371564999999997</v>
      </c>
      <c r="J13" s="429">
        <v>3215.5294274300932</v>
      </c>
      <c r="K13" s="430">
        <v>4.9903623202169997E-2</v>
      </c>
      <c r="L13" s="537">
        <v>154.58926650892664</v>
      </c>
      <c r="M13" s="429">
        <v>138.71209693741667</v>
      </c>
      <c r="N13" s="535">
        <v>17.523226000000001</v>
      </c>
      <c r="O13" s="429">
        <v>933.3276165113183</v>
      </c>
      <c r="P13" s="535">
        <v>2.6043196200000001</v>
      </c>
      <c r="Q13" s="537">
        <v>138.71209693741679</v>
      </c>
      <c r="R13" s="538">
        <v>4.2214186193842818E-2</v>
      </c>
      <c r="S13" s="539" t="s">
        <v>1646</v>
      </c>
      <c r="T13" s="542">
        <v>12.338599200000001</v>
      </c>
      <c r="U13" s="542" t="s">
        <v>695</v>
      </c>
      <c r="V13" s="542">
        <v>-9.7342795800000008</v>
      </c>
    </row>
    <row r="14" spans="1:22" ht="14" thickBot="1">
      <c r="A14" s="540">
        <v>62</v>
      </c>
      <c r="B14" s="541" t="s">
        <v>1039</v>
      </c>
      <c r="C14" s="534">
        <v>52911.9</v>
      </c>
      <c r="D14" s="535">
        <v>192.38681478000001</v>
      </c>
      <c r="E14" s="536">
        <v>196.78804219999998</v>
      </c>
      <c r="F14" s="535">
        <v>-47.227938600000002</v>
      </c>
      <c r="G14" s="537">
        <v>-892.57687968113032</v>
      </c>
      <c r="H14" s="538">
        <v>-0.24548427943986983</v>
      </c>
      <c r="I14" s="428">
        <v>211.13775662</v>
      </c>
      <c r="J14" s="429">
        <v>3990.3642965004092</v>
      </c>
      <c r="K14" s="430">
        <v>5.4261101405772817E-2</v>
      </c>
      <c r="L14" s="537">
        <v>179.18315844761065</v>
      </c>
      <c r="M14" s="429">
        <v>368.31323728688631</v>
      </c>
      <c r="N14" s="535">
        <v>76.460369999999998</v>
      </c>
      <c r="O14" s="429">
        <v>1445.0505462854289</v>
      </c>
      <c r="P14" s="535">
        <v>45.216493149999998</v>
      </c>
      <c r="Q14" s="537">
        <v>854.56188777949762</v>
      </c>
      <c r="R14" s="538">
        <v>0.22977256465637017</v>
      </c>
      <c r="S14" s="539" t="s">
        <v>1646</v>
      </c>
      <c r="T14" s="542">
        <v>39.35760844</v>
      </c>
      <c r="U14" s="542">
        <v>5.8588847099999981</v>
      </c>
      <c r="V14" s="542" t="s">
        <v>695</v>
      </c>
    </row>
    <row r="15" spans="1:22" ht="14" thickBot="1">
      <c r="A15" s="540">
        <v>97</v>
      </c>
      <c r="B15" s="541" t="s">
        <v>1040</v>
      </c>
      <c r="C15" s="534">
        <v>957</v>
      </c>
      <c r="D15" s="535">
        <v>1.7434067000000002</v>
      </c>
      <c r="E15" s="536">
        <v>1.8503787</v>
      </c>
      <c r="F15" s="535">
        <v>0.10045554999999999</v>
      </c>
      <c r="G15" s="537">
        <v>104.96922675026121</v>
      </c>
      <c r="H15" s="538">
        <v>5.7620261525896381E-2</v>
      </c>
      <c r="I15" s="428">
        <v>1.6717550999999999</v>
      </c>
      <c r="J15" s="429">
        <v>1746.8705329153604</v>
      </c>
      <c r="K15" s="430">
        <v>3.8412414623037371E-2</v>
      </c>
      <c r="L15" s="537">
        <v>68.949425287356334</v>
      </c>
      <c r="M15" s="429">
        <v>26.763949843260164</v>
      </c>
      <c r="N15" s="535">
        <v>0.28999999999999998</v>
      </c>
      <c r="O15" s="429">
        <v>303.030303030303</v>
      </c>
      <c r="P15" s="535">
        <v>0.53907416000000008</v>
      </c>
      <c r="Q15" s="537">
        <v>563.29588296760721</v>
      </c>
      <c r="R15" s="538">
        <v>0.29133180143070175</v>
      </c>
      <c r="S15" s="539">
        <v>0.15199774999999999</v>
      </c>
      <c r="T15" s="542">
        <v>0.37007573999999999</v>
      </c>
      <c r="U15" s="542">
        <v>0.16899842000000009</v>
      </c>
      <c r="V15" s="542" t="s">
        <v>695</v>
      </c>
    </row>
    <row r="16" spans="1:22" ht="14" thickBot="1">
      <c r="A16" s="540">
        <v>134</v>
      </c>
      <c r="B16" s="541" t="s">
        <v>1041</v>
      </c>
      <c r="C16" s="534">
        <v>2715.91</v>
      </c>
      <c r="D16" s="535">
        <v>5.3345813600000005</v>
      </c>
      <c r="E16" s="536">
        <v>5.0800062000000006</v>
      </c>
      <c r="F16" s="535">
        <v>-0.125336</v>
      </c>
      <c r="G16" s="537">
        <v>-46.148804636383389</v>
      </c>
      <c r="H16" s="538">
        <v>-2.349500205204481E-2</v>
      </c>
      <c r="I16" s="428">
        <v>4.5136146999999998</v>
      </c>
      <c r="J16" s="429">
        <v>1661.9161533335052</v>
      </c>
      <c r="K16" s="430">
        <v>4.4639836972207705E-2</v>
      </c>
      <c r="L16" s="537">
        <v>79.748302163549681</v>
      </c>
      <c r="M16" s="429">
        <v>170.41900873003897</v>
      </c>
      <c r="N16" s="535">
        <v>2</v>
      </c>
      <c r="O16" s="429">
        <v>736.40142714596584</v>
      </c>
      <c r="P16" s="535">
        <v>2.4612705099999999</v>
      </c>
      <c r="Q16" s="537">
        <v>906.24155807813963</v>
      </c>
      <c r="R16" s="538">
        <v>0.48450147757693673</v>
      </c>
      <c r="S16" s="539" t="s">
        <v>1646</v>
      </c>
      <c r="T16" s="542">
        <v>1.01600124</v>
      </c>
      <c r="U16" s="542">
        <v>1.4452692699999998</v>
      </c>
      <c r="V16" s="542" t="s">
        <v>695</v>
      </c>
    </row>
    <row r="17" spans="1:22" ht="14" thickBot="1">
      <c r="A17" s="540">
        <v>160</v>
      </c>
      <c r="B17" s="541" t="s">
        <v>1042</v>
      </c>
      <c r="C17" s="534">
        <v>32844.75</v>
      </c>
      <c r="D17" s="535">
        <v>86.739268809999999</v>
      </c>
      <c r="E17" s="536">
        <v>84.519385099999994</v>
      </c>
      <c r="F17" s="535">
        <v>8.4334274499999999</v>
      </c>
      <c r="G17" s="537">
        <v>256.76637666598162</v>
      </c>
      <c r="H17" s="538">
        <v>9.7227329278889732E-2</v>
      </c>
      <c r="I17" s="428">
        <v>72.420140329999995</v>
      </c>
      <c r="J17" s="429">
        <v>2204.9228668204205</v>
      </c>
      <c r="K17" s="430">
        <v>5.2287860668208806E-2</v>
      </c>
      <c r="L17" s="537">
        <v>142.20197242552157</v>
      </c>
      <c r="M17" s="429">
        <v>-85.687385046316393</v>
      </c>
      <c r="N17" s="535">
        <v>19.126000000000001</v>
      </c>
      <c r="O17" s="429">
        <v>582.3152863090753</v>
      </c>
      <c r="P17" s="535">
        <v>8.5098256999999986</v>
      </c>
      <c r="Q17" s="537">
        <v>259.09241811857294</v>
      </c>
      <c r="R17" s="538">
        <v>0.10068489838078577</v>
      </c>
      <c r="S17" s="539">
        <v>9.7609650999999999</v>
      </c>
      <c r="T17" s="542">
        <v>16.903877019999999</v>
      </c>
      <c r="U17" s="542" t="s">
        <v>695</v>
      </c>
      <c r="V17" s="542">
        <v>-8.3940513200000009</v>
      </c>
    </row>
    <row r="18" spans="1:22" ht="14" thickBot="1">
      <c r="A18" s="540">
        <v>178</v>
      </c>
      <c r="B18" s="541" t="s">
        <v>1043</v>
      </c>
      <c r="C18" s="534">
        <v>951.08</v>
      </c>
      <c r="D18" s="535">
        <v>1.82228535</v>
      </c>
      <c r="E18" s="536">
        <v>1.83737145</v>
      </c>
      <c r="F18" s="535">
        <v>0.33898299999999992</v>
      </c>
      <c r="G18" s="537">
        <v>356.41901837910581</v>
      </c>
      <c r="H18" s="538">
        <v>0.18602081172413526</v>
      </c>
      <c r="I18" s="428">
        <v>1.5671138999999998</v>
      </c>
      <c r="J18" s="429">
        <v>1647.720381040501</v>
      </c>
      <c r="K18" s="430">
        <v>5.1498314313127486E-2</v>
      </c>
      <c r="L18" s="537">
        <v>100.82502645502645</v>
      </c>
      <c r="M18" s="429">
        <v>-29.298797156916347</v>
      </c>
      <c r="N18" s="535">
        <v>0.5</v>
      </c>
      <c r="O18" s="429">
        <v>525.71813096690073</v>
      </c>
      <c r="P18" s="535">
        <v>0.66915193000000006</v>
      </c>
      <c r="Q18" s="537">
        <v>703.57060394498887</v>
      </c>
      <c r="R18" s="538">
        <v>0.36418979406695373</v>
      </c>
      <c r="S18" s="539">
        <v>0.32989049999999998</v>
      </c>
      <c r="T18" s="542">
        <v>0.36747429000000004</v>
      </c>
      <c r="U18" s="542">
        <v>0.30167764000000002</v>
      </c>
      <c r="V18" s="542" t="s">
        <v>695</v>
      </c>
    </row>
    <row r="19" spans="1:22" ht="14" thickBot="1">
      <c r="A19" s="540">
        <v>182</v>
      </c>
      <c r="B19" s="541" t="s">
        <v>1044</v>
      </c>
      <c r="C19" s="534">
        <v>46355</v>
      </c>
      <c r="D19" s="535">
        <v>103.63699165999999</v>
      </c>
      <c r="E19" s="536">
        <v>103.95693709999999</v>
      </c>
      <c r="F19" s="535">
        <v>8.9</v>
      </c>
      <c r="G19" s="537">
        <v>191.99654837665835</v>
      </c>
      <c r="H19" s="538">
        <v>8.5876672580366561E-2</v>
      </c>
      <c r="I19" s="428">
        <v>81.877125250000006</v>
      </c>
      <c r="J19" s="429">
        <v>1766.3062291014996</v>
      </c>
      <c r="K19" s="430">
        <v>6.0432477787774753E-2</v>
      </c>
      <c r="L19" s="537">
        <v>129.82912320483749</v>
      </c>
      <c r="M19" s="429">
        <v>89.707773055765372</v>
      </c>
      <c r="N19" s="535">
        <v>21.5</v>
      </c>
      <c r="O19" s="429">
        <v>463.81188652788262</v>
      </c>
      <c r="P19" s="535">
        <v>21.501557870000003</v>
      </c>
      <c r="Q19" s="537">
        <v>463.84549390572755</v>
      </c>
      <c r="R19" s="538">
        <v>0.20683139066820394</v>
      </c>
      <c r="S19" s="539" t="s">
        <v>1646</v>
      </c>
      <c r="T19" s="542">
        <v>20.791387420000003</v>
      </c>
      <c r="U19" s="542">
        <v>0.71017044999999968</v>
      </c>
      <c r="V19" s="542" t="s">
        <v>695</v>
      </c>
    </row>
    <row r="20" spans="1:22" ht="14" thickBot="1">
      <c r="A20" s="540">
        <v>194</v>
      </c>
      <c r="B20" s="541" t="s">
        <v>1045</v>
      </c>
      <c r="C20" s="534">
        <v>21702.16</v>
      </c>
      <c r="D20" s="535">
        <v>47.073658309999999</v>
      </c>
      <c r="E20" s="536">
        <v>46.4551534</v>
      </c>
      <c r="F20" s="535">
        <v>14.971856100000002</v>
      </c>
      <c r="G20" s="537">
        <v>689.87861576912167</v>
      </c>
      <c r="H20" s="538">
        <v>0.31805167980368088</v>
      </c>
      <c r="I20" s="428">
        <v>30.781450299999999</v>
      </c>
      <c r="J20" s="429">
        <v>1418.3588315633096</v>
      </c>
      <c r="K20" s="430">
        <v>2.8428151067659752E-2</v>
      </c>
      <c r="L20" s="537">
        <v>61.079784060755784</v>
      </c>
      <c r="M20" s="429">
        <v>5.0816729763305215</v>
      </c>
      <c r="N20" s="535">
        <v>7.5449999999999999</v>
      </c>
      <c r="O20" s="429">
        <v>347.66124662245602</v>
      </c>
      <c r="P20" s="535">
        <v>10.15705728</v>
      </c>
      <c r="Q20" s="537">
        <v>468.0205693811123</v>
      </c>
      <c r="R20" s="538">
        <v>0.21864220730352812</v>
      </c>
      <c r="S20" s="539">
        <v>6.2317757499999997</v>
      </c>
      <c r="T20" s="542">
        <v>9.2910306800000004</v>
      </c>
      <c r="U20" s="542">
        <v>0.86602659999999965</v>
      </c>
      <c r="V20" s="542" t="s">
        <v>695</v>
      </c>
    </row>
    <row r="21" spans="1:22" ht="14" thickBot="1">
      <c r="A21" s="540">
        <v>216</v>
      </c>
      <c r="B21" s="541" t="s">
        <v>1046</v>
      </c>
      <c r="C21" s="534">
        <v>1654.5</v>
      </c>
      <c r="D21" s="535">
        <v>4.1112582400000006</v>
      </c>
      <c r="E21" s="536">
        <v>3.9802293</v>
      </c>
      <c r="F21" s="535">
        <v>0.209642</v>
      </c>
      <c r="G21" s="537">
        <v>126.71018434572379</v>
      </c>
      <c r="H21" s="538">
        <v>5.0992175086525329E-2</v>
      </c>
      <c r="I21" s="428">
        <v>3.4353093600000002</v>
      </c>
      <c r="J21" s="429">
        <v>2076.3429193109705</v>
      </c>
      <c r="K21" s="430">
        <v>5.9758232046809925E-2</v>
      </c>
      <c r="L21" s="537">
        <v>130.05942857142855</v>
      </c>
      <c r="M21" s="429">
        <v>44.718156542762166</v>
      </c>
      <c r="N21" s="535">
        <v>1.075</v>
      </c>
      <c r="O21" s="429">
        <v>649.74312481112111</v>
      </c>
      <c r="P21" s="535">
        <v>1.6683329599999999</v>
      </c>
      <c r="Q21" s="537">
        <v>1008.3608099123601</v>
      </c>
      <c r="R21" s="538">
        <v>0.41915498687475117</v>
      </c>
      <c r="S21" s="539">
        <v>0.52457914999999999</v>
      </c>
      <c r="T21" s="542">
        <v>0.79604585999999999</v>
      </c>
      <c r="U21" s="542">
        <v>0.87228709999999987</v>
      </c>
      <c r="V21" s="542" t="s">
        <v>695</v>
      </c>
    </row>
    <row r="22" spans="1:22" ht="14" thickBot="1">
      <c r="A22" s="540">
        <v>246</v>
      </c>
      <c r="B22" s="541" t="s">
        <v>1047</v>
      </c>
      <c r="C22" s="534">
        <v>5310</v>
      </c>
      <c r="D22" s="535">
        <v>11.81596615</v>
      </c>
      <c r="E22" s="536">
        <v>11.779975500000001</v>
      </c>
      <c r="F22" s="535">
        <v>2.64759915</v>
      </c>
      <c r="G22" s="537">
        <v>498.6062429378531</v>
      </c>
      <c r="H22" s="538">
        <v>0.22406962887245577</v>
      </c>
      <c r="I22" s="428">
        <v>8.5249130499999985</v>
      </c>
      <c r="J22" s="429">
        <v>1605.4450188323915</v>
      </c>
      <c r="K22" s="430">
        <v>5.3996197533578233E-2</v>
      </c>
      <c r="L22" s="537">
        <v>119.75629289330584</v>
      </c>
      <c r="M22" s="429">
        <v>-2.2428436911487757</v>
      </c>
      <c r="N22" s="535">
        <v>2.5249999999999999</v>
      </c>
      <c r="O22" s="429">
        <v>475.51789077212806</v>
      </c>
      <c r="P22" s="535">
        <v>2.8606977199999997</v>
      </c>
      <c r="Q22" s="537">
        <v>538.73780037664778</v>
      </c>
      <c r="R22" s="538">
        <v>0.24284411457392246</v>
      </c>
      <c r="S22" s="539">
        <v>1.3026564500000002</v>
      </c>
      <c r="T22" s="542">
        <v>2.3559950999999999</v>
      </c>
      <c r="U22" s="542">
        <v>0.50470261999999977</v>
      </c>
      <c r="V22" s="542" t="s">
        <v>695</v>
      </c>
    </row>
    <row r="23" spans="1:22" ht="14" thickBot="1">
      <c r="A23" s="540">
        <v>261</v>
      </c>
      <c r="B23" s="541" t="s">
        <v>1048</v>
      </c>
      <c r="C23" s="534">
        <v>22542</v>
      </c>
      <c r="D23" s="535">
        <v>46.722747470000009</v>
      </c>
      <c r="E23" s="536">
        <v>46.579483900000007</v>
      </c>
      <c r="F23" s="535">
        <v>8.5686998499999998</v>
      </c>
      <c r="G23" s="537">
        <v>380.12154422855116</v>
      </c>
      <c r="H23" s="538">
        <v>0.18339460571110114</v>
      </c>
      <c r="I23" s="428">
        <v>32.016523249999999</v>
      </c>
      <c r="J23" s="429">
        <v>1420.3053522313903</v>
      </c>
      <c r="K23" s="430">
        <v>8.6966070537470103E-2</v>
      </c>
      <c r="L23" s="537">
        <v>173.54247815867669</v>
      </c>
      <c r="M23" s="429">
        <v>76.558478839499585</v>
      </c>
      <c r="N23" s="535">
        <v>7.5</v>
      </c>
      <c r="O23" s="429">
        <v>332.71227042853337</v>
      </c>
      <c r="P23" s="535">
        <v>7.0807124800000008</v>
      </c>
      <c r="Q23" s="537">
        <v>314.11199006299358</v>
      </c>
      <c r="R23" s="538">
        <v>0.15201354517369395</v>
      </c>
      <c r="S23" s="539">
        <v>9.671068</v>
      </c>
      <c r="T23" s="542">
        <v>9.315896780000001</v>
      </c>
      <c r="U23" s="542" t="s">
        <v>695</v>
      </c>
      <c r="V23" s="542">
        <v>-2.2351843000000002</v>
      </c>
    </row>
    <row r="24" spans="1:22" ht="14" thickBot="1">
      <c r="A24" s="540">
        <v>263</v>
      </c>
      <c r="B24" s="541" t="s">
        <v>1049</v>
      </c>
      <c r="C24" s="534">
        <v>62841.01</v>
      </c>
      <c r="D24" s="535">
        <v>177.16223649</v>
      </c>
      <c r="E24" s="536">
        <v>172.35319699999999</v>
      </c>
      <c r="F24" s="535">
        <v>18.233369130000003</v>
      </c>
      <c r="G24" s="537">
        <v>290.15079690794278</v>
      </c>
      <c r="H24" s="538">
        <v>0.10291905030804459</v>
      </c>
      <c r="I24" s="428">
        <v>137.60378840999999</v>
      </c>
      <c r="J24" s="429">
        <v>2189.713189046452</v>
      </c>
      <c r="K24" s="430">
        <v>6.0720015859966149E-2</v>
      </c>
      <c r="L24" s="537">
        <v>166.30279779607423</v>
      </c>
      <c r="M24" s="429">
        <v>34.822711792824478</v>
      </c>
      <c r="N24" s="535">
        <v>37.786000000000001</v>
      </c>
      <c r="O24" s="429">
        <v>601.29523697980028</v>
      </c>
      <c r="P24" s="535">
        <v>28.398782710000003</v>
      </c>
      <c r="Q24" s="537">
        <v>451.91480388364226</v>
      </c>
      <c r="R24" s="538">
        <v>0.16477084965241462</v>
      </c>
      <c r="S24" s="539">
        <v>27.993409499999999</v>
      </c>
      <c r="T24" s="542">
        <v>34.470639399999996</v>
      </c>
      <c r="U24" s="542" t="s">
        <v>695</v>
      </c>
      <c r="V24" s="542">
        <v>-6.0718566899999935</v>
      </c>
    </row>
    <row r="25" spans="1:22" ht="14" thickBot="1">
      <c r="A25" s="540">
        <v>290</v>
      </c>
      <c r="B25" s="541" t="s">
        <v>1050</v>
      </c>
      <c r="C25" s="534">
        <v>531700.5</v>
      </c>
      <c r="D25" s="535">
        <v>1246.49400272</v>
      </c>
      <c r="E25" s="536">
        <v>1254.5368395999999</v>
      </c>
      <c r="F25" s="535">
        <v>-69.797643600000001</v>
      </c>
      <c r="G25" s="537">
        <v>-131.2724806540524</v>
      </c>
      <c r="H25" s="538">
        <v>-5.5995170011001363E-2</v>
      </c>
      <c r="I25" s="428">
        <v>1223.65413367</v>
      </c>
      <c r="J25" s="429">
        <v>2301.3973725245696</v>
      </c>
      <c r="K25" s="430">
        <v>5.3443752800958283E-2</v>
      </c>
      <c r="L25" s="537">
        <v>122.77733726453665</v>
      </c>
      <c r="M25" s="429">
        <v>45.814257048846102</v>
      </c>
      <c r="N25" s="535">
        <v>331.96573525000002</v>
      </c>
      <c r="O25" s="429">
        <v>624.34723166519495</v>
      </c>
      <c r="P25" s="535">
        <v>264.02700082000001</v>
      </c>
      <c r="Q25" s="537">
        <v>496.5709094123477</v>
      </c>
      <c r="R25" s="538">
        <v>0.21045775021176991</v>
      </c>
      <c r="S25" s="539">
        <v>429.20500564999998</v>
      </c>
      <c r="T25" s="542">
        <v>188.18052593999997</v>
      </c>
      <c r="U25" s="542">
        <v>75.846474880000045</v>
      </c>
      <c r="V25" s="542" t="s">
        <v>695</v>
      </c>
    </row>
    <row r="26" spans="1:22" ht="14" thickBot="1">
      <c r="A26" s="540">
        <v>294</v>
      </c>
      <c r="B26" s="541" t="s">
        <v>1051</v>
      </c>
      <c r="C26" s="534">
        <v>9354.5</v>
      </c>
      <c r="D26" s="535">
        <v>16.078733249999999</v>
      </c>
      <c r="E26" s="536">
        <v>16.279328400000001</v>
      </c>
      <c r="F26" s="535">
        <v>3.5387761000000002</v>
      </c>
      <c r="G26" s="537">
        <v>378.29665936180447</v>
      </c>
      <c r="H26" s="538">
        <v>0.22009047883172017</v>
      </c>
      <c r="I26" s="428">
        <v>11.600246100000001</v>
      </c>
      <c r="J26" s="429">
        <v>1240.0712063712654</v>
      </c>
      <c r="K26" s="430">
        <v>5.7176218054848155E-2</v>
      </c>
      <c r="L26" s="537">
        <v>97.214370520911316</v>
      </c>
      <c r="M26" s="429">
        <v>19.564199048586222</v>
      </c>
      <c r="N26" s="535">
        <v>3.12</v>
      </c>
      <c r="O26" s="429">
        <v>333.52931744080388</v>
      </c>
      <c r="P26" s="535">
        <v>1.3893672399999999</v>
      </c>
      <c r="Q26" s="537">
        <v>148.52394462558124</v>
      </c>
      <c r="R26" s="538">
        <v>8.5345488822499552E-2</v>
      </c>
      <c r="S26" s="539">
        <v>1.6590640499999998</v>
      </c>
      <c r="T26" s="542">
        <v>3.2558656800000008</v>
      </c>
      <c r="U26" s="542" t="s">
        <v>695</v>
      </c>
      <c r="V26" s="542">
        <v>-1.8664984400000009</v>
      </c>
    </row>
    <row r="27" spans="1:22" ht="14" thickBot="1">
      <c r="A27" s="540">
        <v>312</v>
      </c>
      <c r="B27" s="541" t="s">
        <v>1052</v>
      </c>
      <c r="C27" s="534">
        <v>134654</v>
      </c>
      <c r="D27" s="535">
        <v>316.47036615999997</v>
      </c>
      <c r="E27" s="536">
        <v>309.27422080000002</v>
      </c>
      <c r="F27" s="535">
        <v>-2.4806709999999992</v>
      </c>
      <c r="G27" s="537">
        <v>-18.422557072199854</v>
      </c>
      <c r="H27" s="538">
        <v>-7.8385569874995197E-3</v>
      </c>
      <c r="I27" s="428">
        <v>292.23756069999996</v>
      </c>
      <c r="J27" s="429">
        <v>2170.285032007961</v>
      </c>
      <c r="K27" s="430">
        <v>3.8802597061449687E-2</v>
      </c>
      <c r="L27" s="537">
        <v>90.338853272332955</v>
      </c>
      <c r="M27" s="429">
        <v>22.256308390393176</v>
      </c>
      <c r="N27" s="535">
        <v>96.58</v>
      </c>
      <c r="O27" s="429">
        <v>717.2456815244999</v>
      </c>
      <c r="P27" s="535">
        <v>80.143308939999997</v>
      </c>
      <c r="Q27" s="537">
        <v>595.17956347379209</v>
      </c>
      <c r="R27" s="538">
        <v>0.25913349238320993</v>
      </c>
      <c r="S27" s="539">
        <v>95.575149600000003</v>
      </c>
      <c r="T27" s="542">
        <v>61.854844160000006</v>
      </c>
      <c r="U27" s="542">
        <v>18.288464779999991</v>
      </c>
      <c r="V27" s="542" t="s">
        <v>695</v>
      </c>
    </row>
    <row r="28" spans="1:22" ht="14" thickBot="1">
      <c r="A28" s="540">
        <v>343</v>
      </c>
      <c r="B28" s="541" t="s">
        <v>1053</v>
      </c>
      <c r="C28" s="534">
        <v>87749.42</v>
      </c>
      <c r="D28" s="535">
        <v>228.10850615999996</v>
      </c>
      <c r="E28" s="536">
        <v>220.84826509999999</v>
      </c>
      <c r="F28" s="535">
        <v>12.07669668</v>
      </c>
      <c r="G28" s="537">
        <v>137.6270826633384</v>
      </c>
      <c r="H28" s="538">
        <v>5.2942772206526829E-2</v>
      </c>
      <c r="I28" s="428">
        <v>194.30988747000001</v>
      </c>
      <c r="J28" s="429">
        <v>2214.3723282729393</v>
      </c>
      <c r="K28" s="430">
        <v>5.4484772239380613E-2</v>
      </c>
      <c r="L28" s="537">
        <v>139.99142718183052</v>
      </c>
      <c r="M28" s="429">
        <v>10.775542106147247</v>
      </c>
      <c r="N28" s="535">
        <v>53.974200000000003</v>
      </c>
      <c r="O28" s="429">
        <v>615.0946638735619</v>
      </c>
      <c r="P28" s="535">
        <v>52.385873310000001</v>
      </c>
      <c r="Q28" s="537">
        <v>596.99395517372079</v>
      </c>
      <c r="R28" s="538">
        <v>0.23720301033960897</v>
      </c>
      <c r="S28" s="539">
        <v>29.795081249999999</v>
      </c>
      <c r="T28" s="542">
        <v>44.169653020000005</v>
      </c>
      <c r="U28" s="542">
        <v>8.2162202899999954</v>
      </c>
      <c r="V28" s="542" t="s">
        <v>695</v>
      </c>
    </row>
    <row r="29" spans="1:22" ht="14" thickBot="1">
      <c r="A29" s="540">
        <v>360</v>
      </c>
      <c r="B29" s="541" t="s">
        <v>1054</v>
      </c>
      <c r="C29" s="534">
        <v>14881</v>
      </c>
      <c r="D29" s="535">
        <v>27.530122250000002</v>
      </c>
      <c r="E29" s="536">
        <v>26.930729249999999</v>
      </c>
      <c r="F29" s="535">
        <v>5.368144</v>
      </c>
      <c r="G29" s="537">
        <v>360.73812243800819</v>
      </c>
      <c r="H29" s="538">
        <v>0.19499165137198038</v>
      </c>
      <c r="I29" s="428">
        <v>19.419555150000001</v>
      </c>
      <c r="J29" s="429">
        <v>1304.9899301122236</v>
      </c>
      <c r="K29" s="430">
        <v>3.6702490752264255E-2</v>
      </c>
      <c r="L29" s="537">
        <v>64.385133168680326</v>
      </c>
      <c r="M29" s="429">
        <v>83.985566830186059</v>
      </c>
      <c r="N29" s="535">
        <v>6.5510950499999998</v>
      </c>
      <c r="O29" s="429">
        <v>440.23217861702841</v>
      </c>
      <c r="P29" s="535">
        <v>10.965602539999999</v>
      </c>
      <c r="Q29" s="537">
        <v>736.88613265237552</v>
      </c>
      <c r="R29" s="538">
        <v>0.40717807669467398</v>
      </c>
      <c r="S29" s="539">
        <v>4.8069053499999992</v>
      </c>
      <c r="T29" s="542">
        <v>5.3861458500000001</v>
      </c>
      <c r="U29" s="542">
        <v>5.5794566899999989</v>
      </c>
      <c r="V29" s="542" t="s">
        <v>695</v>
      </c>
    </row>
    <row r="30" spans="1:22" ht="14" thickBot="1">
      <c r="A30" s="540">
        <v>376</v>
      </c>
      <c r="B30" s="541" t="s">
        <v>1055</v>
      </c>
      <c r="C30" s="534">
        <v>318283</v>
      </c>
      <c r="D30" s="535">
        <v>811.89959944000009</v>
      </c>
      <c r="E30" s="536">
        <v>805.18616064999992</v>
      </c>
      <c r="F30" s="535">
        <v>24.531652000000001</v>
      </c>
      <c r="G30" s="537">
        <v>77.074967874501624</v>
      </c>
      <c r="H30" s="538">
        <v>3.0215130068940138E-2</v>
      </c>
      <c r="I30" s="428">
        <v>737.24507575999996</v>
      </c>
      <c r="J30" s="429">
        <v>2316.319362831191</v>
      </c>
      <c r="K30" s="430">
        <v>5.5009906695295416E-2</v>
      </c>
      <c r="L30" s="537">
        <v>141.90856162706757</v>
      </c>
      <c r="M30" s="429">
        <v>-31.468072344423064</v>
      </c>
      <c r="N30" s="535">
        <v>206.51607000000001</v>
      </c>
      <c r="O30" s="429">
        <v>648.84417326718687</v>
      </c>
      <c r="P30" s="535">
        <v>120.66848745999999</v>
      </c>
      <c r="Q30" s="537">
        <v>379.12325653585015</v>
      </c>
      <c r="R30" s="538">
        <v>0.1498640852974775</v>
      </c>
      <c r="S30" s="539" t="s">
        <v>1646</v>
      </c>
      <c r="T30" s="542">
        <v>120.77792409749999</v>
      </c>
      <c r="U30" s="542" t="s">
        <v>695</v>
      </c>
      <c r="V30" s="542">
        <v>-0.10943663749999644</v>
      </c>
    </row>
    <row r="31" spans="1:22" ht="14" thickBot="1">
      <c r="A31" s="540">
        <v>411</v>
      </c>
      <c r="B31" s="541" t="s">
        <v>1056</v>
      </c>
      <c r="C31" s="534">
        <v>44913</v>
      </c>
      <c r="D31" s="535">
        <v>88.837385480000009</v>
      </c>
      <c r="E31" s="536">
        <v>87.221377919999995</v>
      </c>
      <c r="F31" s="535">
        <v>14.19362864</v>
      </c>
      <c r="G31" s="537">
        <v>316.02495135038856</v>
      </c>
      <c r="H31" s="538">
        <v>0.1597708955898462</v>
      </c>
      <c r="I31" s="428">
        <v>76.018172079999999</v>
      </c>
      <c r="J31" s="429">
        <v>1692.5650052323381</v>
      </c>
      <c r="K31" s="430">
        <v>5.5259006908652306E-2</v>
      </c>
      <c r="L31" s="537">
        <v>114.10777790128945</v>
      </c>
      <c r="M31" s="429">
        <v>-90.054739162380599</v>
      </c>
      <c r="N31" s="535">
        <v>22.628</v>
      </c>
      <c r="O31" s="429">
        <v>503.81849353193957</v>
      </c>
      <c r="P31" s="535">
        <v>2.2298473900000002</v>
      </c>
      <c r="Q31" s="537">
        <v>49.648150646806052</v>
      </c>
      <c r="R31" s="538">
        <v>2.5565376782343781E-2</v>
      </c>
      <c r="S31" s="539">
        <v>28.544977189999997</v>
      </c>
      <c r="T31" s="542">
        <v>17.444275584000003</v>
      </c>
      <c r="U31" s="542" t="s">
        <v>695</v>
      </c>
      <c r="V31" s="542">
        <v>-15.214428194000003</v>
      </c>
    </row>
    <row r="32" spans="1:22" ht="14" thickBot="1">
      <c r="A32" s="540">
        <v>445</v>
      </c>
      <c r="B32" s="541" t="s">
        <v>1057</v>
      </c>
      <c r="C32" s="534">
        <v>60296.67</v>
      </c>
      <c r="D32" s="535">
        <v>158.99418202000001</v>
      </c>
      <c r="E32" s="536">
        <v>155.37592275</v>
      </c>
      <c r="F32" s="535">
        <v>28.351455550000001</v>
      </c>
      <c r="G32" s="537">
        <v>470.19935843886572</v>
      </c>
      <c r="H32" s="538">
        <v>0.17831756602536342</v>
      </c>
      <c r="I32" s="428">
        <v>111.45490027</v>
      </c>
      <c r="J32" s="429">
        <v>1848.4420494531457</v>
      </c>
      <c r="K32" s="430">
        <v>5.8146776571816626E-2</v>
      </c>
      <c r="L32" s="537">
        <v>146.79800843184259</v>
      </c>
      <c r="M32" s="429">
        <v>104.36842250160745</v>
      </c>
      <c r="N32" s="535">
        <v>30.6877</v>
      </c>
      <c r="O32" s="429">
        <v>508.94518718861258</v>
      </c>
      <c r="P32" s="535">
        <v>28.97428189</v>
      </c>
      <c r="Q32" s="537">
        <v>480.52872389138571</v>
      </c>
      <c r="R32" s="538">
        <v>0.18647858289227762</v>
      </c>
      <c r="S32" s="539">
        <v>25.331356800000002</v>
      </c>
      <c r="T32" s="542">
        <v>31.075184549999999</v>
      </c>
      <c r="U32" s="542" t="s">
        <v>695</v>
      </c>
      <c r="V32" s="542">
        <v>-2.1009026599999991</v>
      </c>
    </row>
    <row r="33" spans="1:22" ht="14" thickBot="1">
      <c r="A33" s="540">
        <v>455</v>
      </c>
      <c r="B33" s="541" t="s">
        <v>1058</v>
      </c>
      <c r="C33" s="534">
        <v>128696</v>
      </c>
      <c r="D33" s="535">
        <v>288.74047357000001</v>
      </c>
      <c r="E33" s="536">
        <v>275.82358589999996</v>
      </c>
      <c r="F33" s="535">
        <v>13.939694949999996</v>
      </c>
      <c r="G33" s="537">
        <v>108.31490450363644</v>
      </c>
      <c r="H33" s="538">
        <v>4.8277592599502907E-2</v>
      </c>
      <c r="I33" s="428">
        <v>238.63730774999999</v>
      </c>
      <c r="J33" s="429">
        <v>1854.2713662429289</v>
      </c>
      <c r="K33" s="430">
        <v>8.2129482035869603E-2</v>
      </c>
      <c r="L33" s="537">
        <v>179.66819894926562</v>
      </c>
      <c r="M33" s="429">
        <v>27.253984583825471</v>
      </c>
      <c r="N33" s="535">
        <v>74.941177150000001</v>
      </c>
      <c r="O33" s="429">
        <v>582.31162701249457</v>
      </c>
      <c r="P33" s="535">
        <v>64.655323940000002</v>
      </c>
      <c r="Q33" s="537">
        <v>502.38798362031451</v>
      </c>
      <c r="R33" s="538">
        <v>0.23440824949408368</v>
      </c>
      <c r="S33" s="539" t="s">
        <v>1646</v>
      </c>
      <c r="T33" s="542">
        <v>55.164717179999997</v>
      </c>
      <c r="U33" s="542">
        <v>9.4906067600000057</v>
      </c>
      <c r="V33" s="542" t="s">
        <v>695</v>
      </c>
    </row>
    <row r="34" spans="1:22" ht="14" thickBot="1">
      <c r="A34" s="540">
        <v>484</v>
      </c>
      <c r="B34" s="541" t="s">
        <v>1059</v>
      </c>
      <c r="C34" s="534">
        <v>24582.84</v>
      </c>
      <c r="D34" s="535">
        <v>64.540795110000005</v>
      </c>
      <c r="E34" s="536">
        <v>62.219633999999999</v>
      </c>
      <c r="F34" s="535">
        <v>-7.8458829999999988</v>
      </c>
      <c r="G34" s="537">
        <v>-319.16096756924748</v>
      </c>
      <c r="H34" s="538">
        <v>-0.12156470936913437</v>
      </c>
      <c r="I34" s="428">
        <v>67.747715339999999</v>
      </c>
      <c r="J34" s="429">
        <v>2755.8945727995624</v>
      </c>
      <c r="K34" s="430">
        <v>6.7130211158693873E-2</v>
      </c>
      <c r="L34" s="537">
        <v>172.74340194625768</v>
      </c>
      <c r="M34" s="429">
        <v>11.550795188839066</v>
      </c>
      <c r="N34" s="535">
        <v>16.75</v>
      </c>
      <c r="O34" s="429">
        <v>681.36960579005518</v>
      </c>
      <c r="P34" s="535">
        <v>6.7793326500000006</v>
      </c>
      <c r="Q34" s="537">
        <v>275.77499792538214</v>
      </c>
      <c r="R34" s="538">
        <v>0.10895809271394943</v>
      </c>
      <c r="S34" s="539" t="s">
        <v>1646</v>
      </c>
      <c r="T34" s="542">
        <v>12.443926800000002</v>
      </c>
      <c r="U34" s="542" t="s">
        <v>695</v>
      </c>
      <c r="V34" s="542">
        <v>-5.664594150000001</v>
      </c>
    </row>
    <row r="35" spans="1:22" ht="14" thickBot="1">
      <c r="A35" s="540">
        <v>509</v>
      </c>
      <c r="B35" s="541" t="s">
        <v>1060</v>
      </c>
      <c r="C35" s="534">
        <v>140729</v>
      </c>
      <c r="D35" s="535">
        <v>451.27781645000005</v>
      </c>
      <c r="E35" s="536">
        <v>421.31908906000007</v>
      </c>
      <c r="F35" s="535">
        <v>-3.605522390000008</v>
      </c>
      <c r="G35" s="537">
        <v>-25.620322676918104</v>
      </c>
      <c r="H35" s="538">
        <v>-7.9895848157638984E-3</v>
      </c>
      <c r="I35" s="428">
        <v>410.02569920999997</v>
      </c>
      <c r="J35" s="429">
        <v>2913.5835485933953</v>
      </c>
      <c r="K35" s="430">
        <v>5.4479638108837734E-2</v>
      </c>
      <c r="L35" s="537">
        <v>170.92084890651847</v>
      </c>
      <c r="M35" s="429">
        <v>53.77522465163544</v>
      </c>
      <c r="N35" s="535">
        <v>129.75643463</v>
      </c>
      <c r="O35" s="429">
        <v>922.03053123378982</v>
      </c>
      <c r="P35" s="535">
        <v>89.969516569999996</v>
      </c>
      <c r="Q35" s="537">
        <v>639.31042336689654</v>
      </c>
      <c r="R35" s="538">
        <v>0.21354246438425065</v>
      </c>
      <c r="S35" s="539">
        <v>23.519145000000002</v>
      </c>
      <c r="T35" s="542">
        <v>84.263817812000028</v>
      </c>
      <c r="U35" s="542">
        <v>5.7056987579999685</v>
      </c>
      <c r="V35" s="542" t="s">
        <v>695</v>
      </c>
    </row>
    <row r="36" spans="1:22" ht="14" thickBot="1">
      <c r="A36" s="540">
        <v>556</v>
      </c>
      <c r="B36" s="541" t="s">
        <v>1061</v>
      </c>
      <c r="C36" s="534">
        <v>2850.92</v>
      </c>
      <c r="D36" s="535">
        <v>6.7168772099999998</v>
      </c>
      <c r="E36" s="536">
        <v>6.7487620999999995</v>
      </c>
      <c r="F36" s="535">
        <v>0.373334</v>
      </c>
      <c r="G36" s="537">
        <v>130.95211370364655</v>
      </c>
      <c r="H36" s="538">
        <v>5.5581483526926052E-2</v>
      </c>
      <c r="I36" s="428">
        <v>5.7806623300000002</v>
      </c>
      <c r="J36" s="429">
        <v>2027.6480329156905</v>
      </c>
      <c r="K36" s="430">
        <v>9.3811815030406087E-2</v>
      </c>
      <c r="L36" s="537">
        <v>215.1923222591362</v>
      </c>
      <c r="M36" s="429">
        <v>-65.830805494366729</v>
      </c>
      <c r="N36" s="535">
        <v>1.31</v>
      </c>
      <c r="O36" s="429">
        <v>459.50079272655842</v>
      </c>
      <c r="P36" s="535">
        <v>2.7430177199999997</v>
      </c>
      <c r="Q36" s="537">
        <v>962.15176855190589</v>
      </c>
      <c r="R36" s="538">
        <v>0.40644753502275621</v>
      </c>
      <c r="S36" s="539">
        <v>1.64332035</v>
      </c>
      <c r="T36" s="542">
        <v>1.34975242</v>
      </c>
      <c r="U36" s="542">
        <v>1.3932652999999997</v>
      </c>
      <c r="V36" s="542" t="s">
        <v>695</v>
      </c>
    </row>
    <row r="37" spans="1:22" ht="14" thickBot="1">
      <c r="A37" s="540">
        <v>558</v>
      </c>
      <c r="B37" s="541" t="s">
        <v>1062</v>
      </c>
      <c r="C37" s="534">
        <v>1400.42</v>
      </c>
      <c r="D37" s="535">
        <v>2.8496835599999994</v>
      </c>
      <c r="E37" s="536">
        <v>2.7173746000000003</v>
      </c>
      <c r="F37" s="535">
        <v>0.23791100000000004</v>
      </c>
      <c r="G37" s="537">
        <v>169.88546293254882</v>
      </c>
      <c r="H37" s="538">
        <v>8.3486813532376941E-2</v>
      </c>
      <c r="I37" s="428">
        <v>1.9047134999999999</v>
      </c>
      <c r="J37" s="429">
        <v>1360.1016123734307</v>
      </c>
      <c r="K37" s="430">
        <v>8.8856983728347855E-2</v>
      </c>
      <c r="L37" s="537">
        <v>154.34863284002819</v>
      </c>
      <c r="M37" s="429">
        <v>274.7860284771711</v>
      </c>
      <c r="N37" s="535">
        <v>0.75</v>
      </c>
      <c r="O37" s="429">
        <v>535.55361962839709</v>
      </c>
      <c r="P37" s="535">
        <v>2.3053817800000003</v>
      </c>
      <c r="Q37" s="537">
        <v>1646.2074092058099</v>
      </c>
      <c r="R37" s="538">
        <v>0.848385710236638</v>
      </c>
      <c r="S37" s="539" t="s">
        <v>1646</v>
      </c>
      <c r="T37" s="542">
        <v>0.54347492000000008</v>
      </c>
      <c r="U37" s="542">
        <v>1.7619068600000003</v>
      </c>
      <c r="V37" s="542" t="s">
        <v>695</v>
      </c>
    </row>
    <row r="38" spans="1:22" ht="14" thickBot="1">
      <c r="A38" s="540">
        <v>591</v>
      </c>
      <c r="B38" s="541" t="s">
        <v>109</v>
      </c>
      <c r="C38" s="534">
        <v>8770</v>
      </c>
      <c r="D38" s="535">
        <v>16.622999719999999</v>
      </c>
      <c r="E38" s="536">
        <v>16.331226650000001</v>
      </c>
      <c r="F38" s="535">
        <v>1.5679354999999999</v>
      </c>
      <c r="G38" s="537">
        <v>178.78397947548461</v>
      </c>
      <c r="H38" s="538">
        <v>9.4323258521958275E-2</v>
      </c>
      <c r="I38" s="428">
        <v>14.201523999999999</v>
      </c>
      <c r="J38" s="429">
        <v>1619.3299885974914</v>
      </c>
      <c r="K38" s="430">
        <v>2.5773456555516522E-2</v>
      </c>
      <c r="L38" s="537">
        <v>48.419371040723981</v>
      </c>
      <c r="M38" s="429">
        <v>1.791423033067278</v>
      </c>
      <c r="N38" s="535">
        <v>3.7690000000000001</v>
      </c>
      <c r="O38" s="429">
        <v>429.76054732041052</v>
      </c>
      <c r="P38" s="535">
        <v>3.3174744300000003</v>
      </c>
      <c r="Q38" s="537">
        <v>378.27530558722918</v>
      </c>
      <c r="R38" s="538">
        <v>0.20313688010692083</v>
      </c>
      <c r="S38" s="539">
        <v>2.393945</v>
      </c>
      <c r="T38" s="542">
        <v>3.2662453300000003</v>
      </c>
      <c r="U38" s="542">
        <v>5.1229100000000027E-2</v>
      </c>
      <c r="V38" s="542" t="s">
        <v>695</v>
      </c>
    </row>
    <row r="39" spans="1:22" ht="14" thickBot="1">
      <c r="A39" s="540">
        <v>623</v>
      </c>
      <c r="B39" s="541" t="s">
        <v>1063</v>
      </c>
      <c r="C39" s="534">
        <v>1418.34</v>
      </c>
      <c r="D39" s="535">
        <v>2.3336007000000003</v>
      </c>
      <c r="E39" s="536">
        <v>2.3159670000000001</v>
      </c>
      <c r="F39" s="535">
        <v>0.33920699999999998</v>
      </c>
      <c r="G39" s="537">
        <v>239.15774778966963</v>
      </c>
      <c r="H39" s="538">
        <v>0.14535777264722277</v>
      </c>
      <c r="I39" s="428">
        <v>1.6885827499999999</v>
      </c>
      <c r="J39" s="429">
        <v>1190.534533327693</v>
      </c>
      <c r="K39" s="430">
        <v>6.0728840956111252E-2</v>
      </c>
      <c r="L39" s="537">
        <v>99.510502121640741</v>
      </c>
      <c r="M39" s="429">
        <v>11.714469027172612</v>
      </c>
      <c r="N39" s="535">
        <v>0.26500000000000001</v>
      </c>
      <c r="O39" s="429">
        <v>186.8381347208709</v>
      </c>
      <c r="P39" s="535">
        <v>0.55826450000000005</v>
      </c>
      <c r="Q39" s="537">
        <v>393.60414287124388</v>
      </c>
      <c r="R39" s="538">
        <v>0.24105028266810366</v>
      </c>
      <c r="S39" s="539">
        <v>3.5654900000000003E-2</v>
      </c>
      <c r="T39" s="542">
        <v>0.46319340000000003</v>
      </c>
      <c r="U39" s="542">
        <v>9.5071100000000019E-2</v>
      </c>
      <c r="V39" s="542" t="s">
        <v>695</v>
      </c>
    </row>
    <row r="40" spans="1:22" ht="14" thickBot="1">
      <c r="A40" s="540">
        <v>627</v>
      </c>
      <c r="B40" s="541" t="s">
        <v>1064</v>
      </c>
      <c r="C40" s="534">
        <v>2807.16</v>
      </c>
      <c r="D40" s="535">
        <v>5.1425179999999999</v>
      </c>
      <c r="E40" s="536">
        <v>4.9548326999999999</v>
      </c>
      <c r="F40" s="535">
        <v>0.56787299999999996</v>
      </c>
      <c r="G40" s="537">
        <v>202.29448980464244</v>
      </c>
      <c r="H40" s="538">
        <v>0.11042703204928013</v>
      </c>
      <c r="I40" s="428">
        <v>3.9690910500000003</v>
      </c>
      <c r="J40" s="429">
        <v>1413.9169302782884</v>
      </c>
      <c r="K40" s="430">
        <v>4.8641132671772148E-2</v>
      </c>
      <c r="L40" s="537">
        <v>85.268060498220635</v>
      </c>
      <c r="M40" s="429">
        <v>77.152371079667745</v>
      </c>
      <c r="N40" s="535">
        <v>1.4</v>
      </c>
      <c r="O40" s="429">
        <v>498.72468972199664</v>
      </c>
      <c r="P40" s="535">
        <v>2.7070015999999999</v>
      </c>
      <c r="Q40" s="537">
        <v>964.32038074067748</v>
      </c>
      <c r="R40" s="538">
        <v>0.54633562097868615</v>
      </c>
      <c r="S40" s="539" t="s">
        <v>1646</v>
      </c>
      <c r="T40" s="542">
        <v>0.99096654000000006</v>
      </c>
      <c r="U40" s="542">
        <v>1.7160350599999998</v>
      </c>
      <c r="V40" s="542" t="s">
        <v>695</v>
      </c>
    </row>
    <row r="41" spans="1:22" ht="14" thickBot="1">
      <c r="A41" s="540">
        <v>749</v>
      </c>
      <c r="B41" s="541" t="s">
        <v>1065</v>
      </c>
      <c r="C41" s="534">
        <v>72360.59</v>
      </c>
      <c r="D41" s="535">
        <v>204.4896703</v>
      </c>
      <c r="E41" s="536">
        <v>198.94347290000002</v>
      </c>
      <c r="F41" s="535">
        <v>27.849832560000007</v>
      </c>
      <c r="G41" s="537">
        <v>384.87569766913185</v>
      </c>
      <c r="H41" s="538">
        <v>0.13619187961495777</v>
      </c>
      <c r="I41" s="428">
        <v>157.76383199</v>
      </c>
      <c r="J41" s="429">
        <v>2180.2452410904884</v>
      </c>
      <c r="K41" s="430">
        <v>5.3378773791602246E-2</v>
      </c>
      <c r="L41" s="537">
        <v>146.54186169405466</v>
      </c>
      <c r="M41" s="429">
        <v>76.243845164888782</v>
      </c>
      <c r="N41" s="535">
        <v>44.1678</v>
      </c>
      <c r="O41" s="429">
        <v>610.3847411968311</v>
      </c>
      <c r="P41" s="535">
        <v>40.327638690000001</v>
      </c>
      <c r="Q41" s="537">
        <v>557.31495127389098</v>
      </c>
      <c r="R41" s="538">
        <v>0.20270903137531382</v>
      </c>
      <c r="S41" s="539">
        <v>46.054559349999998</v>
      </c>
      <c r="T41" s="542">
        <v>39.788694580000005</v>
      </c>
      <c r="U41" s="542">
        <v>0.53894410999999565</v>
      </c>
      <c r="V41" s="542" t="s">
        <v>695</v>
      </c>
    </row>
    <row r="42" spans="1:22" ht="14" thickBot="1">
      <c r="A42" s="540">
        <v>758</v>
      </c>
      <c r="B42" s="541" t="s">
        <v>1066</v>
      </c>
      <c r="C42" s="534">
        <v>1547.75</v>
      </c>
      <c r="D42" s="535">
        <v>2.8207256000000003</v>
      </c>
      <c r="E42" s="536">
        <v>2.76437</v>
      </c>
      <c r="F42" s="535">
        <v>9.3919749999999996E-2</v>
      </c>
      <c r="G42" s="537">
        <v>60.681473106121793</v>
      </c>
      <c r="H42" s="538">
        <v>3.3296308581026099E-2</v>
      </c>
      <c r="I42" s="428">
        <v>2.5230941499999999</v>
      </c>
      <c r="J42" s="429">
        <v>1630.1690518494588</v>
      </c>
      <c r="K42" s="430">
        <v>6.1570184464528194E-2</v>
      </c>
      <c r="L42" s="537">
        <v>112.65726744186047</v>
      </c>
      <c r="M42" s="429">
        <v>-7.5644322403488973</v>
      </c>
      <c r="N42" s="535">
        <v>0.69499999999999995</v>
      </c>
      <c r="O42" s="429">
        <v>449.03892747536742</v>
      </c>
      <c r="P42" s="535">
        <v>1.66618697</v>
      </c>
      <c r="Q42" s="537">
        <v>1076.5220287514135</v>
      </c>
      <c r="R42" s="538">
        <v>0.6027365982122509</v>
      </c>
      <c r="S42" s="539" t="s">
        <v>1646</v>
      </c>
      <c r="T42" s="542">
        <v>0.55287399999999998</v>
      </c>
      <c r="U42" s="542">
        <v>1.11331297</v>
      </c>
      <c r="V42" s="542" t="s">
        <v>695</v>
      </c>
    </row>
    <row r="43" spans="1:22" ht="14" thickBot="1">
      <c r="A43" s="540">
        <v>762</v>
      </c>
      <c r="B43" s="541" t="s">
        <v>1067</v>
      </c>
      <c r="C43" s="534">
        <v>27699.25</v>
      </c>
      <c r="D43" s="535">
        <v>62.253338200000002</v>
      </c>
      <c r="E43" s="536">
        <v>63.73086</v>
      </c>
      <c r="F43" s="535">
        <v>2.3902283999999998</v>
      </c>
      <c r="G43" s="537">
        <v>86.292170365623619</v>
      </c>
      <c r="H43" s="538">
        <v>3.8395184404745701E-2</v>
      </c>
      <c r="I43" s="428">
        <v>52.594832989999993</v>
      </c>
      <c r="J43" s="429">
        <v>1898.7818439127411</v>
      </c>
      <c r="K43" s="430">
        <v>7.4787244813654785E-2</v>
      </c>
      <c r="L43" s="537">
        <v>161.58237162137777</v>
      </c>
      <c r="M43" s="429">
        <v>85.996713990450985</v>
      </c>
      <c r="N43" s="535">
        <v>15</v>
      </c>
      <c r="O43" s="429">
        <v>541.53090787656708</v>
      </c>
      <c r="P43" s="535">
        <v>16.046882740000001</v>
      </c>
      <c r="Q43" s="537">
        <v>579.32553191873433</v>
      </c>
      <c r="R43" s="538">
        <v>0.25179140435261665</v>
      </c>
      <c r="S43" s="539">
        <v>15.131344200000001</v>
      </c>
      <c r="T43" s="542">
        <v>12.746172</v>
      </c>
      <c r="U43" s="542">
        <v>3.3007107400000013</v>
      </c>
      <c r="V43" s="542" t="s">
        <v>695</v>
      </c>
    </row>
    <row r="44" spans="1:22" ht="14" thickBot="1">
      <c r="A44" s="540">
        <v>774</v>
      </c>
      <c r="B44" s="541" t="s">
        <v>1068</v>
      </c>
      <c r="C44" s="534">
        <v>9679.08</v>
      </c>
      <c r="D44" s="535">
        <v>20.118200330000001</v>
      </c>
      <c r="E44" s="536">
        <v>19.863422200000002</v>
      </c>
      <c r="F44" s="535">
        <v>2.8751000000000002</v>
      </c>
      <c r="G44" s="537">
        <v>297.04269414035218</v>
      </c>
      <c r="H44" s="538">
        <v>0.14291039719455861</v>
      </c>
      <c r="I44" s="428">
        <v>13.28581752</v>
      </c>
      <c r="J44" s="429">
        <v>1372.6322667030338</v>
      </c>
      <c r="K44" s="430">
        <v>7.1209628636925426E-2</v>
      </c>
      <c r="L44" s="537">
        <v>141.14916459225333</v>
      </c>
      <c r="M44" s="429">
        <v>21.833372593262993</v>
      </c>
      <c r="N44" s="535">
        <v>5.5</v>
      </c>
      <c r="O44" s="429">
        <v>568.23582406592357</v>
      </c>
      <c r="P44" s="535">
        <v>7.5391142699999998</v>
      </c>
      <c r="Q44" s="537">
        <v>778.9081472619298</v>
      </c>
      <c r="R44" s="538">
        <v>0.37954760232604828</v>
      </c>
      <c r="S44" s="539">
        <v>1.4618103999999998</v>
      </c>
      <c r="T44" s="542">
        <v>3.972684440000001</v>
      </c>
      <c r="U44" s="542">
        <v>3.5664298299999988</v>
      </c>
      <c r="V44" s="542" t="s">
        <v>695</v>
      </c>
    </row>
    <row r="45" spans="1:22" ht="14" thickBot="1">
      <c r="A45" s="540">
        <v>780</v>
      </c>
      <c r="B45" s="541" t="s">
        <v>1069</v>
      </c>
      <c r="C45" s="534">
        <v>3517.62</v>
      </c>
      <c r="D45" s="535">
        <v>6.1395998000000001</v>
      </c>
      <c r="E45" s="536">
        <v>6.0311067999999999</v>
      </c>
      <c r="F45" s="535">
        <v>1.1003911499999999</v>
      </c>
      <c r="G45" s="537">
        <v>312.82263291657426</v>
      </c>
      <c r="H45" s="538">
        <v>0.17922848163491045</v>
      </c>
      <c r="I45" s="428">
        <v>4.4017946500000003</v>
      </c>
      <c r="J45" s="429">
        <v>1251.3559309988004</v>
      </c>
      <c r="K45" s="430">
        <v>3.1978649947008643E-2</v>
      </c>
      <c r="L45" s="537">
        <v>54.140191927744851</v>
      </c>
      <c r="M45" s="429">
        <v>40.158800552646433</v>
      </c>
      <c r="N45" s="535">
        <v>1.1499999999999999</v>
      </c>
      <c r="O45" s="429">
        <v>326.92559173532101</v>
      </c>
      <c r="P45" s="535">
        <v>1.6846572000000002</v>
      </c>
      <c r="Q45" s="537">
        <v>478.91961041840796</v>
      </c>
      <c r="R45" s="538">
        <v>0.2793280331232072</v>
      </c>
      <c r="S45" s="539">
        <v>0.56830285000000003</v>
      </c>
      <c r="T45" s="542">
        <v>1.20622136</v>
      </c>
      <c r="U45" s="542">
        <v>0.47843584000000017</v>
      </c>
      <c r="V45" s="542" t="s">
        <v>695</v>
      </c>
    </row>
    <row r="46" spans="1:22" ht="14" thickBot="1">
      <c r="A46" s="540">
        <v>790</v>
      </c>
      <c r="B46" s="541" t="s">
        <v>1070</v>
      </c>
      <c r="C46" s="534">
        <v>1621.41</v>
      </c>
      <c r="D46" s="535">
        <v>3.1807884300000002</v>
      </c>
      <c r="E46" s="536">
        <v>3.1301870999999997</v>
      </c>
      <c r="F46" s="535">
        <v>-2.6041400000000003E-2</v>
      </c>
      <c r="G46" s="537">
        <v>-16.060959288520486</v>
      </c>
      <c r="H46" s="538">
        <v>-8.1870896392816674E-3</v>
      </c>
      <c r="I46" s="428">
        <v>3.0648053599999998</v>
      </c>
      <c r="J46" s="429">
        <v>1890.2099777354276</v>
      </c>
      <c r="K46" s="430">
        <v>5.8869570683638489E-2</v>
      </c>
      <c r="L46" s="537">
        <v>117.43131047152481</v>
      </c>
      <c r="M46" s="429">
        <v>-47.287583029585356</v>
      </c>
      <c r="N46" s="535">
        <v>0.7</v>
      </c>
      <c r="O46" s="429">
        <v>431.7230065190173</v>
      </c>
      <c r="P46" s="535">
        <v>0.31209910000000002</v>
      </c>
      <c r="Q46" s="537">
        <v>192.48623111982781</v>
      </c>
      <c r="R46" s="538">
        <v>9.9706212449728659E-2</v>
      </c>
      <c r="S46" s="539">
        <v>0.235841</v>
      </c>
      <c r="T46" s="542">
        <v>0.62603741999999996</v>
      </c>
      <c r="U46" s="542" t="s">
        <v>695</v>
      </c>
      <c r="V46" s="542">
        <v>-0.31393831999999994</v>
      </c>
    </row>
    <row r="47" spans="1:22" ht="14" thickBot="1">
      <c r="A47" s="540">
        <v>820</v>
      </c>
      <c r="B47" s="541" t="s">
        <v>1071</v>
      </c>
      <c r="C47" s="534">
        <v>2909</v>
      </c>
      <c r="D47" s="535">
        <v>5.694255619999999</v>
      </c>
      <c r="E47" s="536">
        <v>5.6985409999999996</v>
      </c>
      <c r="F47" s="535">
        <v>3.0535949999999996E-2</v>
      </c>
      <c r="G47" s="537">
        <v>10.497060845651426</v>
      </c>
      <c r="H47" s="538">
        <v>5.3625885520046258E-3</v>
      </c>
      <c r="I47" s="428">
        <v>4.7231303999999996</v>
      </c>
      <c r="J47" s="429">
        <v>1623.6268133379167</v>
      </c>
      <c r="K47" s="430">
        <v>5.5779936849194328E-2</v>
      </c>
      <c r="L47" s="537">
        <v>107.52688172043011</v>
      </c>
      <c r="M47" s="429">
        <v>46.992719147473359</v>
      </c>
      <c r="N47" s="535">
        <v>1.9</v>
      </c>
      <c r="O47" s="429">
        <v>653.1454107940873</v>
      </c>
      <c r="P47" s="535">
        <v>1.1550052900000001</v>
      </c>
      <c r="Q47" s="537">
        <v>397.04547610862846</v>
      </c>
      <c r="R47" s="538">
        <v>0.20268438710891087</v>
      </c>
      <c r="S47" s="539">
        <v>0.67273520000000009</v>
      </c>
      <c r="T47" s="542">
        <v>1.1397082000000001</v>
      </c>
      <c r="U47" s="542">
        <v>1.5297090000000013E-2</v>
      </c>
      <c r="V47" s="542" t="s">
        <v>695</v>
      </c>
    </row>
    <row r="48" spans="1:22" ht="14" thickBot="1">
      <c r="A48" s="540">
        <v>829</v>
      </c>
      <c r="B48" s="541" t="s">
        <v>1072</v>
      </c>
      <c r="C48" s="534">
        <v>19667.66</v>
      </c>
      <c r="D48" s="535">
        <v>32.796744009999998</v>
      </c>
      <c r="E48" s="536">
        <v>31.846777600000003</v>
      </c>
      <c r="F48" s="535">
        <v>3.5442403499999999</v>
      </c>
      <c r="G48" s="537">
        <v>180.20650906106778</v>
      </c>
      <c r="H48" s="538">
        <v>0.10806683580904652</v>
      </c>
      <c r="I48" s="428">
        <v>24.95251055</v>
      </c>
      <c r="J48" s="429">
        <v>1268.7076423936553</v>
      </c>
      <c r="K48" s="430">
        <v>5.2123069213102349E-2</v>
      </c>
      <c r="L48" s="537">
        <v>83.589176097781802</v>
      </c>
      <c r="M48" s="429">
        <v>46.462535451599209</v>
      </c>
      <c r="N48" s="535">
        <v>8</v>
      </c>
      <c r="O48" s="429">
        <v>406.75911623446814</v>
      </c>
      <c r="P48" s="535">
        <v>7.2667917500000003</v>
      </c>
      <c r="Q48" s="537">
        <v>369.47922376124058</v>
      </c>
      <c r="R48" s="538">
        <v>0.2281798127669909</v>
      </c>
      <c r="S48" s="539" t="s">
        <v>1646</v>
      </c>
      <c r="T48" s="542">
        <v>6.36935552</v>
      </c>
      <c r="U48" s="542">
        <v>0.89743623000000028</v>
      </c>
      <c r="V48" s="542" t="s">
        <v>695</v>
      </c>
    </row>
    <row r="49" spans="1:22" ht="14" thickBot="1">
      <c r="A49" s="540">
        <v>881</v>
      </c>
      <c r="B49" s="541" t="s">
        <v>1073</v>
      </c>
      <c r="C49" s="534">
        <v>131846.17000000001</v>
      </c>
      <c r="D49" s="535">
        <v>292.19274093000001</v>
      </c>
      <c r="E49" s="536">
        <v>286.69770179999995</v>
      </c>
      <c r="F49" s="535">
        <v>24.373685999999999</v>
      </c>
      <c r="G49" s="537">
        <v>184.86457361635911</v>
      </c>
      <c r="H49" s="538">
        <v>8.3416466550204793E-2</v>
      </c>
      <c r="I49" s="428">
        <v>232.88471045000003</v>
      </c>
      <c r="J49" s="429">
        <v>1766.3365606297095</v>
      </c>
      <c r="K49" s="430">
        <v>8.4238010885156991E-2</v>
      </c>
      <c r="L49" s="537">
        <v>185.04533906233496</v>
      </c>
      <c r="M49" s="429">
        <v>7.8743333234480568</v>
      </c>
      <c r="N49" s="535">
        <v>76.661825019999995</v>
      </c>
      <c r="O49" s="429">
        <v>581.44901000916434</v>
      </c>
      <c r="P49" s="535">
        <v>65.081480079999992</v>
      </c>
      <c r="Q49" s="537">
        <v>493.61676626632374</v>
      </c>
      <c r="R49" s="538">
        <v>0.22700384297255641</v>
      </c>
      <c r="S49" s="539">
        <v>86.991863099999989</v>
      </c>
      <c r="T49" s="542">
        <v>57.339540359999994</v>
      </c>
      <c r="U49" s="542">
        <v>7.7419397199999977</v>
      </c>
      <c r="V49" s="542" t="s">
        <v>695</v>
      </c>
    </row>
    <row r="50" spans="1:22" ht="14" thickBot="1">
      <c r="A50" s="540">
        <v>895</v>
      </c>
      <c r="B50" s="541" t="s">
        <v>1074</v>
      </c>
      <c r="C50" s="534">
        <v>810</v>
      </c>
      <c r="D50" s="535">
        <v>1.3839058500000001</v>
      </c>
      <c r="E50" s="536">
        <v>1.3337778</v>
      </c>
      <c r="F50" s="535">
        <v>0.22564630000000002</v>
      </c>
      <c r="G50" s="537">
        <v>278.57567901234569</v>
      </c>
      <c r="H50" s="538">
        <v>0.16305032600302977</v>
      </c>
      <c r="I50" s="428">
        <v>1.0317782499999999</v>
      </c>
      <c r="J50" s="429">
        <v>1273.8003086419751</v>
      </c>
      <c r="K50" s="430">
        <v>4.5108755847539116E-2</v>
      </c>
      <c r="L50" s="537">
        <v>79.068187422934656</v>
      </c>
      <c r="M50" s="429">
        <v>-46.472839506172839</v>
      </c>
      <c r="N50" s="535">
        <v>0.6</v>
      </c>
      <c r="O50" s="429">
        <v>740.74074074074065</v>
      </c>
      <c r="P50" s="535">
        <v>1.37059906</v>
      </c>
      <c r="Q50" s="537">
        <v>1692.0976049382716</v>
      </c>
      <c r="R50" s="538">
        <v>1.0276067422924569</v>
      </c>
      <c r="S50" s="539" t="s">
        <v>1646</v>
      </c>
      <c r="T50" s="542">
        <v>0.26675556</v>
      </c>
      <c r="U50" s="542">
        <v>1.1038435</v>
      </c>
      <c r="V50" s="542" t="s">
        <v>695</v>
      </c>
    </row>
    <row r="51" spans="1:22" ht="14" thickBot="1">
      <c r="A51" s="540">
        <v>901</v>
      </c>
      <c r="B51" s="541" t="s">
        <v>1075</v>
      </c>
      <c r="C51" s="534">
        <v>2527.9899999999998</v>
      </c>
      <c r="D51" s="535">
        <v>4.6323986699999997</v>
      </c>
      <c r="E51" s="536">
        <v>4.6163819999999998</v>
      </c>
      <c r="F51" s="535">
        <v>0.22568970000000002</v>
      </c>
      <c r="G51" s="537">
        <v>89.276342074137958</v>
      </c>
      <c r="H51" s="538">
        <v>4.8719835246822579E-2</v>
      </c>
      <c r="I51" s="428">
        <v>3.5044645999999999</v>
      </c>
      <c r="J51" s="429">
        <v>1386.2652146567034</v>
      </c>
      <c r="K51" s="430">
        <v>5.4938300334289113E-2</v>
      </c>
      <c r="L51" s="537">
        <v>91.502088481466714</v>
      </c>
      <c r="M51" s="429">
        <v>179.41205463629208</v>
      </c>
      <c r="N51" s="535">
        <v>1.75</v>
      </c>
      <c r="O51" s="429">
        <v>692.24957377204817</v>
      </c>
      <c r="P51" s="535">
        <v>2.6487635300000001</v>
      </c>
      <c r="Q51" s="537">
        <v>1047.7745283802547</v>
      </c>
      <c r="R51" s="538">
        <v>0.57377477210508143</v>
      </c>
      <c r="S51" s="539">
        <v>0.76671310000000015</v>
      </c>
      <c r="T51" s="542">
        <v>0.9232764</v>
      </c>
      <c r="U51" s="542">
        <v>1.7254871300000001</v>
      </c>
      <c r="V51" s="542" t="s">
        <v>695</v>
      </c>
    </row>
    <row r="52" spans="1:22" ht="14" thickBot="1">
      <c r="A52" s="540">
        <v>923</v>
      </c>
      <c r="B52" s="541" t="s">
        <v>1076</v>
      </c>
      <c r="C52" s="534">
        <v>13178</v>
      </c>
      <c r="D52" s="535">
        <v>32.078608920000001</v>
      </c>
      <c r="E52" s="536">
        <v>30.909404899999998</v>
      </c>
      <c r="F52" s="535">
        <v>-4.5026719900000005</v>
      </c>
      <c r="G52" s="537">
        <v>-341.68098269843682</v>
      </c>
      <c r="H52" s="538">
        <v>-0.14036369224205125</v>
      </c>
      <c r="I52" s="428">
        <v>32.571436749999997</v>
      </c>
      <c r="J52" s="429">
        <v>2471.6525079678249</v>
      </c>
      <c r="K52" s="430">
        <v>8.722473596054979E-2</v>
      </c>
      <c r="L52" s="537">
        <v>208.48958532695374</v>
      </c>
      <c r="M52" s="429">
        <v>45.992374411898602</v>
      </c>
      <c r="N52" s="535">
        <v>10.5</v>
      </c>
      <c r="O52" s="429">
        <v>796.78251631507055</v>
      </c>
      <c r="P52" s="535">
        <v>18.829861899999997</v>
      </c>
      <c r="Q52" s="537">
        <v>1428.8861663378354</v>
      </c>
      <c r="R52" s="538">
        <v>0.60919522588414499</v>
      </c>
      <c r="S52" s="539" t="s">
        <v>1646</v>
      </c>
      <c r="T52" s="542">
        <v>6.1818809800000007</v>
      </c>
      <c r="U52" s="542">
        <v>12.647980919999997</v>
      </c>
      <c r="V52" s="542" t="s">
        <v>695</v>
      </c>
    </row>
    <row r="53" spans="1:22" ht="14" thickBot="1">
      <c r="A53" s="540">
        <v>941</v>
      </c>
      <c r="B53" s="541" t="s">
        <v>1077</v>
      </c>
      <c r="C53" s="534">
        <v>14823</v>
      </c>
      <c r="D53" s="535">
        <v>27.265565259999999</v>
      </c>
      <c r="E53" s="536">
        <v>26.907492849999997</v>
      </c>
      <c r="F53" s="535">
        <v>2.9715782000000002</v>
      </c>
      <c r="G53" s="537">
        <v>200.47076840045875</v>
      </c>
      <c r="H53" s="538">
        <v>0.10898648796250925</v>
      </c>
      <c r="I53" s="428">
        <v>22.400954149999997</v>
      </c>
      <c r="J53" s="429">
        <v>1511.2294508534033</v>
      </c>
      <c r="K53" s="430">
        <v>1.7050546272591741E-2</v>
      </c>
      <c r="L53" s="537">
        <v>30.634589466576639</v>
      </c>
      <c r="M53" s="429">
        <v>44.292558186601894</v>
      </c>
      <c r="N53" s="535">
        <v>6.9767700000000001</v>
      </c>
      <c r="O53" s="429">
        <v>470.67192875936047</v>
      </c>
      <c r="P53" s="535">
        <v>12.230755310000001</v>
      </c>
      <c r="Q53" s="537">
        <v>825.12010456722669</v>
      </c>
      <c r="R53" s="538">
        <v>0.45454830660672285</v>
      </c>
      <c r="S53" s="539">
        <v>5.5582012000000001</v>
      </c>
      <c r="T53" s="542">
        <v>5.3814985700000006</v>
      </c>
      <c r="U53" s="542">
        <v>6.8492567400000004</v>
      </c>
      <c r="V53" s="542" t="s">
        <v>695</v>
      </c>
    </row>
    <row r="54" spans="1:22" ht="14" thickBot="1">
      <c r="A54" s="540">
        <v>966</v>
      </c>
      <c r="B54" s="541" t="s">
        <v>1078</v>
      </c>
      <c r="C54" s="534">
        <v>6352</v>
      </c>
      <c r="D54" s="535">
        <v>11.727347120000001</v>
      </c>
      <c r="E54" s="536">
        <v>11.492377400000001</v>
      </c>
      <c r="F54" s="535">
        <v>0.91308825000000005</v>
      </c>
      <c r="G54" s="537">
        <v>143.74815018891687</v>
      </c>
      <c r="H54" s="538">
        <v>7.7859744463673719E-2</v>
      </c>
      <c r="I54" s="428">
        <v>9.7171311500000002</v>
      </c>
      <c r="J54" s="429">
        <v>1529.7750551007557</v>
      </c>
      <c r="K54" s="430">
        <v>5.2640301564960273E-2</v>
      </c>
      <c r="L54" s="537">
        <v>96.242990272984002</v>
      </c>
      <c r="M54" s="429">
        <v>11.598693324937031</v>
      </c>
      <c r="N54" s="535">
        <v>3.5950000000000002</v>
      </c>
      <c r="O54" s="429">
        <v>565.96347607052894</v>
      </c>
      <c r="P54" s="535">
        <v>2.4060235699999999</v>
      </c>
      <c r="Q54" s="537">
        <v>378.7820481738035</v>
      </c>
      <c r="R54" s="538">
        <v>0.20935821077369071</v>
      </c>
      <c r="S54" s="539">
        <v>2.0123160499999999</v>
      </c>
      <c r="T54" s="542">
        <v>2.29847548</v>
      </c>
      <c r="U54" s="542">
        <v>0.10754808999999987</v>
      </c>
      <c r="V54" s="542" t="s">
        <v>695</v>
      </c>
    </row>
    <row r="55" spans="1:22" ht="14" thickBot="1">
      <c r="A55" s="543">
        <v>979</v>
      </c>
      <c r="B55" s="544" t="s">
        <v>1079</v>
      </c>
      <c r="C55" s="534">
        <v>1830.67</v>
      </c>
      <c r="D55" s="535">
        <v>3.24471321</v>
      </c>
      <c r="E55" s="536">
        <v>3.0357620000000001</v>
      </c>
      <c r="F55" s="535">
        <v>-6.0801750000000002E-2</v>
      </c>
      <c r="G55" s="537">
        <v>-33.212840107720126</v>
      </c>
      <c r="H55" s="538">
        <v>-1.8738713120350012E-2</v>
      </c>
      <c r="I55" s="428">
        <v>2.6998362500000002</v>
      </c>
      <c r="J55" s="429">
        <v>1474.7804082658263</v>
      </c>
      <c r="K55" s="430">
        <v>7.7412010316833271E-2</v>
      </c>
      <c r="L55" s="537">
        <v>120.91043028322441</v>
      </c>
      <c r="M55" s="429">
        <v>205.96301354149026</v>
      </c>
      <c r="N55" s="535">
        <v>0.89</v>
      </c>
      <c r="O55" s="429">
        <v>486.1608045141943</v>
      </c>
      <c r="P55" s="535">
        <v>4.88220499</v>
      </c>
      <c r="Q55" s="537">
        <v>2666.8951749905768</v>
      </c>
      <c r="R55" s="538">
        <v>1.6082304838126307</v>
      </c>
      <c r="S55" s="539" t="s">
        <v>1646</v>
      </c>
      <c r="T55" s="545">
        <v>0.60715240000000004</v>
      </c>
      <c r="U55" s="545">
        <v>4.2750525899999996</v>
      </c>
      <c r="V55" s="545" t="s">
        <v>695</v>
      </c>
    </row>
    <row r="56" spans="1:22" ht="14" thickBot="1">
      <c r="A56" s="540">
        <v>994</v>
      </c>
      <c r="B56" s="541" t="s">
        <v>1080</v>
      </c>
      <c r="C56" s="534">
        <v>269422</v>
      </c>
      <c r="D56" s="535">
        <v>549.95673377999992</v>
      </c>
      <c r="E56" s="536">
        <v>553.55367835000004</v>
      </c>
      <c r="F56" s="535">
        <v>198.74162655000001</v>
      </c>
      <c r="G56" s="537">
        <v>737.65923551157664</v>
      </c>
      <c r="H56" s="538">
        <v>0.36137683992701675</v>
      </c>
      <c r="I56" s="428">
        <v>322.7915036</v>
      </c>
      <c r="J56" s="429">
        <v>1198.0888850947586</v>
      </c>
      <c r="K56" s="430">
        <v>4.4361487144702096E-2</v>
      </c>
      <c r="L56" s="537">
        <v>88.23365624536001</v>
      </c>
      <c r="M56" s="429">
        <v>2.7338088945966006</v>
      </c>
      <c r="N56" s="535">
        <v>85.495000000000005</v>
      </c>
      <c r="O56" s="429">
        <v>317.32746397844272</v>
      </c>
      <c r="P56" s="535">
        <v>55.548743180000002</v>
      </c>
      <c r="Q56" s="537">
        <v>206.1774583367357</v>
      </c>
      <c r="R56" s="538">
        <v>0.10034933440524937</v>
      </c>
      <c r="S56" s="539">
        <v>7.8649200000000002E-2</v>
      </c>
      <c r="T56" s="542">
        <v>83.0330517525</v>
      </c>
      <c r="U56" s="542" t="s">
        <v>695</v>
      </c>
      <c r="V56" s="542">
        <v>-27.484308572499998</v>
      </c>
    </row>
    <row r="57" spans="1:22" ht="14" thickBot="1">
      <c r="A57" s="540">
        <v>1003</v>
      </c>
      <c r="B57" s="541" t="s">
        <v>1081</v>
      </c>
      <c r="C57" s="534">
        <v>211.5</v>
      </c>
      <c r="D57" s="535">
        <v>0.35025239999999996</v>
      </c>
      <c r="E57" s="536">
        <v>0.33521299999999998</v>
      </c>
      <c r="F57" s="535">
        <v>-3.3138000000000001E-2</v>
      </c>
      <c r="G57" s="537">
        <v>-156.68085106382978</v>
      </c>
      <c r="H57" s="538">
        <v>-9.4611771396855532E-2</v>
      </c>
      <c r="I57" s="428">
        <v>0.2258627</v>
      </c>
      <c r="J57" s="429">
        <v>1067.9087470449172</v>
      </c>
      <c r="K57" s="430">
        <v>0.12245966658525957</v>
      </c>
      <c r="L57" s="537">
        <v>136.30399061032864</v>
      </c>
      <c r="M57" s="429">
        <v>535.09361702127649</v>
      </c>
      <c r="N57" s="535">
        <v>0.245</v>
      </c>
      <c r="O57" s="429">
        <v>1158.3924349881797</v>
      </c>
      <c r="P57" s="535">
        <v>0.95645827000000005</v>
      </c>
      <c r="Q57" s="537">
        <v>4522.2613238770691</v>
      </c>
      <c r="R57" s="538">
        <v>2.8532851351230413</v>
      </c>
      <c r="S57" s="539" t="s">
        <v>1646</v>
      </c>
      <c r="T57" s="542">
        <v>6.7042600000000008E-2</v>
      </c>
      <c r="U57" s="542">
        <v>0.88941566999999999</v>
      </c>
      <c r="V57" s="542" t="s">
        <v>695</v>
      </c>
    </row>
    <row r="58" spans="1:22" ht="14" thickBot="1">
      <c r="A58" s="540">
        <v>1040</v>
      </c>
      <c r="B58" s="541" t="s">
        <v>1082</v>
      </c>
      <c r="C58" s="534">
        <v>2822.83</v>
      </c>
      <c r="D58" s="535">
        <v>4.4993890499999996</v>
      </c>
      <c r="E58" s="536">
        <v>4.5273173</v>
      </c>
      <c r="F58" s="535">
        <v>0.66820400000000002</v>
      </c>
      <c r="G58" s="537">
        <v>236.71421941810169</v>
      </c>
      <c r="H58" s="538">
        <v>0.14850994047736327</v>
      </c>
      <c r="I58" s="428">
        <v>3.2075316000000003</v>
      </c>
      <c r="J58" s="429">
        <v>1136.2822415802582</v>
      </c>
      <c r="K58" s="430">
        <v>6.3405287968580401E-2</v>
      </c>
      <c r="L58" s="537">
        <v>99.383249735075964</v>
      </c>
      <c r="M58" s="429">
        <v>21.963497624724134</v>
      </c>
      <c r="N58" s="535">
        <v>1.1248651000000001</v>
      </c>
      <c r="O58" s="429">
        <v>398.48843182196595</v>
      </c>
      <c r="P58" s="535">
        <v>2.8095185899999997</v>
      </c>
      <c r="Q58" s="537">
        <v>995.28437419185707</v>
      </c>
      <c r="R58" s="538">
        <v>0.62057028563030026</v>
      </c>
      <c r="S58" s="539">
        <v>0.39234544999999998</v>
      </c>
      <c r="T58" s="542">
        <v>0.90546346</v>
      </c>
      <c r="U58" s="542">
        <v>1.9040551299999997</v>
      </c>
      <c r="V58" s="542" t="s">
        <v>695</v>
      </c>
    </row>
    <row r="59" spans="1:22" ht="14" thickBot="1">
      <c r="A59" s="540">
        <v>1058</v>
      </c>
      <c r="B59" s="541" t="s">
        <v>605</v>
      </c>
      <c r="C59" s="534">
        <v>111</v>
      </c>
      <c r="D59" s="535">
        <v>0.18602939999999998</v>
      </c>
      <c r="E59" s="536">
        <v>0.12367400000000001</v>
      </c>
      <c r="F59" s="535">
        <v>4.0410000000000001E-2</v>
      </c>
      <c r="G59" s="537">
        <v>364.05405405405406</v>
      </c>
      <c r="H59" s="538">
        <v>0.21722372915248883</v>
      </c>
      <c r="I59" s="428">
        <v>0.11127715000000001</v>
      </c>
      <c r="J59" s="429">
        <v>1002.4968468468469</v>
      </c>
      <c r="K59" s="430">
        <v>7.1411933358811963E-2</v>
      </c>
      <c r="L59" s="537">
        <v>106.47342342342343</v>
      </c>
      <c r="M59" s="429">
        <v>184.96531531531534</v>
      </c>
      <c r="N59" s="535">
        <v>0.06</v>
      </c>
      <c r="O59" s="429">
        <v>540.54054054054052</v>
      </c>
      <c r="P59" s="535">
        <v>0.60845604000000009</v>
      </c>
      <c r="Q59" s="537">
        <v>5481.5859459459462</v>
      </c>
      <c r="R59" s="538">
        <v>4.9198379610912566</v>
      </c>
      <c r="S59" s="539" t="s">
        <v>1646</v>
      </c>
      <c r="T59" s="542">
        <v>2.4734800000000001E-2</v>
      </c>
      <c r="U59" s="542">
        <v>0.58372124000000003</v>
      </c>
      <c r="V59" s="542" t="s">
        <v>695</v>
      </c>
    </row>
    <row r="60" spans="1:22" ht="14" thickBot="1">
      <c r="A60" s="540">
        <v>1060</v>
      </c>
      <c r="B60" s="541" t="s">
        <v>606</v>
      </c>
      <c r="C60" s="534">
        <v>269698.83</v>
      </c>
      <c r="D60" s="535">
        <v>709.60787489000006</v>
      </c>
      <c r="E60" s="536">
        <v>695.45094694000011</v>
      </c>
      <c r="F60" s="535">
        <v>-111.22699714999999</v>
      </c>
      <c r="G60" s="537">
        <v>-412.4118638186157</v>
      </c>
      <c r="H60" s="538">
        <v>-0.15674431060568747</v>
      </c>
      <c r="I60" s="428">
        <v>781.52621968000005</v>
      </c>
      <c r="J60" s="429">
        <v>2897.7738601239021</v>
      </c>
      <c r="K60" s="430">
        <v>5.4448706091209623E-2</v>
      </c>
      <c r="L60" s="537">
        <v>142.15694562530345</v>
      </c>
      <c r="M60" s="429">
        <v>19.165365752606366</v>
      </c>
      <c r="N60" s="535">
        <v>171</v>
      </c>
      <c r="O60" s="429">
        <v>634.04057036509948</v>
      </c>
      <c r="P60" s="535">
        <v>127.38025201000001</v>
      </c>
      <c r="Q60" s="537">
        <v>472.3055417407632</v>
      </c>
      <c r="R60" s="538">
        <v>0.18316209442301573</v>
      </c>
      <c r="S60" s="539" t="s">
        <v>1646</v>
      </c>
      <c r="T60" s="542">
        <v>104.31764204100001</v>
      </c>
      <c r="U60" s="542">
        <v>23.062609968999993</v>
      </c>
      <c r="V60" s="542" t="s">
        <v>695</v>
      </c>
    </row>
    <row r="61" spans="1:22" ht="14" thickBot="1">
      <c r="A61" s="540">
        <v>1097</v>
      </c>
      <c r="B61" s="541" t="s">
        <v>607</v>
      </c>
      <c r="C61" s="534">
        <v>5905.75</v>
      </c>
      <c r="D61" s="535">
        <v>11.64041581</v>
      </c>
      <c r="E61" s="536">
        <v>11.389151199999999</v>
      </c>
      <c r="F61" s="535">
        <v>1.656909</v>
      </c>
      <c r="G61" s="537">
        <v>280.5586081361385</v>
      </c>
      <c r="H61" s="538">
        <v>0.14234104924126417</v>
      </c>
      <c r="I61" s="428">
        <v>8.8046860500000008</v>
      </c>
      <c r="J61" s="429">
        <v>1490.8667061761844</v>
      </c>
      <c r="K61" s="430">
        <v>7.9351973256120978E-2</v>
      </c>
      <c r="L61" s="537">
        <v>155.09285832505793</v>
      </c>
      <c r="M61" s="429">
        <v>-28.553448757566784</v>
      </c>
      <c r="N61" s="535">
        <v>2.4700000000000002</v>
      </c>
      <c r="O61" s="429">
        <v>418.23646446260005</v>
      </c>
      <c r="P61" s="535">
        <v>2.1963552700000002</v>
      </c>
      <c r="Q61" s="537">
        <v>371.90115903991875</v>
      </c>
      <c r="R61" s="538">
        <v>0.19284626496134327</v>
      </c>
      <c r="S61" s="539">
        <v>0.45439460000000004</v>
      </c>
      <c r="T61" s="542">
        <v>2.2778302399999997</v>
      </c>
      <c r="U61" s="542" t="s">
        <v>695</v>
      </c>
      <c r="V61" s="542">
        <v>-8.147496999999948E-2</v>
      </c>
    </row>
    <row r="62" spans="1:22" ht="14" thickBot="1">
      <c r="A62" s="540">
        <v>1113</v>
      </c>
      <c r="B62" s="541" t="s">
        <v>608</v>
      </c>
      <c r="C62" s="534">
        <v>4158</v>
      </c>
      <c r="D62" s="535">
        <v>4.0725096000000001</v>
      </c>
      <c r="E62" s="536">
        <v>7.793483600000001</v>
      </c>
      <c r="F62" s="535">
        <v>0.30067349999999998</v>
      </c>
      <c r="G62" s="537">
        <v>72.312049062049056</v>
      </c>
      <c r="H62" s="538">
        <v>7.3830028540632531E-2</v>
      </c>
      <c r="I62" s="428">
        <v>6.2065308000000003</v>
      </c>
      <c r="J62" s="429">
        <v>1492.6721500721503</v>
      </c>
      <c r="K62" s="430">
        <v>4.9521741786949229E-2</v>
      </c>
      <c r="L62" s="537">
        <v>45.288051575931235</v>
      </c>
      <c r="M62" s="429">
        <v>58.332898027898025</v>
      </c>
      <c r="N62" s="535">
        <v>1.06</v>
      </c>
      <c r="O62" s="429">
        <v>254.93025493025496</v>
      </c>
      <c r="P62" s="535">
        <v>2.4484092400000002</v>
      </c>
      <c r="Q62" s="537">
        <v>588.84301106301109</v>
      </c>
      <c r="R62" s="538">
        <v>0.31416108195826575</v>
      </c>
      <c r="S62" s="539" t="s">
        <v>1646</v>
      </c>
      <c r="T62" s="542">
        <v>1.5586967200000001</v>
      </c>
      <c r="U62" s="542">
        <v>0.88971252000000001</v>
      </c>
      <c r="V62" s="542" t="s">
        <v>695</v>
      </c>
    </row>
    <row r="63" spans="1:22" ht="14" thickBot="1">
      <c r="A63" s="540">
        <v>1142</v>
      </c>
      <c r="B63" s="541" t="s">
        <v>609</v>
      </c>
      <c r="C63" s="534">
        <v>1085.5</v>
      </c>
      <c r="D63" s="535">
        <v>3.6966128500000002</v>
      </c>
      <c r="E63" s="536">
        <v>3.3985729999999998</v>
      </c>
      <c r="F63" s="535">
        <v>-4.1283289999999999</v>
      </c>
      <c r="G63" s="537">
        <v>-3803.1589129433441</v>
      </c>
      <c r="H63" s="538">
        <v>-1.1167869526829135</v>
      </c>
      <c r="I63" s="428">
        <v>5.494364</v>
      </c>
      <c r="J63" s="429">
        <v>5061.5974205435277</v>
      </c>
      <c r="K63" s="430">
        <v>5.6708010445970028E-2</v>
      </c>
      <c r="L63" s="537">
        <v>137.77212885154063</v>
      </c>
      <c r="M63" s="429">
        <v>1008.3998341777983</v>
      </c>
      <c r="N63" s="535">
        <v>2.198</v>
      </c>
      <c r="O63" s="429">
        <v>2024.8733302625517</v>
      </c>
      <c r="P63" s="535">
        <v>11.353317890000001</v>
      </c>
      <c r="Q63" s="537">
        <v>10459.067609396592</v>
      </c>
      <c r="R63" s="538">
        <v>3.3406132191363853</v>
      </c>
      <c r="S63" s="539" t="s">
        <v>1646</v>
      </c>
      <c r="T63" s="542">
        <v>0.67971460000000006</v>
      </c>
      <c r="U63" s="542">
        <v>10.673603290000001</v>
      </c>
      <c r="V63" s="542" t="s">
        <v>695</v>
      </c>
    </row>
    <row r="64" spans="1:22" ht="14" thickBot="1">
      <c r="A64" s="540">
        <v>1147</v>
      </c>
      <c r="B64" s="541" t="s">
        <v>610</v>
      </c>
      <c r="C64" s="534">
        <v>500</v>
      </c>
      <c r="D64" s="535">
        <v>0.98624014999999998</v>
      </c>
      <c r="E64" s="536">
        <v>0.95383700000000005</v>
      </c>
      <c r="F64" s="535">
        <v>-4.7788999999999998E-2</v>
      </c>
      <c r="G64" s="537">
        <v>-95.578000000000003</v>
      </c>
      <c r="H64" s="538">
        <v>-4.8455743765856624E-2</v>
      </c>
      <c r="I64" s="428">
        <v>1.0637505</v>
      </c>
      <c r="J64" s="429">
        <v>2127.5009999999997</v>
      </c>
      <c r="K64" s="430">
        <v>7.4601321287080177E-2</v>
      </c>
      <c r="L64" s="537">
        <v>158.6986</v>
      </c>
      <c r="M64" s="429">
        <v>-154.8091</v>
      </c>
      <c r="N64" s="535">
        <v>0.58499999999999996</v>
      </c>
      <c r="O64" s="429">
        <v>1170</v>
      </c>
      <c r="P64" s="535">
        <v>0.94148980000000004</v>
      </c>
      <c r="Q64" s="537">
        <v>1882.9796000000001</v>
      </c>
      <c r="R64" s="538">
        <v>0.9870552306106809</v>
      </c>
      <c r="S64" s="539" t="s">
        <v>1646</v>
      </c>
      <c r="T64" s="542">
        <v>0.19076740000000003</v>
      </c>
      <c r="U64" s="542">
        <v>0.75072240000000001</v>
      </c>
      <c r="V64" s="542" t="s">
        <v>695</v>
      </c>
    </row>
    <row r="65" spans="1:22" ht="14" thickBot="1">
      <c r="A65" s="540">
        <v>1159</v>
      </c>
      <c r="B65" s="541" t="s">
        <v>611</v>
      </c>
      <c r="C65" s="534">
        <v>13389</v>
      </c>
      <c r="D65" s="535">
        <v>31.96752532</v>
      </c>
      <c r="E65" s="536">
        <v>32.611436650000002</v>
      </c>
      <c r="F65" s="535">
        <v>3.699565349999999</v>
      </c>
      <c r="G65" s="537">
        <v>276.31379117185742</v>
      </c>
      <c r="H65" s="538">
        <v>0.11572886274326094</v>
      </c>
      <c r="I65" s="428">
        <v>26.58867871</v>
      </c>
      <c r="J65" s="429">
        <v>1985.8599380088133</v>
      </c>
      <c r="K65" s="430">
        <v>6.9627246352826272E-2</v>
      </c>
      <c r="L65" s="537">
        <v>183.55359765051395</v>
      </c>
      <c r="M65" s="429">
        <v>-25.947459855104938</v>
      </c>
      <c r="N65" s="535">
        <v>7.2</v>
      </c>
      <c r="O65" s="429">
        <v>537.75487340354027</v>
      </c>
      <c r="P65" s="535">
        <v>1.43998403</v>
      </c>
      <c r="Q65" s="537">
        <v>107.54978191052356</v>
      </c>
      <c r="R65" s="538">
        <v>4.4155798637592364E-2</v>
      </c>
      <c r="S65" s="539">
        <v>3.3813312</v>
      </c>
      <c r="T65" s="542">
        <v>6.5222873300000002</v>
      </c>
      <c r="U65" s="542" t="s">
        <v>695</v>
      </c>
      <c r="V65" s="542">
        <v>-5.0823033000000004</v>
      </c>
    </row>
    <row r="66" spans="1:22" ht="14" thickBot="1">
      <c r="A66" s="540">
        <v>1215</v>
      </c>
      <c r="B66" s="541" t="s">
        <v>612</v>
      </c>
      <c r="C66" s="534">
        <v>6994.08</v>
      </c>
      <c r="D66" s="535">
        <v>17.24660218</v>
      </c>
      <c r="E66" s="536">
        <v>16.808252600000003</v>
      </c>
      <c r="F66" s="535">
        <v>2.9204000000000003</v>
      </c>
      <c r="G66" s="537">
        <v>417.55313064763351</v>
      </c>
      <c r="H66" s="538">
        <v>0.16933190488887362</v>
      </c>
      <c r="I66" s="428">
        <v>10.80582345</v>
      </c>
      <c r="J66" s="429">
        <v>1544.9956892114474</v>
      </c>
      <c r="K66" s="430">
        <v>6.7570343995130927E-2</v>
      </c>
      <c r="L66" s="537">
        <v>155.97958315670482</v>
      </c>
      <c r="M66" s="429">
        <v>130.11494292315791</v>
      </c>
      <c r="N66" s="535">
        <v>4.0549999999999997</v>
      </c>
      <c r="O66" s="429">
        <v>579.77603916455053</v>
      </c>
      <c r="P66" s="535">
        <v>6.6941013600000003</v>
      </c>
      <c r="Q66" s="537">
        <v>957.10963557751711</v>
      </c>
      <c r="R66" s="538">
        <v>0.39826277717887221</v>
      </c>
      <c r="S66" s="539">
        <v>1.0364236</v>
      </c>
      <c r="T66" s="542">
        <v>3.3616505200000004</v>
      </c>
      <c r="U66" s="542">
        <v>3.3324508399999999</v>
      </c>
      <c r="V66" s="542" t="s">
        <v>695</v>
      </c>
    </row>
    <row r="67" spans="1:22" ht="14" thickBot="1">
      <c r="A67" s="540">
        <v>1318</v>
      </c>
      <c r="B67" s="541" t="s">
        <v>613</v>
      </c>
      <c r="C67" s="534">
        <v>5927.58</v>
      </c>
      <c r="D67" s="535">
        <v>12.960594870000001</v>
      </c>
      <c r="E67" s="536">
        <v>13.058820899999999</v>
      </c>
      <c r="F67" s="535">
        <v>-0.34138099999999988</v>
      </c>
      <c r="G67" s="537">
        <v>-57.591968391822611</v>
      </c>
      <c r="H67" s="538">
        <v>-2.6339917528800886E-2</v>
      </c>
      <c r="I67" s="428">
        <v>10.388695120000001</v>
      </c>
      <c r="J67" s="429">
        <v>1752.6031061579938</v>
      </c>
      <c r="K67" s="430">
        <v>8.3357058882248203E-2</v>
      </c>
      <c r="L67" s="537">
        <v>157.73226980365607</v>
      </c>
      <c r="M67" s="429">
        <v>300.49205915398869</v>
      </c>
      <c r="N67" s="535">
        <v>4.2</v>
      </c>
      <c r="O67" s="429">
        <v>708.55222536009637</v>
      </c>
      <c r="P67" s="535">
        <v>6.1944077899999996</v>
      </c>
      <c r="Q67" s="537">
        <v>1045.0146248553372</v>
      </c>
      <c r="R67" s="538">
        <v>0.47434663798781407</v>
      </c>
      <c r="S67" s="539">
        <v>0.75997080000000006</v>
      </c>
      <c r="T67" s="542">
        <v>2.6117641799999998</v>
      </c>
      <c r="U67" s="542">
        <v>3.5826436099999999</v>
      </c>
      <c r="V67" s="542" t="s">
        <v>695</v>
      </c>
    </row>
    <row r="68" spans="1:22" ht="14" thickBot="1">
      <c r="A68" s="540">
        <v>1322</v>
      </c>
      <c r="B68" s="541" t="s">
        <v>614</v>
      </c>
      <c r="C68" s="534">
        <v>6815.09</v>
      </c>
      <c r="D68" s="535">
        <v>13.54701195</v>
      </c>
      <c r="E68" s="536">
        <v>14.278362599999999</v>
      </c>
      <c r="F68" s="535">
        <v>0.8133977</v>
      </c>
      <c r="G68" s="537">
        <v>119.35245169176048</v>
      </c>
      <c r="H68" s="538">
        <v>6.0042591163433648E-2</v>
      </c>
      <c r="I68" s="428">
        <v>11.180605999999999</v>
      </c>
      <c r="J68" s="429">
        <v>1640.5661553992684</v>
      </c>
      <c r="K68" s="430">
        <v>6.6815641216807956E-2</v>
      </c>
      <c r="L68" s="537">
        <v>125.18973943765641</v>
      </c>
      <c r="M68" s="429">
        <v>120.21046677299931</v>
      </c>
      <c r="N68" s="535">
        <v>3.0744759799999999</v>
      </c>
      <c r="O68" s="429">
        <v>451.12771511454724</v>
      </c>
      <c r="P68" s="535">
        <v>1.8423907000000002</v>
      </c>
      <c r="Q68" s="537">
        <v>270.33989279672028</v>
      </c>
      <c r="R68" s="538">
        <v>0.12903375209143381</v>
      </c>
      <c r="S68" s="539">
        <v>0.95356750000000001</v>
      </c>
      <c r="T68" s="542">
        <v>2.8556725200000002</v>
      </c>
      <c r="U68" s="542" t="s">
        <v>695</v>
      </c>
      <c r="V68" s="542">
        <v>-1.01328182</v>
      </c>
    </row>
    <row r="69" spans="1:22" ht="14" thickBot="1">
      <c r="A69" s="540">
        <v>1328</v>
      </c>
      <c r="B69" s="541" t="s">
        <v>615</v>
      </c>
      <c r="C69" s="534">
        <v>7288.39</v>
      </c>
      <c r="D69" s="535">
        <v>16.596982779999998</v>
      </c>
      <c r="E69" s="536">
        <v>17.009955699999999</v>
      </c>
      <c r="F69" s="535">
        <v>-1.2917940000000001</v>
      </c>
      <c r="G69" s="537">
        <v>-177.23996657698063</v>
      </c>
      <c r="H69" s="538">
        <v>-7.7833062618867174E-2</v>
      </c>
      <c r="I69" s="428">
        <v>15.786875</v>
      </c>
      <c r="J69" s="429">
        <v>2166.0304950750442</v>
      </c>
      <c r="K69" s="430">
        <v>7.7882237803614002E-2</v>
      </c>
      <c r="L69" s="537">
        <v>169.44530808288735</v>
      </c>
      <c r="M69" s="429">
        <v>101.93537255827412</v>
      </c>
      <c r="N69" s="535">
        <v>4.7360629999999997</v>
      </c>
      <c r="O69" s="429">
        <v>649.80921712476959</v>
      </c>
      <c r="P69" s="535">
        <v>8.7824926300000001</v>
      </c>
      <c r="Q69" s="537">
        <v>1204.9976236178359</v>
      </c>
      <c r="R69" s="538">
        <v>0.51631484437081754</v>
      </c>
      <c r="S69" s="539">
        <v>6.3432133499999992</v>
      </c>
      <c r="T69" s="542">
        <v>3.4019911400000002</v>
      </c>
      <c r="U69" s="542">
        <v>5.3805014900000003</v>
      </c>
      <c r="V69" s="542" t="s">
        <v>695</v>
      </c>
    </row>
    <row r="70" spans="1:22" ht="14" thickBot="1">
      <c r="A70" s="540">
        <v>1331</v>
      </c>
      <c r="B70" s="541" t="s">
        <v>616</v>
      </c>
      <c r="C70" s="534">
        <v>1040</v>
      </c>
      <c r="D70" s="535">
        <v>2.0659649999999998</v>
      </c>
      <c r="E70" s="536">
        <v>1.9355739999999999</v>
      </c>
      <c r="F70" s="535">
        <v>0.22733</v>
      </c>
      <c r="G70" s="537">
        <v>218.58653846153845</v>
      </c>
      <c r="H70" s="538">
        <v>0.11003574600731378</v>
      </c>
      <c r="I70" s="428">
        <v>1.5724320000000001</v>
      </c>
      <c r="J70" s="429">
        <v>1511.9538461538461</v>
      </c>
      <c r="K70" s="430">
        <v>0.10773028876089663</v>
      </c>
      <c r="L70" s="537">
        <v>211.71988527724665</v>
      </c>
      <c r="M70" s="429">
        <v>9.8894230769230766</v>
      </c>
      <c r="N70" s="535">
        <v>0.47</v>
      </c>
      <c r="O70" s="429">
        <v>451.92307692307691</v>
      </c>
      <c r="P70" s="535">
        <v>1.3188022500000001</v>
      </c>
      <c r="Q70" s="537">
        <v>1268.0790865384615</v>
      </c>
      <c r="R70" s="538">
        <v>0.68134943432800821</v>
      </c>
      <c r="S70" s="539" t="s">
        <v>1646</v>
      </c>
      <c r="T70" s="542">
        <v>0.38711480000000004</v>
      </c>
      <c r="U70" s="542">
        <v>0.93168745000000008</v>
      </c>
      <c r="V70" s="542" t="s">
        <v>695</v>
      </c>
    </row>
    <row r="71" spans="1:22" ht="14" thickBot="1">
      <c r="A71" s="540">
        <v>1362</v>
      </c>
      <c r="B71" s="541" t="s">
        <v>617</v>
      </c>
      <c r="C71" s="534">
        <v>522</v>
      </c>
      <c r="D71" s="535">
        <v>0.85344569999999997</v>
      </c>
      <c r="E71" s="536">
        <v>0.82740234999999995</v>
      </c>
      <c r="F71" s="535">
        <v>2.8282000000000002E-2</v>
      </c>
      <c r="G71" s="537">
        <v>54.180076628352488</v>
      </c>
      <c r="H71" s="538">
        <v>3.3138605068840352E-2</v>
      </c>
      <c r="I71" s="428">
        <v>0.58276530000000004</v>
      </c>
      <c r="J71" s="429">
        <v>1116.4086206896552</v>
      </c>
      <c r="K71" s="430">
        <v>6.5497426807004946E-2</v>
      </c>
      <c r="L71" s="537">
        <v>81.265825426944986</v>
      </c>
      <c r="M71" s="429">
        <v>382.32051724137932</v>
      </c>
      <c r="N71" s="535">
        <v>0.22600000000000001</v>
      </c>
      <c r="O71" s="429">
        <v>432.95019157088126</v>
      </c>
      <c r="P71" s="535">
        <v>1.2097296599999998</v>
      </c>
      <c r="Q71" s="537">
        <v>2317.4897701149421</v>
      </c>
      <c r="R71" s="538">
        <v>1.4620814891328262</v>
      </c>
      <c r="S71" s="539" t="s">
        <v>1646</v>
      </c>
      <c r="T71" s="542">
        <v>0.16548046999999999</v>
      </c>
      <c r="U71" s="542">
        <v>1.0442491899999999</v>
      </c>
      <c r="V71" s="542" t="s">
        <v>695</v>
      </c>
    </row>
    <row r="72" spans="1:22" ht="14" thickBot="1">
      <c r="A72" s="540">
        <v>1384</v>
      </c>
      <c r="B72" s="541" t="s">
        <v>618</v>
      </c>
      <c r="C72" s="534">
        <v>570031</v>
      </c>
      <c r="D72" s="535">
        <v>1277.9417738599998</v>
      </c>
      <c r="E72" s="536">
        <v>1287.4687719999999</v>
      </c>
      <c r="F72" s="535">
        <v>24.771487000000029</v>
      </c>
      <c r="G72" s="537">
        <v>43.456385705338882</v>
      </c>
      <c r="H72" s="538">
        <v>1.9383893309300161E-2</v>
      </c>
      <c r="I72" s="428">
        <v>1176.1377366900001</v>
      </c>
      <c r="J72" s="429">
        <v>2063.2873241806151</v>
      </c>
      <c r="K72" s="430">
        <v>6.1772648741205138E-2</v>
      </c>
      <c r="L72" s="537">
        <v>136.80269810089717</v>
      </c>
      <c r="M72" s="429">
        <v>20.815922660346558</v>
      </c>
      <c r="N72" s="535">
        <v>245.48711888</v>
      </c>
      <c r="O72" s="429">
        <v>430.65573430216955</v>
      </c>
      <c r="P72" s="535">
        <v>225.04018647000001</v>
      </c>
      <c r="Q72" s="537">
        <v>394.78587387352621</v>
      </c>
      <c r="R72" s="538">
        <v>0.17479273390096639</v>
      </c>
      <c r="S72" s="539">
        <v>817.3006438000001</v>
      </c>
      <c r="T72" s="542">
        <v>193.12031579999999</v>
      </c>
      <c r="U72" s="542">
        <v>31.919870670000023</v>
      </c>
      <c r="V72" s="542" t="s">
        <v>695</v>
      </c>
    </row>
    <row r="73" spans="1:22" ht="14" thickBot="1">
      <c r="A73" s="540">
        <v>1386</v>
      </c>
      <c r="B73" s="541" t="s">
        <v>619</v>
      </c>
      <c r="C73" s="534">
        <v>12836</v>
      </c>
      <c r="D73" s="535">
        <v>39.44392826</v>
      </c>
      <c r="E73" s="536">
        <v>38.403514799999996</v>
      </c>
      <c r="F73" s="535">
        <v>-8.4417179999999998</v>
      </c>
      <c r="G73" s="537">
        <v>-657.65955126207541</v>
      </c>
      <c r="H73" s="538">
        <v>-0.21401818663585612</v>
      </c>
      <c r="I73" s="428">
        <v>41.677449129999992</v>
      </c>
      <c r="J73" s="429">
        <v>3246.9187542848235</v>
      </c>
      <c r="K73" s="430">
        <v>6.4849685425453926E-2</v>
      </c>
      <c r="L73" s="537">
        <v>187.07375511167035</v>
      </c>
      <c r="M73" s="429">
        <v>215.15400903708317</v>
      </c>
      <c r="N73" s="535">
        <v>12.406520199999999</v>
      </c>
      <c r="O73" s="429">
        <v>966.54099407915237</v>
      </c>
      <c r="P73" s="535">
        <v>5.0655249900000001</v>
      </c>
      <c r="Q73" s="537">
        <v>394.63423106886881</v>
      </c>
      <c r="R73" s="538">
        <v>0.13190264006772631</v>
      </c>
      <c r="S73" s="539">
        <v>14.480727249999999</v>
      </c>
      <c r="T73" s="542">
        <v>7.6807029599999996</v>
      </c>
      <c r="U73" s="542" t="s">
        <v>695</v>
      </c>
      <c r="V73" s="542">
        <v>-2.6151779699999995</v>
      </c>
    </row>
    <row r="74" spans="1:22" ht="14" thickBot="1">
      <c r="A74" s="540">
        <v>1395</v>
      </c>
      <c r="B74" s="541" t="s">
        <v>620</v>
      </c>
      <c r="C74" s="534">
        <v>19219.580000000002</v>
      </c>
      <c r="D74" s="535">
        <v>49.688204590000005</v>
      </c>
      <c r="E74" s="536">
        <v>43.487007399999996</v>
      </c>
      <c r="F74" s="535">
        <v>11.190178300000001</v>
      </c>
      <c r="G74" s="537">
        <v>582.22803515997748</v>
      </c>
      <c r="H74" s="538">
        <v>0.22520794205255062</v>
      </c>
      <c r="I74" s="428">
        <v>30.875585449999999</v>
      </c>
      <c r="J74" s="429">
        <v>1606.4651490823419</v>
      </c>
      <c r="K74" s="430">
        <v>8.7785489991274904E-2</v>
      </c>
      <c r="L74" s="537">
        <v>209.69358390163256</v>
      </c>
      <c r="M74" s="429">
        <v>179.63153877452058</v>
      </c>
      <c r="N74" s="535">
        <v>7.8294305</v>
      </c>
      <c r="O74" s="429">
        <v>407.36740865305063</v>
      </c>
      <c r="P74" s="535">
        <v>8.7263864600000005</v>
      </c>
      <c r="Q74" s="537">
        <v>454.03627238472433</v>
      </c>
      <c r="R74" s="538">
        <v>0.20066652045594663</v>
      </c>
      <c r="S74" s="539" t="s">
        <v>1646</v>
      </c>
      <c r="T74" s="542">
        <v>8.6974014799999999</v>
      </c>
      <c r="U74" s="542">
        <v>2.8984980000000604E-2</v>
      </c>
      <c r="V74" s="542" t="s">
        <v>695</v>
      </c>
    </row>
    <row r="75" spans="1:22" ht="14" thickBot="1">
      <c r="A75" s="540">
        <v>1401</v>
      </c>
      <c r="B75" s="541" t="s">
        <v>621</v>
      </c>
      <c r="C75" s="534">
        <v>10540</v>
      </c>
      <c r="D75" s="535">
        <v>23.906222209999996</v>
      </c>
      <c r="E75" s="536">
        <v>23.565891149999999</v>
      </c>
      <c r="F75" s="535">
        <v>2.7753340000000004</v>
      </c>
      <c r="G75" s="537">
        <v>263.31442125237197</v>
      </c>
      <c r="H75" s="538">
        <v>0.11609253756702201</v>
      </c>
      <c r="I75" s="428">
        <v>18.52771392</v>
      </c>
      <c r="J75" s="429">
        <v>1757.8476204933586</v>
      </c>
      <c r="K75" s="430">
        <v>4.2973004498073356E-2</v>
      </c>
      <c r="L75" s="537">
        <v>88.881557765151513</v>
      </c>
      <c r="M75" s="429">
        <v>195.90637286527513</v>
      </c>
      <c r="N75" s="535">
        <v>5</v>
      </c>
      <c r="O75" s="429">
        <v>474.38330170777988</v>
      </c>
      <c r="P75" s="535">
        <v>4.2672636700000002</v>
      </c>
      <c r="Q75" s="537">
        <v>404.86372580645161</v>
      </c>
      <c r="R75" s="538">
        <v>0.18107796742496624</v>
      </c>
      <c r="S75" s="539">
        <v>12.021379300000001</v>
      </c>
      <c r="T75" s="542">
        <v>4.7131782299999996</v>
      </c>
      <c r="U75" s="542" t="s">
        <v>695</v>
      </c>
      <c r="V75" s="542">
        <v>-0.4459145599999994</v>
      </c>
    </row>
    <row r="76" spans="1:22" ht="14" thickBot="1">
      <c r="A76" s="540">
        <v>1423</v>
      </c>
      <c r="B76" s="541" t="s">
        <v>622</v>
      </c>
      <c r="C76" s="534">
        <v>4217.58</v>
      </c>
      <c r="D76" s="535">
        <v>9.2180411399999986</v>
      </c>
      <c r="E76" s="536">
        <v>9.3574335000000008</v>
      </c>
      <c r="F76" s="535">
        <v>1.3021919999999998</v>
      </c>
      <c r="G76" s="537">
        <v>308.75336093209847</v>
      </c>
      <c r="H76" s="538">
        <v>0.14126558779927512</v>
      </c>
      <c r="I76" s="428">
        <v>7.0981490999999997</v>
      </c>
      <c r="J76" s="429">
        <v>1682.9909806097335</v>
      </c>
      <c r="K76" s="430">
        <v>4.3793561541622589E-2</v>
      </c>
      <c r="L76" s="537">
        <v>90.450277316899729</v>
      </c>
      <c r="M76" s="429">
        <v>119.54949283712462</v>
      </c>
      <c r="N76" s="535">
        <v>1.8</v>
      </c>
      <c r="O76" s="429">
        <v>426.78502838120437</v>
      </c>
      <c r="P76" s="535">
        <v>2.04108307</v>
      </c>
      <c r="Q76" s="537">
        <v>483.9464977546366</v>
      </c>
      <c r="R76" s="538">
        <v>0.2181242399425013</v>
      </c>
      <c r="S76" s="539">
        <v>3.1934608500000001</v>
      </c>
      <c r="T76" s="542">
        <v>1.8714867000000002</v>
      </c>
      <c r="U76" s="542">
        <v>0.16959636999999983</v>
      </c>
      <c r="V76" s="542" t="s">
        <v>695</v>
      </c>
    </row>
    <row r="77" spans="1:22" ht="14" thickBot="1">
      <c r="A77" s="540">
        <v>1442</v>
      </c>
      <c r="B77" s="541" t="s">
        <v>122</v>
      </c>
      <c r="C77" s="534">
        <v>754.08</v>
      </c>
      <c r="D77" s="535">
        <v>1.7397689300000001</v>
      </c>
      <c r="E77" s="536">
        <v>1.7543292000000001</v>
      </c>
      <c r="F77" s="535">
        <v>0.33044299999999999</v>
      </c>
      <c r="G77" s="537">
        <v>438.20682155739439</v>
      </c>
      <c r="H77" s="538">
        <v>0.18993499326373184</v>
      </c>
      <c r="I77" s="428">
        <v>2.3031690899999999</v>
      </c>
      <c r="J77" s="429">
        <v>3054.2768539147037</v>
      </c>
      <c r="K77" s="430">
        <v>8.9582213735048211E-2</v>
      </c>
      <c r="L77" s="537">
        <v>203.86182500000004</v>
      </c>
      <c r="M77" s="429">
        <v>-107.13363303628263</v>
      </c>
      <c r="N77" s="535">
        <v>0.69499999999999995</v>
      </c>
      <c r="O77" s="429">
        <v>921.65287502652234</v>
      </c>
      <c r="P77" s="535">
        <v>0.70681548999999999</v>
      </c>
      <c r="Q77" s="537">
        <v>937.32162370040305</v>
      </c>
      <c r="R77" s="538">
        <v>0.40289786546333489</v>
      </c>
      <c r="S77" s="539">
        <v>2.55792E-2</v>
      </c>
      <c r="T77" s="542">
        <v>0.3508658400000001</v>
      </c>
      <c r="U77" s="542">
        <v>0.3559496499999999</v>
      </c>
      <c r="V77" s="542" t="s">
        <v>695</v>
      </c>
    </row>
    <row r="78" spans="1:22" ht="14" thickBot="1">
      <c r="A78" s="540">
        <v>1454</v>
      </c>
      <c r="B78" s="541" t="s">
        <v>123</v>
      </c>
      <c r="C78" s="534">
        <v>6923</v>
      </c>
      <c r="D78" s="535">
        <v>13.577927000000001</v>
      </c>
      <c r="E78" s="536">
        <v>13.04072135</v>
      </c>
      <c r="F78" s="535">
        <v>2.892468</v>
      </c>
      <c r="G78" s="537">
        <v>417.80557561750686</v>
      </c>
      <c r="H78" s="538">
        <v>0.21302721689400744</v>
      </c>
      <c r="I78" s="428">
        <v>9.9820127500000009</v>
      </c>
      <c r="J78" s="429">
        <v>1441.862306803409</v>
      </c>
      <c r="K78" s="430">
        <v>2.5948937151404672E-2</v>
      </c>
      <c r="L78" s="537">
        <v>50.448627281874373</v>
      </c>
      <c r="M78" s="429">
        <v>7.5798281092012143</v>
      </c>
      <c r="N78" s="535">
        <v>3.42</v>
      </c>
      <c r="O78" s="429">
        <v>494.00548894987719</v>
      </c>
      <c r="P78" s="535">
        <v>4.4649512900000001</v>
      </c>
      <c r="Q78" s="537">
        <v>644.94457460638455</v>
      </c>
      <c r="R78" s="538">
        <v>0.34238529987453492</v>
      </c>
      <c r="S78" s="539">
        <v>2.1652546500000001</v>
      </c>
      <c r="T78" s="542">
        <v>2.6081442699999999</v>
      </c>
      <c r="U78" s="542">
        <v>1.8568070200000002</v>
      </c>
      <c r="V78" s="542" t="s">
        <v>695</v>
      </c>
    </row>
    <row r="79" spans="1:22" ht="14" thickBot="1">
      <c r="A79" s="540">
        <v>1479</v>
      </c>
      <c r="B79" s="541" t="s">
        <v>88</v>
      </c>
      <c r="C79" s="534">
        <v>293798.78999999998</v>
      </c>
      <c r="D79" s="535">
        <v>833.36481094999999</v>
      </c>
      <c r="E79" s="536">
        <v>817.73620210000001</v>
      </c>
      <c r="F79" s="535">
        <v>84.755398200000002</v>
      </c>
      <c r="G79" s="537">
        <v>288.48110027954851</v>
      </c>
      <c r="H79" s="538">
        <v>0.10170263621208399</v>
      </c>
      <c r="I79" s="428">
        <v>667.78210267000009</v>
      </c>
      <c r="J79" s="429">
        <v>2272.9232570018416</v>
      </c>
      <c r="K79" s="430">
        <v>6.0779570998143358E-2</v>
      </c>
      <c r="L79" s="537">
        <v>169.89347910317292</v>
      </c>
      <c r="M79" s="429">
        <v>17.583428917457425</v>
      </c>
      <c r="N79" s="535">
        <v>174.23320000000001</v>
      </c>
      <c r="O79" s="429">
        <v>593.0357984115592</v>
      </c>
      <c r="P79" s="535">
        <v>119.46329165</v>
      </c>
      <c r="Q79" s="537">
        <v>406.61600971876032</v>
      </c>
      <c r="R79" s="538">
        <v>0.14609025666616013</v>
      </c>
      <c r="S79" s="539">
        <v>97.269626849999995</v>
      </c>
      <c r="T79" s="542">
        <v>122.660430315</v>
      </c>
      <c r="U79" s="542" t="s">
        <v>695</v>
      </c>
      <c r="V79" s="542">
        <v>-3.1971386649999971</v>
      </c>
    </row>
    <row r="80" spans="1:22" ht="14" thickBot="1">
      <c r="A80" s="540">
        <v>1507</v>
      </c>
      <c r="B80" s="541" t="s">
        <v>623</v>
      </c>
      <c r="C80" s="534">
        <v>6583.5</v>
      </c>
      <c r="D80" s="535">
        <v>13.0690981</v>
      </c>
      <c r="E80" s="536">
        <v>13.110791800000001</v>
      </c>
      <c r="F80" s="535">
        <v>1.0619940000000003</v>
      </c>
      <c r="G80" s="537">
        <v>161.31146046935524</v>
      </c>
      <c r="H80" s="538">
        <v>8.1259930247214257E-2</v>
      </c>
      <c r="I80" s="428">
        <v>9.7870107899999983</v>
      </c>
      <c r="J80" s="429">
        <v>1486.5969150148096</v>
      </c>
      <c r="K80" s="430">
        <v>8.4048066089692938E-2</v>
      </c>
      <c r="L80" s="537">
        <v>158.7480730345556</v>
      </c>
      <c r="M80" s="429">
        <v>83.872017923596886</v>
      </c>
      <c r="N80" s="535">
        <v>3.7</v>
      </c>
      <c r="O80" s="429">
        <v>562.01108832687783</v>
      </c>
      <c r="P80" s="535">
        <v>4.46716845</v>
      </c>
      <c r="Q80" s="537">
        <v>678.54005468215985</v>
      </c>
      <c r="R80" s="538">
        <v>0.34072453579805911</v>
      </c>
      <c r="S80" s="539" t="s">
        <v>1646</v>
      </c>
      <c r="T80" s="542">
        <v>2.6221583600000002</v>
      </c>
      <c r="U80" s="542">
        <v>1.8450100899999997</v>
      </c>
      <c r="V80" s="542" t="s">
        <v>695</v>
      </c>
    </row>
    <row r="81" spans="1:22" ht="14" thickBot="1">
      <c r="A81" s="540">
        <v>1509</v>
      </c>
      <c r="B81" s="541" t="s">
        <v>624</v>
      </c>
      <c r="C81" s="534">
        <v>374473.14</v>
      </c>
      <c r="D81" s="535">
        <v>860.49601465000012</v>
      </c>
      <c r="E81" s="536">
        <v>855.59391774999995</v>
      </c>
      <c r="F81" s="535">
        <v>170.88047529999997</v>
      </c>
      <c r="G81" s="537">
        <v>456.32238216070709</v>
      </c>
      <c r="H81" s="538">
        <v>0.19858369172052964</v>
      </c>
      <c r="I81" s="428">
        <v>648.74074986000005</v>
      </c>
      <c r="J81" s="429">
        <v>1732.4092987283414</v>
      </c>
      <c r="K81" s="430">
        <v>6.5438343325861681E-2</v>
      </c>
      <c r="L81" s="537">
        <v>150.11007748249307</v>
      </c>
      <c r="M81" s="429">
        <v>-19.345368722573795</v>
      </c>
      <c r="N81" s="535">
        <v>187.6</v>
      </c>
      <c r="O81" s="429">
        <v>500.97051019466971</v>
      </c>
      <c r="P81" s="535">
        <v>122.54742596999999</v>
      </c>
      <c r="Q81" s="537">
        <v>327.25291317289134</v>
      </c>
      <c r="R81" s="538">
        <v>0.14323082881686369</v>
      </c>
      <c r="S81" s="539" t="s">
        <v>1646</v>
      </c>
      <c r="T81" s="542">
        <v>128.33908766249999</v>
      </c>
      <c r="U81" s="542" t="s">
        <v>695</v>
      </c>
      <c r="V81" s="542">
        <v>-5.7916616925</v>
      </c>
    </row>
    <row r="82" spans="1:22" ht="14" thickBot="1">
      <c r="A82" s="540">
        <v>1520</v>
      </c>
      <c r="B82" s="541" t="s">
        <v>625</v>
      </c>
      <c r="C82" s="534">
        <v>12093.25</v>
      </c>
      <c r="D82" s="535">
        <v>38.257148649999998</v>
      </c>
      <c r="E82" s="536">
        <v>38.418426700000005</v>
      </c>
      <c r="F82" s="535">
        <v>5</v>
      </c>
      <c r="G82" s="537">
        <v>413.45378620304717</v>
      </c>
      <c r="H82" s="538">
        <v>0.13069452838064555</v>
      </c>
      <c r="I82" s="428">
        <v>33.756150950000006</v>
      </c>
      <c r="J82" s="429">
        <v>2791.321683583818</v>
      </c>
      <c r="K82" s="430">
        <v>6.4237243032246719E-2</v>
      </c>
      <c r="L82" s="537">
        <v>205.29193086620577</v>
      </c>
      <c r="M82" s="429">
        <v>-85.642845388956658</v>
      </c>
      <c r="N82" s="535">
        <v>10.7</v>
      </c>
      <c r="O82" s="429">
        <v>884.79110247452081</v>
      </c>
      <c r="P82" s="535">
        <v>2.2893098100000002</v>
      </c>
      <c r="Q82" s="537">
        <v>189.30476174725572</v>
      </c>
      <c r="R82" s="538">
        <v>5.9588848545950486E-2</v>
      </c>
      <c r="S82" s="539">
        <v>2.4690100000000003E-2</v>
      </c>
      <c r="T82" s="542">
        <v>7.6836853400000011</v>
      </c>
      <c r="U82" s="542" t="s">
        <v>695</v>
      </c>
      <c r="V82" s="542">
        <v>-5.3943755300000014</v>
      </c>
    </row>
    <row r="83" spans="1:22" ht="14" thickBot="1">
      <c r="A83" s="540">
        <v>1529</v>
      </c>
      <c r="B83" s="541" t="s">
        <v>626</v>
      </c>
      <c r="C83" s="534">
        <v>355769</v>
      </c>
      <c r="D83" s="535">
        <v>970.40180969000005</v>
      </c>
      <c r="E83" s="536">
        <v>967.69007785000008</v>
      </c>
      <c r="F83" s="535">
        <v>92.240704249999993</v>
      </c>
      <c r="G83" s="537">
        <v>259.27133687870503</v>
      </c>
      <c r="H83" s="538">
        <v>9.5054134616120278E-2</v>
      </c>
      <c r="I83" s="428">
        <v>879.66643045000001</v>
      </c>
      <c r="J83" s="429">
        <v>2472.5775164502811</v>
      </c>
      <c r="K83" s="430">
        <v>3.9047351967569928E-2</v>
      </c>
      <c r="L83" s="537">
        <v>106.42760066793893</v>
      </c>
      <c r="M83" s="429">
        <v>-2.2071707484350584</v>
      </c>
      <c r="N83" s="535">
        <v>192.69444258999999</v>
      </c>
      <c r="O83" s="429">
        <v>541.62797374138836</v>
      </c>
      <c r="P83" s="535">
        <v>89.780638209999992</v>
      </c>
      <c r="Q83" s="537">
        <v>252.35655217289869</v>
      </c>
      <c r="R83" s="538">
        <v>9.277829778876448E-2</v>
      </c>
      <c r="S83" s="539" t="s">
        <v>1646</v>
      </c>
      <c r="T83" s="542">
        <v>145.15351167750001</v>
      </c>
      <c r="U83" s="542" t="s">
        <v>695</v>
      </c>
      <c r="V83" s="542">
        <v>-55.372873467500014</v>
      </c>
    </row>
    <row r="84" spans="1:22" ht="14" thickBot="1">
      <c r="A84" s="540">
        <v>1535</v>
      </c>
      <c r="B84" s="541" t="s">
        <v>627</v>
      </c>
      <c r="C84" s="534">
        <v>121010.25</v>
      </c>
      <c r="D84" s="535">
        <v>377.32866367000003</v>
      </c>
      <c r="E84" s="536">
        <v>375.28634909000004</v>
      </c>
      <c r="F84" s="535">
        <v>1.6897846499999998</v>
      </c>
      <c r="G84" s="537">
        <v>13.963979497604539</v>
      </c>
      <c r="H84" s="538">
        <v>4.4782832917189489E-3</v>
      </c>
      <c r="I84" s="428">
        <v>354.3606959</v>
      </c>
      <c r="J84" s="429">
        <v>2928.3527296241432</v>
      </c>
      <c r="K84" s="430">
        <v>4.9333612126050246E-2</v>
      </c>
      <c r="L84" s="537">
        <v>149.0031693640565</v>
      </c>
      <c r="M84" s="429">
        <v>104.73209649595792</v>
      </c>
      <c r="N84" s="535">
        <v>87.9</v>
      </c>
      <c r="O84" s="429">
        <v>726.3847483994125</v>
      </c>
      <c r="P84" s="535">
        <v>50.150173509999995</v>
      </c>
      <c r="Q84" s="537">
        <v>414.42913728382513</v>
      </c>
      <c r="R84" s="538">
        <v>0.13363175514271938</v>
      </c>
      <c r="S84" s="539">
        <v>31.085045279999999</v>
      </c>
      <c r="T84" s="542">
        <v>75.057269818000009</v>
      </c>
      <c r="U84" s="542" t="s">
        <v>695</v>
      </c>
      <c r="V84" s="542">
        <v>-24.907096308000014</v>
      </c>
    </row>
    <row r="85" spans="1:22" ht="14" thickBot="1">
      <c r="A85" s="540">
        <v>1542</v>
      </c>
      <c r="B85" s="541" t="s">
        <v>628</v>
      </c>
      <c r="C85" s="534">
        <v>368994.83</v>
      </c>
      <c r="D85" s="535">
        <v>869.87422528999991</v>
      </c>
      <c r="E85" s="536">
        <v>886.07781</v>
      </c>
      <c r="F85" s="535">
        <v>258.21138907</v>
      </c>
      <c r="G85" s="537">
        <v>699.76966633922757</v>
      </c>
      <c r="H85" s="538">
        <v>0.29683761348822252</v>
      </c>
      <c r="I85" s="428">
        <v>521.33100559999991</v>
      </c>
      <c r="J85" s="429">
        <v>1412.8409484761612</v>
      </c>
      <c r="K85" s="430">
        <v>5.1782343007207701E-2</v>
      </c>
      <c r="L85" s="537">
        <v>120.97840539844714</v>
      </c>
      <c r="M85" s="429">
        <v>21.127858891681498</v>
      </c>
      <c r="N85" s="535">
        <v>217.32929383999999</v>
      </c>
      <c r="O85" s="429">
        <v>588.97652804512188</v>
      </c>
      <c r="P85" s="535">
        <v>178.05083431</v>
      </c>
      <c r="Q85" s="537">
        <v>482.52934684748834</v>
      </c>
      <c r="R85" s="538">
        <v>0.20094266248468631</v>
      </c>
      <c r="S85" s="539" t="s">
        <v>1646</v>
      </c>
      <c r="T85" s="542">
        <v>132.91167150000001</v>
      </c>
      <c r="U85" s="542">
        <v>45.139162809999988</v>
      </c>
      <c r="V85" s="542" t="s">
        <v>695</v>
      </c>
    </row>
    <row r="86" spans="1:22" ht="14" thickBot="1">
      <c r="A86" s="540">
        <v>1551</v>
      </c>
      <c r="B86" s="541" t="s">
        <v>629</v>
      </c>
      <c r="C86" s="534">
        <v>70974.83</v>
      </c>
      <c r="D86" s="535">
        <v>180.44149857999997</v>
      </c>
      <c r="E86" s="536">
        <v>175.51221280000001</v>
      </c>
      <c r="F86" s="535">
        <v>23.034945560000004</v>
      </c>
      <c r="G86" s="537">
        <v>324.55090854039383</v>
      </c>
      <c r="H86" s="538">
        <v>0.12765880211190611</v>
      </c>
      <c r="I86" s="428">
        <v>142.00892856000002</v>
      </c>
      <c r="J86" s="429">
        <v>2000.8350644869456</v>
      </c>
      <c r="K86" s="430">
        <v>4.8828026213203563E-2</v>
      </c>
      <c r="L86" s="537">
        <v>123.97975103092058</v>
      </c>
      <c r="M86" s="429">
        <v>0.42387730974489185</v>
      </c>
      <c r="N86" s="535">
        <v>40.900080000000003</v>
      </c>
      <c r="O86" s="429">
        <v>576.26175363857863</v>
      </c>
      <c r="P86" s="535">
        <v>35.454014899999997</v>
      </c>
      <c r="Q86" s="537">
        <v>499.52940922859551</v>
      </c>
      <c r="R86" s="538">
        <v>0.20200312180213134</v>
      </c>
      <c r="S86" s="539">
        <v>33.883288100000001</v>
      </c>
      <c r="T86" s="542">
        <v>35.10244256</v>
      </c>
      <c r="U86" s="542">
        <v>0.35157233999999704</v>
      </c>
      <c r="V86" s="542" t="s">
        <v>695</v>
      </c>
    </row>
    <row r="87" spans="1:22" ht="14" thickBot="1">
      <c r="A87" s="540">
        <v>1552</v>
      </c>
      <c r="B87" s="541" t="s">
        <v>630</v>
      </c>
      <c r="C87" s="534">
        <v>3204.34</v>
      </c>
      <c r="D87" s="535">
        <v>7.2880130899999997</v>
      </c>
      <c r="E87" s="536">
        <v>7.3322053</v>
      </c>
      <c r="F87" s="535">
        <v>0.52063175000000006</v>
      </c>
      <c r="G87" s="537">
        <v>162.47706235917539</v>
      </c>
      <c r="H87" s="538">
        <v>7.1436719935968188E-2</v>
      </c>
      <c r="I87" s="428">
        <v>5.5461331500000002</v>
      </c>
      <c r="J87" s="429">
        <v>1730.8191858541852</v>
      </c>
      <c r="K87" s="430">
        <v>8.4712076438330577E-2</v>
      </c>
      <c r="L87" s="537">
        <v>165.2313237100737</v>
      </c>
      <c r="M87" s="429">
        <v>292.46865189087293</v>
      </c>
      <c r="N87" s="535">
        <v>2.27</v>
      </c>
      <c r="O87" s="429">
        <v>708.41421322331587</v>
      </c>
      <c r="P87" s="535">
        <v>4.3808027000000003</v>
      </c>
      <c r="Q87" s="537">
        <v>1367.1466511044396</v>
      </c>
      <c r="R87" s="538">
        <v>0.59747409145785924</v>
      </c>
      <c r="S87" s="539">
        <v>5.0543962000000002</v>
      </c>
      <c r="T87" s="542">
        <v>1.46644106</v>
      </c>
      <c r="U87" s="542">
        <v>2.9143616400000001</v>
      </c>
      <c r="V87" s="542" t="s">
        <v>695</v>
      </c>
    </row>
    <row r="88" spans="1:22" ht="14" thickBot="1">
      <c r="A88" s="540">
        <v>1555</v>
      </c>
      <c r="B88" s="541" t="s">
        <v>631</v>
      </c>
      <c r="C88" s="534">
        <v>421529.92</v>
      </c>
      <c r="D88" s="535">
        <v>1285.7059852</v>
      </c>
      <c r="E88" s="536">
        <v>1235.6295252100001</v>
      </c>
      <c r="F88" s="535">
        <v>-383.35309588000001</v>
      </c>
      <c r="G88" s="537">
        <v>-909.43270617658652</v>
      </c>
      <c r="H88" s="538">
        <v>-0.29816544396063221</v>
      </c>
      <c r="I88" s="428">
        <v>1587.48158375</v>
      </c>
      <c r="J88" s="429">
        <v>3765.9997747016396</v>
      </c>
      <c r="K88" s="430">
        <v>5.5756124049689409E-2</v>
      </c>
      <c r="L88" s="537">
        <v>170.80782873672777</v>
      </c>
      <c r="M88" s="429">
        <v>-7.4207270980906888</v>
      </c>
      <c r="N88" s="535">
        <v>473.22915276999998</v>
      </c>
      <c r="O88" s="429">
        <v>1122.6466504916189</v>
      </c>
      <c r="P88" s="535">
        <v>251.35314686000001</v>
      </c>
      <c r="Q88" s="537">
        <v>596.28779579869445</v>
      </c>
      <c r="R88" s="538">
        <v>0.20342112399530238</v>
      </c>
      <c r="S88" s="539" t="s">
        <v>1646</v>
      </c>
      <c r="T88" s="542">
        <v>185.3444287815</v>
      </c>
      <c r="U88" s="542">
        <v>66.00871807850001</v>
      </c>
      <c r="V88" s="542" t="s">
        <v>695</v>
      </c>
    </row>
    <row r="89" spans="1:22" ht="14" thickBot="1">
      <c r="A89" s="540">
        <v>1560</v>
      </c>
      <c r="B89" s="541" t="s">
        <v>632</v>
      </c>
      <c r="C89" s="534">
        <v>76937</v>
      </c>
      <c r="D89" s="535">
        <v>140.17265863999998</v>
      </c>
      <c r="E89" s="536">
        <v>141.49880429000001</v>
      </c>
      <c r="F89" s="535">
        <v>30.920505999999996</v>
      </c>
      <c r="G89" s="537">
        <v>401.8938352158259</v>
      </c>
      <c r="H89" s="538">
        <v>0.22058871038047395</v>
      </c>
      <c r="I89" s="428">
        <v>83.069483580000011</v>
      </c>
      <c r="J89" s="429">
        <v>1079.7078594174454</v>
      </c>
      <c r="K89" s="430">
        <v>8.2231042243867819E-2</v>
      </c>
      <c r="L89" s="537">
        <v>132.84098485445048</v>
      </c>
      <c r="M89" s="429">
        <v>222.05539480354057</v>
      </c>
      <c r="N89" s="535">
        <v>26.924272500000001</v>
      </c>
      <c r="O89" s="429">
        <v>349.95220115159157</v>
      </c>
      <c r="P89" s="535">
        <v>59.515852680000002</v>
      </c>
      <c r="Q89" s="537">
        <v>773.56606938144193</v>
      </c>
      <c r="R89" s="538">
        <v>0.42061028698181091</v>
      </c>
      <c r="S89" s="539">
        <v>9.4338981000000022</v>
      </c>
      <c r="T89" s="542">
        <v>28.299760858000006</v>
      </c>
      <c r="U89" s="542">
        <v>31.216091821999996</v>
      </c>
      <c r="V89" s="542" t="s">
        <v>695</v>
      </c>
    </row>
    <row r="90" spans="1:22" ht="14" thickBot="1">
      <c r="A90" s="540">
        <v>1562</v>
      </c>
      <c r="B90" s="541" t="s">
        <v>633</v>
      </c>
      <c r="C90" s="534">
        <v>880983.91</v>
      </c>
      <c r="D90" s="535">
        <v>2467.4675478099998</v>
      </c>
      <c r="E90" s="536">
        <v>2467.8492470799997</v>
      </c>
      <c r="F90" s="535">
        <v>-476.10921952999996</v>
      </c>
      <c r="G90" s="537">
        <v>-540.428961443802</v>
      </c>
      <c r="H90" s="538">
        <v>-0.19295460236247913</v>
      </c>
      <c r="I90" s="428">
        <v>2804.1567028699997</v>
      </c>
      <c r="J90" s="429">
        <v>3182.9828797554314</v>
      </c>
      <c r="K90" s="430">
        <v>4.2863773039172791E-2</v>
      </c>
      <c r="L90" s="537">
        <v>119.65087520425418</v>
      </c>
      <c r="M90" s="429">
        <v>18.223696764223565</v>
      </c>
      <c r="N90" s="535">
        <v>678.83</v>
      </c>
      <c r="O90" s="429">
        <v>770.53620650120615</v>
      </c>
      <c r="P90" s="535">
        <v>279.45615663999996</v>
      </c>
      <c r="Q90" s="537">
        <v>317.20914930217049</v>
      </c>
      <c r="R90" s="538">
        <v>0.11323874704691024</v>
      </c>
      <c r="S90" s="539" t="s">
        <v>1646</v>
      </c>
      <c r="T90" s="542">
        <v>370.17738706199998</v>
      </c>
      <c r="U90" s="542" t="s">
        <v>695</v>
      </c>
      <c r="V90" s="542">
        <v>-90.721230422000019</v>
      </c>
    </row>
    <row r="91" spans="1:22" ht="14" thickBot="1">
      <c r="A91" s="540">
        <v>1563</v>
      </c>
      <c r="B91" s="541" t="s">
        <v>634</v>
      </c>
      <c r="C91" s="534">
        <v>43390</v>
      </c>
      <c r="D91" s="535">
        <v>101.78708077000002</v>
      </c>
      <c r="E91" s="536">
        <v>101.03821640000001</v>
      </c>
      <c r="F91" s="535">
        <v>2.7427229999999998</v>
      </c>
      <c r="G91" s="537">
        <v>63.210947222862409</v>
      </c>
      <c r="H91" s="538">
        <v>2.6945688777513011E-2</v>
      </c>
      <c r="I91" s="428">
        <v>91.190053300000017</v>
      </c>
      <c r="J91" s="429">
        <v>2101.637550126758</v>
      </c>
      <c r="K91" s="430">
        <v>7.8088249687757794E-2</v>
      </c>
      <c r="L91" s="537">
        <v>183.79842188297528</v>
      </c>
      <c r="M91" s="429">
        <v>7.7607628485826226</v>
      </c>
      <c r="N91" s="535">
        <v>23.710999999999999</v>
      </c>
      <c r="O91" s="429">
        <v>546.46231850656829</v>
      </c>
      <c r="P91" s="535">
        <v>30.857803739999998</v>
      </c>
      <c r="Q91" s="537">
        <v>711.17316755012666</v>
      </c>
      <c r="R91" s="538">
        <v>0.30540724925148216</v>
      </c>
      <c r="S91" s="539" t="s">
        <v>1646</v>
      </c>
      <c r="T91" s="542">
        <v>20.207643280000003</v>
      </c>
      <c r="U91" s="542">
        <v>10.650160459999995</v>
      </c>
      <c r="V91" s="542" t="s">
        <v>695</v>
      </c>
    </row>
    <row r="92" spans="1:22" ht="14" thickBot="1">
      <c r="A92" s="540">
        <v>1565</v>
      </c>
      <c r="B92" s="541" t="s">
        <v>635</v>
      </c>
      <c r="C92" s="534">
        <v>8441</v>
      </c>
      <c r="D92" s="535">
        <v>19.546633090000004</v>
      </c>
      <c r="E92" s="536">
        <v>19.564564440000002</v>
      </c>
      <c r="F92" s="535">
        <v>11.040702</v>
      </c>
      <c r="G92" s="537">
        <v>1307.9850728586659</v>
      </c>
      <c r="H92" s="538">
        <v>0.56483906712549836</v>
      </c>
      <c r="I92" s="428">
        <v>7.8474193100000003</v>
      </c>
      <c r="J92" s="429">
        <v>929.67886624807488</v>
      </c>
      <c r="K92" s="430">
        <v>4.0060648871223507E-2</v>
      </c>
      <c r="L92" s="537">
        <v>98.083610010191364</v>
      </c>
      <c r="M92" s="429">
        <v>-245.82309442009242</v>
      </c>
      <c r="N92" s="535">
        <v>2.5659999999999998</v>
      </c>
      <c r="O92" s="429">
        <v>303.99241795995732</v>
      </c>
      <c r="P92" s="535">
        <v>3.7797048100000001</v>
      </c>
      <c r="Q92" s="537">
        <v>447.77926904395213</v>
      </c>
      <c r="R92" s="538">
        <v>0.19319135989924444</v>
      </c>
      <c r="S92" s="539" t="s">
        <v>1646</v>
      </c>
      <c r="T92" s="542">
        <v>3.9129128880000001</v>
      </c>
      <c r="U92" s="542" t="s">
        <v>695</v>
      </c>
      <c r="V92" s="542">
        <v>-0.13320807800000001</v>
      </c>
    </row>
    <row r="93" spans="1:22" ht="14" thickBot="1">
      <c r="A93" s="540">
        <v>1566</v>
      </c>
      <c r="B93" s="541" t="s">
        <v>636</v>
      </c>
      <c r="C93" s="534">
        <v>87323.66</v>
      </c>
      <c r="D93" s="535">
        <v>153.52453212</v>
      </c>
      <c r="E93" s="536">
        <v>153.43272345</v>
      </c>
      <c r="F93" s="535">
        <v>56.71042700000001</v>
      </c>
      <c r="G93" s="537">
        <v>649.42796717407407</v>
      </c>
      <c r="H93" s="538">
        <v>0.36939000052234783</v>
      </c>
      <c r="I93" s="428">
        <v>80.47526019</v>
      </c>
      <c r="J93" s="429">
        <v>921.57452161304275</v>
      </c>
      <c r="K93" s="430">
        <v>4.4477670230540861E-2</v>
      </c>
      <c r="L93" s="537">
        <v>75.567695014532134</v>
      </c>
      <c r="M93" s="429">
        <v>10.906139298329913</v>
      </c>
      <c r="N93" s="535">
        <v>22.3</v>
      </c>
      <c r="O93" s="429">
        <v>255.37179728838669</v>
      </c>
      <c r="P93" s="535">
        <v>15.430955900000001</v>
      </c>
      <c r="Q93" s="537">
        <v>176.7099077157325</v>
      </c>
      <c r="R93" s="538">
        <v>0.10057147884120415</v>
      </c>
      <c r="S93" s="539" t="s">
        <v>1646</v>
      </c>
      <c r="T93" s="542">
        <v>30.686544689999998</v>
      </c>
      <c r="U93" s="542" t="s">
        <v>695</v>
      </c>
      <c r="V93" s="542">
        <v>-15.255588789999997</v>
      </c>
    </row>
    <row r="94" spans="1:22" ht="14" thickBot="1">
      <c r="A94" s="540">
        <v>1568</v>
      </c>
      <c r="B94" s="541" t="s">
        <v>125</v>
      </c>
      <c r="C94" s="534">
        <v>1773.08</v>
      </c>
      <c r="D94" s="535">
        <v>3.6857868499999999</v>
      </c>
      <c r="E94" s="536">
        <v>3.6811525999999999</v>
      </c>
      <c r="F94" s="535">
        <v>3.5069990000000004</v>
      </c>
      <c r="G94" s="537">
        <v>1977.9135741196114</v>
      </c>
      <c r="H94" s="538">
        <v>0.9514926236171255</v>
      </c>
      <c r="I94" s="428">
        <v>1.2939577099999999</v>
      </c>
      <c r="J94" s="429">
        <v>729.77965461231304</v>
      </c>
      <c r="K94" s="430">
        <v>9.8220057151670689E-2</v>
      </c>
      <c r="L94" s="537">
        <v>332.369651416122</v>
      </c>
      <c r="M94" s="429">
        <v>-1425.2633214519369</v>
      </c>
      <c r="N94" s="535">
        <v>0.8</v>
      </c>
      <c r="O94" s="429">
        <v>451.19227558824196</v>
      </c>
      <c r="P94" s="535">
        <v>3.2607154699999996</v>
      </c>
      <c r="Q94" s="537">
        <v>1839.0120411938547</v>
      </c>
      <c r="R94" s="538">
        <v>0.88578655228799785</v>
      </c>
      <c r="S94" s="539" t="s">
        <v>1646</v>
      </c>
      <c r="T94" s="542">
        <v>0.73623052</v>
      </c>
      <c r="U94" s="542">
        <v>2.5244849499999997</v>
      </c>
      <c r="V94" s="542" t="s">
        <v>695</v>
      </c>
    </row>
    <row r="95" spans="1:22" ht="14" thickBot="1">
      <c r="A95" s="540">
        <v>1569</v>
      </c>
      <c r="B95" s="541" t="s">
        <v>126</v>
      </c>
      <c r="C95" s="534">
        <v>12263.34</v>
      </c>
      <c r="D95" s="535">
        <v>32.029102480000006</v>
      </c>
      <c r="E95" s="536">
        <v>32.67743205</v>
      </c>
      <c r="F95" s="535">
        <v>3.6709939999999999</v>
      </c>
      <c r="G95" s="537">
        <v>299.34699682142059</v>
      </c>
      <c r="H95" s="538">
        <v>0.11461432621448839</v>
      </c>
      <c r="I95" s="428">
        <v>18.313834950000004</v>
      </c>
      <c r="J95" s="429">
        <v>1493.3806736174652</v>
      </c>
      <c r="K95" s="430">
        <v>7.0701273632594333E-2</v>
      </c>
      <c r="L95" s="537">
        <v>180.95803281312527</v>
      </c>
      <c r="M95" s="429">
        <v>3.9533854561644675</v>
      </c>
      <c r="N95" s="535">
        <v>7.7</v>
      </c>
      <c r="O95" s="429">
        <v>627.88767171096947</v>
      </c>
      <c r="P95" s="535">
        <v>9.0484817100000008</v>
      </c>
      <c r="Q95" s="537">
        <v>737.84806667677822</v>
      </c>
      <c r="R95" s="538">
        <v>0.27690308394352553</v>
      </c>
      <c r="S95" s="539" t="s">
        <v>1646</v>
      </c>
      <c r="T95" s="542">
        <v>6.5354864099999999</v>
      </c>
      <c r="U95" s="542">
        <v>2.5129953000000009</v>
      </c>
      <c r="V95" s="542" t="s">
        <v>695</v>
      </c>
    </row>
    <row r="96" spans="1:22" ht="14" thickBot="1">
      <c r="A96" s="540"/>
      <c r="B96" s="541"/>
      <c r="C96" s="534"/>
      <c r="D96" s="535"/>
      <c r="E96" s="536"/>
      <c r="F96" s="535"/>
      <c r="G96" s="537"/>
      <c r="H96" s="538"/>
      <c r="I96" s="428"/>
      <c r="J96" s="429"/>
      <c r="K96" s="430"/>
      <c r="L96" s="537"/>
      <c r="M96" s="429"/>
      <c r="N96" s="535"/>
      <c r="O96" s="429"/>
      <c r="P96" s="535"/>
      <c r="Q96" s="537"/>
      <c r="R96" s="538"/>
      <c r="S96" s="539"/>
      <c r="T96" s="542"/>
      <c r="U96" s="542"/>
      <c r="V96" s="542"/>
    </row>
    <row r="97" spans="1:22" ht="14" thickBot="1">
      <c r="A97" s="540"/>
      <c r="B97" s="541"/>
      <c r="C97" s="534"/>
      <c r="D97" s="535"/>
      <c r="E97" s="536"/>
      <c r="F97" s="535"/>
      <c r="G97" s="537"/>
      <c r="H97" s="538"/>
      <c r="I97" s="428"/>
      <c r="J97" s="429"/>
      <c r="K97" s="430"/>
      <c r="L97" s="537"/>
      <c r="M97" s="429"/>
      <c r="N97" s="535"/>
      <c r="O97" s="429"/>
      <c r="P97" s="535"/>
      <c r="Q97" s="537"/>
      <c r="R97" s="538"/>
      <c r="S97" s="539"/>
      <c r="T97" s="542"/>
      <c r="U97" s="542"/>
      <c r="V97" s="542"/>
    </row>
    <row r="98" spans="1:22" ht="14" thickBot="1">
      <c r="A98" s="540"/>
      <c r="B98" s="541"/>
      <c r="C98" s="534"/>
      <c r="D98" s="535"/>
      <c r="E98" s="536"/>
      <c r="F98" s="535"/>
      <c r="G98" s="537"/>
      <c r="H98" s="538"/>
      <c r="I98" s="428"/>
      <c r="J98" s="429"/>
      <c r="K98" s="430"/>
      <c r="L98" s="537"/>
      <c r="M98" s="429"/>
      <c r="N98" s="535"/>
      <c r="O98" s="429"/>
      <c r="P98" s="535"/>
      <c r="Q98" s="537"/>
      <c r="R98" s="538"/>
      <c r="S98" s="539"/>
      <c r="T98" s="542"/>
      <c r="U98" s="542"/>
      <c r="V98" s="542"/>
    </row>
    <row r="99" spans="1:22" ht="14" thickBot="1">
      <c r="A99" s="540"/>
      <c r="B99" s="541"/>
      <c r="C99" s="534"/>
      <c r="D99" s="535"/>
      <c r="E99" s="536"/>
      <c r="F99" s="535"/>
      <c r="G99" s="537"/>
      <c r="H99" s="538"/>
      <c r="I99" s="428"/>
      <c r="J99" s="429"/>
      <c r="K99" s="430"/>
      <c r="L99" s="537"/>
      <c r="M99" s="429"/>
      <c r="N99" s="535"/>
      <c r="O99" s="429"/>
      <c r="P99" s="535"/>
      <c r="Q99" s="537"/>
      <c r="R99" s="538"/>
      <c r="S99" s="539"/>
      <c r="T99" s="542"/>
      <c r="U99" s="542"/>
      <c r="V99" s="542"/>
    </row>
    <row r="100" spans="1:22" ht="14" thickBot="1">
      <c r="A100" s="540"/>
      <c r="B100" s="541"/>
      <c r="C100" s="534"/>
      <c r="D100" s="535"/>
      <c r="E100" s="536"/>
      <c r="F100" s="535"/>
      <c r="G100" s="537"/>
      <c r="H100" s="538"/>
      <c r="I100" s="428"/>
      <c r="J100" s="429"/>
      <c r="K100" s="430"/>
      <c r="L100" s="537"/>
      <c r="M100" s="429"/>
      <c r="N100" s="535"/>
      <c r="O100" s="429"/>
      <c r="P100" s="535"/>
      <c r="Q100" s="537"/>
      <c r="R100" s="538"/>
      <c r="S100" s="539"/>
      <c r="T100" s="542"/>
      <c r="U100" s="542"/>
      <c r="V100" s="542"/>
    </row>
    <row r="101" spans="1:22" ht="14" thickBot="1">
      <c r="A101" s="540"/>
      <c r="B101" s="541"/>
      <c r="C101" s="534"/>
      <c r="D101" s="535"/>
      <c r="E101" s="536"/>
      <c r="F101" s="535"/>
      <c r="G101" s="537"/>
      <c r="H101" s="538"/>
      <c r="I101" s="428"/>
      <c r="J101" s="429"/>
      <c r="K101" s="430"/>
      <c r="L101" s="537"/>
      <c r="M101" s="429"/>
      <c r="N101" s="535"/>
      <c r="O101" s="429"/>
      <c r="P101" s="535"/>
      <c r="Q101" s="537"/>
      <c r="R101" s="538"/>
      <c r="S101" s="539"/>
      <c r="T101" s="542"/>
      <c r="U101" s="542"/>
      <c r="V101" s="542"/>
    </row>
    <row r="102" spans="1:22" ht="14" thickBot="1">
      <c r="A102" s="540"/>
      <c r="B102" s="541"/>
      <c r="C102" s="534"/>
      <c r="D102" s="535"/>
      <c r="E102" s="536"/>
      <c r="F102" s="535"/>
      <c r="G102" s="537"/>
      <c r="H102" s="538"/>
      <c r="I102" s="428"/>
      <c r="J102" s="429"/>
      <c r="K102" s="430"/>
      <c r="L102" s="537"/>
      <c r="M102" s="429"/>
      <c r="N102" s="535"/>
      <c r="O102" s="429"/>
      <c r="P102" s="535"/>
      <c r="Q102" s="537"/>
      <c r="R102" s="538"/>
      <c r="S102" s="539"/>
      <c r="T102" s="542"/>
      <c r="U102" s="542"/>
      <c r="V102" s="542"/>
    </row>
    <row r="103" spans="1:22" s="163" customFormat="1" ht="17.25" customHeight="1" thickBot="1">
      <c r="A103" s="546" t="s">
        <v>43</v>
      </c>
      <c r="B103" s="547">
        <v>85</v>
      </c>
      <c r="C103" s="548">
        <v>7458475</v>
      </c>
      <c r="D103" s="549">
        <v>18682.674039670001</v>
      </c>
      <c r="E103" s="550">
        <v>18496.419617079999</v>
      </c>
      <c r="F103" s="549">
        <v>-8.4651255299999235</v>
      </c>
      <c r="G103" s="551">
        <v>-1.1349673398382274</v>
      </c>
      <c r="H103" s="552">
        <v>-4.5310031701165657E-4</v>
      </c>
      <c r="I103" s="553">
        <v>17352.720037080006</v>
      </c>
      <c r="J103" s="554">
        <v>2326.5774889746235</v>
      </c>
      <c r="K103" s="555">
        <v>5.3974609336098676E-2</v>
      </c>
      <c r="L103" s="551">
        <v>133.96001901729244</v>
      </c>
      <c r="M103" s="554">
        <v>22.983877251046707</v>
      </c>
      <c r="N103" s="549">
        <v>4710.40631846</v>
      </c>
      <c r="O103" s="554">
        <v>631.55086240283697</v>
      </c>
      <c r="P103" s="549">
        <v>3184.4883299200001</v>
      </c>
      <c r="Q103" s="551">
        <v>426.96239243545097</v>
      </c>
      <c r="R103" s="556">
        <v>0.17216782468426339</v>
      </c>
      <c r="S103" s="557">
        <v>1932.4818159700001</v>
      </c>
      <c r="T103" s="549">
        <v>2996.1819601694997</v>
      </c>
      <c r="U103" s="549">
        <v>477.50717418750008</v>
      </c>
      <c r="V103" s="549">
        <v>-289.20080443700004</v>
      </c>
    </row>
    <row r="104" spans="1:22" ht="15.75" customHeight="1" thickBot="1">
      <c r="A104" s="62" t="s">
        <v>596</v>
      </c>
      <c r="C104" s="558"/>
      <c r="D104" s="559"/>
      <c r="E104" s="559"/>
      <c r="F104" s="559"/>
      <c r="G104" s="559"/>
      <c r="H104" s="560"/>
      <c r="I104" s="559"/>
      <c r="J104" s="561"/>
      <c r="K104" s="562"/>
      <c r="L104" s="563"/>
      <c r="M104" s="563"/>
      <c r="N104" s="559"/>
      <c r="O104" s="563"/>
      <c r="P104" s="559"/>
      <c r="Q104" s="563"/>
      <c r="R104" s="560"/>
    </row>
    <row r="106" spans="1:22">
      <c r="A106" s="20" t="s">
        <v>940</v>
      </c>
    </row>
    <row r="108" spans="1:22" ht="7.5" customHeight="1"/>
    <row r="109" spans="1:22" ht="24.75" customHeight="1">
      <c r="A109" s="1617" t="s">
        <v>128</v>
      </c>
      <c r="B109" s="1609"/>
    </row>
  </sheetData>
  <mergeCells count="2">
    <mergeCell ref="A109:B109"/>
    <mergeCell ref="A2:B2"/>
  </mergeCells>
  <phoneticPr fontId="0" type="noConversion"/>
  <pageMargins left="0.47" right="0.38" top="0.5" bottom="0.4" header="0.28000000000000003" footer="0.21"/>
  <pageSetup paperSize="9" scale="50" fitToHeight="2" pageOrder="overThenDown" orientation="portrait"/>
  <headerFooter alignWithMargins="0">
    <oddFooter>&amp;R&amp;P/&amp;N</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43FE0-9069-F141-B5D2-DBBF83460AED}">
  <sheetPr>
    <pageSetUpPr fitToPage="1"/>
  </sheetPr>
  <dimension ref="A1:K76"/>
  <sheetViews>
    <sheetView topLeftCell="A32" zoomScale="75" workbookViewId="0">
      <selection activeCell="I38" sqref="I38"/>
    </sheetView>
  </sheetViews>
  <sheetFormatPr baseColWidth="10" defaultColWidth="11.3984375" defaultRowHeight="13"/>
  <cols>
    <col min="1" max="1" width="16.796875" style="76" customWidth="1"/>
    <col min="2" max="2" width="11.796875" style="2" customWidth="1"/>
    <col min="3" max="3" width="12.796875" style="21" customWidth="1"/>
    <col min="4" max="4" width="12.19921875" style="2" customWidth="1"/>
    <col min="5" max="5" width="12.3984375" style="21" customWidth="1"/>
    <col min="6" max="6" width="13.19921875" style="2" customWidth="1"/>
    <col min="7" max="7" width="11.19921875" style="21" customWidth="1"/>
    <col min="8" max="8" width="11.3984375" style="2"/>
    <col min="9" max="9" width="11.796875" style="2" customWidth="1"/>
    <col min="10" max="10" width="8.3984375" style="2" customWidth="1"/>
    <col min="11" max="16384" width="11.3984375" style="2"/>
  </cols>
  <sheetData>
    <row r="1" spans="1:11" s="1" customFormat="1" ht="21" customHeight="1">
      <c r="A1" s="1620" t="s">
        <v>83</v>
      </c>
      <c r="B1" s="1621"/>
      <c r="C1" s="1621"/>
      <c r="D1" s="1621"/>
      <c r="E1" s="1621"/>
      <c r="F1" s="1621"/>
      <c r="G1" s="1621"/>
      <c r="H1" s="1621"/>
      <c r="I1" s="69"/>
      <c r="J1" s="70">
        <v>2005</v>
      </c>
    </row>
    <row r="2" spans="1:11" s="1" customFormat="1" ht="21.75" customHeight="1">
      <c r="A2" s="71"/>
      <c r="B2"/>
      <c r="C2"/>
      <c r="D2"/>
      <c r="E2"/>
      <c r="F2"/>
      <c r="G2"/>
      <c r="H2"/>
      <c r="I2"/>
      <c r="J2"/>
    </row>
    <row r="3" spans="1:11" ht="14.25" customHeight="1">
      <c r="A3" s="72" t="s">
        <v>62</v>
      </c>
      <c r="B3"/>
      <c r="C3"/>
      <c r="D3"/>
      <c r="E3"/>
      <c r="F3"/>
      <c r="G3"/>
      <c r="H3"/>
      <c r="I3"/>
      <c r="J3"/>
    </row>
    <row r="4" spans="1:11" ht="15" customHeight="1">
      <c r="A4" s="73" t="s">
        <v>1585</v>
      </c>
      <c r="B4"/>
      <c r="C4"/>
      <c r="D4"/>
      <c r="E4"/>
      <c r="F4"/>
      <c r="G4"/>
      <c r="H4"/>
      <c r="I4"/>
      <c r="J4"/>
    </row>
    <row r="5" spans="1:11" ht="15" customHeight="1">
      <c r="A5" s="73"/>
      <c r="B5"/>
      <c r="C5"/>
      <c r="D5"/>
      <c r="E5"/>
      <c r="F5"/>
      <c r="G5"/>
      <c r="H5"/>
      <c r="I5"/>
      <c r="J5"/>
    </row>
    <row r="6" spans="1:11" ht="16.5" customHeight="1">
      <c r="A6" s="72" t="s">
        <v>63</v>
      </c>
      <c r="B6"/>
      <c r="C6"/>
      <c r="D6"/>
      <c r="E6"/>
      <c r="F6"/>
      <c r="G6"/>
      <c r="H6"/>
      <c r="I6"/>
      <c r="J6"/>
    </row>
    <row r="7" spans="1:11" ht="30" customHeight="1">
      <c r="A7" s="1619" t="s">
        <v>64</v>
      </c>
      <c r="B7" s="1609"/>
      <c r="C7" s="1609"/>
      <c r="D7" s="1609"/>
      <c r="E7" s="1609"/>
      <c r="F7" s="1609"/>
      <c r="G7" s="1609"/>
      <c r="H7" s="1609"/>
      <c r="I7" s="1609"/>
      <c r="J7" s="1609"/>
    </row>
    <row r="8" spans="1:11" ht="13.5" customHeight="1">
      <c r="A8" s="73"/>
      <c r="B8"/>
      <c r="C8"/>
      <c r="D8"/>
      <c r="E8"/>
      <c r="F8"/>
      <c r="G8"/>
      <c r="H8"/>
      <c r="I8"/>
      <c r="J8"/>
    </row>
    <row r="9" spans="1:11" ht="15.75" customHeight="1">
      <c r="A9" s="72" t="s">
        <v>65</v>
      </c>
      <c r="B9"/>
      <c r="C9"/>
      <c r="D9"/>
      <c r="E9"/>
      <c r="F9"/>
      <c r="G9"/>
      <c r="H9"/>
      <c r="I9"/>
      <c r="J9"/>
      <c r="K9" s="10"/>
    </row>
    <row r="10" spans="1:11" ht="14.25" customHeight="1">
      <c r="A10" s="73" t="s">
        <v>66</v>
      </c>
      <c r="B10"/>
      <c r="C10"/>
      <c r="D10"/>
      <c r="E10"/>
      <c r="F10"/>
      <c r="G10"/>
      <c r="H10"/>
      <c r="I10"/>
      <c r="J10"/>
    </row>
    <row r="11" spans="1:11" ht="13.5" customHeight="1">
      <c r="A11" s="73"/>
      <c r="B11"/>
      <c r="C11"/>
      <c r="D11"/>
      <c r="E11"/>
      <c r="F11"/>
      <c r="G11"/>
      <c r="H11"/>
      <c r="I11"/>
      <c r="J11"/>
    </row>
    <row r="12" spans="1:11" ht="20" customHeight="1">
      <c r="A12" s="72" t="s">
        <v>1586</v>
      </c>
      <c r="B12"/>
      <c r="C12"/>
      <c r="D12"/>
      <c r="E12"/>
      <c r="F12"/>
      <c r="G12"/>
      <c r="H12"/>
      <c r="I12"/>
      <c r="J12"/>
    </row>
    <row r="13" spans="1:11" ht="19.5" customHeight="1">
      <c r="A13" s="1619" t="s">
        <v>103</v>
      </c>
      <c r="B13" s="1609"/>
      <c r="C13" s="1609"/>
      <c r="D13" s="1609"/>
      <c r="E13" s="1609"/>
      <c r="F13" s="1609"/>
      <c r="G13" s="1609"/>
      <c r="H13" s="1609"/>
      <c r="I13" s="1609"/>
      <c r="J13" s="1609"/>
    </row>
    <row r="14" spans="1:11" ht="12.75" customHeight="1">
      <c r="A14" s="1619" t="s">
        <v>1549</v>
      </c>
      <c r="B14" s="1609"/>
      <c r="C14" s="1609"/>
      <c r="D14" s="1609"/>
      <c r="E14" s="1609"/>
      <c r="F14" s="1609"/>
      <c r="G14" s="1609"/>
      <c r="H14" s="1609"/>
      <c r="I14" s="1609"/>
      <c r="J14" s="1609"/>
    </row>
    <row r="15" spans="1:11" ht="30.75" customHeight="1">
      <c r="A15" s="1619" t="s">
        <v>1648</v>
      </c>
      <c r="B15" s="1609"/>
      <c r="C15" s="1609"/>
      <c r="D15" s="1609"/>
      <c r="E15" s="1609"/>
      <c r="F15" s="1609"/>
      <c r="G15" s="1609"/>
      <c r="H15" s="1609"/>
      <c r="I15" s="1609"/>
      <c r="J15" s="1609"/>
    </row>
    <row r="16" spans="1:11" ht="20" customHeight="1">
      <c r="A16" s="73"/>
      <c r="B16"/>
      <c r="C16"/>
      <c r="D16"/>
      <c r="E16"/>
      <c r="F16"/>
      <c r="G16"/>
      <c r="H16"/>
      <c r="I16"/>
      <c r="J16"/>
    </row>
    <row r="17" spans="1:10" ht="17.25" customHeight="1">
      <c r="A17" s="72" t="s">
        <v>1587</v>
      </c>
      <c r="B17"/>
      <c r="C17"/>
      <c r="D17"/>
      <c r="E17"/>
      <c r="F17"/>
      <c r="G17"/>
      <c r="H17"/>
      <c r="I17"/>
      <c r="J17"/>
    </row>
    <row r="18" spans="1:10" ht="28.5" customHeight="1">
      <c r="A18" s="1619" t="s">
        <v>67</v>
      </c>
      <c r="B18" s="1609"/>
      <c r="C18" s="1609"/>
      <c r="D18" s="1609"/>
      <c r="E18" s="1609"/>
      <c r="F18" s="1609"/>
      <c r="G18" s="1609"/>
      <c r="H18" s="1609"/>
      <c r="I18" s="1609"/>
      <c r="J18" s="1609"/>
    </row>
    <row r="19" spans="1:10" ht="15.75" customHeight="1">
      <c r="A19" s="73"/>
      <c r="B19"/>
      <c r="C19"/>
      <c r="D19"/>
      <c r="E19"/>
      <c r="F19"/>
      <c r="G19"/>
      <c r="H19"/>
      <c r="I19"/>
      <c r="J19"/>
    </row>
    <row r="20" spans="1:10" ht="15.75" customHeight="1">
      <c r="A20" s="72" t="s">
        <v>68</v>
      </c>
      <c r="B20"/>
      <c r="C20"/>
      <c r="D20"/>
      <c r="E20"/>
      <c r="F20"/>
      <c r="G20"/>
      <c r="H20"/>
      <c r="I20"/>
      <c r="J20"/>
    </row>
    <row r="21" spans="1:10" ht="36" customHeight="1">
      <c r="A21" s="1619" t="s">
        <v>69</v>
      </c>
      <c r="B21" s="1609"/>
      <c r="C21" s="1609"/>
      <c r="D21" s="1609"/>
      <c r="E21" s="1609"/>
      <c r="F21" s="1609"/>
      <c r="G21" s="1609"/>
      <c r="H21" s="1609"/>
      <c r="I21" s="1609"/>
      <c r="J21" s="1609"/>
    </row>
    <row r="22" spans="1:10" ht="12.75" customHeight="1">
      <c r="A22" s="73"/>
      <c r="B22"/>
      <c r="C22"/>
      <c r="D22"/>
      <c r="E22"/>
      <c r="F22"/>
      <c r="G22"/>
      <c r="H22"/>
      <c r="I22"/>
      <c r="J22"/>
    </row>
    <row r="23" spans="1:10">
      <c r="A23" s="72" t="s">
        <v>70</v>
      </c>
      <c r="B23"/>
      <c r="C23"/>
      <c r="D23"/>
      <c r="E23"/>
      <c r="F23"/>
      <c r="G23"/>
      <c r="H23"/>
      <c r="I23"/>
      <c r="J23"/>
    </row>
    <row r="24" spans="1:10" ht="30.75" customHeight="1">
      <c r="A24" s="1619" t="s">
        <v>71</v>
      </c>
      <c r="B24" s="1609"/>
      <c r="C24" s="1609"/>
      <c r="D24" s="1609"/>
      <c r="E24" s="1609"/>
      <c r="F24" s="1609"/>
      <c r="G24" s="1609"/>
      <c r="H24" s="1609"/>
      <c r="I24" s="1609"/>
      <c r="J24" s="1609"/>
    </row>
    <row r="25" spans="1:10" ht="12.75" customHeight="1">
      <c r="A25" s="73"/>
      <c r="B25"/>
      <c r="C25"/>
      <c r="D25"/>
      <c r="E25"/>
      <c r="F25"/>
      <c r="G25"/>
      <c r="H25"/>
      <c r="I25"/>
      <c r="J25"/>
    </row>
    <row r="26" spans="1:10">
      <c r="A26" s="72" t="s">
        <v>1588</v>
      </c>
      <c r="B26"/>
      <c r="C26"/>
      <c r="D26"/>
      <c r="E26"/>
      <c r="F26"/>
      <c r="G26"/>
      <c r="H26"/>
      <c r="I26"/>
      <c r="J26"/>
    </row>
    <row r="27" spans="1:10" ht="33" customHeight="1">
      <c r="A27" s="1619" t="s">
        <v>101</v>
      </c>
      <c r="B27" s="1609"/>
      <c r="C27" s="1609"/>
      <c r="D27" s="1609"/>
      <c r="E27" s="1609"/>
      <c r="F27" s="1609"/>
      <c r="G27" s="1609"/>
      <c r="H27" s="1609"/>
      <c r="I27" s="1609"/>
      <c r="J27" s="1609"/>
    </row>
    <row r="28" spans="1:10" ht="12" customHeight="1">
      <c r="A28" s="1619" t="s">
        <v>102</v>
      </c>
      <c r="B28" s="1609"/>
      <c r="C28" s="1609"/>
      <c r="D28" s="1609"/>
      <c r="E28" s="1609"/>
      <c r="F28" s="1609"/>
      <c r="G28" s="1609"/>
      <c r="H28" s="1609"/>
      <c r="I28" s="1609"/>
      <c r="J28" s="1609"/>
    </row>
    <row r="29" spans="1:10" ht="12.75" customHeight="1">
      <c r="A29" s="73"/>
      <c r="B29"/>
      <c r="C29"/>
      <c r="D29"/>
      <c r="E29"/>
      <c r="F29"/>
      <c r="G29"/>
      <c r="H29"/>
      <c r="I29"/>
      <c r="J29"/>
    </row>
    <row r="30" spans="1:10">
      <c r="A30" s="72" t="s">
        <v>1589</v>
      </c>
      <c r="B30"/>
      <c r="C30"/>
      <c r="D30"/>
      <c r="E30"/>
      <c r="F30"/>
      <c r="G30"/>
      <c r="H30"/>
      <c r="I30"/>
      <c r="J30"/>
    </row>
    <row r="31" spans="1:10" ht="16.5" customHeight="1">
      <c r="A31" s="1619" t="s">
        <v>1550</v>
      </c>
      <c r="B31" s="1609"/>
      <c r="C31" s="1609"/>
      <c r="D31" s="1609"/>
      <c r="E31" s="1609"/>
      <c r="F31" s="1609"/>
      <c r="G31" s="1609"/>
      <c r="H31" s="1609"/>
      <c r="I31" s="1609"/>
      <c r="J31" s="1609"/>
    </row>
    <row r="32" spans="1:10" ht="15.75" customHeight="1">
      <c r="A32" s="1619" t="s">
        <v>84</v>
      </c>
      <c r="B32" s="1609"/>
      <c r="C32" s="1609"/>
      <c r="D32" s="1609"/>
      <c r="E32" s="1609"/>
      <c r="F32" s="1609"/>
      <c r="G32" s="1609"/>
      <c r="H32" s="1609"/>
      <c r="I32" s="1609"/>
      <c r="J32" s="1609"/>
    </row>
    <row r="33" spans="1:10" ht="12.75" customHeight="1">
      <c r="A33" s="73"/>
      <c r="B33"/>
      <c r="C33"/>
      <c r="D33"/>
      <c r="E33"/>
      <c r="F33"/>
      <c r="G33"/>
      <c r="H33"/>
      <c r="I33"/>
      <c r="J33"/>
    </row>
    <row r="34" spans="1:10" ht="21.75" customHeight="1">
      <c r="A34" s="74" t="s">
        <v>72</v>
      </c>
      <c r="B34" s="102" t="s">
        <v>1590</v>
      </c>
      <c r="C34" s="102" t="s">
        <v>1591</v>
      </c>
      <c r="D34" s="102" t="s">
        <v>1592</v>
      </c>
      <c r="E34" s="2"/>
      <c r="G34" s="2"/>
    </row>
    <row r="35" spans="1:10" ht="30.75" customHeight="1">
      <c r="A35" s="75" t="s">
        <v>86</v>
      </c>
      <c r="B35" s="103" t="s">
        <v>1593</v>
      </c>
      <c r="C35" s="104">
        <v>0.2</v>
      </c>
      <c r="D35" s="104">
        <v>0.15</v>
      </c>
      <c r="E35" s="2"/>
      <c r="G35" s="2"/>
    </row>
    <row r="36" spans="1:10" ht="10.5" customHeight="1">
      <c r="A36" s="73"/>
      <c r="B36"/>
      <c r="C36"/>
      <c r="D36"/>
      <c r="E36"/>
      <c r="F36"/>
      <c r="G36"/>
      <c r="H36"/>
      <c r="I36"/>
      <c r="J36"/>
    </row>
    <row r="37" spans="1:10" ht="15" customHeight="1">
      <c r="A37" s="88" t="s">
        <v>1594</v>
      </c>
      <c r="C37" s="2"/>
      <c r="E37" s="2"/>
      <c r="G37" s="2"/>
    </row>
    <row r="38" spans="1:10" ht="6" customHeight="1">
      <c r="A38" s="88"/>
      <c r="C38" s="2"/>
      <c r="E38" s="2"/>
      <c r="G38" s="2"/>
    </row>
    <row r="39" spans="1:10" ht="15" customHeight="1">
      <c r="A39" s="88" t="s">
        <v>1595</v>
      </c>
      <c r="C39" s="2"/>
      <c r="E39" s="2"/>
      <c r="G39" s="2"/>
    </row>
    <row r="40" spans="1:10" ht="15" customHeight="1">
      <c r="A40" s="88"/>
      <c r="C40" s="2"/>
      <c r="E40" s="2"/>
      <c r="G40" s="2"/>
    </row>
    <row r="41" spans="1:10" ht="17.25" customHeight="1">
      <c r="A41" s="89" t="s">
        <v>690</v>
      </c>
      <c r="C41" s="2"/>
      <c r="E41" s="2"/>
      <c r="G41" s="2"/>
    </row>
    <row r="42" spans="1:10" ht="16.5" customHeight="1">
      <c r="A42" s="88" t="s">
        <v>85</v>
      </c>
      <c r="C42" s="2"/>
      <c r="E42" s="2"/>
      <c r="G42" s="2"/>
    </row>
    <row r="43" spans="1:10" ht="16.5" customHeight="1">
      <c r="A43" s="88"/>
      <c r="C43" s="2"/>
      <c r="E43" s="2"/>
      <c r="G43" s="2"/>
    </row>
    <row r="44" spans="1:10" ht="16.5" customHeight="1">
      <c r="A44" s="89" t="s">
        <v>1596</v>
      </c>
      <c r="C44" s="2"/>
      <c r="E44" s="2"/>
      <c r="G44" s="2"/>
    </row>
    <row r="45" spans="1:10" ht="16.5" customHeight="1">
      <c r="A45" s="88" t="s">
        <v>574</v>
      </c>
      <c r="C45" s="2"/>
      <c r="E45" s="2"/>
      <c r="G45" s="2"/>
    </row>
    <row r="46" spans="1:10" ht="16.5" customHeight="1">
      <c r="A46" s="88" t="s">
        <v>575</v>
      </c>
      <c r="C46" s="2"/>
      <c r="E46" s="2"/>
      <c r="G46" s="2"/>
    </row>
    <row r="47" spans="1:10" ht="20.25" customHeight="1">
      <c r="A47" s="88"/>
      <c r="C47" s="2"/>
      <c r="E47" s="2"/>
      <c r="G47" s="2"/>
    </row>
    <row r="48" spans="1:10" ht="17.25" customHeight="1">
      <c r="B48" s="77" t="s">
        <v>73</v>
      </c>
      <c r="C48" s="2"/>
      <c r="E48" s="2"/>
      <c r="G48" s="2"/>
    </row>
    <row r="49" spans="1:7">
      <c r="A49" s="78">
        <v>0</v>
      </c>
      <c r="B49" s="79" t="s">
        <v>129</v>
      </c>
      <c r="C49" s="4"/>
      <c r="D49" s="4"/>
      <c r="E49" s="4"/>
      <c r="G49" s="2"/>
    </row>
    <row r="50" spans="1:7">
      <c r="A50" s="78">
        <v>1</v>
      </c>
      <c r="B50" s="79" t="s">
        <v>576</v>
      </c>
      <c r="C50" s="4"/>
      <c r="D50" s="4"/>
      <c r="E50" s="4"/>
      <c r="G50" s="2"/>
    </row>
    <row r="51" spans="1:7">
      <c r="A51" s="78">
        <v>2</v>
      </c>
      <c r="B51" s="79" t="s">
        <v>74</v>
      </c>
      <c r="C51" s="4"/>
      <c r="D51" s="4"/>
      <c r="E51" s="4"/>
      <c r="G51" s="2"/>
    </row>
    <row r="52" spans="1:7">
      <c r="A52" s="78">
        <v>3</v>
      </c>
      <c r="B52" s="79" t="s">
        <v>75</v>
      </c>
      <c r="C52" s="4"/>
      <c r="D52" s="4"/>
      <c r="E52" s="4"/>
      <c r="G52" s="2"/>
    </row>
    <row r="53" spans="1:7">
      <c r="A53" s="78" t="s">
        <v>577</v>
      </c>
      <c r="B53" s="79" t="s">
        <v>1953</v>
      </c>
      <c r="C53" s="4"/>
      <c r="D53" s="4"/>
      <c r="E53" s="4"/>
      <c r="G53" s="2"/>
    </row>
    <row r="54" spans="1:7">
      <c r="A54" s="78" t="s">
        <v>1954</v>
      </c>
      <c r="B54" s="79" t="s">
        <v>1955</v>
      </c>
      <c r="C54" s="4"/>
      <c r="D54" s="4"/>
      <c r="E54" s="4"/>
      <c r="G54" s="2"/>
    </row>
    <row r="55" spans="1:7">
      <c r="A55" s="78" t="s">
        <v>1956</v>
      </c>
      <c r="B55" s="79" t="s">
        <v>76</v>
      </c>
      <c r="C55" s="4"/>
      <c r="D55" s="4"/>
      <c r="E55" s="4"/>
      <c r="G55" s="2"/>
    </row>
    <row r="56" spans="1:7">
      <c r="A56" s="78" t="s">
        <v>1957</v>
      </c>
      <c r="B56" s="79" t="s">
        <v>77</v>
      </c>
      <c r="C56" s="4"/>
      <c r="D56" s="4"/>
      <c r="E56" s="4"/>
      <c r="G56" s="2"/>
    </row>
    <row r="57" spans="1:7">
      <c r="A57" s="80" t="s">
        <v>1958</v>
      </c>
      <c r="B57" s="81" t="s">
        <v>1959</v>
      </c>
      <c r="C57" s="4"/>
      <c r="D57" s="4"/>
      <c r="E57" s="4"/>
      <c r="G57" s="2"/>
    </row>
    <row r="58" spans="1:7">
      <c r="A58" s="82" t="s">
        <v>1960</v>
      </c>
      <c r="B58" s="79" t="s">
        <v>78</v>
      </c>
      <c r="C58" s="4"/>
      <c r="D58" s="4"/>
      <c r="E58" s="4"/>
      <c r="G58" s="2"/>
    </row>
    <row r="59" spans="1:7">
      <c r="A59" s="83" t="s">
        <v>1961</v>
      </c>
      <c r="B59" s="79" t="s">
        <v>79</v>
      </c>
      <c r="C59" s="4"/>
      <c r="D59" s="4"/>
      <c r="E59" s="4"/>
      <c r="G59" s="2"/>
    </row>
    <row r="60" spans="1:7">
      <c r="A60" s="78">
        <v>7</v>
      </c>
      <c r="B60" s="79" t="s">
        <v>80</v>
      </c>
      <c r="C60" s="4"/>
      <c r="D60" s="4"/>
      <c r="E60" s="4"/>
      <c r="G60" s="2"/>
    </row>
    <row r="61" spans="1:7">
      <c r="A61" s="78" t="s">
        <v>1962</v>
      </c>
      <c r="B61" s="79" t="s">
        <v>81</v>
      </c>
      <c r="C61" s="4"/>
      <c r="D61" s="4"/>
      <c r="E61" s="4"/>
      <c r="G61" s="2"/>
    </row>
    <row r="62" spans="1:7">
      <c r="A62" s="83" t="s">
        <v>1963</v>
      </c>
      <c r="B62" s="81" t="s">
        <v>1964</v>
      </c>
      <c r="C62" s="4"/>
      <c r="D62" s="4"/>
      <c r="E62" s="4"/>
      <c r="G62" s="2"/>
    </row>
    <row r="63" spans="1:7">
      <c r="A63" s="78" t="s">
        <v>1965</v>
      </c>
      <c r="B63" s="79" t="s">
        <v>82</v>
      </c>
      <c r="C63" s="4"/>
      <c r="D63" s="4"/>
      <c r="E63" s="4"/>
      <c r="G63" s="2"/>
    </row>
    <row r="64" spans="1:7">
      <c r="A64" s="80" t="s">
        <v>1966</v>
      </c>
      <c r="B64" s="81" t="s">
        <v>1967</v>
      </c>
      <c r="C64" s="4"/>
      <c r="D64" s="4"/>
      <c r="E64" s="4"/>
      <c r="G64" s="2"/>
    </row>
    <row r="65" spans="1:7">
      <c r="A65" s="83" t="s">
        <v>1968</v>
      </c>
      <c r="B65" s="81" t="s">
        <v>1969</v>
      </c>
      <c r="C65" s="4"/>
      <c r="D65" s="4"/>
      <c r="E65" s="4"/>
      <c r="G65" s="2"/>
    </row>
    <row r="66" spans="1:7">
      <c r="A66" s="84">
        <v>10</v>
      </c>
      <c r="B66" s="645" t="s">
        <v>941</v>
      </c>
      <c r="C66" s="4"/>
      <c r="D66" s="4"/>
      <c r="E66" s="4"/>
      <c r="G66" s="2"/>
    </row>
    <row r="67" spans="1:7">
      <c r="A67" s="84" t="s">
        <v>1970</v>
      </c>
      <c r="B67" s="85" t="s">
        <v>1971</v>
      </c>
      <c r="C67" s="4"/>
      <c r="D67" s="4"/>
      <c r="E67" s="4"/>
      <c r="G67" s="2"/>
    </row>
    <row r="68" spans="1:7">
      <c r="A68" s="84" t="s">
        <v>1972</v>
      </c>
      <c r="B68" s="85" t="s">
        <v>1973</v>
      </c>
      <c r="C68" s="4"/>
      <c r="D68" s="4"/>
      <c r="E68" s="4"/>
      <c r="G68" s="2"/>
    </row>
    <row r="69" spans="1:7">
      <c r="A69" s="84" t="s">
        <v>1974</v>
      </c>
      <c r="B69" s="85" t="s">
        <v>1975</v>
      </c>
      <c r="C69" s="4"/>
      <c r="D69" s="4"/>
      <c r="E69" s="4"/>
      <c r="G69" s="2"/>
    </row>
    <row r="70" spans="1:7">
      <c r="A70" s="84"/>
      <c r="B70" s="85"/>
      <c r="C70" s="4"/>
      <c r="D70" s="4"/>
      <c r="E70" s="4"/>
      <c r="G70" s="2"/>
    </row>
    <row r="71" spans="1:7">
      <c r="A71" s="84"/>
      <c r="B71" s="85"/>
      <c r="C71" s="4"/>
      <c r="D71" s="4"/>
      <c r="E71" s="4"/>
      <c r="G71" s="2"/>
    </row>
    <row r="72" spans="1:7">
      <c r="A72" s="86" t="s">
        <v>596</v>
      </c>
      <c r="B72" s="85"/>
      <c r="C72" s="4"/>
      <c r="D72" s="4"/>
      <c r="E72" s="4"/>
      <c r="G72" s="2"/>
    </row>
    <row r="73" spans="1:7">
      <c r="A73" s="84"/>
      <c r="B73" s="85"/>
      <c r="C73" s="4"/>
      <c r="D73" s="4"/>
      <c r="E73" s="4"/>
      <c r="G73" s="2"/>
    </row>
    <row r="74" spans="1:7">
      <c r="A74" s="84"/>
      <c r="B74" s="85"/>
      <c r="C74" s="4"/>
      <c r="D74" s="4"/>
      <c r="E74" s="4"/>
      <c r="G74" s="2"/>
    </row>
    <row r="75" spans="1:7">
      <c r="A75" s="87" t="s">
        <v>128</v>
      </c>
      <c r="B75" s="85"/>
      <c r="C75" s="4"/>
      <c r="D75" s="4"/>
      <c r="E75" s="4"/>
      <c r="G75" s="2"/>
    </row>
    <row r="76" spans="1:7">
      <c r="C76" s="2"/>
      <c r="E76" s="2"/>
      <c r="G76" s="2"/>
    </row>
  </sheetData>
  <mergeCells count="12">
    <mergeCell ref="A15:J15"/>
    <mergeCell ref="A28:J28"/>
    <mergeCell ref="A32:J32"/>
    <mergeCell ref="A14:J14"/>
    <mergeCell ref="A1:H1"/>
    <mergeCell ref="A24:J24"/>
    <mergeCell ref="A27:J27"/>
    <mergeCell ref="A31:J31"/>
    <mergeCell ref="A7:J7"/>
    <mergeCell ref="A13:J13"/>
    <mergeCell ref="A18:J18"/>
    <mergeCell ref="A21:J21"/>
  </mergeCells>
  <phoneticPr fontId="0" type="noConversion"/>
  <pageMargins left="0.53" right="0.42" top="0.62992125984251968" bottom="0.61" header="0.35433070866141736" footer="0.36"/>
  <pageSetup paperSize="9" scale="64" orientation="portrait"/>
  <headerFooter alignWithMargins="0">
    <oddHeader>&amp;L&amp;"Arial,Bold"Individuelle Daten pro Versicherer</oddHead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2F698-2A34-6145-BC51-BBA8CEDB42F0}">
  <sheetPr>
    <pageSetUpPr fitToPage="1"/>
  </sheetPr>
  <dimension ref="A1:I120"/>
  <sheetViews>
    <sheetView zoomScale="75" workbookViewId="0">
      <selection activeCell="B109" sqref="B109"/>
    </sheetView>
  </sheetViews>
  <sheetFormatPr baseColWidth="10" defaultColWidth="11.3984375" defaultRowHeight="13"/>
  <cols>
    <col min="1" max="1" width="5.796875" style="2" customWidth="1"/>
    <col min="2" max="2" width="52.59765625" style="21" customWidth="1"/>
    <col min="3" max="3" width="12.796875" style="21" customWidth="1"/>
    <col min="4" max="4" width="10.796875" style="21" customWidth="1"/>
    <col min="5" max="5" width="10.796875" style="2" customWidth="1"/>
    <col min="6" max="7" width="10.796875" style="9" customWidth="1"/>
    <col min="8" max="9" width="10.796875" style="2" customWidth="1"/>
    <col min="10" max="10" width="6.19921875" style="2" customWidth="1"/>
    <col min="11" max="16384" width="11.3984375" style="2"/>
  </cols>
  <sheetData>
    <row r="1" spans="1:9" s="1" customFormat="1" ht="14" customHeight="1">
      <c r="B1" s="305"/>
      <c r="C1" s="305"/>
      <c r="D1" s="305"/>
      <c r="F1" s="306"/>
      <c r="G1" s="306"/>
    </row>
    <row r="2" spans="1:9" s="1" customFormat="1" ht="19.5" customHeight="1">
      <c r="A2" s="19" t="s">
        <v>942</v>
      </c>
      <c r="C2" s="305"/>
      <c r="D2" s="305"/>
      <c r="F2" s="306"/>
      <c r="G2" s="306"/>
      <c r="H2" s="18"/>
      <c r="I2" s="565">
        <v>2005</v>
      </c>
    </row>
    <row r="3" spans="1:9" s="1" customFormat="1" ht="14.25" customHeight="1">
      <c r="B3" s="305"/>
      <c r="C3" s="305"/>
      <c r="D3" s="305"/>
      <c r="F3" s="306"/>
      <c r="G3" s="306"/>
    </row>
    <row r="4" spans="1:9" ht="18" customHeight="1">
      <c r="A4" s="30" t="s">
        <v>1575</v>
      </c>
      <c r="B4" s="30" t="s">
        <v>961</v>
      </c>
      <c r="C4" s="31" t="s">
        <v>943</v>
      </c>
      <c r="D4" s="32" t="s">
        <v>700</v>
      </c>
      <c r="E4" s="33" t="s">
        <v>2056</v>
      </c>
      <c r="F4" s="34" t="s">
        <v>146</v>
      </c>
      <c r="G4" s="33" t="s">
        <v>1807</v>
      </c>
      <c r="H4" s="34" t="s">
        <v>148</v>
      </c>
      <c r="I4" s="31" t="s">
        <v>148</v>
      </c>
    </row>
    <row r="5" spans="1:9" ht="15" customHeight="1">
      <c r="A5" s="36" t="s">
        <v>1567</v>
      </c>
      <c r="B5" s="36"/>
      <c r="C5" s="37" t="s">
        <v>944</v>
      </c>
      <c r="D5" s="38"/>
      <c r="E5" s="37"/>
      <c r="F5" s="40" t="s">
        <v>158</v>
      </c>
      <c r="G5" s="39" t="s">
        <v>945</v>
      </c>
      <c r="H5" s="40" t="s">
        <v>160</v>
      </c>
      <c r="I5" s="37" t="s">
        <v>2220</v>
      </c>
    </row>
    <row r="6" spans="1:9" ht="15" customHeight="1">
      <c r="A6" s="36"/>
      <c r="B6" s="36"/>
      <c r="C6" s="37" t="s">
        <v>946</v>
      </c>
      <c r="D6" s="38"/>
      <c r="E6" s="37"/>
      <c r="F6" s="40" t="s">
        <v>168</v>
      </c>
      <c r="G6" s="39"/>
      <c r="H6" s="40" t="s">
        <v>170</v>
      </c>
      <c r="I6" s="37"/>
    </row>
    <row r="7" spans="1:9" ht="15" customHeight="1">
      <c r="A7" s="36"/>
      <c r="B7" s="36"/>
      <c r="C7" s="37" t="s">
        <v>1343</v>
      </c>
      <c r="D7" s="38" t="s">
        <v>947</v>
      </c>
      <c r="E7" s="37" t="s">
        <v>947</v>
      </c>
      <c r="F7" s="38" t="s">
        <v>177</v>
      </c>
      <c r="G7" s="37" t="s">
        <v>947</v>
      </c>
      <c r="H7" s="38" t="s">
        <v>947</v>
      </c>
      <c r="I7" s="37" t="s">
        <v>947</v>
      </c>
    </row>
    <row r="8" spans="1:9" ht="15" customHeight="1">
      <c r="A8" s="36"/>
      <c r="B8" s="36"/>
      <c r="C8" s="37" t="s">
        <v>1345</v>
      </c>
      <c r="D8" s="38" t="s">
        <v>948</v>
      </c>
      <c r="E8" s="37" t="s">
        <v>948</v>
      </c>
      <c r="F8" s="38" t="s">
        <v>947</v>
      </c>
      <c r="G8" s="37" t="s">
        <v>948</v>
      </c>
      <c r="H8" s="38" t="s">
        <v>948</v>
      </c>
      <c r="I8" s="37" t="s">
        <v>948</v>
      </c>
    </row>
    <row r="9" spans="1:9" ht="15" customHeight="1">
      <c r="A9" s="36"/>
      <c r="B9" s="36"/>
      <c r="C9" s="37"/>
      <c r="D9" s="38"/>
      <c r="E9" s="37"/>
      <c r="F9" s="38" t="s">
        <v>948</v>
      </c>
      <c r="G9" s="39"/>
      <c r="H9" s="38"/>
      <c r="I9" s="37"/>
    </row>
    <row r="10" spans="1:9" ht="18" customHeight="1">
      <c r="A10" s="44">
        <v>0</v>
      </c>
      <c r="B10" s="44"/>
      <c r="C10" s="45">
        <v>1</v>
      </c>
      <c r="D10" s="46">
        <v>2</v>
      </c>
      <c r="E10" s="45">
        <v>3</v>
      </c>
      <c r="F10" s="48">
        <v>4</v>
      </c>
      <c r="G10" s="47">
        <v>5</v>
      </c>
      <c r="H10" s="46">
        <v>6</v>
      </c>
      <c r="I10" s="45">
        <v>7</v>
      </c>
    </row>
    <row r="11" spans="1:9" ht="15.75" customHeight="1" thickBot="1">
      <c r="A11" s="566">
        <v>8</v>
      </c>
      <c r="B11" s="567" t="s">
        <v>1036</v>
      </c>
      <c r="C11" s="539" t="s">
        <v>949</v>
      </c>
      <c r="D11" s="568">
        <v>1796.9</v>
      </c>
      <c r="E11" s="569">
        <v>1095.5</v>
      </c>
      <c r="F11" s="568">
        <v>96.1</v>
      </c>
      <c r="G11" s="569">
        <v>634.29999999999995</v>
      </c>
      <c r="H11" s="568">
        <v>2000</v>
      </c>
      <c r="I11" s="570">
        <v>8412.4</v>
      </c>
    </row>
    <row r="12" spans="1:9" ht="14" thickBot="1">
      <c r="A12" s="540">
        <v>32</v>
      </c>
      <c r="B12" s="541" t="s">
        <v>1037</v>
      </c>
      <c r="C12" s="571" t="s">
        <v>949</v>
      </c>
      <c r="D12" s="542">
        <v>1884.3</v>
      </c>
      <c r="E12" s="572">
        <v>1108.4000000000001</v>
      </c>
      <c r="F12" s="542">
        <v>133.5</v>
      </c>
      <c r="G12" s="572">
        <v>631.6</v>
      </c>
      <c r="H12" s="542">
        <v>230</v>
      </c>
      <c r="I12" s="573">
        <v>-41.7</v>
      </c>
    </row>
    <row r="13" spans="1:9" ht="14" thickBot="1">
      <c r="A13" s="540">
        <v>57</v>
      </c>
      <c r="B13" s="541" t="s">
        <v>1038</v>
      </c>
      <c r="C13" s="571" t="s">
        <v>949</v>
      </c>
      <c r="D13" s="542">
        <v>33338.199999999997</v>
      </c>
      <c r="E13" s="572">
        <v>27985</v>
      </c>
      <c r="F13" s="542">
        <v>3432</v>
      </c>
      <c r="G13" s="572">
        <v>2775.2</v>
      </c>
      <c r="H13" s="542">
        <v>3480</v>
      </c>
      <c r="I13" s="573">
        <v>24721.3</v>
      </c>
    </row>
    <row r="14" spans="1:9" ht="14" thickBot="1">
      <c r="A14" s="540">
        <v>62</v>
      </c>
      <c r="B14" s="541" t="s">
        <v>1039</v>
      </c>
      <c r="C14" s="571" t="s">
        <v>949</v>
      </c>
      <c r="D14" s="542">
        <v>0.2</v>
      </c>
      <c r="E14" s="572">
        <v>0</v>
      </c>
      <c r="F14" s="542">
        <v>0</v>
      </c>
      <c r="G14" s="572">
        <v>0.2</v>
      </c>
      <c r="H14" s="542">
        <v>0</v>
      </c>
      <c r="I14" s="573">
        <v>60.5</v>
      </c>
    </row>
    <row r="15" spans="1:9" ht="14" thickBot="1">
      <c r="A15" s="540">
        <v>97</v>
      </c>
      <c r="B15" s="541" t="s">
        <v>1040</v>
      </c>
      <c r="C15" s="571" t="s">
        <v>949</v>
      </c>
      <c r="D15" s="542">
        <v>46</v>
      </c>
      <c r="E15" s="572">
        <v>14.4</v>
      </c>
      <c r="F15" s="542">
        <v>1</v>
      </c>
      <c r="G15" s="572">
        <v>2.9</v>
      </c>
      <c r="H15" s="542">
        <v>20</v>
      </c>
      <c r="I15" s="573">
        <v>30.4</v>
      </c>
    </row>
    <row r="16" spans="1:9" ht="14" thickBot="1">
      <c r="A16" s="540">
        <v>134</v>
      </c>
      <c r="B16" s="541" t="s">
        <v>1041</v>
      </c>
      <c r="C16" s="571" t="s">
        <v>949</v>
      </c>
      <c r="D16" s="542">
        <v>105</v>
      </c>
      <c r="E16" s="572">
        <v>68.599999999999994</v>
      </c>
      <c r="F16" s="542">
        <v>14</v>
      </c>
      <c r="G16" s="572">
        <v>24.3</v>
      </c>
      <c r="H16" s="542">
        <v>100</v>
      </c>
      <c r="I16" s="573">
        <v>425.2</v>
      </c>
    </row>
    <row r="17" spans="1:9" ht="14" thickBot="1">
      <c r="A17" s="540">
        <v>160</v>
      </c>
      <c r="B17" s="541" t="s">
        <v>1042</v>
      </c>
      <c r="C17" s="571" t="s">
        <v>949</v>
      </c>
      <c r="D17" s="542">
        <v>1371.6</v>
      </c>
      <c r="E17" s="572">
        <v>718.3</v>
      </c>
      <c r="F17" s="542">
        <v>228.4</v>
      </c>
      <c r="G17" s="572">
        <v>543.4</v>
      </c>
      <c r="H17" s="542">
        <v>90</v>
      </c>
      <c r="I17" s="573">
        <v>1380.7</v>
      </c>
    </row>
    <row r="18" spans="1:9" ht="14" thickBot="1">
      <c r="A18" s="540">
        <v>178</v>
      </c>
      <c r="B18" s="541" t="s">
        <v>1043</v>
      </c>
      <c r="C18" s="571" t="s">
        <v>949</v>
      </c>
      <c r="D18" s="542">
        <v>40.799999999999997</v>
      </c>
      <c r="E18" s="572">
        <v>19.2</v>
      </c>
      <c r="F18" s="542">
        <v>2.9</v>
      </c>
      <c r="G18" s="572">
        <v>18.600000000000001</v>
      </c>
      <c r="H18" s="542">
        <v>0</v>
      </c>
      <c r="I18" s="573">
        <v>157.69999999999999</v>
      </c>
    </row>
    <row r="19" spans="1:9" ht="14" thickBot="1">
      <c r="A19" s="540">
        <v>182</v>
      </c>
      <c r="B19" s="541" t="s">
        <v>1044</v>
      </c>
      <c r="C19" s="571" t="s">
        <v>949</v>
      </c>
      <c r="D19" s="542">
        <v>4.9000000000000004</v>
      </c>
      <c r="E19" s="572">
        <v>0.4</v>
      </c>
      <c r="F19" s="542">
        <v>6</v>
      </c>
      <c r="G19" s="572">
        <v>8.3000000000000007</v>
      </c>
      <c r="H19" s="542">
        <v>0</v>
      </c>
      <c r="I19" s="573">
        <v>359.6</v>
      </c>
    </row>
    <row r="20" spans="1:9" ht="14" thickBot="1">
      <c r="A20" s="540">
        <v>194</v>
      </c>
      <c r="B20" s="541" t="s">
        <v>1045</v>
      </c>
      <c r="C20" s="571" t="s">
        <v>949</v>
      </c>
      <c r="D20" s="542">
        <v>1124.8</v>
      </c>
      <c r="E20" s="572">
        <v>897.3</v>
      </c>
      <c r="F20" s="542">
        <v>148.30000000000001</v>
      </c>
      <c r="G20" s="572">
        <v>30.8</v>
      </c>
      <c r="H20" s="542">
        <v>550</v>
      </c>
      <c r="I20" s="573">
        <v>1207</v>
      </c>
    </row>
    <row r="21" spans="1:9" ht="14" thickBot="1">
      <c r="A21" s="540">
        <v>216</v>
      </c>
      <c r="B21" s="541" t="s">
        <v>1046</v>
      </c>
      <c r="C21" s="571" t="s">
        <v>949</v>
      </c>
      <c r="D21" s="542">
        <v>101.5</v>
      </c>
      <c r="E21" s="572">
        <v>43.4</v>
      </c>
      <c r="F21" s="542">
        <v>16.899999999999999</v>
      </c>
      <c r="G21" s="572">
        <v>42.8</v>
      </c>
      <c r="H21" s="542">
        <v>28</v>
      </c>
      <c r="I21" s="573">
        <v>178.1</v>
      </c>
    </row>
    <row r="22" spans="1:9" ht="14" thickBot="1">
      <c r="A22" s="540">
        <v>246</v>
      </c>
      <c r="B22" s="541" t="s">
        <v>1047</v>
      </c>
      <c r="C22" s="571" t="s">
        <v>949</v>
      </c>
      <c r="D22" s="542">
        <v>36.9</v>
      </c>
      <c r="E22" s="572">
        <v>8.1999999999999993</v>
      </c>
      <c r="F22" s="542">
        <v>18.2</v>
      </c>
      <c r="G22" s="572">
        <v>0</v>
      </c>
      <c r="H22" s="542">
        <v>28.3</v>
      </c>
      <c r="I22" s="573">
        <v>257.39999999999998</v>
      </c>
    </row>
    <row r="23" spans="1:9" ht="14" thickBot="1">
      <c r="A23" s="540">
        <v>261</v>
      </c>
      <c r="B23" s="541" t="s">
        <v>1048</v>
      </c>
      <c r="C23" s="571" t="s">
        <v>949</v>
      </c>
      <c r="D23" s="542">
        <v>626.29999999999995</v>
      </c>
      <c r="E23" s="572">
        <v>619.6</v>
      </c>
      <c r="F23" s="542">
        <v>69.900000000000006</v>
      </c>
      <c r="G23" s="572">
        <v>-59.6</v>
      </c>
      <c r="H23" s="542">
        <v>300</v>
      </c>
      <c r="I23" s="573">
        <v>1055</v>
      </c>
    </row>
    <row r="24" spans="1:9" ht="14" thickBot="1">
      <c r="A24" s="540">
        <v>263</v>
      </c>
      <c r="B24" s="541" t="s">
        <v>1049</v>
      </c>
      <c r="C24" s="571" t="s">
        <v>949</v>
      </c>
      <c r="D24" s="542">
        <v>10914.9</v>
      </c>
      <c r="E24" s="572">
        <v>6944.8</v>
      </c>
      <c r="F24" s="542">
        <v>1951.5</v>
      </c>
      <c r="G24" s="572">
        <v>3147.4</v>
      </c>
      <c r="H24" s="542">
        <v>1750</v>
      </c>
      <c r="I24" s="573">
        <v>12080.4</v>
      </c>
    </row>
    <row r="25" spans="1:9" ht="14" thickBot="1">
      <c r="A25" s="540">
        <v>290</v>
      </c>
      <c r="B25" s="541" t="s">
        <v>1050</v>
      </c>
      <c r="C25" s="571" t="s">
        <v>949</v>
      </c>
      <c r="D25" s="542">
        <v>13891.7</v>
      </c>
      <c r="E25" s="572">
        <v>10443.9</v>
      </c>
      <c r="F25" s="542">
        <v>1903.1</v>
      </c>
      <c r="G25" s="572">
        <v>1951.4</v>
      </c>
      <c r="H25" s="542">
        <v>1314.9</v>
      </c>
      <c r="I25" s="573">
        <v>4125.8999999999996</v>
      </c>
    </row>
    <row r="26" spans="1:9" ht="14" thickBot="1">
      <c r="A26" s="540">
        <v>294</v>
      </c>
      <c r="B26" s="541" t="s">
        <v>1051</v>
      </c>
      <c r="C26" s="571" t="s">
        <v>949</v>
      </c>
      <c r="D26" s="542">
        <v>78.3</v>
      </c>
      <c r="E26" s="572">
        <v>30.5</v>
      </c>
      <c r="F26" s="542">
        <v>16.3</v>
      </c>
      <c r="G26" s="572">
        <v>7.8</v>
      </c>
      <c r="H26" s="542">
        <v>51</v>
      </c>
      <c r="I26" s="573">
        <v>128.4</v>
      </c>
    </row>
    <row r="27" spans="1:9" ht="14" thickBot="1">
      <c r="A27" s="540">
        <v>312</v>
      </c>
      <c r="B27" s="541" t="s">
        <v>1052</v>
      </c>
      <c r="C27" s="571" t="s">
        <v>949</v>
      </c>
      <c r="D27" s="542">
        <v>759.7</v>
      </c>
      <c r="E27" s="572">
        <v>511</v>
      </c>
      <c r="F27" s="542">
        <v>29.9</v>
      </c>
      <c r="G27" s="572">
        <v>292.60000000000002</v>
      </c>
      <c r="H27" s="542">
        <v>169</v>
      </c>
      <c r="I27" s="573">
        <v>2578.1</v>
      </c>
    </row>
    <row r="28" spans="1:9" ht="14" thickBot="1">
      <c r="A28" s="540">
        <v>343</v>
      </c>
      <c r="B28" s="541" t="s">
        <v>1053</v>
      </c>
      <c r="C28" s="571" t="s">
        <v>949</v>
      </c>
      <c r="D28" s="542">
        <v>1875.6</v>
      </c>
      <c r="E28" s="572">
        <v>1113.9000000000001</v>
      </c>
      <c r="F28" s="542">
        <v>315.3</v>
      </c>
      <c r="G28" s="572">
        <v>955.1</v>
      </c>
      <c r="H28" s="542">
        <v>225</v>
      </c>
      <c r="I28" s="573">
        <v>6568.7</v>
      </c>
    </row>
    <row r="29" spans="1:9" ht="14" thickBot="1">
      <c r="A29" s="540">
        <v>360</v>
      </c>
      <c r="B29" s="541" t="s">
        <v>1054</v>
      </c>
      <c r="C29" s="571" t="s">
        <v>949</v>
      </c>
      <c r="D29" s="542">
        <v>901.7</v>
      </c>
      <c r="E29" s="572">
        <v>697.9</v>
      </c>
      <c r="F29" s="542">
        <v>30.1</v>
      </c>
      <c r="G29" s="572">
        <v>149.69999999999999</v>
      </c>
      <c r="H29" s="542">
        <v>333.6</v>
      </c>
      <c r="I29" s="573">
        <v>1341.3</v>
      </c>
    </row>
    <row r="30" spans="1:9" ht="14" thickBot="1">
      <c r="A30" s="540">
        <v>376</v>
      </c>
      <c r="B30" s="541" t="s">
        <v>1055</v>
      </c>
      <c r="C30" s="571" t="s">
        <v>949</v>
      </c>
      <c r="D30" s="542">
        <v>1348.6</v>
      </c>
      <c r="E30" s="572">
        <v>757.5</v>
      </c>
      <c r="F30" s="542">
        <v>57.2</v>
      </c>
      <c r="G30" s="572">
        <v>580.79999999999995</v>
      </c>
      <c r="H30" s="542">
        <v>212.1</v>
      </c>
      <c r="I30" s="573">
        <v>3450.8</v>
      </c>
    </row>
    <row r="31" spans="1:9" ht="14" thickBot="1">
      <c r="A31" s="540">
        <v>411</v>
      </c>
      <c r="B31" s="541" t="s">
        <v>1056</v>
      </c>
      <c r="C31" s="571" t="s">
        <v>949</v>
      </c>
      <c r="D31" s="542">
        <v>5873.5</v>
      </c>
      <c r="E31" s="572">
        <v>4119.5</v>
      </c>
      <c r="F31" s="542">
        <v>3521</v>
      </c>
      <c r="G31" s="572">
        <v>-803.3</v>
      </c>
      <c r="H31" s="542">
        <v>595</v>
      </c>
      <c r="I31" s="573">
        <v>1190.9000000000001</v>
      </c>
    </row>
    <row r="32" spans="1:9" ht="14" thickBot="1">
      <c r="A32" s="540">
        <v>445</v>
      </c>
      <c r="B32" s="541" t="s">
        <v>1057</v>
      </c>
      <c r="C32" s="571" t="s">
        <v>949</v>
      </c>
      <c r="D32" s="542">
        <v>2493.4</v>
      </c>
      <c r="E32" s="572">
        <v>1692.8</v>
      </c>
      <c r="F32" s="542">
        <v>515.9</v>
      </c>
      <c r="G32" s="572">
        <v>509.7</v>
      </c>
      <c r="H32" s="542">
        <v>200</v>
      </c>
      <c r="I32" s="573">
        <v>210.6</v>
      </c>
    </row>
    <row r="33" spans="1:9" ht="14" thickBot="1">
      <c r="A33" s="540">
        <v>455</v>
      </c>
      <c r="B33" s="541" t="s">
        <v>1058</v>
      </c>
      <c r="C33" s="571" t="s">
        <v>949</v>
      </c>
      <c r="D33" s="542">
        <v>4817.5</v>
      </c>
      <c r="E33" s="572">
        <v>3706.7</v>
      </c>
      <c r="F33" s="542">
        <v>401.5</v>
      </c>
      <c r="G33" s="572">
        <v>1670.3</v>
      </c>
      <c r="H33" s="542">
        <v>1130.8</v>
      </c>
      <c r="I33" s="573">
        <v>9330</v>
      </c>
    </row>
    <row r="34" spans="1:9" ht="14" thickBot="1">
      <c r="A34" s="540">
        <v>484</v>
      </c>
      <c r="B34" s="541" t="s">
        <v>1059</v>
      </c>
      <c r="C34" s="571" t="s">
        <v>949</v>
      </c>
      <c r="D34" s="542">
        <v>10.4</v>
      </c>
      <c r="E34" s="572">
        <v>5</v>
      </c>
      <c r="F34" s="542">
        <v>0.9</v>
      </c>
      <c r="G34" s="572">
        <v>16</v>
      </c>
      <c r="H34" s="542">
        <v>20</v>
      </c>
      <c r="I34" s="573">
        <v>298</v>
      </c>
    </row>
    <row r="35" spans="1:9" ht="14" thickBot="1">
      <c r="A35" s="540">
        <v>509</v>
      </c>
      <c r="B35" s="541" t="s">
        <v>1060</v>
      </c>
      <c r="C35" s="571" t="s">
        <v>949</v>
      </c>
      <c r="D35" s="542">
        <v>9.9</v>
      </c>
      <c r="E35" s="572">
        <v>83.1</v>
      </c>
      <c r="F35" s="542">
        <v>200.1</v>
      </c>
      <c r="G35" s="572">
        <v>0</v>
      </c>
      <c r="H35" s="542">
        <v>1745.9</v>
      </c>
      <c r="I35" s="573">
        <v>3204.5</v>
      </c>
    </row>
    <row r="36" spans="1:9" ht="14" thickBot="1">
      <c r="A36" s="540">
        <v>556</v>
      </c>
      <c r="B36" s="541" t="s">
        <v>1061</v>
      </c>
      <c r="C36" s="571" t="s">
        <v>949</v>
      </c>
      <c r="D36" s="542">
        <v>393.1</v>
      </c>
      <c r="E36" s="572">
        <v>259.3</v>
      </c>
      <c r="F36" s="542">
        <v>70.8</v>
      </c>
      <c r="G36" s="572">
        <v>90.6</v>
      </c>
      <c r="H36" s="542">
        <v>62</v>
      </c>
      <c r="I36" s="573">
        <v>991.3</v>
      </c>
    </row>
    <row r="37" spans="1:9" ht="14" thickBot="1">
      <c r="A37" s="540">
        <v>558</v>
      </c>
      <c r="B37" s="541" t="s">
        <v>1062</v>
      </c>
      <c r="C37" s="571" t="s">
        <v>949</v>
      </c>
      <c r="D37" s="542">
        <v>13.1</v>
      </c>
      <c r="E37" s="572">
        <v>10.3</v>
      </c>
      <c r="F37" s="542">
        <v>1</v>
      </c>
      <c r="G37" s="572">
        <v>7.7</v>
      </c>
      <c r="H37" s="542">
        <v>24.6</v>
      </c>
      <c r="I37" s="573">
        <v>113.8</v>
      </c>
    </row>
    <row r="38" spans="1:9" ht="14" thickBot="1">
      <c r="A38" s="540">
        <v>591</v>
      </c>
      <c r="B38" s="541" t="s">
        <v>109</v>
      </c>
      <c r="C38" s="571" t="s">
        <v>949</v>
      </c>
      <c r="D38" s="542">
        <v>1295.4000000000001</v>
      </c>
      <c r="E38" s="572">
        <v>1268.0999999999999</v>
      </c>
      <c r="F38" s="542">
        <v>38.200000000000003</v>
      </c>
      <c r="G38" s="572">
        <v>218.4</v>
      </c>
      <c r="H38" s="542">
        <v>90</v>
      </c>
      <c r="I38" s="573">
        <v>688.3</v>
      </c>
    </row>
    <row r="39" spans="1:9" ht="14" thickBot="1">
      <c r="A39" s="540">
        <v>623</v>
      </c>
      <c r="B39" s="541" t="s">
        <v>1063</v>
      </c>
      <c r="C39" s="571" t="s">
        <v>949</v>
      </c>
      <c r="D39" s="542">
        <v>43.9</v>
      </c>
      <c r="E39" s="572">
        <v>12.8</v>
      </c>
      <c r="F39" s="542">
        <v>1.4</v>
      </c>
      <c r="G39" s="572">
        <v>0.2</v>
      </c>
      <c r="H39" s="542">
        <v>50</v>
      </c>
      <c r="I39" s="573">
        <v>50.8</v>
      </c>
    </row>
    <row r="40" spans="1:9" ht="14" thickBot="1">
      <c r="A40" s="540">
        <v>627</v>
      </c>
      <c r="B40" s="541" t="s">
        <v>1064</v>
      </c>
      <c r="C40" s="571" t="s">
        <v>949</v>
      </c>
      <c r="D40" s="542">
        <v>85.6</v>
      </c>
      <c r="E40" s="572">
        <v>98.3</v>
      </c>
      <c r="F40" s="542">
        <v>4</v>
      </c>
      <c r="G40" s="572">
        <v>4.5</v>
      </c>
      <c r="H40" s="542">
        <v>10</v>
      </c>
      <c r="I40" s="573">
        <v>-11.5</v>
      </c>
    </row>
    <row r="41" spans="1:9" ht="14" thickBot="1">
      <c r="A41" s="540">
        <v>749</v>
      </c>
      <c r="B41" s="541" t="s">
        <v>1065</v>
      </c>
      <c r="C41" s="571" t="s">
        <v>949</v>
      </c>
      <c r="D41" s="542">
        <v>5499</v>
      </c>
      <c r="E41" s="572">
        <v>3993.7</v>
      </c>
      <c r="F41" s="542">
        <v>914.3</v>
      </c>
      <c r="G41" s="572">
        <v>1037.2</v>
      </c>
      <c r="H41" s="542">
        <v>900</v>
      </c>
      <c r="I41" s="573">
        <v>16.100000000000001</v>
      </c>
    </row>
    <row r="42" spans="1:9" ht="14" thickBot="1">
      <c r="A42" s="540">
        <v>758</v>
      </c>
      <c r="B42" s="541" t="s">
        <v>1066</v>
      </c>
      <c r="C42" s="571" t="s">
        <v>949</v>
      </c>
      <c r="D42" s="542">
        <v>27.3</v>
      </c>
      <c r="E42" s="572">
        <v>6.5</v>
      </c>
      <c r="F42" s="542">
        <v>3</v>
      </c>
      <c r="G42" s="572">
        <v>3.8</v>
      </c>
      <c r="H42" s="542">
        <v>20</v>
      </c>
      <c r="I42" s="573">
        <v>84.5</v>
      </c>
    </row>
    <row r="43" spans="1:9" ht="14" thickBot="1">
      <c r="A43" s="540">
        <v>762</v>
      </c>
      <c r="B43" s="541" t="s">
        <v>1067</v>
      </c>
      <c r="C43" s="571" t="s">
        <v>949</v>
      </c>
      <c r="D43" s="542">
        <v>426.7</v>
      </c>
      <c r="E43" s="572">
        <v>252.8</v>
      </c>
      <c r="F43" s="542">
        <v>75.900000000000006</v>
      </c>
      <c r="G43" s="572">
        <v>47.5</v>
      </c>
      <c r="H43" s="542">
        <v>250</v>
      </c>
      <c r="I43" s="573">
        <v>1040.4000000000001</v>
      </c>
    </row>
    <row r="44" spans="1:9" ht="14" thickBot="1">
      <c r="A44" s="540">
        <v>774</v>
      </c>
      <c r="B44" s="541" t="s">
        <v>1068</v>
      </c>
      <c r="C44" s="571" t="s">
        <v>949</v>
      </c>
      <c r="D44" s="542">
        <v>639.70000000000005</v>
      </c>
      <c r="E44" s="572">
        <v>479.7</v>
      </c>
      <c r="F44" s="542">
        <v>126.1</v>
      </c>
      <c r="G44" s="572">
        <v>69.900000000000006</v>
      </c>
      <c r="H44" s="542">
        <v>105</v>
      </c>
      <c r="I44" s="573">
        <v>602</v>
      </c>
    </row>
    <row r="45" spans="1:9" ht="14" thickBot="1">
      <c r="A45" s="540">
        <v>780</v>
      </c>
      <c r="B45" s="541" t="s">
        <v>1069</v>
      </c>
      <c r="C45" s="571" t="s">
        <v>949</v>
      </c>
      <c r="D45" s="542">
        <v>153.4</v>
      </c>
      <c r="E45" s="572">
        <v>134.4</v>
      </c>
      <c r="F45" s="542">
        <v>42.8</v>
      </c>
      <c r="G45" s="572">
        <v>-19.2</v>
      </c>
      <c r="H45" s="542">
        <v>18</v>
      </c>
      <c r="I45" s="573">
        <v>180.8</v>
      </c>
    </row>
    <row r="46" spans="1:9" ht="14" thickBot="1">
      <c r="A46" s="540">
        <v>790</v>
      </c>
      <c r="B46" s="541" t="s">
        <v>1070</v>
      </c>
      <c r="C46" s="571" t="s">
        <v>949</v>
      </c>
      <c r="D46" s="542">
        <v>65</v>
      </c>
      <c r="E46" s="572">
        <v>83.4</v>
      </c>
      <c r="F46" s="542">
        <v>4.5999999999999996</v>
      </c>
      <c r="G46" s="572">
        <v>-6.4</v>
      </c>
      <c r="H46" s="542">
        <v>19.899999999999999</v>
      </c>
      <c r="I46" s="573">
        <v>42.2</v>
      </c>
    </row>
    <row r="47" spans="1:9" ht="14" thickBot="1">
      <c r="A47" s="540">
        <v>820</v>
      </c>
      <c r="B47" s="541" t="s">
        <v>1071</v>
      </c>
      <c r="C47" s="571" t="s">
        <v>949</v>
      </c>
      <c r="D47" s="542">
        <v>329.4</v>
      </c>
      <c r="E47" s="572">
        <v>160.80000000000001</v>
      </c>
      <c r="F47" s="542">
        <v>17</v>
      </c>
      <c r="G47" s="572">
        <v>44.9</v>
      </c>
      <c r="H47" s="542">
        <v>120</v>
      </c>
      <c r="I47" s="573">
        <v>35.299999999999997</v>
      </c>
    </row>
    <row r="48" spans="1:9" ht="14" thickBot="1">
      <c r="A48" s="540">
        <v>829</v>
      </c>
      <c r="B48" s="541" t="s">
        <v>1072</v>
      </c>
      <c r="C48" s="571" t="s">
        <v>949</v>
      </c>
      <c r="D48" s="542">
        <v>1098.3</v>
      </c>
      <c r="E48" s="572">
        <v>884.7</v>
      </c>
      <c r="F48" s="542">
        <v>245.1</v>
      </c>
      <c r="G48" s="572">
        <v>33</v>
      </c>
      <c r="H48" s="542">
        <v>390</v>
      </c>
      <c r="I48" s="573">
        <v>1000</v>
      </c>
    </row>
    <row r="49" spans="1:9" ht="14" thickBot="1">
      <c r="A49" s="540">
        <v>881</v>
      </c>
      <c r="B49" s="541" t="s">
        <v>637</v>
      </c>
      <c r="C49" s="571" t="s">
        <v>949</v>
      </c>
      <c r="D49" s="542">
        <v>1038.2</v>
      </c>
      <c r="E49" s="572">
        <v>369.1</v>
      </c>
      <c r="F49" s="542">
        <v>162.9</v>
      </c>
      <c r="G49" s="572">
        <v>618</v>
      </c>
      <c r="H49" s="542">
        <v>161.69999999999999</v>
      </c>
      <c r="I49" s="573">
        <v>3525.7</v>
      </c>
    </row>
    <row r="50" spans="1:9" ht="14" thickBot="1">
      <c r="A50" s="540">
        <v>895</v>
      </c>
      <c r="B50" s="541" t="s">
        <v>1074</v>
      </c>
      <c r="C50" s="571" t="s">
        <v>949</v>
      </c>
      <c r="D50" s="542">
        <v>6.8</v>
      </c>
      <c r="E50" s="572">
        <v>0.6</v>
      </c>
      <c r="F50" s="542">
        <v>0</v>
      </c>
      <c r="G50" s="572">
        <v>1</v>
      </c>
      <c r="H50" s="542">
        <v>0</v>
      </c>
      <c r="I50" s="573">
        <v>31</v>
      </c>
    </row>
    <row r="51" spans="1:9" ht="14" thickBot="1">
      <c r="A51" s="540">
        <v>901</v>
      </c>
      <c r="B51" s="541" t="s">
        <v>1075</v>
      </c>
      <c r="C51" s="571" t="s">
        <v>949</v>
      </c>
      <c r="D51" s="542">
        <v>254.9</v>
      </c>
      <c r="E51" s="572">
        <v>80.3</v>
      </c>
      <c r="F51" s="542">
        <v>12.7</v>
      </c>
      <c r="G51" s="572">
        <v>38.6</v>
      </c>
      <c r="H51" s="542">
        <v>50</v>
      </c>
      <c r="I51" s="573">
        <v>342.8</v>
      </c>
    </row>
    <row r="52" spans="1:9" ht="14" thickBot="1">
      <c r="A52" s="540">
        <v>923</v>
      </c>
      <c r="B52" s="541" t="s">
        <v>1076</v>
      </c>
      <c r="C52" s="571" t="s">
        <v>949</v>
      </c>
      <c r="D52" s="542">
        <v>248.5</v>
      </c>
      <c r="E52" s="572">
        <v>28.4</v>
      </c>
      <c r="F52" s="542">
        <v>2</v>
      </c>
      <c r="G52" s="572">
        <v>206</v>
      </c>
      <c r="H52" s="542">
        <v>40</v>
      </c>
      <c r="I52" s="573">
        <v>3501.6</v>
      </c>
    </row>
    <row r="53" spans="1:9" ht="14" thickBot="1">
      <c r="A53" s="540">
        <v>941</v>
      </c>
      <c r="B53" s="541" t="s">
        <v>1077</v>
      </c>
      <c r="C53" s="571" t="s">
        <v>949</v>
      </c>
      <c r="D53" s="542">
        <v>899.1</v>
      </c>
      <c r="E53" s="572">
        <v>845.2</v>
      </c>
      <c r="F53" s="542">
        <v>198.2</v>
      </c>
      <c r="G53" s="572">
        <v>-50</v>
      </c>
      <c r="H53" s="542">
        <v>283.2</v>
      </c>
      <c r="I53" s="573">
        <v>1584.9</v>
      </c>
    </row>
    <row r="54" spans="1:9" ht="14" thickBot="1">
      <c r="A54" s="540">
        <v>966</v>
      </c>
      <c r="B54" s="541" t="s">
        <v>1078</v>
      </c>
      <c r="C54" s="571" t="s">
        <v>949</v>
      </c>
      <c r="D54" s="542">
        <v>870.7</v>
      </c>
      <c r="E54" s="572">
        <v>809.5</v>
      </c>
      <c r="F54" s="542">
        <v>69.400000000000006</v>
      </c>
      <c r="G54" s="572">
        <v>12.8</v>
      </c>
      <c r="H54" s="542">
        <v>320</v>
      </c>
      <c r="I54" s="573">
        <v>790.7</v>
      </c>
    </row>
    <row r="55" spans="1:9" ht="14" thickBot="1">
      <c r="A55" s="540">
        <v>979</v>
      </c>
      <c r="B55" s="541" t="s">
        <v>1079</v>
      </c>
      <c r="C55" s="571" t="s">
        <v>949</v>
      </c>
      <c r="D55" s="542">
        <v>11.5</v>
      </c>
      <c r="E55" s="572">
        <v>0.8</v>
      </c>
      <c r="F55" s="542">
        <v>1.1000000000000001</v>
      </c>
      <c r="G55" s="572">
        <v>0</v>
      </c>
      <c r="H55" s="542">
        <v>8</v>
      </c>
      <c r="I55" s="573">
        <v>43.8</v>
      </c>
    </row>
    <row r="56" spans="1:9" ht="14" thickBot="1">
      <c r="A56" s="540">
        <v>994</v>
      </c>
      <c r="B56" s="541" t="s">
        <v>1080</v>
      </c>
      <c r="C56" s="571" t="s">
        <v>949</v>
      </c>
      <c r="D56" s="542">
        <v>759.6</v>
      </c>
      <c r="E56" s="572">
        <v>535.20000000000005</v>
      </c>
      <c r="F56" s="542">
        <v>87.5</v>
      </c>
      <c r="G56" s="572">
        <v>91.7</v>
      </c>
      <c r="H56" s="542">
        <v>415</v>
      </c>
      <c r="I56" s="573">
        <v>1062.2</v>
      </c>
    </row>
    <row r="57" spans="1:9" ht="14" thickBot="1">
      <c r="A57" s="540">
        <v>1003</v>
      </c>
      <c r="B57" s="541" t="s">
        <v>1081</v>
      </c>
      <c r="C57" s="571" t="s">
        <v>949</v>
      </c>
      <c r="D57" s="542">
        <v>0.5</v>
      </c>
      <c r="E57" s="572">
        <v>0</v>
      </c>
      <c r="F57" s="542">
        <v>0</v>
      </c>
      <c r="G57" s="572">
        <v>0</v>
      </c>
      <c r="H57" s="542">
        <v>0</v>
      </c>
      <c r="I57" s="573">
        <v>5.6</v>
      </c>
    </row>
    <row r="58" spans="1:9" ht="14" thickBot="1">
      <c r="A58" s="540">
        <v>1040</v>
      </c>
      <c r="B58" s="541" t="s">
        <v>1082</v>
      </c>
      <c r="C58" s="571" t="s">
        <v>949</v>
      </c>
      <c r="D58" s="542">
        <v>148.6</v>
      </c>
      <c r="E58" s="572">
        <v>142.19999999999999</v>
      </c>
      <c r="F58" s="542">
        <v>13.3</v>
      </c>
      <c r="G58" s="572">
        <v>40.200000000000003</v>
      </c>
      <c r="H58" s="542">
        <v>0</v>
      </c>
      <c r="I58" s="573">
        <v>548.70000000000005</v>
      </c>
    </row>
    <row r="59" spans="1:9" ht="14" thickBot="1">
      <c r="A59" s="540">
        <v>1060</v>
      </c>
      <c r="B59" s="541" t="s">
        <v>606</v>
      </c>
      <c r="C59" s="571" t="s">
        <v>949</v>
      </c>
      <c r="D59" s="542">
        <v>8194</v>
      </c>
      <c r="E59" s="572">
        <v>6330.2</v>
      </c>
      <c r="F59" s="542">
        <v>2031.8</v>
      </c>
      <c r="G59" s="572">
        <v>1322.3</v>
      </c>
      <c r="H59" s="542">
        <v>1000</v>
      </c>
      <c r="I59" s="573">
        <v>7878.1</v>
      </c>
    </row>
    <row r="60" spans="1:9" ht="14" thickBot="1">
      <c r="A60" s="540">
        <v>1097</v>
      </c>
      <c r="B60" s="541" t="s">
        <v>607</v>
      </c>
      <c r="C60" s="571" t="s">
        <v>949</v>
      </c>
      <c r="D60" s="542">
        <v>78.3</v>
      </c>
      <c r="E60" s="572">
        <v>35.700000000000003</v>
      </c>
      <c r="F60" s="542">
        <v>10.8</v>
      </c>
      <c r="G60" s="572">
        <v>45.4</v>
      </c>
      <c r="H60" s="542">
        <v>15</v>
      </c>
      <c r="I60" s="573">
        <v>222.1</v>
      </c>
    </row>
    <row r="61" spans="1:9" ht="14" thickBot="1">
      <c r="A61" s="540">
        <v>1147</v>
      </c>
      <c r="B61" s="541" t="s">
        <v>610</v>
      </c>
      <c r="C61" s="571" t="s">
        <v>949</v>
      </c>
      <c r="D61" s="542">
        <v>15.5</v>
      </c>
      <c r="E61" s="572">
        <v>15.1</v>
      </c>
      <c r="F61" s="542">
        <v>1</v>
      </c>
      <c r="G61" s="572">
        <v>3.9</v>
      </c>
      <c r="H61" s="542">
        <v>31</v>
      </c>
      <c r="I61" s="573">
        <v>121.3</v>
      </c>
    </row>
    <row r="62" spans="1:9" ht="14" thickBot="1">
      <c r="A62" s="540">
        <v>1179</v>
      </c>
      <c r="B62" s="541" t="s">
        <v>638</v>
      </c>
      <c r="C62" s="571" t="s">
        <v>1776</v>
      </c>
      <c r="D62" s="542">
        <v>1152.4000000000001</v>
      </c>
      <c r="E62" s="572">
        <v>1328</v>
      </c>
      <c r="F62" s="542">
        <v>68.099999999999994</v>
      </c>
      <c r="G62" s="572">
        <v>108.3</v>
      </c>
      <c r="H62" s="542">
        <v>90</v>
      </c>
      <c r="I62" s="573">
        <v>1715.7</v>
      </c>
    </row>
    <row r="63" spans="1:9" ht="14" thickBot="1">
      <c r="A63" s="540">
        <v>1215</v>
      </c>
      <c r="B63" s="541" t="s">
        <v>612</v>
      </c>
      <c r="C63" s="571" t="s">
        <v>949</v>
      </c>
      <c r="D63" s="542">
        <v>84.6</v>
      </c>
      <c r="E63" s="572">
        <v>62.8</v>
      </c>
      <c r="F63" s="542">
        <v>10.199999999999999</v>
      </c>
      <c r="G63" s="572">
        <v>19.5</v>
      </c>
      <c r="H63" s="542">
        <v>10</v>
      </c>
      <c r="I63" s="573">
        <v>216.8</v>
      </c>
    </row>
    <row r="64" spans="1:9" ht="14" thickBot="1">
      <c r="A64" s="540">
        <v>1318</v>
      </c>
      <c r="B64" s="541" t="s">
        <v>613</v>
      </c>
      <c r="C64" s="571" t="s">
        <v>949</v>
      </c>
      <c r="D64" s="542">
        <v>34.700000000000003</v>
      </c>
      <c r="E64" s="572">
        <v>11.9</v>
      </c>
      <c r="F64" s="542">
        <v>3.2</v>
      </c>
      <c r="G64" s="572">
        <v>18</v>
      </c>
      <c r="H64" s="542">
        <v>20</v>
      </c>
      <c r="I64" s="573">
        <v>165.1</v>
      </c>
    </row>
    <row r="65" spans="1:9" ht="14" thickBot="1">
      <c r="A65" s="540">
        <v>1322</v>
      </c>
      <c r="B65" s="541" t="s">
        <v>614</v>
      </c>
      <c r="C65" s="571" t="s">
        <v>949</v>
      </c>
      <c r="D65" s="542">
        <v>131</v>
      </c>
      <c r="E65" s="572">
        <v>84.7</v>
      </c>
      <c r="F65" s="542">
        <v>14</v>
      </c>
      <c r="G65" s="572">
        <v>18.2</v>
      </c>
      <c r="H65" s="542">
        <v>34.6</v>
      </c>
      <c r="I65" s="573">
        <v>157.30000000000001</v>
      </c>
    </row>
    <row r="66" spans="1:9" ht="14" thickBot="1">
      <c r="A66" s="540">
        <v>1328</v>
      </c>
      <c r="B66" s="541" t="s">
        <v>615</v>
      </c>
      <c r="C66" s="571" t="s">
        <v>949</v>
      </c>
      <c r="D66" s="542">
        <v>151.1</v>
      </c>
      <c r="E66" s="572">
        <v>116.2</v>
      </c>
      <c r="F66" s="542">
        <v>10.1</v>
      </c>
      <c r="G66" s="572">
        <v>23.1</v>
      </c>
      <c r="H66" s="542">
        <v>571.79999999999995</v>
      </c>
      <c r="I66" s="573">
        <v>238.1</v>
      </c>
    </row>
    <row r="67" spans="1:9" ht="14" thickBot="1">
      <c r="A67" s="540">
        <v>1331</v>
      </c>
      <c r="B67" s="541" t="s">
        <v>616</v>
      </c>
      <c r="C67" s="571" t="s">
        <v>949</v>
      </c>
      <c r="D67" s="542">
        <v>2.6</v>
      </c>
      <c r="E67" s="572">
        <v>0.4</v>
      </c>
      <c r="F67" s="542">
        <v>11.9</v>
      </c>
      <c r="G67" s="572">
        <v>3</v>
      </c>
      <c r="H67" s="542">
        <v>134.4</v>
      </c>
      <c r="I67" s="573">
        <v>556.1</v>
      </c>
    </row>
    <row r="68" spans="1:9" ht="14" thickBot="1">
      <c r="A68" s="540">
        <v>1362</v>
      </c>
      <c r="B68" s="541" t="s">
        <v>617</v>
      </c>
      <c r="C68" s="571" t="s">
        <v>949</v>
      </c>
      <c r="D68" s="542">
        <v>15</v>
      </c>
      <c r="E68" s="572">
        <v>0</v>
      </c>
      <c r="F68" s="542">
        <v>0</v>
      </c>
      <c r="G68" s="572">
        <v>3.6</v>
      </c>
      <c r="H68" s="542">
        <v>1.5</v>
      </c>
      <c r="I68" s="573">
        <v>12.8</v>
      </c>
    </row>
    <row r="69" spans="1:9" ht="14" thickBot="1">
      <c r="A69" s="540">
        <v>1384</v>
      </c>
      <c r="B69" s="541" t="s">
        <v>618</v>
      </c>
      <c r="C69" s="571" t="s">
        <v>949</v>
      </c>
      <c r="D69" s="542">
        <v>7437.2</v>
      </c>
      <c r="E69" s="572">
        <v>6013.2</v>
      </c>
      <c r="F69" s="542">
        <v>445.4</v>
      </c>
      <c r="G69" s="572">
        <v>936.6</v>
      </c>
      <c r="H69" s="542">
        <v>1093.5999999999999</v>
      </c>
      <c r="I69" s="573">
        <v>4662.1000000000004</v>
      </c>
    </row>
    <row r="70" spans="1:9" ht="14" thickBot="1">
      <c r="A70" s="540">
        <v>1386</v>
      </c>
      <c r="B70" s="541" t="s">
        <v>619</v>
      </c>
      <c r="C70" s="571" t="s">
        <v>949</v>
      </c>
      <c r="D70" s="542">
        <v>1269.9000000000001</v>
      </c>
      <c r="E70" s="572">
        <v>1313.8</v>
      </c>
      <c r="F70" s="542">
        <v>65.400000000000006</v>
      </c>
      <c r="G70" s="572">
        <v>-67.599999999999994</v>
      </c>
      <c r="H70" s="542">
        <v>100</v>
      </c>
      <c r="I70" s="573">
        <v>173.8</v>
      </c>
    </row>
    <row r="71" spans="1:9" ht="14" thickBot="1">
      <c r="A71" s="540">
        <v>1401</v>
      </c>
      <c r="B71" s="541" t="s">
        <v>621</v>
      </c>
      <c r="C71" s="571" t="s">
        <v>949</v>
      </c>
      <c r="D71" s="542">
        <v>59.3</v>
      </c>
      <c r="E71" s="572">
        <v>30.1</v>
      </c>
      <c r="F71" s="542">
        <v>24.9</v>
      </c>
      <c r="G71" s="572">
        <v>4.5</v>
      </c>
      <c r="H71" s="542">
        <v>110</v>
      </c>
      <c r="I71" s="573">
        <v>239.8</v>
      </c>
    </row>
    <row r="72" spans="1:9" ht="14" thickBot="1">
      <c r="A72" s="540">
        <v>1402</v>
      </c>
      <c r="B72" s="541" t="s">
        <v>639</v>
      </c>
      <c r="C72" s="571" t="s">
        <v>1776</v>
      </c>
      <c r="D72" s="542">
        <v>0</v>
      </c>
      <c r="E72" s="572">
        <v>135.4</v>
      </c>
      <c r="F72" s="542">
        <v>1.3</v>
      </c>
      <c r="G72" s="572">
        <v>162.6</v>
      </c>
      <c r="H72" s="542">
        <v>20</v>
      </c>
      <c r="I72" s="573">
        <v>1074.3</v>
      </c>
    </row>
    <row r="73" spans="1:9" ht="14" thickBot="1">
      <c r="A73" s="540">
        <v>1423</v>
      </c>
      <c r="B73" s="541" t="s">
        <v>622</v>
      </c>
      <c r="C73" s="571" t="s">
        <v>949</v>
      </c>
      <c r="D73" s="542">
        <v>99.7</v>
      </c>
      <c r="E73" s="572">
        <v>111.5</v>
      </c>
      <c r="F73" s="542">
        <v>4.5999999999999996</v>
      </c>
      <c r="G73" s="572">
        <v>-8.6999999999999993</v>
      </c>
      <c r="H73" s="542">
        <v>120</v>
      </c>
      <c r="I73" s="573">
        <v>215.1</v>
      </c>
    </row>
    <row r="74" spans="1:9" ht="14" thickBot="1">
      <c r="A74" s="540">
        <v>1442</v>
      </c>
      <c r="B74" s="541" t="s">
        <v>122</v>
      </c>
      <c r="C74" s="571" t="s">
        <v>949</v>
      </c>
      <c r="D74" s="542">
        <v>45.9</v>
      </c>
      <c r="E74" s="572">
        <v>12.5</v>
      </c>
      <c r="F74" s="542">
        <v>1.9</v>
      </c>
      <c r="G74" s="572">
        <v>35</v>
      </c>
      <c r="H74" s="542">
        <v>10</v>
      </c>
      <c r="I74" s="573">
        <v>238.6</v>
      </c>
    </row>
    <row r="75" spans="1:9" ht="14" thickBot="1">
      <c r="A75" s="540">
        <v>1454</v>
      </c>
      <c r="B75" s="541" t="s">
        <v>123</v>
      </c>
      <c r="C75" s="571" t="s">
        <v>949</v>
      </c>
      <c r="D75" s="542">
        <v>2044</v>
      </c>
      <c r="E75" s="572">
        <v>1639.6</v>
      </c>
      <c r="F75" s="542">
        <v>151</v>
      </c>
      <c r="G75" s="572">
        <v>9.9</v>
      </c>
      <c r="H75" s="542">
        <v>2750</v>
      </c>
      <c r="I75" s="573">
        <v>1667.8</v>
      </c>
    </row>
    <row r="76" spans="1:9" ht="14" thickBot="1">
      <c r="A76" s="540">
        <v>1479</v>
      </c>
      <c r="B76" s="541" t="s">
        <v>88</v>
      </c>
      <c r="C76" s="571" t="s">
        <v>949</v>
      </c>
      <c r="D76" s="542">
        <v>13298</v>
      </c>
      <c r="E76" s="572">
        <v>7654.8</v>
      </c>
      <c r="F76" s="542">
        <v>2475.9</v>
      </c>
      <c r="G76" s="572">
        <v>4627.7</v>
      </c>
      <c r="H76" s="542">
        <v>1240</v>
      </c>
      <c r="I76" s="573">
        <v>21719.4</v>
      </c>
    </row>
    <row r="77" spans="1:9" ht="14" thickBot="1">
      <c r="A77" s="540">
        <v>1491</v>
      </c>
      <c r="B77" s="541" t="s">
        <v>640</v>
      </c>
      <c r="C77" s="571" t="s">
        <v>1776</v>
      </c>
      <c r="D77" s="542">
        <v>1768.4</v>
      </c>
      <c r="E77" s="572">
        <v>1621.3</v>
      </c>
      <c r="F77" s="542">
        <v>206.9</v>
      </c>
      <c r="G77" s="572">
        <v>146</v>
      </c>
      <c r="H77" s="542">
        <v>0</v>
      </c>
      <c r="I77" s="573">
        <v>2299.1999999999998</v>
      </c>
    </row>
    <row r="78" spans="1:9" ht="14" thickBot="1">
      <c r="A78" s="540">
        <v>1507</v>
      </c>
      <c r="B78" s="541" t="s">
        <v>623</v>
      </c>
      <c r="C78" s="571" t="s">
        <v>949</v>
      </c>
      <c r="D78" s="542">
        <v>387.1</v>
      </c>
      <c r="E78" s="572">
        <v>171.9</v>
      </c>
      <c r="F78" s="542">
        <v>65.3</v>
      </c>
      <c r="G78" s="572">
        <v>56.2</v>
      </c>
      <c r="H78" s="542">
        <v>110</v>
      </c>
      <c r="I78" s="573">
        <v>1432</v>
      </c>
    </row>
    <row r="79" spans="1:9" ht="14" thickBot="1">
      <c r="A79" s="540">
        <v>1509</v>
      </c>
      <c r="B79" s="541" t="s">
        <v>624</v>
      </c>
      <c r="C79" s="571" t="s">
        <v>949</v>
      </c>
      <c r="D79" s="542">
        <v>8351.2999999999993</v>
      </c>
      <c r="E79" s="572">
        <v>6256.4</v>
      </c>
      <c r="F79" s="542">
        <v>600</v>
      </c>
      <c r="G79" s="572">
        <v>1470</v>
      </c>
      <c r="H79" s="542">
        <v>4175</v>
      </c>
      <c r="I79" s="573">
        <v>10229.200000000001</v>
      </c>
    </row>
    <row r="80" spans="1:9" ht="14" thickBot="1">
      <c r="A80" s="540">
        <v>1520</v>
      </c>
      <c r="B80" s="541" t="s">
        <v>625</v>
      </c>
      <c r="C80" s="571" t="s">
        <v>949</v>
      </c>
      <c r="D80" s="542">
        <v>26203.599999999999</v>
      </c>
      <c r="E80" s="572">
        <v>21233.3</v>
      </c>
      <c r="F80" s="542">
        <v>2000</v>
      </c>
      <c r="G80" s="572">
        <v>3127.1</v>
      </c>
      <c r="H80" s="542">
        <v>3500</v>
      </c>
      <c r="I80" s="573">
        <v>10878.9</v>
      </c>
    </row>
    <row r="81" spans="1:9" ht="14" thickBot="1">
      <c r="A81" s="540">
        <v>1522</v>
      </c>
      <c r="B81" s="541" t="s">
        <v>641</v>
      </c>
      <c r="C81" s="571" t="s">
        <v>1776</v>
      </c>
      <c r="D81" s="542">
        <v>2811.2</v>
      </c>
      <c r="E81" s="572">
        <v>2835.3</v>
      </c>
      <c r="F81" s="542">
        <v>332.4</v>
      </c>
      <c r="G81" s="572">
        <v>0.7</v>
      </c>
      <c r="H81" s="542">
        <v>150</v>
      </c>
      <c r="I81" s="573">
        <v>4856.8999999999996</v>
      </c>
    </row>
    <row r="82" spans="1:9" ht="14" thickBot="1">
      <c r="A82" s="540">
        <v>1529</v>
      </c>
      <c r="B82" s="541" t="s">
        <v>626</v>
      </c>
      <c r="C82" s="571" t="s">
        <v>949</v>
      </c>
      <c r="D82" s="542">
        <v>1017</v>
      </c>
      <c r="E82" s="572">
        <v>853.8</v>
      </c>
      <c r="F82" s="542">
        <v>32.799999999999997</v>
      </c>
      <c r="G82" s="572">
        <v>420</v>
      </c>
      <c r="H82" s="542">
        <v>196.4</v>
      </c>
      <c r="I82" s="573">
        <v>6663.8</v>
      </c>
    </row>
    <row r="83" spans="1:9" ht="14" thickBot="1">
      <c r="A83" s="540">
        <v>1535</v>
      </c>
      <c r="B83" s="541" t="s">
        <v>627</v>
      </c>
      <c r="C83" s="571" t="s">
        <v>949</v>
      </c>
      <c r="D83" s="542">
        <v>24243.7</v>
      </c>
      <c r="E83" s="572">
        <v>16924</v>
      </c>
      <c r="F83" s="542">
        <v>1927.2</v>
      </c>
      <c r="G83" s="572">
        <v>5718</v>
      </c>
      <c r="H83" s="542">
        <v>1751</v>
      </c>
      <c r="I83" s="573">
        <v>25720.400000000001</v>
      </c>
    </row>
    <row r="84" spans="1:9" ht="14" thickBot="1">
      <c r="A84" s="540">
        <v>1540</v>
      </c>
      <c r="B84" s="541" t="s">
        <v>642</v>
      </c>
      <c r="C84" s="571" t="s">
        <v>1776</v>
      </c>
      <c r="D84" s="542">
        <v>2559.4</v>
      </c>
      <c r="E84" s="572">
        <v>2065</v>
      </c>
      <c r="F84" s="542">
        <v>163.5</v>
      </c>
      <c r="G84" s="572">
        <v>446.6</v>
      </c>
      <c r="H84" s="542">
        <v>25</v>
      </c>
      <c r="I84" s="573">
        <v>1873.8</v>
      </c>
    </row>
    <row r="85" spans="1:9" ht="14" thickBot="1">
      <c r="A85" s="540">
        <v>1551</v>
      </c>
      <c r="B85" s="541" t="s">
        <v>629</v>
      </c>
      <c r="C85" s="571" t="s">
        <v>949</v>
      </c>
      <c r="D85" s="542">
        <v>1246.2</v>
      </c>
      <c r="E85" s="572">
        <v>836.7</v>
      </c>
      <c r="F85" s="542">
        <v>207.1</v>
      </c>
      <c r="G85" s="572">
        <v>324.60000000000002</v>
      </c>
      <c r="H85" s="542">
        <v>300</v>
      </c>
      <c r="I85" s="573">
        <v>1004.6</v>
      </c>
    </row>
    <row r="86" spans="1:9" ht="14" thickBot="1">
      <c r="A86" s="540">
        <v>1552</v>
      </c>
      <c r="B86" s="541" t="s">
        <v>630</v>
      </c>
      <c r="C86" s="571" t="s">
        <v>949</v>
      </c>
      <c r="D86" s="542">
        <v>0.4</v>
      </c>
      <c r="E86" s="572">
        <v>0</v>
      </c>
      <c r="F86" s="542">
        <v>0</v>
      </c>
      <c r="G86" s="572">
        <v>0.2</v>
      </c>
      <c r="H86" s="542">
        <v>0</v>
      </c>
      <c r="I86" s="573">
        <v>1.3</v>
      </c>
    </row>
    <row r="87" spans="1:9" ht="14" thickBot="1">
      <c r="A87" s="540">
        <v>1555</v>
      </c>
      <c r="B87" s="541" t="s">
        <v>631</v>
      </c>
      <c r="C87" s="571" t="s">
        <v>949</v>
      </c>
      <c r="D87" s="542">
        <v>5667.8</v>
      </c>
      <c r="E87" s="572">
        <v>2780.6</v>
      </c>
      <c r="F87" s="542">
        <v>242</v>
      </c>
      <c r="G87" s="572">
        <v>3059.7</v>
      </c>
      <c r="H87" s="542">
        <v>854</v>
      </c>
      <c r="I87" s="573">
        <v>44133</v>
      </c>
    </row>
    <row r="88" spans="1:9" ht="14" thickBot="1">
      <c r="A88" s="540">
        <v>1560</v>
      </c>
      <c r="B88" s="541" t="s">
        <v>632</v>
      </c>
      <c r="C88" s="571" t="s">
        <v>949</v>
      </c>
      <c r="D88" s="542">
        <v>14135.3</v>
      </c>
      <c r="E88" s="572">
        <v>10247.700000000001</v>
      </c>
      <c r="F88" s="542">
        <v>1149.5999999999999</v>
      </c>
      <c r="G88" s="572">
        <v>3043.6</v>
      </c>
      <c r="H88" s="542">
        <v>2612.6</v>
      </c>
      <c r="I88" s="573">
        <v>22544.9</v>
      </c>
    </row>
    <row r="89" spans="1:9" ht="14" thickBot="1">
      <c r="A89" s="540">
        <v>1562</v>
      </c>
      <c r="B89" s="541" t="s">
        <v>633</v>
      </c>
      <c r="C89" s="571" t="s">
        <v>949</v>
      </c>
      <c r="D89" s="542">
        <v>119909.2</v>
      </c>
      <c r="E89" s="572">
        <v>85877.5</v>
      </c>
      <c r="F89" s="542">
        <v>16141.5</v>
      </c>
      <c r="G89" s="572">
        <v>7647.4</v>
      </c>
      <c r="H89" s="542">
        <v>53325</v>
      </c>
      <c r="I89" s="573">
        <v>72652.5</v>
      </c>
    </row>
    <row r="90" spans="1:9" ht="14" thickBot="1">
      <c r="A90" s="540">
        <v>1563</v>
      </c>
      <c r="B90" s="541" t="s">
        <v>634</v>
      </c>
      <c r="C90" s="571" t="s">
        <v>949</v>
      </c>
      <c r="D90" s="542">
        <v>1991.7</v>
      </c>
      <c r="E90" s="572">
        <v>1252.8</v>
      </c>
      <c r="F90" s="542">
        <v>810.1</v>
      </c>
      <c r="G90" s="572">
        <v>-77.7</v>
      </c>
      <c r="H90" s="542">
        <v>215</v>
      </c>
      <c r="I90" s="573">
        <v>2261</v>
      </c>
    </row>
    <row r="91" spans="1:9" ht="14" thickBot="1">
      <c r="A91" s="540">
        <v>1565</v>
      </c>
      <c r="B91" s="541" t="s">
        <v>635</v>
      </c>
      <c r="C91" s="571" t="s">
        <v>949</v>
      </c>
      <c r="D91" s="542">
        <v>0.4</v>
      </c>
      <c r="E91" s="572">
        <v>0</v>
      </c>
      <c r="F91" s="542">
        <v>0.1</v>
      </c>
      <c r="G91" s="572">
        <v>0.3</v>
      </c>
      <c r="H91" s="542">
        <v>0</v>
      </c>
      <c r="I91" s="573">
        <v>0.5</v>
      </c>
    </row>
    <row r="92" spans="1:9" ht="14" thickBot="1">
      <c r="A92" s="540">
        <v>1566</v>
      </c>
      <c r="B92" s="541" t="s">
        <v>636</v>
      </c>
      <c r="C92" s="571" t="s">
        <v>949</v>
      </c>
      <c r="D92" s="542">
        <v>134.5</v>
      </c>
      <c r="E92" s="572">
        <v>68.3</v>
      </c>
      <c r="F92" s="542">
        <v>17.5</v>
      </c>
      <c r="G92" s="572">
        <v>20.8</v>
      </c>
      <c r="H92" s="542">
        <v>52</v>
      </c>
      <c r="I92" s="573">
        <v>80.5</v>
      </c>
    </row>
    <row r="93" spans="1:9" ht="14" thickBot="1">
      <c r="A93" s="540"/>
      <c r="B93" s="541"/>
      <c r="C93" s="571"/>
      <c r="D93" s="542"/>
      <c r="E93" s="572"/>
      <c r="F93" s="542"/>
      <c r="G93" s="572"/>
      <c r="H93" s="542"/>
      <c r="I93" s="573"/>
    </row>
    <row r="94" spans="1:9" ht="14" thickBot="1">
      <c r="A94" s="540"/>
      <c r="B94" s="541"/>
      <c r="C94" s="571"/>
      <c r="D94" s="542"/>
      <c r="E94" s="572"/>
      <c r="F94" s="542"/>
      <c r="G94" s="572"/>
      <c r="H94" s="542"/>
      <c r="I94" s="573"/>
    </row>
    <row r="95" spans="1:9" ht="14" thickBot="1">
      <c r="A95" s="540"/>
      <c r="B95" s="541"/>
      <c r="C95" s="571"/>
      <c r="D95" s="542"/>
      <c r="E95" s="572"/>
      <c r="F95" s="542"/>
      <c r="G95" s="572"/>
      <c r="H95" s="542"/>
      <c r="I95" s="573"/>
    </row>
    <row r="96" spans="1:9" ht="14" thickBot="1">
      <c r="A96" s="540"/>
      <c r="B96" s="541"/>
      <c r="C96" s="571"/>
      <c r="D96" s="542"/>
      <c r="E96" s="572"/>
      <c r="F96" s="542"/>
      <c r="G96" s="572"/>
      <c r="H96" s="542"/>
      <c r="I96" s="573"/>
    </row>
    <row r="97" spans="1:9" ht="14" thickBot="1">
      <c r="A97" s="540"/>
      <c r="B97" s="541"/>
      <c r="C97" s="571"/>
      <c r="D97" s="542"/>
      <c r="E97" s="572"/>
      <c r="F97" s="542"/>
      <c r="G97" s="572"/>
      <c r="H97" s="542"/>
      <c r="I97" s="573"/>
    </row>
    <row r="98" spans="1:9" ht="14" thickBot="1">
      <c r="A98" s="540"/>
      <c r="B98" s="541"/>
      <c r="C98" s="571"/>
      <c r="D98" s="542"/>
      <c r="E98" s="572"/>
      <c r="F98" s="542"/>
      <c r="G98" s="572"/>
      <c r="H98" s="542"/>
      <c r="I98" s="573"/>
    </row>
    <row r="99" spans="1:9" ht="14" thickBot="1">
      <c r="A99" s="540"/>
      <c r="B99" s="541"/>
      <c r="C99" s="571"/>
      <c r="D99" s="542"/>
      <c r="E99" s="572"/>
      <c r="F99" s="542"/>
      <c r="G99" s="572"/>
      <c r="H99" s="542"/>
      <c r="I99" s="573"/>
    </row>
    <row r="100" spans="1:9" ht="14" thickBot="1">
      <c r="A100" s="540"/>
      <c r="B100" s="541"/>
      <c r="C100" s="571"/>
      <c r="D100" s="542"/>
      <c r="E100" s="572"/>
      <c r="F100" s="542"/>
      <c r="G100" s="572"/>
      <c r="H100" s="542"/>
      <c r="I100" s="573"/>
    </row>
    <row r="101" spans="1:9" ht="14" thickBot="1">
      <c r="A101" s="540"/>
      <c r="B101" s="541"/>
      <c r="C101" s="571"/>
      <c r="D101" s="542"/>
      <c r="E101" s="572"/>
      <c r="F101" s="542"/>
      <c r="G101" s="572"/>
      <c r="H101" s="542"/>
      <c r="I101" s="573"/>
    </row>
    <row r="102" spans="1:9" ht="14" thickBot="1">
      <c r="A102" s="540"/>
      <c r="B102" s="541"/>
      <c r="C102" s="571"/>
      <c r="D102" s="542"/>
      <c r="E102" s="572"/>
      <c r="F102" s="542"/>
      <c r="G102" s="572"/>
      <c r="H102" s="542"/>
      <c r="I102" s="573"/>
    </row>
    <row r="103" spans="1:9" ht="14" thickBot="1">
      <c r="A103" s="540"/>
      <c r="B103" s="541"/>
      <c r="C103" s="571"/>
      <c r="D103" s="542"/>
      <c r="E103" s="572"/>
      <c r="F103" s="542"/>
      <c r="G103" s="572"/>
      <c r="H103" s="542"/>
      <c r="I103" s="573"/>
    </row>
    <row r="104" spans="1:9" s="163" customFormat="1" ht="18.75" customHeight="1" thickBot="1">
      <c r="A104" s="574" t="s">
        <v>43</v>
      </c>
      <c r="B104" s="547">
        <v>82</v>
      </c>
      <c r="C104" s="557">
        <v>5</v>
      </c>
      <c r="D104" s="549">
        <v>342301.1</v>
      </c>
      <c r="E104" s="550">
        <v>251061.5</v>
      </c>
      <c r="F104" s="549">
        <v>44428.6</v>
      </c>
      <c r="G104" s="550">
        <v>48289.5</v>
      </c>
      <c r="H104" s="549">
        <v>92528.8</v>
      </c>
      <c r="I104" s="553">
        <v>346889.2</v>
      </c>
    </row>
    <row r="105" spans="1:9" ht="16.5" customHeight="1" thickBot="1">
      <c r="A105" s="3" t="s">
        <v>596</v>
      </c>
      <c r="C105" s="575"/>
      <c r="D105" s="559"/>
      <c r="E105" s="559"/>
      <c r="F105" s="560"/>
      <c r="G105" s="559"/>
      <c r="H105" s="561"/>
      <c r="I105" s="562"/>
    </row>
    <row r="107" spans="1:9">
      <c r="A107" s="2" t="s">
        <v>950</v>
      </c>
    </row>
    <row r="109" spans="1:9">
      <c r="A109" s="20" t="s">
        <v>951</v>
      </c>
    </row>
    <row r="110" spans="1:9">
      <c r="A110" s="21">
        <v>0</v>
      </c>
      <c r="B110" s="20" t="s">
        <v>952</v>
      </c>
    </row>
    <row r="111" spans="1:9">
      <c r="A111" s="21">
        <v>1</v>
      </c>
      <c r="B111" s="20" t="s">
        <v>953</v>
      </c>
    </row>
    <row r="112" spans="1:9">
      <c r="A112" s="21">
        <v>2</v>
      </c>
      <c r="B112" s="20" t="s">
        <v>954</v>
      </c>
    </row>
    <row r="113" spans="1:2">
      <c r="A113" s="21">
        <v>3</v>
      </c>
      <c r="B113" s="20" t="s">
        <v>955</v>
      </c>
    </row>
    <row r="114" spans="1:2">
      <c r="A114" s="21" t="s">
        <v>956</v>
      </c>
      <c r="B114" s="20" t="s">
        <v>957</v>
      </c>
    </row>
    <row r="115" spans="1:2">
      <c r="A115" s="21">
        <v>5</v>
      </c>
      <c r="B115" s="20" t="s">
        <v>958</v>
      </c>
    </row>
    <row r="116" spans="1:2">
      <c r="A116" s="21">
        <v>6</v>
      </c>
      <c r="B116" s="20" t="s">
        <v>959</v>
      </c>
    </row>
    <row r="117" spans="1:2">
      <c r="A117" s="21">
        <v>7</v>
      </c>
      <c r="B117" s="20" t="s">
        <v>960</v>
      </c>
    </row>
    <row r="120" spans="1:2">
      <c r="A120" s="2" t="s">
        <v>128</v>
      </c>
    </row>
  </sheetData>
  <phoneticPr fontId="0" type="noConversion"/>
  <pageMargins left="0.51" right="0.35" top="0.62" bottom="0.56999999999999995" header="0.36" footer="0.28000000000000003"/>
  <pageSetup paperSize="9" scale="68" fitToHeight="2" pageOrder="overThenDown" orientation="portrait" horizontalDpi="1200" verticalDpi="1200"/>
  <headerFooter alignWithMargins="0">
    <oddFooter>&amp;L&amp;P/&amp;N</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2A5BE-278B-2347-B8B6-BF4CD1546961}">
  <sheetPr>
    <pageSetUpPr fitToPage="1"/>
  </sheetPr>
  <dimension ref="A1:O33"/>
  <sheetViews>
    <sheetView zoomScale="75" zoomScaleNormal="75" workbookViewId="0">
      <selection activeCell="C3" sqref="C3"/>
    </sheetView>
  </sheetViews>
  <sheetFormatPr baseColWidth="10" defaultColWidth="11.3984375" defaultRowHeight="13"/>
  <cols>
    <col min="1" max="1" width="5.796875" style="2" customWidth="1"/>
    <col min="2" max="2" width="35.19921875" style="21" customWidth="1"/>
    <col min="3" max="3" width="10.796875" style="21" customWidth="1"/>
    <col min="4" max="4" width="11.19921875" style="21" customWidth="1"/>
    <col min="5" max="5" width="10.19921875" style="9" customWidth="1"/>
    <col min="6" max="6" width="17.59765625" style="9" customWidth="1"/>
    <col min="7" max="7" width="14.19921875" style="2" customWidth="1"/>
    <col min="8" max="8" width="7.59765625" style="61" customWidth="1"/>
    <col min="9" max="9" width="26.19921875" style="2" customWidth="1"/>
    <col min="10" max="16384" width="11.3984375" style="2"/>
  </cols>
  <sheetData>
    <row r="1" spans="1:9" s="1" customFormat="1" ht="14" customHeight="1">
      <c r="A1" s="25"/>
      <c r="B1" s="26"/>
      <c r="C1" s="26"/>
      <c r="D1" s="26"/>
      <c r="E1" s="25"/>
      <c r="F1" s="27"/>
      <c r="G1" s="25"/>
      <c r="H1" s="28"/>
      <c r="I1" s="25"/>
    </row>
    <row r="2" spans="1:9" s="1" customFormat="1" ht="19.5" customHeight="1">
      <c r="A2" s="19" t="s">
        <v>1576</v>
      </c>
      <c r="C2" s="26"/>
      <c r="D2" s="26"/>
      <c r="E2" s="27"/>
      <c r="F2" s="27"/>
      <c r="G2" s="29"/>
      <c r="H2" s="28"/>
      <c r="I2" s="19">
        <v>2005</v>
      </c>
    </row>
    <row r="3" spans="1:9" s="1" customFormat="1" ht="11.25" customHeight="1">
      <c r="A3" s="25"/>
      <c r="B3" s="25"/>
      <c r="C3" s="26"/>
      <c r="D3" s="26"/>
      <c r="E3" s="27"/>
      <c r="F3" s="27"/>
      <c r="G3" s="25"/>
      <c r="H3" s="28"/>
      <c r="I3" s="25"/>
    </row>
    <row r="4" spans="1:9" ht="18" customHeight="1">
      <c r="A4" s="30" t="s">
        <v>1575</v>
      </c>
      <c r="B4" s="30" t="s">
        <v>1560</v>
      </c>
      <c r="C4" s="31" t="s">
        <v>1561</v>
      </c>
      <c r="D4" s="32" t="s">
        <v>1562</v>
      </c>
      <c r="E4" s="33" t="s">
        <v>1563</v>
      </c>
      <c r="F4" s="34" t="s">
        <v>1564</v>
      </c>
      <c r="G4" s="31" t="s">
        <v>1565</v>
      </c>
      <c r="H4" s="35" t="s">
        <v>1566</v>
      </c>
      <c r="I4" s="32"/>
    </row>
    <row r="5" spans="1:9" ht="15" customHeight="1">
      <c r="A5" s="36" t="s">
        <v>1567</v>
      </c>
      <c r="B5" s="36"/>
      <c r="C5" s="37"/>
      <c r="D5" s="38" t="s">
        <v>1568</v>
      </c>
      <c r="E5" s="39" t="s">
        <v>1569</v>
      </c>
      <c r="F5" s="40" t="s">
        <v>1570</v>
      </c>
      <c r="G5" s="37" t="s">
        <v>1571</v>
      </c>
      <c r="H5" s="41" t="s">
        <v>1651</v>
      </c>
      <c r="I5" s="38"/>
    </row>
    <row r="6" spans="1:9" ht="15" customHeight="1">
      <c r="A6" s="36"/>
      <c r="B6" s="36"/>
      <c r="C6" s="37"/>
      <c r="D6" s="38" t="s">
        <v>127</v>
      </c>
      <c r="E6" s="39"/>
      <c r="F6" s="40"/>
      <c r="G6" s="37" t="s">
        <v>1572</v>
      </c>
      <c r="H6" s="42"/>
      <c r="I6" s="38"/>
    </row>
    <row r="7" spans="1:9" ht="18" customHeight="1">
      <c r="A7" s="43"/>
      <c r="B7" s="44"/>
      <c r="C7" s="45"/>
      <c r="D7" s="46"/>
      <c r="E7" s="47"/>
      <c r="F7" s="48"/>
      <c r="G7" s="45"/>
      <c r="H7" s="49"/>
      <c r="I7" s="46"/>
    </row>
    <row r="8" spans="1:9" ht="36" customHeight="1" thickBot="1">
      <c r="A8" s="50">
        <v>109</v>
      </c>
      <c r="B8" s="51" t="s">
        <v>108</v>
      </c>
      <c r="C8" s="780" t="s">
        <v>2207</v>
      </c>
      <c r="D8" s="53" t="s">
        <v>1573</v>
      </c>
      <c r="E8" s="54"/>
      <c r="F8" s="53"/>
      <c r="G8" s="54"/>
      <c r="H8" s="55">
        <v>991</v>
      </c>
      <c r="I8" s="100" t="s">
        <v>109</v>
      </c>
    </row>
    <row r="9" spans="1:9" ht="39.75" customHeight="1" thickBot="1">
      <c r="A9" s="50">
        <v>240</v>
      </c>
      <c r="B9" s="51" t="s">
        <v>110</v>
      </c>
      <c r="C9" s="780" t="s">
        <v>2207</v>
      </c>
      <c r="D9" s="53" t="s">
        <v>1573</v>
      </c>
      <c r="E9" s="54"/>
      <c r="F9" s="53"/>
      <c r="G9" s="54"/>
      <c r="H9" s="50">
        <v>556</v>
      </c>
      <c r="I9" s="100" t="s">
        <v>111</v>
      </c>
    </row>
    <row r="10" spans="1:9" ht="30" customHeight="1" thickBot="1">
      <c r="A10" s="50">
        <v>992</v>
      </c>
      <c r="B10" s="51" t="s">
        <v>1649</v>
      </c>
      <c r="C10" s="780" t="s">
        <v>2207</v>
      </c>
      <c r="D10" s="53" t="s">
        <v>1573</v>
      </c>
      <c r="E10" s="54"/>
      <c r="F10" s="53"/>
      <c r="G10" s="54"/>
      <c r="H10" s="55">
        <v>1479</v>
      </c>
      <c r="I10" s="115" t="s">
        <v>88</v>
      </c>
    </row>
    <row r="11" spans="1:9" ht="33.75" customHeight="1" thickBot="1">
      <c r="A11" s="50">
        <v>994</v>
      </c>
      <c r="B11" s="51" t="s">
        <v>112</v>
      </c>
      <c r="C11" s="780" t="s">
        <v>2207</v>
      </c>
      <c r="D11" s="53"/>
      <c r="E11" s="54"/>
      <c r="F11" s="116" t="s">
        <v>113</v>
      </c>
      <c r="G11" s="54"/>
      <c r="H11" s="55"/>
      <c r="I11" s="53"/>
    </row>
    <row r="12" spans="1:9" ht="30.75" customHeight="1" thickBot="1">
      <c r="A12" s="50">
        <v>1007</v>
      </c>
      <c r="B12" s="51" t="s">
        <v>1650</v>
      </c>
      <c r="C12" s="780" t="s">
        <v>2207</v>
      </c>
      <c r="D12" s="53" t="s">
        <v>1573</v>
      </c>
      <c r="E12" s="54"/>
      <c r="F12" s="53"/>
      <c r="G12" s="54"/>
      <c r="H12" s="55">
        <v>1480</v>
      </c>
      <c r="I12" s="115" t="s">
        <v>88</v>
      </c>
    </row>
    <row r="13" spans="1:9" ht="30" customHeight="1" thickBot="1">
      <c r="A13" s="50">
        <v>1079</v>
      </c>
      <c r="B13" s="51" t="s">
        <v>1661</v>
      </c>
      <c r="C13" s="780" t="s">
        <v>2207</v>
      </c>
      <c r="D13" s="53" t="s">
        <v>1573</v>
      </c>
      <c r="E13" s="54"/>
      <c r="F13" s="53"/>
      <c r="G13" s="54"/>
      <c r="H13" s="55">
        <v>774</v>
      </c>
      <c r="I13" s="115" t="s">
        <v>114</v>
      </c>
    </row>
    <row r="14" spans="1:9" ht="30" customHeight="1" thickBot="1">
      <c r="A14" s="50">
        <v>1285</v>
      </c>
      <c r="B14" s="51" t="s">
        <v>115</v>
      </c>
      <c r="C14" s="780" t="s">
        <v>2207</v>
      </c>
      <c r="D14" s="53" t="s">
        <v>1573</v>
      </c>
      <c r="E14" s="54"/>
      <c r="F14" s="53"/>
      <c r="G14" s="54"/>
      <c r="H14" s="55">
        <v>774</v>
      </c>
      <c r="I14" s="115" t="s">
        <v>114</v>
      </c>
    </row>
    <row r="15" spans="1:9" ht="33.75" customHeight="1" thickBot="1">
      <c r="A15" s="50">
        <v>1305</v>
      </c>
      <c r="B15" s="51" t="s">
        <v>116</v>
      </c>
      <c r="C15" s="780" t="s">
        <v>2207</v>
      </c>
      <c r="D15" s="53" t="s">
        <v>1573</v>
      </c>
      <c r="E15" s="54"/>
      <c r="F15" s="53"/>
      <c r="G15" s="54"/>
      <c r="H15" s="55">
        <v>455</v>
      </c>
      <c r="I15" s="115" t="s">
        <v>117</v>
      </c>
    </row>
    <row r="16" spans="1:9" ht="44.25" customHeight="1" thickBot="1">
      <c r="A16" s="50">
        <v>1423</v>
      </c>
      <c r="B16" s="51" t="s">
        <v>118</v>
      </c>
      <c r="C16" s="780" t="s">
        <v>2207</v>
      </c>
      <c r="D16" s="53"/>
      <c r="E16" s="54"/>
      <c r="F16" s="53"/>
      <c r="G16" s="54" t="s">
        <v>120</v>
      </c>
      <c r="H16" s="55"/>
      <c r="I16" s="53"/>
    </row>
    <row r="17" spans="1:15" ht="33.75" customHeight="1" thickBot="1">
      <c r="A17" s="50">
        <v>1442</v>
      </c>
      <c r="B17" s="51" t="s">
        <v>121</v>
      </c>
      <c r="C17" s="780" t="s">
        <v>2207</v>
      </c>
      <c r="D17" s="53"/>
      <c r="E17" s="54"/>
      <c r="F17" s="53" t="s">
        <v>122</v>
      </c>
      <c r="G17" s="54"/>
      <c r="H17" s="55"/>
      <c r="I17" s="53"/>
    </row>
    <row r="18" spans="1:15" ht="30.75" customHeight="1" thickBot="1">
      <c r="A18" s="50">
        <v>1448</v>
      </c>
      <c r="B18" s="51" t="s">
        <v>1662</v>
      </c>
      <c r="C18" s="780" t="s">
        <v>2207</v>
      </c>
      <c r="D18" s="53" t="s">
        <v>1573</v>
      </c>
      <c r="E18" s="54"/>
      <c r="F18" s="53"/>
      <c r="G18" s="54"/>
      <c r="H18" s="55">
        <v>1454</v>
      </c>
      <c r="I18" s="100" t="s">
        <v>123</v>
      </c>
    </row>
    <row r="19" spans="1:15" ht="30.75" customHeight="1" thickBot="1">
      <c r="A19" s="50">
        <v>1454</v>
      </c>
      <c r="B19" s="51" t="s">
        <v>1663</v>
      </c>
      <c r="C19" s="780" t="s">
        <v>2207</v>
      </c>
      <c r="D19" s="53"/>
      <c r="E19" s="54"/>
      <c r="F19" s="53" t="s">
        <v>123</v>
      </c>
      <c r="G19" s="54"/>
      <c r="H19" s="55"/>
      <c r="I19" s="53"/>
    </row>
    <row r="20" spans="1:15" ht="28.5" customHeight="1" thickBot="1">
      <c r="A20" s="50">
        <v>1549</v>
      </c>
      <c r="B20" s="51" t="s">
        <v>124</v>
      </c>
      <c r="C20" s="780" t="s">
        <v>2207</v>
      </c>
      <c r="D20" s="53" t="s">
        <v>1573</v>
      </c>
      <c r="E20" s="54"/>
      <c r="F20" s="53"/>
      <c r="G20" s="54"/>
      <c r="H20" s="55">
        <v>1481</v>
      </c>
      <c r="I20" s="115" t="s">
        <v>88</v>
      </c>
    </row>
    <row r="21" spans="1:15" s="59" customFormat="1" ht="28.5" customHeight="1" thickBot="1">
      <c r="A21" s="50">
        <v>1568</v>
      </c>
      <c r="B21" s="51" t="s">
        <v>125</v>
      </c>
      <c r="C21" s="780" t="s">
        <v>2207</v>
      </c>
      <c r="D21" s="53"/>
      <c r="E21" s="54" t="s">
        <v>1573</v>
      </c>
      <c r="F21" s="53"/>
      <c r="G21" s="54"/>
      <c r="H21" s="55"/>
      <c r="I21" s="51"/>
    </row>
    <row r="22" spans="1:15" ht="28.5" customHeight="1" thickBot="1">
      <c r="A22" s="50">
        <v>1569</v>
      </c>
      <c r="B22" s="51" t="s">
        <v>126</v>
      </c>
      <c r="C22" s="780" t="s">
        <v>2207</v>
      </c>
      <c r="D22" s="53"/>
      <c r="E22" s="54" t="s">
        <v>1573</v>
      </c>
      <c r="F22" s="100"/>
      <c r="G22" s="54"/>
      <c r="H22" s="55"/>
      <c r="I22" s="53"/>
    </row>
    <row r="23" spans="1:15" ht="24.75" customHeight="1" thickBot="1">
      <c r="A23" s="50"/>
      <c r="B23" s="51"/>
      <c r="C23" s="52"/>
      <c r="D23" s="53"/>
      <c r="E23" s="54"/>
      <c r="F23" s="53"/>
      <c r="G23" s="54"/>
      <c r="H23" s="55"/>
      <c r="I23" s="53"/>
      <c r="J23"/>
      <c r="K23"/>
      <c r="L23"/>
      <c r="M23"/>
      <c r="N23"/>
      <c r="O23"/>
    </row>
    <row r="24" spans="1:15" ht="25.5" customHeight="1" thickBot="1">
      <c r="A24" s="56"/>
      <c r="B24" s="57" t="s">
        <v>43</v>
      </c>
      <c r="C24" s="58"/>
      <c r="D24" s="56">
        <v>9</v>
      </c>
      <c r="E24" s="101">
        <v>2</v>
      </c>
      <c r="F24" s="56">
        <v>3</v>
      </c>
      <c r="G24" s="58">
        <v>1</v>
      </c>
      <c r="H24" s="56">
        <v>9</v>
      </c>
      <c r="I24" s="56"/>
      <c r="J24"/>
      <c r="K24"/>
      <c r="L24"/>
      <c r="M24"/>
      <c r="N24"/>
      <c r="O24"/>
    </row>
    <row r="25" spans="1:15">
      <c r="B25" s="60"/>
    </row>
    <row r="26" spans="1:15">
      <c r="A26" s="62" t="s">
        <v>596</v>
      </c>
      <c r="G26" s="3"/>
      <c r="I26" s="3"/>
    </row>
    <row r="27" spans="1:15">
      <c r="A27" s="62"/>
      <c r="G27" s="3"/>
      <c r="I27" s="3"/>
    </row>
    <row r="28" spans="1:15">
      <c r="A28" s="63" t="s">
        <v>1583</v>
      </c>
      <c r="G28" s="3"/>
      <c r="I28" s="3"/>
    </row>
    <row r="29" spans="1:15">
      <c r="A29" s="64"/>
    </row>
    <row r="30" spans="1:15">
      <c r="A30" s="20" t="s">
        <v>1584</v>
      </c>
    </row>
    <row r="31" spans="1:15">
      <c r="A31" s="20"/>
    </row>
    <row r="32" spans="1:15">
      <c r="A32" s="20"/>
    </row>
    <row r="33" spans="1:1">
      <c r="A33" s="20" t="s">
        <v>128</v>
      </c>
    </row>
  </sheetData>
  <phoneticPr fontId="0" type="noConversion"/>
  <pageMargins left="0.6" right="0.55000000000000004" top="0.62992125984251968" bottom="0.74803149606299213" header="0.31496062992125984" footer="0.27559055118110237"/>
  <pageSetup paperSize="9" scale="64" pageOrder="overThenDown" orientation="portrait" horizontalDpi="1200" verticalDpi="1200"/>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B8A38-9440-5344-AD83-7715A69370B7}">
  <sheetPr>
    <pageSetUpPr fitToPage="1"/>
  </sheetPr>
  <dimension ref="A1:B11"/>
  <sheetViews>
    <sheetView workbookViewId="0">
      <selection activeCell="B3" sqref="B3"/>
    </sheetView>
  </sheetViews>
  <sheetFormatPr baseColWidth="10" defaultColWidth="11.3984375" defaultRowHeight="13"/>
  <cols>
    <col min="1" max="1" width="5.59765625" style="577" customWidth="1"/>
    <col min="2" max="16384" width="11.3984375" style="577"/>
  </cols>
  <sheetData>
    <row r="1" spans="1:2" ht="16">
      <c r="A1" s="576" t="s">
        <v>962</v>
      </c>
    </row>
    <row r="2" spans="1:2" ht="16">
      <c r="A2" s="578"/>
    </row>
    <row r="3" spans="1:2">
      <c r="A3" s="577">
        <v>6.01</v>
      </c>
      <c r="B3" s="579" t="s">
        <v>963</v>
      </c>
    </row>
    <row r="4" spans="1:2">
      <c r="A4" s="577">
        <v>6.02</v>
      </c>
      <c r="B4" s="579" t="s">
        <v>964</v>
      </c>
    </row>
    <row r="5" spans="1:2">
      <c r="A5" s="577">
        <v>6.03</v>
      </c>
      <c r="B5" s="579" t="s">
        <v>965</v>
      </c>
    </row>
    <row r="6" spans="1:2">
      <c r="A6" s="577">
        <v>6.04</v>
      </c>
      <c r="B6" s="579" t="s">
        <v>966</v>
      </c>
    </row>
    <row r="7" spans="1:2">
      <c r="A7" s="577">
        <v>6.05</v>
      </c>
      <c r="B7" s="579" t="s">
        <v>967</v>
      </c>
    </row>
    <row r="8" spans="1:2">
      <c r="A8" s="577">
        <v>6.06</v>
      </c>
      <c r="B8" s="579" t="s">
        <v>968</v>
      </c>
    </row>
    <row r="11" spans="1:2">
      <c r="A11" s="580" t="s">
        <v>128</v>
      </c>
    </row>
  </sheetData>
  <phoneticPr fontId="37" type="noConversion"/>
  <pageMargins left="0.46" right="0.35" top="0.69" bottom="0.984251969" header="0.36" footer="0.4921259845"/>
  <pageSetup paperSize="9" orientation="portrait"/>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3CB7A-78AA-2A4D-BE37-9D5570B2D8EC}">
  <sheetPr>
    <pageSetUpPr fitToPage="1"/>
  </sheetPr>
  <dimension ref="A1:G24"/>
  <sheetViews>
    <sheetView topLeftCell="A2" zoomScale="75" workbookViewId="0">
      <selection activeCell="A15" sqref="A15:IV15"/>
    </sheetView>
  </sheetViews>
  <sheetFormatPr baseColWidth="10" defaultColWidth="11.3984375" defaultRowHeight="13"/>
  <cols>
    <col min="1" max="1" width="16.796875" style="2" customWidth="1"/>
    <col min="2" max="7" width="14.796875" style="2" customWidth="1"/>
    <col min="8" max="16384" width="11.3984375" style="2"/>
  </cols>
  <sheetData>
    <row r="1" spans="1:7" s="1" customFormat="1" ht="14" customHeight="1"/>
    <row r="2" spans="1:7" s="1" customFormat="1" ht="31.5" customHeight="1">
      <c r="A2" s="1606" t="s">
        <v>1402</v>
      </c>
      <c r="B2" s="1610"/>
      <c r="C2" s="1610"/>
      <c r="D2" s="1610"/>
      <c r="E2" s="1610"/>
      <c r="F2" s="1610"/>
      <c r="G2" s="19">
        <v>2005</v>
      </c>
    </row>
    <row r="3" spans="1:7" ht="24" customHeight="1">
      <c r="A3" s="125" t="s">
        <v>1254</v>
      </c>
      <c r="B3" s="126" t="s">
        <v>654</v>
      </c>
      <c r="C3" s="127" t="s">
        <v>1403</v>
      </c>
      <c r="D3" s="126" t="s">
        <v>2056</v>
      </c>
      <c r="E3" s="127" t="s">
        <v>1404</v>
      </c>
      <c r="F3" s="126" t="s">
        <v>1405</v>
      </c>
      <c r="G3" s="329" t="s">
        <v>1405</v>
      </c>
    </row>
    <row r="4" spans="1:7" ht="15" customHeight="1">
      <c r="A4" s="212"/>
      <c r="B4" s="129" t="s">
        <v>154</v>
      </c>
      <c r="C4" s="131" t="s">
        <v>1406</v>
      </c>
      <c r="D4" s="129" t="s">
        <v>154</v>
      </c>
      <c r="E4" s="131" t="s">
        <v>1407</v>
      </c>
      <c r="F4" s="129" t="s">
        <v>1408</v>
      </c>
      <c r="G4" s="128" t="s">
        <v>1409</v>
      </c>
    </row>
    <row r="5" spans="1:7" ht="15" customHeight="1">
      <c r="A5" s="212"/>
      <c r="B5" s="129"/>
      <c r="C5" s="131" t="s">
        <v>1410</v>
      </c>
      <c r="D5" s="129"/>
      <c r="E5" s="131" t="s">
        <v>143</v>
      </c>
      <c r="F5" s="129" t="s">
        <v>1415</v>
      </c>
      <c r="G5" s="128" t="s">
        <v>1411</v>
      </c>
    </row>
    <row r="6" spans="1:7" ht="24" customHeight="1">
      <c r="A6" s="214"/>
      <c r="B6" s="135"/>
      <c r="C6" s="134" t="s">
        <v>699</v>
      </c>
      <c r="D6" s="135"/>
      <c r="E6" s="134" t="s">
        <v>1412</v>
      </c>
      <c r="F6" s="135"/>
      <c r="G6" s="132"/>
    </row>
    <row r="7" spans="1:7" ht="22.5" customHeight="1" thickBot="1">
      <c r="A7" s="216">
        <v>1996</v>
      </c>
      <c r="B7" s="601">
        <v>834.29346030999989</v>
      </c>
      <c r="C7" s="602">
        <v>376.29671172369871</v>
      </c>
      <c r="D7" s="601">
        <v>872.50191104999999</v>
      </c>
      <c r="E7" s="602">
        <v>393.53011346722496</v>
      </c>
      <c r="F7" s="603">
        <v>2217116</v>
      </c>
      <c r="G7" s="604">
        <v>150</v>
      </c>
    </row>
    <row r="8" spans="1:7" ht="20" customHeight="1" thickBot="1">
      <c r="A8" s="218">
        <v>1997</v>
      </c>
      <c r="B8" s="605">
        <v>560.57016199999998</v>
      </c>
      <c r="C8" s="592">
        <v>392.67</v>
      </c>
      <c r="D8" s="605">
        <v>621.52611999999999</v>
      </c>
      <c r="E8" s="592">
        <v>435.36</v>
      </c>
      <c r="F8" s="606">
        <v>1427603</v>
      </c>
      <c r="G8" s="607">
        <v>134</v>
      </c>
    </row>
    <row r="9" spans="1:7" ht="20" customHeight="1" thickBot="1">
      <c r="A9" s="218">
        <v>1998</v>
      </c>
      <c r="B9" s="605">
        <v>511.39633099999998</v>
      </c>
      <c r="C9" s="592">
        <v>426.81</v>
      </c>
      <c r="D9" s="605">
        <v>456.36259100000001</v>
      </c>
      <c r="E9" s="592">
        <v>380.88</v>
      </c>
      <c r="F9" s="606">
        <v>1198191</v>
      </c>
      <c r="G9" s="607">
        <v>115</v>
      </c>
    </row>
    <row r="10" spans="1:7" ht="20" customHeight="1" thickBot="1">
      <c r="A10" s="218">
        <v>1999</v>
      </c>
      <c r="B10" s="605">
        <v>464.48300699999999</v>
      </c>
      <c r="C10" s="592">
        <v>435.18</v>
      </c>
      <c r="D10" s="605">
        <v>412.14915300000001</v>
      </c>
      <c r="E10" s="592">
        <v>386.14</v>
      </c>
      <c r="F10" s="606">
        <v>1067344</v>
      </c>
      <c r="G10" s="607">
        <v>109</v>
      </c>
    </row>
    <row r="11" spans="1:7" ht="20" customHeight="1" thickBot="1">
      <c r="A11" s="218">
        <v>2000</v>
      </c>
      <c r="B11" s="605">
        <v>439.22602000000001</v>
      </c>
      <c r="C11" s="592">
        <v>461.5</v>
      </c>
      <c r="D11" s="605">
        <v>381.63992000000002</v>
      </c>
      <c r="E11" s="592">
        <v>400.99</v>
      </c>
      <c r="F11" s="606">
        <v>951742</v>
      </c>
      <c r="G11" s="607">
        <v>102</v>
      </c>
    </row>
    <row r="12" spans="1:7" ht="20" customHeight="1" thickBot="1">
      <c r="A12" s="218">
        <v>2001</v>
      </c>
      <c r="B12" s="605">
        <v>400.71188899999999</v>
      </c>
      <c r="C12" s="592">
        <v>461</v>
      </c>
      <c r="D12" s="605">
        <v>351.97137099999998</v>
      </c>
      <c r="E12" s="592">
        <v>405</v>
      </c>
      <c r="F12" s="606">
        <v>868760</v>
      </c>
      <c r="G12" s="607">
        <v>102</v>
      </c>
    </row>
    <row r="13" spans="1:7" ht="20" customHeight="1" thickBot="1">
      <c r="A13" s="218">
        <v>2002</v>
      </c>
      <c r="B13" s="605">
        <v>371.74367599999999</v>
      </c>
      <c r="C13" s="592">
        <v>472.03</v>
      </c>
      <c r="D13" s="605">
        <v>329.14910600000002</v>
      </c>
      <c r="E13" s="592">
        <v>417.95</v>
      </c>
      <c r="F13" s="606">
        <v>787539</v>
      </c>
      <c r="G13" s="607">
        <v>93</v>
      </c>
    </row>
    <row r="14" spans="1:7" ht="20" customHeight="1" thickBot="1">
      <c r="A14" s="218">
        <v>2003</v>
      </c>
      <c r="B14" s="605">
        <v>357.14315599999998</v>
      </c>
      <c r="C14" s="592">
        <v>512.29999999999995</v>
      </c>
      <c r="D14" s="605">
        <v>309.91303299999998</v>
      </c>
      <c r="E14" s="592">
        <v>444.55</v>
      </c>
      <c r="F14" s="606">
        <v>697140</v>
      </c>
      <c r="G14" s="607">
        <v>92</v>
      </c>
    </row>
    <row r="15" spans="1:7" ht="20" customHeight="1" thickBot="1">
      <c r="A15" s="218">
        <v>2004</v>
      </c>
      <c r="B15" s="605">
        <v>356.58952599999998</v>
      </c>
      <c r="C15" s="592">
        <v>573.79999999999995</v>
      </c>
      <c r="D15" s="605">
        <v>277.93515500000001</v>
      </c>
      <c r="E15" s="592">
        <v>447.23</v>
      </c>
      <c r="F15" s="606">
        <v>621454</v>
      </c>
      <c r="G15" s="607">
        <v>93</v>
      </c>
    </row>
    <row r="16" spans="1:7" ht="30" customHeight="1" thickBot="1">
      <c r="A16" s="485">
        <v>2005</v>
      </c>
      <c r="B16" s="608">
        <v>342.30109299999998</v>
      </c>
      <c r="C16" s="609">
        <v>510.51</v>
      </c>
      <c r="D16" s="608">
        <v>251.061485</v>
      </c>
      <c r="E16" s="609">
        <v>374.43</v>
      </c>
      <c r="F16" s="610">
        <v>670510</v>
      </c>
      <c r="G16" s="611">
        <v>82</v>
      </c>
    </row>
    <row r="17" spans="1:7" ht="20" customHeight="1">
      <c r="A17" s="146" t="s">
        <v>596</v>
      </c>
      <c r="B17" s="146"/>
      <c r="C17" s="146"/>
      <c r="D17" s="146"/>
      <c r="E17" s="146"/>
      <c r="F17" s="146"/>
      <c r="G17" s="146"/>
    </row>
    <row r="18" spans="1:7" ht="13.5" customHeight="1">
      <c r="A18" s="4"/>
      <c r="B18" s="4"/>
      <c r="C18" s="4"/>
      <c r="D18" s="4"/>
      <c r="E18" s="4"/>
      <c r="F18" s="4"/>
      <c r="G18" s="4"/>
    </row>
    <row r="19" spans="1:7" ht="15.75" customHeight="1">
      <c r="A19" s="4" t="s">
        <v>1413</v>
      </c>
      <c r="B19" s="4"/>
      <c r="C19" s="4"/>
      <c r="D19" s="4"/>
      <c r="E19" s="4"/>
      <c r="F19" s="4"/>
      <c r="G19" s="4"/>
    </row>
    <row r="20" spans="1:7" ht="14.25" customHeight="1">
      <c r="A20" s="4"/>
      <c r="B20" s="4"/>
      <c r="C20" s="4"/>
      <c r="D20" s="4"/>
      <c r="E20" s="4"/>
      <c r="F20" s="4"/>
      <c r="G20" s="4"/>
    </row>
    <row r="21" spans="1:7" ht="12.75" customHeight="1">
      <c r="A21" s="4" t="s">
        <v>1414</v>
      </c>
      <c r="B21" s="4"/>
      <c r="C21" s="4"/>
      <c r="D21" s="4"/>
      <c r="E21" s="4"/>
      <c r="F21" s="4"/>
      <c r="G21" s="4"/>
    </row>
    <row r="24" spans="1:7">
      <c r="A24" s="2" t="s">
        <v>128</v>
      </c>
    </row>
  </sheetData>
  <mergeCells count="1">
    <mergeCell ref="A2:F2"/>
  </mergeCells>
  <phoneticPr fontId="0" type="noConversion"/>
  <pageMargins left="0.62" right="0.64" top="1.01" bottom="0.49" header="0.53" footer="0.4921259845"/>
  <pageSetup paperSize="9" scale="86" orientation="portrait" horizontalDpi="4294967292" verticalDpi="4294967292"/>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D419E-4CE8-C74E-9525-7BEE19CD4B5E}">
  <sheetPr>
    <pageSetUpPr fitToPage="1"/>
  </sheetPr>
  <dimension ref="A1:K22"/>
  <sheetViews>
    <sheetView zoomScale="75" workbookViewId="0">
      <selection activeCell="B19" sqref="B19"/>
    </sheetView>
  </sheetViews>
  <sheetFormatPr baseColWidth="10" defaultColWidth="11.3984375" defaultRowHeight="13"/>
  <cols>
    <col min="1" max="1" width="16.796875" style="2" customWidth="1"/>
    <col min="2" max="2" width="14.796875" style="2" customWidth="1"/>
    <col min="3" max="3" width="14.796875" style="21" customWidth="1"/>
    <col min="4" max="4" width="14.796875" style="2" customWidth="1"/>
    <col min="5" max="5" width="14.796875" style="21" customWidth="1"/>
    <col min="6" max="6" width="14.796875" style="2" customWidth="1"/>
    <col min="7" max="7" width="15.3984375" style="21" customWidth="1"/>
    <col min="8" max="16384" width="11.3984375" style="2"/>
  </cols>
  <sheetData>
    <row r="1" spans="1:11" s="1" customFormat="1" ht="14" customHeight="1">
      <c r="C1" s="305"/>
      <c r="E1" s="305"/>
      <c r="G1" s="305"/>
    </row>
    <row r="2" spans="1:11" s="1" customFormat="1" ht="28" customHeight="1">
      <c r="A2" s="19" t="s">
        <v>994</v>
      </c>
      <c r="C2" s="305"/>
      <c r="E2" s="305"/>
      <c r="G2" s="19">
        <v>2005</v>
      </c>
    </row>
    <row r="3" spans="1:11" ht="24" customHeight="1">
      <c r="A3" s="125" t="s">
        <v>1254</v>
      </c>
      <c r="B3" s="126" t="s">
        <v>2226</v>
      </c>
      <c r="C3" s="329" t="s">
        <v>265</v>
      </c>
      <c r="D3" s="126" t="s">
        <v>2227</v>
      </c>
      <c r="E3" s="329" t="s">
        <v>265</v>
      </c>
      <c r="F3" s="126" t="s">
        <v>1807</v>
      </c>
      <c r="G3" s="329" t="s">
        <v>265</v>
      </c>
    </row>
    <row r="4" spans="1:11" ht="15" customHeight="1">
      <c r="A4" s="212"/>
      <c r="B4" s="129" t="s">
        <v>1807</v>
      </c>
      <c r="C4" s="128" t="s">
        <v>267</v>
      </c>
      <c r="D4" s="129" t="s">
        <v>2228</v>
      </c>
      <c r="E4" s="128" t="s">
        <v>267</v>
      </c>
      <c r="F4" s="129" t="s">
        <v>2229</v>
      </c>
      <c r="G4" s="128" t="s">
        <v>267</v>
      </c>
    </row>
    <row r="5" spans="1:11" ht="15" customHeight="1">
      <c r="A5" s="212"/>
      <c r="B5" s="129" t="s">
        <v>2230</v>
      </c>
      <c r="C5" s="128" t="s">
        <v>268</v>
      </c>
      <c r="D5" s="129" t="s">
        <v>2231</v>
      </c>
      <c r="E5" s="128" t="s">
        <v>268</v>
      </c>
      <c r="F5" s="129" t="s">
        <v>945</v>
      </c>
      <c r="G5" s="128" t="s">
        <v>268</v>
      </c>
    </row>
    <row r="6" spans="1:11" ht="24" customHeight="1">
      <c r="A6" s="214"/>
      <c r="B6" s="135"/>
      <c r="C6" s="132"/>
      <c r="D6" s="135" t="s">
        <v>995</v>
      </c>
      <c r="E6" s="132"/>
      <c r="F6" s="135"/>
      <c r="G6" s="132"/>
    </row>
    <row r="7" spans="1:11" ht="22.5" customHeight="1" thickBot="1">
      <c r="A7" s="216">
        <v>1996</v>
      </c>
      <c r="B7" s="157">
        <v>842626041.5999999</v>
      </c>
      <c r="C7" s="458">
        <v>-0.22395165786377283</v>
      </c>
      <c r="D7" s="157">
        <v>918792074.10000002</v>
      </c>
      <c r="E7" s="458">
        <v>-0.174100182026726</v>
      </c>
      <c r="F7" s="157">
        <v>-76164233.309999987</v>
      </c>
      <c r="G7" s="458">
        <v>-1.8543740517491432</v>
      </c>
      <c r="I7" s="10"/>
      <c r="J7" s="10"/>
      <c r="K7" s="10"/>
    </row>
    <row r="8" spans="1:11" ht="20" customHeight="1" thickBot="1">
      <c r="A8" s="218">
        <v>1997</v>
      </c>
      <c r="B8" s="159">
        <v>582586264.20000005</v>
      </c>
      <c r="C8" s="462">
        <v>-0.30860638594343665</v>
      </c>
      <c r="D8" s="159">
        <v>600844654.99000001</v>
      </c>
      <c r="E8" s="462">
        <v>-0.34604937076916387</v>
      </c>
      <c r="F8" s="159">
        <v>-18258290.829999998</v>
      </c>
      <c r="G8" s="462">
        <v>0.76027736331716245</v>
      </c>
    </row>
    <row r="9" spans="1:11" ht="20" customHeight="1" thickBot="1">
      <c r="A9" s="218">
        <v>1998</v>
      </c>
      <c r="B9" s="159">
        <v>506597985.24000001</v>
      </c>
      <c r="C9" s="462">
        <v>-0.13043266487641306</v>
      </c>
      <c r="D9" s="159">
        <v>466707907.44999999</v>
      </c>
      <c r="E9" s="462">
        <v>-0.22324696812395292</v>
      </c>
      <c r="F9" s="159">
        <v>39890107.789999999</v>
      </c>
      <c r="G9" s="462">
        <v>3.1847668087561076</v>
      </c>
    </row>
    <row r="10" spans="1:11" ht="20" customHeight="1" thickBot="1">
      <c r="A10" s="218">
        <v>1999</v>
      </c>
      <c r="B10" s="159">
        <v>464005598.98000002</v>
      </c>
      <c r="C10" s="462">
        <v>-8.4075317117224449E-2</v>
      </c>
      <c r="D10" s="159">
        <v>422158429.66000003</v>
      </c>
      <c r="E10" s="462">
        <v>-9.5454731061681661E-2</v>
      </c>
      <c r="F10" s="159">
        <v>41847169.719999999</v>
      </c>
      <c r="G10" s="462">
        <v>4.9061334712427351E-2</v>
      </c>
    </row>
    <row r="11" spans="1:11" ht="20" customHeight="1" thickBot="1">
      <c r="A11" s="218">
        <v>2000</v>
      </c>
      <c r="B11" s="159">
        <v>458973777.85000002</v>
      </c>
      <c r="C11" s="462">
        <v>-1.0844311234737667E-2</v>
      </c>
      <c r="D11" s="159">
        <v>416527371.23000002</v>
      </c>
      <c r="E11" s="462">
        <v>-1.3338732651945802E-2</v>
      </c>
      <c r="F11" s="159">
        <v>42446406.640000001</v>
      </c>
      <c r="G11" s="462">
        <v>1.4319652296905794E-2</v>
      </c>
    </row>
    <row r="12" spans="1:11" ht="20" customHeight="1" thickBot="1">
      <c r="A12" s="218">
        <v>2001</v>
      </c>
      <c r="B12" s="159">
        <v>405199385</v>
      </c>
      <c r="C12" s="462">
        <v>-0.11716223332387053</v>
      </c>
      <c r="D12" s="159">
        <v>389159830</v>
      </c>
      <c r="E12" s="462">
        <v>-6.5704064415224431E-2</v>
      </c>
      <c r="F12" s="159">
        <v>16039555</v>
      </c>
      <c r="G12" s="462">
        <v>-0.62212219432292559</v>
      </c>
    </row>
    <row r="13" spans="1:11" ht="20" customHeight="1" thickBot="1">
      <c r="A13" s="218">
        <v>2002</v>
      </c>
      <c r="B13" s="159">
        <v>372184863.34999996</v>
      </c>
      <c r="C13" s="462">
        <v>-8.147722546518682E-2</v>
      </c>
      <c r="D13" s="159">
        <v>361726442.44999999</v>
      </c>
      <c r="E13" s="462">
        <v>-7.0493883065988625E-2</v>
      </c>
      <c r="F13" s="159">
        <v>10458420.890000001</v>
      </c>
      <c r="G13" s="462">
        <v>-0.34796065788608221</v>
      </c>
    </row>
    <row r="14" spans="1:11" ht="20" customHeight="1" thickBot="1">
      <c r="A14" s="218">
        <v>2003</v>
      </c>
      <c r="B14" s="159">
        <v>364678826.25</v>
      </c>
      <c r="C14" s="462">
        <v>-2.0167496959545454E-2</v>
      </c>
      <c r="D14" s="159">
        <v>338730046.06999999</v>
      </c>
      <c r="E14" s="462">
        <v>-6.3573998694272105E-2</v>
      </c>
      <c r="F14" s="159">
        <v>25948780.16</v>
      </c>
      <c r="G14" s="462">
        <v>1.4811374903463079</v>
      </c>
    </row>
    <row r="15" spans="1:11" ht="20" customHeight="1" thickBot="1">
      <c r="A15" s="218">
        <v>2004</v>
      </c>
      <c r="B15" s="159">
        <v>363267822.86999995</v>
      </c>
      <c r="C15" s="462">
        <v>-3.8691672738706334E-3</v>
      </c>
      <c r="D15" s="159">
        <v>315178869.18000001</v>
      </c>
      <c r="E15" s="462">
        <v>-6.9527864927379474E-2</v>
      </c>
      <c r="F15" s="159">
        <v>48088953.700000003</v>
      </c>
      <c r="G15" s="462">
        <v>0.85322598609583356</v>
      </c>
    </row>
    <row r="16" spans="1:11" ht="30" customHeight="1" thickBot="1">
      <c r="A16" s="485">
        <v>2005</v>
      </c>
      <c r="B16" s="161">
        <v>347836052.75999999</v>
      </c>
      <c r="C16" s="465">
        <v>-4.2480421161668405E-2</v>
      </c>
      <c r="D16" s="161">
        <v>299546558.91000003</v>
      </c>
      <c r="E16" s="465">
        <v>-4.9598218023532224E-2</v>
      </c>
      <c r="F16" s="161">
        <v>48289493.789999999</v>
      </c>
      <c r="G16" s="465">
        <v>4.1701903362476589E-3</v>
      </c>
    </row>
    <row r="17" spans="1:7" ht="20" customHeight="1">
      <c r="A17" s="146" t="s">
        <v>596</v>
      </c>
      <c r="B17" s="146"/>
      <c r="C17" s="344"/>
      <c r="D17" s="146"/>
      <c r="E17" s="344"/>
      <c r="F17" s="146"/>
      <c r="G17" s="344"/>
    </row>
    <row r="18" spans="1:7" ht="15.75" customHeight="1">
      <c r="A18" s="4"/>
      <c r="B18" s="4"/>
      <c r="C18" s="448"/>
      <c r="D18" s="4"/>
      <c r="E18" s="448"/>
      <c r="F18" s="4"/>
      <c r="G18" s="448"/>
    </row>
    <row r="19" spans="1:7" ht="15.75" customHeight="1">
      <c r="A19" s="4" t="s">
        <v>996</v>
      </c>
      <c r="B19" s="4"/>
      <c r="C19" s="448"/>
      <c r="D19" s="4"/>
      <c r="E19" s="448"/>
      <c r="F19" s="4"/>
      <c r="G19" s="448"/>
    </row>
    <row r="22" spans="1:7">
      <c r="A22" s="2" t="s">
        <v>128</v>
      </c>
    </row>
  </sheetData>
  <phoneticPr fontId="0" type="noConversion"/>
  <pageMargins left="0.57999999999999996" right="0.65" top="0.96" bottom="0.49" header="0.49" footer="0.4921259845"/>
  <pageSetup paperSize="9" scale="86" orientation="portrait" horizontalDpi="4294967292" verticalDpi="4294967292"/>
  <headerFooter alignWithMargins="0"/>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8E2D9-BF69-6F46-B84D-F5A34A91CF1F}">
  <sheetPr>
    <pageSetUpPr fitToPage="1"/>
  </sheetPr>
  <dimension ref="A1:H38"/>
  <sheetViews>
    <sheetView topLeftCell="A15" zoomScale="75" workbookViewId="0">
      <selection activeCell="J10" sqref="J10"/>
    </sheetView>
  </sheetViews>
  <sheetFormatPr baseColWidth="10" defaultColWidth="11.3984375" defaultRowHeight="13"/>
  <cols>
    <col min="1" max="1" width="33.796875" style="2" customWidth="1"/>
    <col min="2" max="3" width="17.59765625" style="2" customWidth="1"/>
    <col min="4" max="4" width="17.59765625" style="163" customWidth="1"/>
    <col min="5" max="5" width="17.59765625" style="451" customWidth="1"/>
    <col min="6" max="6" width="11.3984375" style="2"/>
    <col min="7" max="7" width="14.796875" style="2" hidden="1" customWidth="1"/>
    <col min="8" max="8" width="14.3984375" style="2" hidden="1" customWidth="1"/>
    <col min="9" max="16384" width="11.3984375" style="2"/>
  </cols>
  <sheetData>
    <row r="1" spans="1:8" s="1" customFormat="1" ht="14" customHeight="1">
      <c r="D1" s="18"/>
      <c r="E1" s="422"/>
    </row>
    <row r="2" spans="1:8" s="1" customFormat="1" ht="40.5" customHeight="1">
      <c r="A2" s="1606" t="s">
        <v>1394</v>
      </c>
      <c r="B2" s="1610"/>
      <c r="C2" s="1610"/>
      <c r="D2" s="1610"/>
      <c r="E2" s="19">
        <v>2005</v>
      </c>
    </row>
    <row r="3" spans="1:8" ht="24" customHeight="1">
      <c r="A3" s="125" t="s">
        <v>1155</v>
      </c>
      <c r="B3" s="126" t="s">
        <v>1156</v>
      </c>
      <c r="C3" s="127" t="s">
        <v>1157</v>
      </c>
      <c r="D3" s="268" t="s">
        <v>43</v>
      </c>
      <c r="E3" s="424" t="s">
        <v>265</v>
      </c>
    </row>
    <row r="4" spans="1:8" ht="15" customHeight="1">
      <c r="A4" s="212"/>
      <c r="B4" s="129" t="s">
        <v>1158</v>
      </c>
      <c r="C4" s="131" t="s">
        <v>1158</v>
      </c>
      <c r="D4" s="587"/>
      <c r="E4" s="480" t="s">
        <v>267</v>
      </c>
    </row>
    <row r="5" spans="1:8" ht="15" customHeight="1">
      <c r="A5" s="212"/>
      <c r="B5" s="129" t="s">
        <v>339</v>
      </c>
      <c r="C5" s="131" t="s">
        <v>339</v>
      </c>
      <c r="D5" s="587"/>
      <c r="E5" s="480" t="s">
        <v>268</v>
      </c>
    </row>
    <row r="6" spans="1:8" ht="24" customHeight="1">
      <c r="A6" s="214"/>
      <c r="B6" s="135"/>
      <c r="C6" s="134"/>
      <c r="D6" s="588"/>
      <c r="E6" s="426"/>
      <c r="G6" s="589" t="s">
        <v>1159</v>
      </c>
      <c r="H6" s="589" t="s">
        <v>1160</v>
      </c>
    </row>
    <row r="7" spans="1:8" ht="30" customHeight="1" thickBot="1">
      <c r="A7" s="590" t="s">
        <v>1161</v>
      </c>
      <c r="B7" s="157">
        <v>80</v>
      </c>
      <c r="C7" s="217">
        <v>47</v>
      </c>
      <c r="D7" s="330">
        <v>82</v>
      </c>
      <c r="E7" s="458">
        <v>-0.11827956989247312</v>
      </c>
      <c r="F7" s="9"/>
      <c r="G7" s="310">
        <v>109</v>
      </c>
      <c r="H7" s="310">
        <v>109</v>
      </c>
    </row>
    <row r="8" spans="1:8" ht="25.5" customHeight="1" thickBot="1">
      <c r="A8" s="591" t="s">
        <v>1395</v>
      </c>
      <c r="B8" s="159"/>
      <c r="C8" s="219"/>
      <c r="D8" s="313"/>
      <c r="E8" s="462" t="s">
        <v>695</v>
      </c>
      <c r="G8" s="159"/>
      <c r="H8" s="159"/>
    </row>
    <row r="9" spans="1:8" ht="20" customHeight="1" thickBot="1">
      <c r="A9" s="592" t="s">
        <v>262</v>
      </c>
      <c r="B9" s="159">
        <v>177306</v>
      </c>
      <c r="C9" s="219">
        <v>160569</v>
      </c>
      <c r="D9" s="313">
        <v>337874</v>
      </c>
      <c r="E9" s="462">
        <v>7.8980143193822613E-2</v>
      </c>
      <c r="G9" s="159">
        <v>747913</v>
      </c>
      <c r="H9" s="159">
        <v>541989</v>
      </c>
    </row>
    <row r="10" spans="1:8" ht="20" customHeight="1" thickBot="1">
      <c r="A10" s="592" t="s">
        <v>264</v>
      </c>
      <c r="B10" s="159">
        <v>232682</v>
      </c>
      <c r="C10" s="219">
        <v>99951</v>
      </c>
      <c r="D10" s="313">
        <v>332634</v>
      </c>
      <c r="E10" s="462">
        <v>7.888412100689883E-2</v>
      </c>
      <c r="G10" s="159">
        <v>671493</v>
      </c>
      <c r="H10" s="159">
        <v>525355</v>
      </c>
    </row>
    <row r="11" spans="1:8" ht="20" customHeight="1" thickBot="1">
      <c r="A11" s="592" t="s">
        <v>43</v>
      </c>
      <c r="B11" s="159">
        <v>409989</v>
      </c>
      <c r="C11" s="219">
        <v>260520</v>
      </c>
      <c r="D11" s="313">
        <v>670510</v>
      </c>
      <c r="E11" s="462">
        <v>7.8937459570619872E-2</v>
      </c>
      <c r="G11" s="159">
        <v>1419406</v>
      </c>
      <c r="H11" s="159">
        <v>1067344</v>
      </c>
    </row>
    <row r="12" spans="1:8" ht="24" customHeight="1" thickBot="1">
      <c r="A12" s="591" t="s">
        <v>1162</v>
      </c>
      <c r="B12" s="159"/>
      <c r="C12" s="219"/>
      <c r="D12" s="313"/>
      <c r="E12" s="462" t="s">
        <v>695</v>
      </c>
      <c r="G12" s="159"/>
      <c r="H12" s="159"/>
    </row>
    <row r="13" spans="1:8" ht="20" customHeight="1" thickBot="1">
      <c r="A13" s="592" t="s">
        <v>262</v>
      </c>
      <c r="B13" s="159">
        <v>49812091</v>
      </c>
      <c r="C13" s="219">
        <v>181787252</v>
      </c>
      <c r="D13" s="313">
        <v>231599342</v>
      </c>
      <c r="E13" s="462">
        <v>-5.038780062379284E-2</v>
      </c>
      <c r="G13" s="159">
        <v>346254879</v>
      </c>
      <c r="H13" s="159">
        <v>346254879</v>
      </c>
    </row>
    <row r="14" spans="1:8" ht="20" customHeight="1" thickBot="1">
      <c r="A14" s="592" t="s">
        <v>264</v>
      </c>
      <c r="B14" s="159">
        <v>33413366</v>
      </c>
      <c r="C14" s="219">
        <v>77288385</v>
      </c>
      <c r="D14" s="313">
        <v>110701751</v>
      </c>
      <c r="E14" s="462">
        <v>-1.7741046349928451E-2</v>
      </c>
      <c r="G14" s="159">
        <v>118228128</v>
      </c>
      <c r="H14" s="159">
        <v>118228128</v>
      </c>
    </row>
    <row r="15" spans="1:8" ht="20" customHeight="1" thickBot="1">
      <c r="A15" s="592" t="s">
        <v>43</v>
      </c>
      <c r="B15" s="159">
        <v>83225456</v>
      </c>
      <c r="C15" s="219">
        <v>259075637</v>
      </c>
      <c r="D15" s="313">
        <v>342301093</v>
      </c>
      <c r="E15" s="462">
        <v>-4.0069693465982506E-2</v>
      </c>
      <c r="G15" s="159">
        <v>464483007</v>
      </c>
      <c r="H15" s="159">
        <v>464483007</v>
      </c>
    </row>
    <row r="16" spans="1:8" ht="33.75" customHeight="1" thickBot="1">
      <c r="A16" s="593" t="s">
        <v>1163</v>
      </c>
      <c r="B16" s="159"/>
      <c r="C16" s="219"/>
      <c r="D16" s="313"/>
      <c r="E16" s="462" t="s">
        <v>695</v>
      </c>
      <c r="G16" s="159"/>
      <c r="H16" s="159"/>
    </row>
    <row r="17" spans="1:8" ht="20" customHeight="1" thickBot="1">
      <c r="A17" s="592" t="s">
        <v>262</v>
      </c>
      <c r="B17" s="159">
        <v>280.94</v>
      </c>
      <c r="C17" s="219">
        <v>1132</v>
      </c>
      <c r="D17" s="313">
        <v>685.46</v>
      </c>
      <c r="E17" s="462">
        <v>-0.11989625597041753</v>
      </c>
      <c r="G17" s="159">
        <v>462.96</v>
      </c>
      <c r="H17" s="159">
        <v>638.86</v>
      </c>
    </row>
    <row r="18" spans="1:8" ht="20" customHeight="1" thickBot="1">
      <c r="A18" s="592" t="s">
        <v>264</v>
      </c>
      <c r="B18" s="159">
        <v>143.6</v>
      </c>
      <c r="C18" s="219">
        <v>773</v>
      </c>
      <c r="D18" s="313">
        <v>332.8</v>
      </c>
      <c r="E18" s="462">
        <v>-8.9566121354708123E-2</v>
      </c>
      <c r="G18" s="159">
        <v>176.07</v>
      </c>
      <c r="H18" s="159">
        <v>225.04</v>
      </c>
    </row>
    <row r="19" spans="1:8" ht="20" customHeight="1" thickBot="1">
      <c r="A19" s="592" t="s">
        <v>43</v>
      </c>
      <c r="B19" s="159">
        <v>202.99</v>
      </c>
      <c r="C19" s="219">
        <v>994</v>
      </c>
      <c r="D19" s="313">
        <v>510.51</v>
      </c>
      <c r="E19" s="462">
        <v>-0.11029975601254788</v>
      </c>
      <c r="G19" s="159">
        <v>327.24</v>
      </c>
      <c r="H19" s="159">
        <v>435.18</v>
      </c>
    </row>
    <row r="20" spans="1:8" ht="24" customHeight="1" thickBot="1">
      <c r="A20" s="591" t="s">
        <v>1164</v>
      </c>
      <c r="B20" s="159"/>
      <c r="C20" s="219"/>
      <c r="D20" s="313"/>
      <c r="E20" s="462" t="s">
        <v>695</v>
      </c>
      <c r="G20" s="159"/>
      <c r="H20" s="159"/>
    </row>
    <row r="21" spans="1:8" ht="20" customHeight="1" thickBot="1">
      <c r="A21" s="592" t="s">
        <v>262</v>
      </c>
      <c r="B21" s="159">
        <v>42899911</v>
      </c>
      <c r="C21" s="219">
        <v>138021605</v>
      </c>
      <c r="D21" s="313">
        <v>180921516</v>
      </c>
      <c r="E21" s="462">
        <v>-8.9522164230154896E-2</v>
      </c>
      <c r="G21" s="159">
        <v>297772901</v>
      </c>
      <c r="H21" s="159">
        <v>297772901</v>
      </c>
    </row>
    <row r="22" spans="1:8" ht="20" customHeight="1" thickBot="1">
      <c r="A22" s="592" t="s">
        <v>264</v>
      </c>
      <c r="B22" s="159">
        <v>21975973</v>
      </c>
      <c r="C22" s="219">
        <v>48163996</v>
      </c>
      <c r="D22" s="313">
        <v>70139968</v>
      </c>
      <c r="E22" s="462">
        <v>-0.11466984655254882</v>
      </c>
      <c r="G22" s="159">
        <v>114376252</v>
      </c>
      <c r="H22" s="159">
        <v>114376252</v>
      </c>
    </row>
    <row r="23" spans="1:8" ht="20" customHeight="1" thickBot="1">
      <c r="A23" s="592" t="s">
        <v>43</v>
      </c>
      <c r="B23" s="159">
        <v>64875883</v>
      </c>
      <c r="C23" s="219">
        <v>186185601</v>
      </c>
      <c r="D23" s="313">
        <v>251061485</v>
      </c>
      <c r="E23" s="462">
        <v>-9.6690431262644705E-2</v>
      </c>
      <c r="G23" s="159">
        <v>412149153</v>
      </c>
      <c r="H23" s="159">
        <v>412149153</v>
      </c>
    </row>
    <row r="24" spans="1:8" ht="24" customHeight="1" thickBot="1">
      <c r="A24" s="201" t="s">
        <v>1165</v>
      </c>
      <c r="B24" s="159">
        <v>1111746</v>
      </c>
      <c r="C24" s="219">
        <v>8235450</v>
      </c>
      <c r="D24" s="313">
        <v>9347197</v>
      </c>
      <c r="E24" s="462">
        <v>-0.37806377975551442</v>
      </c>
      <c r="G24" s="314">
        <v>21005933</v>
      </c>
      <c r="H24" s="314">
        <v>21005933</v>
      </c>
    </row>
    <row r="25" spans="1:8" ht="34.5" customHeight="1" thickBot="1">
      <c r="A25" s="593" t="s">
        <v>1389</v>
      </c>
      <c r="B25" s="159"/>
      <c r="C25" s="219"/>
      <c r="D25" s="313"/>
      <c r="E25" s="462" t="s">
        <v>695</v>
      </c>
      <c r="G25" s="159"/>
      <c r="H25" s="159"/>
    </row>
    <row r="26" spans="1:8" ht="20" customHeight="1" thickBot="1">
      <c r="A26" s="592" t="s">
        <v>262</v>
      </c>
      <c r="B26" s="159">
        <v>241.95</v>
      </c>
      <c r="C26" s="219">
        <v>860</v>
      </c>
      <c r="D26" s="313">
        <v>535.47</v>
      </c>
      <c r="E26" s="462">
        <v>-0.15616874418897839</v>
      </c>
      <c r="G26" s="159">
        <v>398.14</v>
      </c>
      <c r="H26" s="159">
        <v>549.41</v>
      </c>
    </row>
    <row r="27" spans="1:8" ht="20" customHeight="1" thickBot="1">
      <c r="A27" s="592" t="s">
        <v>264</v>
      </c>
      <c r="B27" s="159">
        <v>94.45</v>
      </c>
      <c r="C27" s="219">
        <v>482</v>
      </c>
      <c r="D27" s="313">
        <v>210.86</v>
      </c>
      <c r="E27" s="462">
        <v>-0.17940535491905343</v>
      </c>
      <c r="G27" s="159">
        <v>170.33</v>
      </c>
      <c r="H27" s="159">
        <v>217.71</v>
      </c>
    </row>
    <row r="28" spans="1:8" ht="30" customHeight="1" thickBot="1">
      <c r="A28" s="594" t="s">
        <v>43</v>
      </c>
      <c r="B28" s="314">
        <v>158.24</v>
      </c>
      <c r="C28" s="315">
        <v>715</v>
      </c>
      <c r="D28" s="161">
        <v>374.43</v>
      </c>
      <c r="E28" s="478">
        <v>-0.16277977774299579</v>
      </c>
      <c r="G28" s="595">
        <v>290.37</v>
      </c>
      <c r="H28" s="595">
        <v>386.14</v>
      </c>
    </row>
    <row r="29" spans="1:8" ht="20" customHeight="1">
      <c r="A29" s="146" t="s">
        <v>596</v>
      </c>
      <c r="B29" s="146"/>
      <c r="C29" s="146"/>
      <c r="D29" s="596"/>
      <c r="E29" s="447"/>
    </row>
    <row r="30" spans="1:8" ht="14.25" customHeight="1">
      <c r="A30" s="4"/>
      <c r="B30" s="4"/>
      <c r="C30" s="4"/>
      <c r="D30" s="597"/>
      <c r="E30" s="450"/>
    </row>
    <row r="31" spans="1:8" ht="14.25" customHeight="1">
      <c r="A31" s="4" t="s">
        <v>1390</v>
      </c>
      <c r="B31" s="4"/>
      <c r="C31" s="4"/>
      <c r="D31" s="597"/>
      <c r="E31" s="450"/>
    </row>
    <row r="32" spans="1:8" ht="14.25" customHeight="1">
      <c r="A32" s="4"/>
      <c r="B32" s="4"/>
      <c r="C32" s="4"/>
      <c r="D32" s="597"/>
      <c r="E32" s="450"/>
    </row>
    <row r="33" spans="1:1">
      <c r="A33" s="4" t="s">
        <v>1391</v>
      </c>
    </row>
    <row r="34" spans="1:1">
      <c r="A34" s="2" t="s">
        <v>1392</v>
      </c>
    </row>
    <row r="35" spans="1:1">
      <c r="A35" s="2" t="s">
        <v>1393</v>
      </c>
    </row>
    <row r="38" spans="1:1">
      <c r="A38" s="2" t="s">
        <v>128</v>
      </c>
    </row>
  </sheetData>
  <mergeCells count="1">
    <mergeCell ref="A2:D2"/>
  </mergeCells>
  <phoneticPr fontId="0" type="noConversion"/>
  <pageMargins left="0.56999999999999995" right="0.56000000000000005" top="0.96" bottom="0.49" header="0.56000000000000005" footer="0.4921259845"/>
  <pageSetup paperSize="9" scale="89" orientation="portrait" horizontalDpi="1200" verticalDpi="1200"/>
  <headerFooter alignWithMargins="0"/>
  <legacy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C8421-F48B-E34B-A099-209D13CD3731}">
  <dimension ref="A1:E37"/>
  <sheetViews>
    <sheetView topLeftCell="A19" zoomScale="75" workbookViewId="0">
      <selection activeCell="E3" sqref="E3"/>
    </sheetView>
  </sheetViews>
  <sheetFormatPr baseColWidth="10" defaultColWidth="11.3984375" defaultRowHeight="13"/>
  <cols>
    <col min="1" max="1" width="8.796875" style="2" customWidth="1"/>
    <col min="2" max="2" width="48.796875" style="21" customWidth="1"/>
    <col min="3" max="3" width="16.796875" style="2" customWidth="1"/>
    <col min="4" max="4" width="16.796875" style="9" customWidth="1"/>
    <col min="5" max="5" width="16.796875" style="347" customWidth="1"/>
    <col min="6" max="16384" width="11.3984375" style="2"/>
  </cols>
  <sheetData>
    <row r="1" spans="1:5" s="1" customFormat="1" ht="14" customHeight="1">
      <c r="B1" s="305"/>
      <c r="D1" s="306"/>
      <c r="E1" s="598"/>
    </row>
    <row r="2" spans="1:5" s="1" customFormat="1" ht="28" customHeight="1">
      <c r="A2" s="19" t="s">
        <v>1396</v>
      </c>
      <c r="B2" s="305"/>
      <c r="D2" s="306"/>
      <c r="E2" s="19">
        <v>2005</v>
      </c>
    </row>
    <row r="3" spans="1:5" ht="39" customHeight="1">
      <c r="A3" s="267" t="s">
        <v>696</v>
      </c>
      <c r="B3" s="329"/>
      <c r="C3" s="126" t="s">
        <v>697</v>
      </c>
      <c r="D3" s="262" t="s">
        <v>698</v>
      </c>
      <c r="E3" s="307" t="s">
        <v>43</v>
      </c>
    </row>
    <row r="4" spans="1:5" ht="38" customHeight="1">
      <c r="A4" s="308"/>
      <c r="B4" s="244"/>
      <c r="C4" s="135" t="s">
        <v>699</v>
      </c>
      <c r="D4" s="215" t="s">
        <v>699</v>
      </c>
      <c r="E4" s="309" t="s">
        <v>699</v>
      </c>
    </row>
    <row r="5" spans="1:5" ht="30" customHeight="1" thickBot="1">
      <c r="A5" s="137">
        <v>60</v>
      </c>
      <c r="B5" s="137" t="s">
        <v>700</v>
      </c>
      <c r="C5" s="157">
        <v>315188410.38999999</v>
      </c>
      <c r="D5" s="217">
        <v>27112683.879999999</v>
      </c>
      <c r="E5" s="330">
        <v>342301094.26999998</v>
      </c>
    </row>
    <row r="6" spans="1:5" ht="20" customHeight="1" thickBot="1">
      <c r="A6" s="141">
        <v>64</v>
      </c>
      <c r="B6" s="141" t="s">
        <v>701</v>
      </c>
      <c r="C6" s="159">
        <v>-2197470.9300000002</v>
      </c>
      <c r="D6" s="219">
        <v>-243926.76</v>
      </c>
      <c r="E6" s="313">
        <v>-2441397.69</v>
      </c>
    </row>
    <row r="7" spans="1:5" ht="20" customHeight="1" thickBot="1">
      <c r="A7" s="141">
        <v>65</v>
      </c>
      <c r="B7" s="141" t="s">
        <v>702</v>
      </c>
      <c r="C7" s="159">
        <v>195383.02</v>
      </c>
      <c r="D7" s="219">
        <v>3068.69</v>
      </c>
      <c r="E7" s="313">
        <v>198451.71</v>
      </c>
    </row>
    <row r="8" spans="1:5" ht="27" customHeight="1" thickBot="1">
      <c r="A8" s="142" t="s">
        <v>703</v>
      </c>
      <c r="B8" s="142" t="s">
        <v>704</v>
      </c>
      <c r="C8" s="159">
        <v>313186322.5</v>
      </c>
      <c r="D8" s="219">
        <v>26871825.800000001</v>
      </c>
      <c r="E8" s="313">
        <v>340058148.30000001</v>
      </c>
    </row>
    <row r="9" spans="1:5" ht="20" customHeight="1" thickBot="1">
      <c r="A9" s="141">
        <v>66</v>
      </c>
      <c r="B9" s="141" t="s">
        <v>705</v>
      </c>
      <c r="C9" s="159">
        <v>-1897319.82</v>
      </c>
      <c r="D9" s="219">
        <v>-112629.48</v>
      </c>
      <c r="E9" s="313">
        <v>-2009949.3</v>
      </c>
    </row>
    <row r="10" spans="1:5" ht="27" customHeight="1" thickBot="1">
      <c r="A10" s="142" t="s">
        <v>706</v>
      </c>
      <c r="B10" s="142" t="s">
        <v>707</v>
      </c>
      <c r="C10" s="159">
        <v>311289002.68000001</v>
      </c>
      <c r="D10" s="219">
        <v>26759196.32</v>
      </c>
      <c r="E10" s="313">
        <v>338048199</v>
      </c>
    </row>
    <row r="11" spans="1:5" ht="20" customHeight="1" thickBot="1">
      <c r="A11" s="141">
        <v>67</v>
      </c>
      <c r="B11" s="141" t="s">
        <v>708</v>
      </c>
      <c r="C11" s="159">
        <v>19502418.48</v>
      </c>
      <c r="D11" s="219">
        <v>57331.42</v>
      </c>
      <c r="E11" s="313">
        <v>19559749.899999999</v>
      </c>
    </row>
    <row r="12" spans="1:5" ht="20" customHeight="1" thickBot="1">
      <c r="A12" s="141">
        <v>68</v>
      </c>
      <c r="B12" s="141" t="s">
        <v>709</v>
      </c>
      <c r="C12" s="159">
        <v>-19245451</v>
      </c>
      <c r="D12" s="219">
        <v>-28403.65</v>
      </c>
      <c r="E12" s="313">
        <v>-19273854.649999999</v>
      </c>
    </row>
    <row r="13" spans="1:5" ht="20" customHeight="1" thickBot="1">
      <c r="A13" s="141">
        <v>69</v>
      </c>
      <c r="B13" s="141" t="s">
        <v>710</v>
      </c>
      <c r="C13" s="159">
        <v>2649133.84</v>
      </c>
      <c r="D13" s="219">
        <v>58683.75</v>
      </c>
      <c r="E13" s="313">
        <v>2707817.59</v>
      </c>
    </row>
    <row r="14" spans="1:5" ht="27" customHeight="1" thickBot="1">
      <c r="A14" s="142">
        <v>6</v>
      </c>
      <c r="B14" s="142" t="s">
        <v>2055</v>
      </c>
      <c r="C14" s="159">
        <v>314195103.99000001</v>
      </c>
      <c r="D14" s="219">
        <v>26846807.850000001</v>
      </c>
      <c r="E14" s="313">
        <v>341041911.83999997</v>
      </c>
    </row>
    <row r="15" spans="1:5" ht="20" customHeight="1" thickBot="1">
      <c r="A15" s="141">
        <v>30</v>
      </c>
      <c r="B15" s="141" t="s">
        <v>2056</v>
      </c>
      <c r="C15" s="159">
        <v>229916751.63</v>
      </c>
      <c r="D15" s="219">
        <v>21144730.460000001</v>
      </c>
      <c r="E15" s="313">
        <v>251061482.09</v>
      </c>
    </row>
    <row r="16" spans="1:5" ht="20" customHeight="1" thickBot="1">
      <c r="A16" s="141">
        <v>32</v>
      </c>
      <c r="B16" s="141" t="s">
        <v>2057</v>
      </c>
      <c r="C16" s="159" t="s">
        <v>949</v>
      </c>
      <c r="D16" s="219" t="s">
        <v>949</v>
      </c>
      <c r="E16" s="313" t="s">
        <v>949</v>
      </c>
    </row>
    <row r="17" spans="1:5" ht="27" customHeight="1" thickBot="1">
      <c r="A17" s="142" t="s">
        <v>2058</v>
      </c>
      <c r="B17" s="142" t="s">
        <v>2059</v>
      </c>
      <c r="C17" s="159">
        <v>229916751.63</v>
      </c>
      <c r="D17" s="219">
        <v>21144730.460000001</v>
      </c>
      <c r="E17" s="313">
        <v>251061482.09</v>
      </c>
    </row>
    <row r="18" spans="1:5" ht="20" customHeight="1" thickBot="1">
      <c r="A18" s="141">
        <v>34</v>
      </c>
      <c r="B18" s="141" t="s">
        <v>2060</v>
      </c>
      <c r="C18" s="159">
        <v>945565.41</v>
      </c>
      <c r="D18" s="219">
        <v>33778.22</v>
      </c>
      <c r="E18" s="313">
        <v>979343.63</v>
      </c>
    </row>
    <row r="19" spans="1:5" ht="20" customHeight="1" thickBot="1">
      <c r="A19" s="141">
        <v>35</v>
      </c>
      <c r="B19" s="141" t="s">
        <v>2061</v>
      </c>
      <c r="C19" s="159">
        <v>4377157.41</v>
      </c>
      <c r="D19" s="219">
        <v>791337.47</v>
      </c>
      <c r="E19" s="313">
        <v>5168494.88</v>
      </c>
    </row>
    <row r="20" spans="1:5" ht="27" customHeight="1" thickBot="1">
      <c r="A20" s="142" t="s">
        <v>2062</v>
      </c>
      <c r="B20" s="142" t="s">
        <v>2063</v>
      </c>
      <c r="C20" s="159">
        <v>235239474.43000001</v>
      </c>
      <c r="D20" s="219">
        <v>21969846.140000001</v>
      </c>
      <c r="E20" s="313">
        <v>257209320.56999999</v>
      </c>
    </row>
    <row r="21" spans="1:5" ht="20" customHeight="1" thickBot="1">
      <c r="A21" s="141">
        <v>36</v>
      </c>
      <c r="B21" s="141" t="s">
        <v>2064</v>
      </c>
      <c r="C21" s="159">
        <v>-2177204.31</v>
      </c>
      <c r="D21" s="219">
        <v>-56144.7</v>
      </c>
      <c r="E21" s="313">
        <v>-2233349.0099999998</v>
      </c>
    </row>
    <row r="22" spans="1:5" ht="20" customHeight="1" thickBot="1">
      <c r="A22" s="141">
        <v>37</v>
      </c>
      <c r="B22" s="141" t="s">
        <v>2065</v>
      </c>
      <c r="C22" s="159" t="s">
        <v>949</v>
      </c>
      <c r="D22" s="219" t="s">
        <v>949</v>
      </c>
      <c r="E22" s="313" t="s">
        <v>949</v>
      </c>
    </row>
    <row r="23" spans="1:5" ht="27" customHeight="1" thickBot="1">
      <c r="A23" s="142">
        <v>3</v>
      </c>
      <c r="B23" s="142" t="s">
        <v>2066</v>
      </c>
      <c r="C23" s="159">
        <v>233062270.13</v>
      </c>
      <c r="D23" s="219">
        <v>21913701.440000001</v>
      </c>
      <c r="E23" s="313">
        <v>254975971.56999999</v>
      </c>
    </row>
    <row r="24" spans="1:5" ht="20" customHeight="1" thickBot="1">
      <c r="A24" s="141" t="s">
        <v>2067</v>
      </c>
      <c r="B24" s="141" t="s">
        <v>2068</v>
      </c>
      <c r="C24" s="159">
        <v>35176220.25</v>
      </c>
      <c r="D24" s="219">
        <v>2797427.67</v>
      </c>
      <c r="E24" s="313">
        <v>37973647.920000002</v>
      </c>
    </row>
    <row r="25" spans="1:5" ht="20" customHeight="1" thickBot="1">
      <c r="A25" s="141">
        <v>48</v>
      </c>
      <c r="B25" s="141" t="s">
        <v>2069</v>
      </c>
      <c r="C25" s="159">
        <v>5558756.6500000004</v>
      </c>
      <c r="D25" s="219">
        <v>896153.61</v>
      </c>
      <c r="E25" s="313">
        <v>6454910.2599999998</v>
      </c>
    </row>
    <row r="26" spans="1:5" ht="20" customHeight="1" thickBot="1">
      <c r="A26" s="141">
        <v>49</v>
      </c>
      <c r="B26" s="141" t="s">
        <v>2070</v>
      </c>
      <c r="C26" s="159">
        <v>121536.43</v>
      </c>
      <c r="D26" s="219">
        <v>20492.71</v>
      </c>
      <c r="E26" s="313">
        <v>142029.14000000001</v>
      </c>
    </row>
    <row r="27" spans="1:5" ht="27" customHeight="1" thickBot="1">
      <c r="A27" s="142">
        <v>4</v>
      </c>
      <c r="B27" s="142" t="s">
        <v>2071</v>
      </c>
      <c r="C27" s="159">
        <v>40856513.340000004</v>
      </c>
      <c r="D27" s="219">
        <v>3714073.98</v>
      </c>
      <c r="E27" s="313">
        <v>44570587.32</v>
      </c>
    </row>
    <row r="28" spans="1:5" ht="27" customHeight="1" thickBot="1">
      <c r="A28" s="142" t="s">
        <v>2072</v>
      </c>
      <c r="B28" s="142" t="s">
        <v>2073</v>
      </c>
      <c r="C28" s="159">
        <v>273918783.47000003</v>
      </c>
      <c r="D28" s="219">
        <v>25627775.440000001</v>
      </c>
      <c r="E28" s="313">
        <v>299546558.91000003</v>
      </c>
    </row>
    <row r="29" spans="1:5" ht="27" customHeight="1" thickBot="1">
      <c r="A29" s="142"/>
      <c r="B29" s="142" t="s">
        <v>2074</v>
      </c>
      <c r="C29" s="159">
        <v>40276320.520000003</v>
      </c>
      <c r="D29" s="219">
        <v>1219032.3899999999</v>
      </c>
      <c r="E29" s="313">
        <v>41495352.909999996</v>
      </c>
    </row>
    <row r="30" spans="1:5" ht="27" customHeight="1" thickBot="1">
      <c r="A30" s="142">
        <v>7</v>
      </c>
      <c r="B30" s="142" t="s">
        <v>2075</v>
      </c>
      <c r="C30" s="159">
        <v>6436119.0999999996</v>
      </c>
      <c r="D30" s="219">
        <v>358021.82</v>
      </c>
      <c r="E30" s="313">
        <v>6794140.9199999999</v>
      </c>
    </row>
    <row r="31" spans="1:5" ht="34.5" customHeight="1" thickBot="1">
      <c r="A31" s="232"/>
      <c r="B31" s="232" t="s">
        <v>2076</v>
      </c>
      <c r="C31" s="314">
        <v>46712439.590000004</v>
      </c>
      <c r="D31" s="315">
        <v>1577054.2</v>
      </c>
      <c r="E31" s="161">
        <v>48289493.789999999</v>
      </c>
    </row>
    <row r="32" spans="1:5" ht="19.5" customHeight="1">
      <c r="A32" s="146" t="s">
        <v>596</v>
      </c>
      <c r="B32" s="344"/>
      <c r="C32" s="146"/>
      <c r="D32" s="345"/>
      <c r="E32" s="346"/>
    </row>
    <row r="34" spans="1:1">
      <c r="A34" s="2" t="s">
        <v>1397</v>
      </c>
    </row>
    <row r="37" spans="1:1">
      <c r="A37" s="2" t="s">
        <v>128</v>
      </c>
    </row>
  </sheetData>
  <phoneticPr fontId="0" type="noConversion"/>
  <pageMargins left="0.62" right="0.68" top="0.87" bottom="0.49" header="0.49" footer="0.4921259845"/>
  <pageSetup paperSize="9" scale="80" orientation="portrait" horizontalDpi="4294967292" verticalDpi="4294967292"/>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C9F59-691E-CC43-A9BA-5F92FBEF99C0}">
  <sheetPr>
    <pageSetUpPr fitToPage="1"/>
  </sheetPr>
  <dimension ref="A1:E40"/>
  <sheetViews>
    <sheetView zoomScale="75" workbookViewId="0">
      <selection activeCell="A35" sqref="A35"/>
    </sheetView>
  </sheetViews>
  <sheetFormatPr baseColWidth="10" defaultColWidth="11.3984375" defaultRowHeight="13"/>
  <cols>
    <col min="1" max="1" width="8.796875" style="2" customWidth="1"/>
    <col min="2" max="2" width="48.796875" style="21" customWidth="1"/>
    <col min="3" max="3" width="16.796875" style="2" customWidth="1"/>
    <col min="4" max="4" width="16.796875" style="9" customWidth="1"/>
    <col min="5" max="5" width="16.796875" style="347" customWidth="1"/>
    <col min="6" max="16384" width="11.3984375" style="2"/>
  </cols>
  <sheetData>
    <row r="1" spans="1:5" s="1" customFormat="1" ht="14" customHeight="1">
      <c r="B1" s="305"/>
      <c r="D1" s="306"/>
      <c r="E1" s="598"/>
    </row>
    <row r="2" spans="1:5" s="1" customFormat="1" ht="28" customHeight="1">
      <c r="A2" s="19" t="s">
        <v>1399</v>
      </c>
      <c r="B2" s="305"/>
      <c r="D2" s="306"/>
      <c r="E2" s="19">
        <v>2005</v>
      </c>
    </row>
    <row r="3" spans="1:5" ht="39" customHeight="1">
      <c r="A3" s="267" t="s">
        <v>696</v>
      </c>
      <c r="B3" s="329"/>
      <c r="C3" s="126" t="s">
        <v>697</v>
      </c>
      <c r="D3" s="262" t="s">
        <v>698</v>
      </c>
      <c r="E3" s="307" t="s">
        <v>43</v>
      </c>
    </row>
    <row r="4" spans="1:5" ht="38" customHeight="1">
      <c r="A4" s="308"/>
      <c r="B4" s="244"/>
      <c r="C4" s="135" t="s">
        <v>699</v>
      </c>
      <c r="D4" s="215" t="s">
        <v>699</v>
      </c>
      <c r="E4" s="309" t="s">
        <v>699</v>
      </c>
    </row>
    <row r="5" spans="1:5" ht="30" customHeight="1" thickBot="1">
      <c r="A5" s="599">
        <v>60</v>
      </c>
      <c r="B5" s="599" t="s">
        <v>700</v>
      </c>
      <c r="C5" s="341">
        <v>74987972.469999999</v>
      </c>
      <c r="D5" s="342">
        <v>8237481.8399999999</v>
      </c>
      <c r="E5" s="343">
        <v>83225454.310000002</v>
      </c>
    </row>
    <row r="6" spans="1:5" ht="20" customHeight="1" thickBot="1">
      <c r="A6" s="142">
        <v>64</v>
      </c>
      <c r="B6" s="142" t="s">
        <v>701</v>
      </c>
      <c r="C6" s="314">
        <v>-221422.78</v>
      </c>
      <c r="D6" s="315">
        <v>-23829.78</v>
      </c>
      <c r="E6" s="161">
        <v>-245252.56</v>
      </c>
    </row>
    <row r="7" spans="1:5" ht="20" customHeight="1" thickBot="1">
      <c r="A7" s="142">
        <v>65</v>
      </c>
      <c r="B7" s="142" t="s">
        <v>702</v>
      </c>
      <c r="C7" s="314">
        <v>38218.32</v>
      </c>
      <c r="D7" s="315">
        <v>1779.95</v>
      </c>
      <c r="E7" s="161">
        <v>39998.269999999997</v>
      </c>
    </row>
    <row r="8" spans="1:5" ht="27" customHeight="1" thickBot="1">
      <c r="A8" s="142" t="s">
        <v>703</v>
      </c>
      <c r="B8" s="142" t="s">
        <v>704</v>
      </c>
      <c r="C8" s="314">
        <v>74804768.019999996</v>
      </c>
      <c r="D8" s="315">
        <v>8215432</v>
      </c>
      <c r="E8" s="161">
        <v>83020200.019999996</v>
      </c>
    </row>
    <row r="9" spans="1:5" ht="20" customHeight="1" thickBot="1">
      <c r="A9" s="142">
        <v>66</v>
      </c>
      <c r="B9" s="142" t="s">
        <v>705</v>
      </c>
      <c r="C9" s="314">
        <v>-888332.33</v>
      </c>
      <c r="D9" s="315">
        <v>-98518.720000000001</v>
      </c>
      <c r="E9" s="161">
        <v>-986851.05</v>
      </c>
    </row>
    <row r="10" spans="1:5" ht="27" customHeight="1" thickBot="1">
      <c r="A10" s="142" t="s">
        <v>706</v>
      </c>
      <c r="B10" s="142" t="s">
        <v>707</v>
      </c>
      <c r="C10" s="314">
        <v>73916435.689999998</v>
      </c>
      <c r="D10" s="315">
        <v>8116913.2800000003</v>
      </c>
      <c r="E10" s="161">
        <v>82033348.969999999</v>
      </c>
    </row>
    <row r="11" spans="1:5" ht="20" customHeight="1" thickBot="1">
      <c r="A11" s="142">
        <v>67</v>
      </c>
      <c r="B11" s="142" t="s">
        <v>708</v>
      </c>
      <c r="C11" s="314">
        <v>255643.43</v>
      </c>
      <c r="D11" s="315">
        <v>28822.77</v>
      </c>
      <c r="E11" s="161">
        <v>284466.2</v>
      </c>
    </row>
    <row r="12" spans="1:5" ht="20" customHeight="1" thickBot="1">
      <c r="A12" s="142">
        <v>68</v>
      </c>
      <c r="B12" s="142" t="s">
        <v>709</v>
      </c>
      <c r="C12" s="314">
        <v>0</v>
      </c>
      <c r="D12" s="315">
        <v>0</v>
      </c>
      <c r="E12" s="161">
        <v>0</v>
      </c>
    </row>
    <row r="13" spans="1:5" ht="20" customHeight="1" thickBot="1">
      <c r="A13" s="142">
        <v>69</v>
      </c>
      <c r="B13" s="142" t="s">
        <v>710</v>
      </c>
      <c r="C13" s="314">
        <v>692338.98</v>
      </c>
      <c r="D13" s="315">
        <v>44255.76</v>
      </c>
      <c r="E13" s="161">
        <v>736594.74</v>
      </c>
    </row>
    <row r="14" spans="1:5" ht="27" customHeight="1" thickBot="1">
      <c r="A14" s="142">
        <v>6</v>
      </c>
      <c r="B14" s="142" t="s">
        <v>2055</v>
      </c>
      <c r="C14" s="314">
        <v>74864418.099999994</v>
      </c>
      <c r="D14" s="315">
        <v>8189991.8099999996</v>
      </c>
      <c r="E14" s="161">
        <v>83054409.909999996</v>
      </c>
    </row>
    <row r="15" spans="1:5" ht="20" customHeight="1" thickBot="1">
      <c r="A15" s="142">
        <v>30</v>
      </c>
      <c r="B15" s="142" t="s">
        <v>2056</v>
      </c>
      <c r="C15" s="314">
        <v>58779531.060000002</v>
      </c>
      <c r="D15" s="315">
        <v>6096350.8300000001</v>
      </c>
      <c r="E15" s="161">
        <v>64875881.890000001</v>
      </c>
    </row>
    <row r="16" spans="1:5" ht="20" customHeight="1" thickBot="1">
      <c r="A16" s="142">
        <v>32</v>
      </c>
      <c r="B16" s="142" t="s">
        <v>2057</v>
      </c>
      <c r="C16" s="314" t="s">
        <v>949</v>
      </c>
      <c r="D16" s="315" t="s">
        <v>949</v>
      </c>
      <c r="E16" s="161" t="s">
        <v>949</v>
      </c>
    </row>
    <row r="17" spans="1:5" ht="27" customHeight="1" thickBot="1">
      <c r="A17" s="142" t="s">
        <v>2058</v>
      </c>
      <c r="B17" s="142" t="s">
        <v>2059</v>
      </c>
      <c r="C17" s="314">
        <v>58779531.060000002</v>
      </c>
      <c r="D17" s="315">
        <v>6096350.8300000001</v>
      </c>
      <c r="E17" s="161">
        <v>64875881.890000001</v>
      </c>
    </row>
    <row r="18" spans="1:5" ht="20" customHeight="1" thickBot="1">
      <c r="A18" s="142">
        <v>34</v>
      </c>
      <c r="B18" s="142" t="s">
        <v>2060</v>
      </c>
      <c r="C18" s="314">
        <v>182023.78</v>
      </c>
      <c r="D18" s="315">
        <v>23056.71</v>
      </c>
      <c r="E18" s="161">
        <v>205080.49</v>
      </c>
    </row>
    <row r="19" spans="1:5" ht="20" customHeight="1" thickBot="1">
      <c r="A19" s="142">
        <v>35</v>
      </c>
      <c r="B19" s="142" t="s">
        <v>2061</v>
      </c>
      <c r="C19" s="314">
        <v>-2179965.73</v>
      </c>
      <c r="D19" s="315">
        <v>-298854.62</v>
      </c>
      <c r="E19" s="161">
        <v>-2478820.35</v>
      </c>
    </row>
    <row r="20" spans="1:5" ht="27" customHeight="1" thickBot="1">
      <c r="A20" s="142" t="s">
        <v>2062</v>
      </c>
      <c r="B20" s="142" t="s">
        <v>2063</v>
      </c>
      <c r="C20" s="314">
        <v>56781589.100000001</v>
      </c>
      <c r="D20" s="315">
        <v>5820552.9400000004</v>
      </c>
      <c r="E20" s="161">
        <v>62602142.039999999</v>
      </c>
    </row>
    <row r="21" spans="1:5" ht="20" customHeight="1" thickBot="1">
      <c r="A21" s="142">
        <v>36</v>
      </c>
      <c r="B21" s="142" t="s">
        <v>2064</v>
      </c>
      <c r="C21" s="314">
        <v>-839781.73</v>
      </c>
      <c r="D21" s="315">
        <v>-51305.48</v>
      </c>
      <c r="E21" s="161">
        <v>-891087.21</v>
      </c>
    </row>
    <row r="22" spans="1:5" ht="20" customHeight="1" thickBot="1">
      <c r="A22" s="142">
        <v>37</v>
      </c>
      <c r="B22" s="142" t="s">
        <v>2065</v>
      </c>
      <c r="C22" s="314" t="s">
        <v>949</v>
      </c>
      <c r="D22" s="315" t="s">
        <v>949</v>
      </c>
      <c r="E22" s="161" t="s">
        <v>949</v>
      </c>
    </row>
    <row r="23" spans="1:5" ht="27" customHeight="1" thickBot="1">
      <c r="A23" s="142">
        <v>3</v>
      </c>
      <c r="B23" s="142" t="s">
        <v>2066</v>
      </c>
      <c r="C23" s="314">
        <v>55941807.380000003</v>
      </c>
      <c r="D23" s="315">
        <v>5769247.4500000002</v>
      </c>
      <c r="E23" s="161">
        <v>61711054.829999998</v>
      </c>
    </row>
    <row r="24" spans="1:5" ht="20" customHeight="1" thickBot="1">
      <c r="A24" s="141" t="s">
        <v>2067</v>
      </c>
      <c r="B24" s="141" t="s">
        <v>2068</v>
      </c>
      <c r="C24" s="314">
        <v>8812837.3399999999</v>
      </c>
      <c r="D24" s="315">
        <v>882812.96</v>
      </c>
      <c r="E24" s="161">
        <v>9695650.3000000007</v>
      </c>
    </row>
    <row r="25" spans="1:5" ht="20" customHeight="1" thickBot="1">
      <c r="A25" s="141">
        <v>48</v>
      </c>
      <c r="B25" s="141" t="s">
        <v>2069</v>
      </c>
      <c r="C25" s="314">
        <v>946414.45</v>
      </c>
      <c r="D25" s="315">
        <v>155560.64000000001</v>
      </c>
      <c r="E25" s="161">
        <v>1101975.0900000001</v>
      </c>
    </row>
    <row r="26" spans="1:5" ht="20" customHeight="1" thickBot="1">
      <c r="A26" s="142">
        <v>49</v>
      </c>
      <c r="B26" s="142" t="s">
        <v>2070</v>
      </c>
      <c r="C26" s="314">
        <v>40151.54</v>
      </c>
      <c r="D26" s="315">
        <v>6805.29</v>
      </c>
      <c r="E26" s="161">
        <v>46956.83</v>
      </c>
    </row>
    <row r="27" spans="1:5" ht="27" customHeight="1" thickBot="1">
      <c r="A27" s="142">
        <v>4</v>
      </c>
      <c r="B27" s="142" t="s">
        <v>2071</v>
      </c>
      <c r="C27" s="314">
        <v>9799403.3300000001</v>
      </c>
      <c r="D27" s="315">
        <v>1045178.89</v>
      </c>
      <c r="E27" s="161">
        <v>10844582.220000001</v>
      </c>
    </row>
    <row r="28" spans="1:5" ht="27" customHeight="1" thickBot="1">
      <c r="A28" s="142" t="s">
        <v>2072</v>
      </c>
      <c r="B28" s="142" t="s">
        <v>2073</v>
      </c>
      <c r="C28" s="314">
        <v>65741210.710000001</v>
      </c>
      <c r="D28" s="315">
        <v>6814426.3499999996</v>
      </c>
      <c r="E28" s="161">
        <v>72555637.060000002</v>
      </c>
    </row>
    <row r="29" spans="1:5" ht="27" customHeight="1" thickBot="1">
      <c r="A29" s="142"/>
      <c r="B29" s="142" t="s">
        <v>2074</v>
      </c>
      <c r="C29" s="314">
        <v>9123207.3800000008</v>
      </c>
      <c r="D29" s="315">
        <v>1375565.44</v>
      </c>
      <c r="E29" s="161">
        <v>10498772.82</v>
      </c>
    </row>
    <row r="30" spans="1:5" ht="27" customHeight="1" thickBot="1">
      <c r="A30" s="142">
        <v>7</v>
      </c>
      <c r="B30" s="142" t="s">
        <v>2075</v>
      </c>
      <c r="C30" s="314">
        <v>1750128.67</v>
      </c>
      <c r="D30" s="315">
        <v>185679.09</v>
      </c>
      <c r="E30" s="161">
        <v>1935807.76</v>
      </c>
    </row>
    <row r="31" spans="1:5" ht="34.5" customHeight="1" thickBot="1">
      <c r="A31" s="232"/>
      <c r="B31" s="232" t="s">
        <v>2076</v>
      </c>
      <c r="C31" s="314">
        <v>10873336.029999999</v>
      </c>
      <c r="D31" s="315">
        <v>1561244.53</v>
      </c>
      <c r="E31" s="161">
        <v>12434580.560000001</v>
      </c>
    </row>
    <row r="32" spans="1:5" ht="20" customHeight="1">
      <c r="A32" s="146" t="s">
        <v>596</v>
      </c>
      <c r="B32" s="344"/>
      <c r="C32" s="146"/>
      <c r="D32" s="345"/>
      <c r="E32" s="346"/>
    </row>
    <row r="33" spans="1:5" ht="15.75" customHeight="1">
      <c r="A33" s="4"/>
      <c r="B33" s="448"/>
      <c r="C33" s="4"/>
      <c r="D33" s="449"/>
      <c r="E33" s="600"/>
    </row>
    <row r="34" spans="1:5" ht="15.75" customHeight="1">
      <c r="A34" s="2" t="s">
        <v>1398</v>
      </c>
      <c r="B34" s="448"/>
      <c r="C34" s="4"/>
      <c r="D34" s="449"/>
      <c r="E34" s="600"/>
    </row>
    <row r="35" spans="1:5" ht="13.5" customHeight="1">
      <c r="A35" s="4"/>
      <c r="B35" s="448"/>
      <c r="C35" s="4"/>
      <c r="D35" s="449"/>
      <c r="E35" s="600"/>
    </row>
    <row r="36" spans="1:5">
      <c r="A36" s="4" t="s">
        <v>1391</v>
      </c>
    </row>
    <row r="37" spans="1:5">
      <c r="A37" s="2" t="s">
        <v>1392</v>
      </c>
    </row>
    <row r="40" spans="1:5">
      <c r="A40" s="2" t="s">
        <v>128</v>
      </c>
    </row>
  </sheetData>
  <phoneticPr fontId="0" type="noConversion"/>
  <pageMargins left="0.6" right="0.6" top="0.78" bottom="0.49" header="0.49" footer="0.4921259845"/>
  <pageSetup paperSize="9" scale="84" orientation="portrait" horizontalDpi="4294967292" verticalDpi="4294967292"/>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B945-7586-A743-94D8-5E673DA3995D}">
  <sheetPr>
    <pageSetUpPr fitToPage="1"/>
  </sheetPr>
  <dimension ref="A1:E40"/>
  <sheetViews>
    <sheetView topLeftCell="A22" zoomScale="75" workbookViewId="0">
      <selection activeCell="A35" sqref="A35"/>
    </sheetView>
  </sheetViews>
  <sheetFormatPr baseColWidth="10" defaultColWidth="11.3984375" defaultRowHeight="13"/>
  <cols>
    <col min="1" max="1" width="8.796875" style="2" customWidth="1"/>
    <col min="2" max="2" width="48.796875" style="21" customWidth="1"/>
    <col min="3" max="3" width="16.796875" style="2" customWidth="1"/>
    <col min="4" max="4" width="16.796875" style="9" customWidth="1"/>
    <col min="5" max="5" width="16.796875" style="347" customWidth="1"/>
    <col min="6" max="16384" width="11.3984375" style="2"/>
  </cols>
  <sheetData>
    <row r="1" spans="1:5" s="1" customFormat="1" ht="14" customHeight="1">
      <c r="B1" s="305"/>
      <c r="D1" s="306"/>
      <c r="E1" s="598"/>
    </row>
    <row r="2" spans="1:5" s="1" customFormat="1" ht="28" customHeight="1">
      <c r="A2" s="19" t="s">
        <v>1401</v>
      </c>
      <c r="B2" s="305"/>
      <c r="D2" s="306"/>
      <c r="E2" s="19">
        <v>2005</v>
      </c>
    </row>
    <row r="3" spans="1:5" ht="39" customHeight="1">
      <c r="A3" s="125" t="s">
        <v>696</v>
      </c>
      <c r="B3" s="329"/>
      <c r="C3" s="126" t="s">
        <v>697</v>
      </c>
      <c r="D3" s="262" t="s">
        <v>698</v>
      </c>
      <c r="E3" s="307" t="s">
        <v>43</v>
      </c>
    </row>
    <row r="4" spans="1:5" ht="38" customHeight="1">
      <c r="A4" s="308"/>
      <c r="B4" s="244"/>
      <c r="C4" s="135" t="s">
        <v>699</v>
      </c>
      <c r="D4" s="215" t="s">
        <v>699</v>
      </c>
      <c r="E4" s="309" t="s">
        <v>699</v>
      </c>
    </row>
    <row r="5" spans="1:5" ht="30" customHeight="1" thickBot="1">
      <c r="A5" s="599">
        <v>60</v>
      </c>
      <c r="B5" s="599" t="s">
        <v>700</v>
      </c>
      <c r="C5" s="341">
        <v>240200437.91999999</v>
      </c>
      <c r="D5" s="342">
        <v>18875202.039999999</v>
      </c>
      <c r="E5" s="343">
        <v>259075639.96000001</v>
      </c>
    </row>
    <row r="6" spans="1:5" ht="20" customHeight="1" thickBot="1">
      <c r="A6" s="142">
        <v>64</v>
      </c>
      <c r="B6" s="142" t="s">
        <v>701</v>
      </c>
      <c r="C6" s="341">
        <v>-1976048.15</v>
      </c>
      <c r="D6" s="342">
        <v>-220096.98</v>
      </c>
      <c r="E6" s="343">
        <v>-2196145.13</v>
      </c>
    </row>
    <row r="7" spans="1:5" ht="20" customHeight="1" thickBot="1">
      <c r="A7" s="142">
        <v>65</v>
      </c>
      <c r="B7" s="142" t="s">
        <v>702</v>
      </c>
      <c r="C7" s="341">
        <v>157164.70000000001</v>
      </c>
      <c r="D7" s="342">
        <v>1288.74</v>
      </c>
      <c r="E7" s="343">
        <v>158453.44</v>
      </c>
    </row>
    <row r="8" spans="1:5" ht="27" customHeight="1" thickBot="1">
      <c r="A8" s="142" t="s">
        <v>703</v>
      </c>
      <c r="B8" s="142" t="s">
        <v>704</v>
      </c>
      <c r="C8" s="341">
        <v>238381554.47999999</v>
      </c>
      <c r="D8" s="342">
        <v>18656393.800000001</v>
      </c>
      <c r="E8" s="343">
        <v>257037948.28</v>
      </c>
    </row>
    <row r="9" spans="1:5" ht="20" customHeight="1" thickBot="1">
      <c r="A9" s="142">
        <v>66</v>
      </c>
      <c r="B9" s="142" t="s">
        <v>705</v>
      </c>
      <c r="C9" s="341">
        <v>-1008987.49</v>
      </c>
      <c r="D9" s="342">
        <v>-14110.76</v>
      </c>
      <c r="E9" s="343">
        <v>-1023098.25</v>
      </c>
    </row>
    <row r="10" spans="1:5" ht="27" customHeight="1" thickBot="1">
      <c r="A10" s="142" t="s">
        <v>706</v>
      </c>
      <c r="B10" s="142" t="s">
        <v>707</v>
      </c>
      <c r="C10" s="341">
        <v>237372566.99000001</v>
      </c>
      <c r="D10" s="342">
        <v>18642283.039999999</v>
      </c>
      <c r="E10" s="343">
        <v>256014850.03</v>
      </c>
    </row>
    <row r="11" spans="1:5" ht="20" customHeight="1" thickBot="1">
      <c r="A11" s="142">
        <v>67</v>
      </c>
      <c r="B11" s="142" t="s">
        <v>708</v>
      </c>
      <c r="C11" s="341">
        <v>19246775.050000001</v>
      </c>
      <c r="D11" s="342">
        <v>28508.65</v>
      </c>
      <c r="E11" s="343">
        <v>19275283.699999999</v>
      </c>
    </row>
    <row r="12" spans="1:5" ht="20" customHeight="1" thickBot="1">
      <c r="A12" s="142">
        <v>68</v>
      </c>
      <c r="B12" s="142" t="s">
        <v>709</v>
      </c>
      <c r="C12" s="341">
        <v>-19245451</v>
      </c>
      <c r="D12" s="342">
        <v>-28403.65</v>
      </c>
      <c r="E12" s="343">
        <v>-19273854.649999999</v>
      </c>
    </row>
    <row r="13" spans="1:5" ht="20" customHeight="1" thickBot="1">
      <c r="A13" s="142">
        <v>69</v>
      </c>
      <c r="B13" s="142" t="s">
        <v>710</v>
      </c>
      <c r="C13" s="341">
        <v>1956794.86</v>
      </c>
      <c r="D13" s="342">
        <v>14427.99</v>
      </c>
      <c r="E13" s="343">
        <v>1971222.85</v>
      </c>
    </row>
    <row r="14" spans="1:5" ht="27" customHeight="1" thickBot="1">
      <c r="A14" s="142">
        <v>6</v>
      </c>
      <c r="B14" s="142" t="s">
        <v>2055</v>
      </c>
      <c r="C14" s="341">
        <v>239330685.88999999</v>
      </c>
      <c r="D14" s="342">
        <v>18656816.039999999</v>
      </c>
      <c r="E14" s="343">
        <v>257987501.93000001</v>
      </c>
    </row>
    <row r="15" spans="1:5" ht="20" customHeight="1" thickBot="1">
      <c r="A15" s="142">
        <v>30</v>
      </c>
      <c r="B15" s="142" t="s">
        <v>2056</v>
      </c>
      <c r="C15" s="341">
        <v>171137220.56999999</v>
      </c>
      <c r="D15" s="342">
        <v>15048379.630000001</v>
      </c>
      <c r="E15" s="343">
        <v>186185600.19999999</v>
      </c>
    </row>
    <row r="16" spans="1:5" ht="20" customHeight="1" thickBot="1">
      <c r="A16" s="142">
        <v>32</v>
      </c>
      <c r="B16" s="142" t="s">
        <v>2057</v>
      </c>
      <c r="C16" s="341" t="s">
        <v>949</v>
      </c>
      <c r="D16" s="342" t="s">
        <v>949</v>
      </c>
      <c r="E16" s="343" t="s">
        <v>949</v>
      </c>
    </row>
    <row r="17" spans="1:5" ht="27" customHeight="1" thickBot="1">
      <c r="A17" s="142" t="s">
        <v>2058</v>
      </c>
      <c r="B17" s="142" t="s">
        <v>2059</v>
      </c>
      <c r="C17" s="341">
        <v>171137220.56999999</v>
      </c>
      <c r="D17" s="342">
        <v>15048379.630000001</v>
      </c>
      <c r="E17" s="343">
        <v>186185600.19999999</v>
      </c>
    </row>
    <row r="18" spans="1:5" ht="20" customHeight="1" thickBot="1">
      <c r="A18" s="142">
        <v>34</v>
      </c>
      <c r="B18" s="142" t="s">
        <v>2060</v>
      </c>
      <c r="C18" s="341">
        <v>763541.63</v>
      </c>
      <c r="D18" s="342">
        <v>10721.51</v>
      </c>
      <c r="E18" s="343">
        <v>774263.14</v>
      </c>
    </row>
    <row r="19" spans="1:5" ht="20" customHeight="1" thickBot="1">
      <c r="A19" s="142">
        <v>35</v>
      </c>
      <c r="B19" s="142" t="s">
        <v>2061</v>
      </c>
      <c r="C19" s="341">
        <v>6557123.1399999997</v>
      </c>
      <c r="D19" s="342">
        <v>1090192.0900000001</v>
      </c>
      <c r="E19" s="343">
        <v>7647315.2300000004</v>
      </c>
    </row>
    <row r="20" spans="1:5" ht="27" customHeight="1" thickBot="1">
      <c r="A20" s="142" t="s">
        <v>2062</v>
      </c>
      <c r="B20" s="142" t="s">
        <v>2063</v>
      </c>
      <c r="C20" s="341">
        <v>178457885.33000001</v>
      </c>
      <c r="D20" s="342">
        <v>16149293.199999999</v>
      </c>
      <c r="E20" s="343">
        <v>194607178.53</v>
      </c>
    </row>
    <row r="21" spans="1:5" ht="20" customHeight="1" thickBot="1">
      <c r="A21" s="142">
        <v>36</v>
      </c>
      <c r="B21" s="142" t="s">
        <v>2064</v>
      </c>
      <c r="C21" s="341">
        <v>-1337422.58</v>
      </c>
      <c r="D21" s="342">
        <v>-4839.22</v>
      </c>
      <c r="E21" s="343">
        <v>-1342261.8</v>
      </c>
    </row>
    <row r="22" spans="1:5" ht="20" customHeight="1" thickBot="1">
      <c r="A22" s="142">
        <v>37</v>
      </c>
      <c r="B22" s="142" t="s">
        <v>2065</v>
      </c>
      <c r="C22" s="341" t="s">
        <v>949</v>
      </c>
      <c r="D22" s="342" t="s">
        <v>949</v>
      </c>
      <c r="E22" s="343" t="s">
        <v>949</v>
      </c>
    </row>
    <row r="23" spans="1:5" ht="27" customHeight="1" thickBot="1">
      <c r="A23" s="142">
        <v>3</v>
      </c>
      <c r="B23" s="142" t="s">
        <v>2066</v>
      </c>
      <c r="C23" s="341">
        <v>177120462.75</v>
      </c>
      <c r="D23" s="342">
        <v>16144453.99</v>
      </c>
      <c r="E23" s="343">
        <v>193264916.74000001</v>
      </c>
    </row>
    <row r="24" spans="1:5" ht="20" customHeight="1" thickBot="1">
      <c r="A24" s="141" t="s">
        <v>2067</v>
      </c>
      <c r="B24" s="141" t="s">
        <v>2068</v>
      </c>
      <c r="C24" s="341">
        <v>26363382.91</v>
      </c>
      <c r="D24" s="342">
        <v>1914614.71</v>
      </c>
      <c r="E24" s="343">
        <v>28277997.620000001</v>
      </c>
    </row>
    <row r="25" spans="1:5" ht="20" customHeight="1" thickBot="1">
      <c r="A25" s="141">
        <v>48</v>
      </c>
      <c r="B25" s="141" t="s">
        <v>2069</v>
      </c>
      <c r="C25" s="341">
        <v>4612342.2</v>
      </c>
      <c r="D25" s="342">
        <v>740592.97</v>
      </c>
      <c r="E25" s="343">
        <v>5352935.17</v>
      </c>
    </row>
    <row r="26" spans="1:5" ht="20" customHeight="1" thickBot="1">
      <c r="A26" s="142">
        <v>49</v>
      </c>
      <c r="B26" s="142" t="s">
        <v>2070</v>
      </c>
      <c r="C26" s="341">
        <v>81384.89</v>
      </c>
      <c r="D26" s="342">
        <v>13687.42</v>
      </c>
      <c r="E26" s="343">
        <v>95072.31</v>
      </c>
    </row>
    <row r="27" spans="1:5" ht="27" customHeight="1" thickBot="1">
      <c r="A27" s="142">
        <v>4</v>
      </c>
      <c r="B27" s="142" t="s">
        <v>2071</v>
      </c>
      <c r="C27" s="341">
        <v>31057110.010000002</v>
      </c>
      <c r="D27" s="342">
        <v>2668895.09</v>
      </c>
      <c r="E27" s="343">
        <v>33726005.100000001</v>
      </c>
    </row>
    <row r="28" spans="1:5" ht="27" customHeight="1" thickBot="1">
      <c r="A28" s="142" t="s">
        <v>2072</v>
      </c>
      <c r="B28" s="142" t="s">
        <v>2073</v>
      </c>
      <c r="C28" s="341">
        <v>208177572.75999999</v>
      </c>
      <c r="D28" s="342">
        <v>18813349.09</v>
      </c>
      <c r="E28" s="343">
        <v>226990921.84999999</v>
      </c>
    </row>
    <row r="29" spans="1:5" ht="27" customHeight="1" thickBot="1">
      <c r="A29" s="142"/>
      <c r="B29" s="142" t="s">
        <v>2074</v>
      </c>
      <c r="C29" s="341">
        <v>31153113.140000001</v>
      </c>
      <c r="D29" s="342">
        <v>-156533.04999999999</v>
      </c>
      <c r="E29" s="343">
        <v>30996580.09</v>
      </c>
    </row>
    <row r="30" spans="1:5" ht="27" customHeight="1" thickBot="1">
      <c r="A30" s="142">
        <v>7</v>
      </c>
      <c r="B30" s="142" t="s">
        <v>2075</v>
      </c>
      <c r="C30" s="341">
        <v>4685990.43</v>
      </c>
      <c r="D30" s="342">
        <v>172342.73</v>
      </c>
      <c r="E30" s="343">
        <v>4858333.16</v>
      </c>
    </row>
    <row r="31" spans="1:5" ht="34.5" customHeight="1" thickBot="1">
      <c r="A31" s="232"/>
      <c r="B31" s="232" t="s">
        <v>2076</v>
      </c>
      <c r="C31" s="341">
        <v>35839103.560000002</v>
      </c>
      <c r="D31" s="342">
        <v>15809.67</v>
      </c>
      <c r="E31" s="343">
        <v>35854913.229999997</v>
      </c>
    </row>
    <row r="32" spans="1:5" ht="20" customHeight="1">
      <c r="A32" s="146" t="s">
        <v>596</v>
      </c>
      <c r="B32" s="344"/>
      <c r="C32" s="146"/>
      <c r="D32" s="345"/>
      <c r="E32" s="346"/>
    </row>
    <row r="33" spans="1:5" ht="14.25" customHeight="1">
      <c r="A33" s="4"/>
      <c r="B33" s="448"/>
      <c r="C33" s="4"/>
      <c r="D33" s="449"/>
      <c r="E33" s="600"/>
    </row>
    <row r="34" spans="1:5" ht="15.75" customHeight="1">
      <c r="A34" s="2" t="s">
        <v>1400</v>
      </c>
      <c r="B34" s="448"/>
      <c r="C34" s="4"/>
      <c r="D34" s="449"/>
      <c r="E34" s="600"/>
    </row>
    <row r="35" spans="1:5" ht="13.5" customHeight="1">
      <c r="A35" s="4"/>
      <c r="B35" s="448"/>
      <c r="C35" s="4"/>
      <c r="D35" s="449"/>
      <c r="E35" s="600"/>
    </row>
    <row r="36" spans="1:5">
      <c r="A36" s="4" t="s">
        <v>1391</v>
      </c>
    </row>
    <row r="37" spans="1:5">
      <c r="A37" s="2" t="s">
        <v>1392</v>
      </c>
    </row>
    <row r="40" spans="1:5">
      <c r="A40" s="2" t="s">
        <v>128</v>
      </c>
    </row>
  </sheetData>
  <phoneticPr fontId="0" type="noConversion"/>
  <pageMargins left="0.57999999999999996" right="0.65" top="0.92" bottom="0.49" header="0.49" footer="0.4921259845"/>
  <pageSetup paperSize="9" scale="84" orientation="portrait" horizontalDpi="4294967292" verticalDpi="4294967292"/>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D8425-1591-3740-B99B-962D2EF90394}">
  <sheetPr>
    <pageSetUpPr fitToPage="1"/>
  </sheetPr>
  <dimension ref="A1:B10"/>
  <sheetViews>
    <sheetView workbookViewId="0">
      <selection activeCell="B6" sqref="B6"/>
    </sheetView>
  </sheetViews>
  <sheetFormatPr baseColWidth="10" defaultColWidth="11.3984375" defaultRowHeight="13"/>
  <cols>
    <col min="1" max="1" width="5.59765625" style="582" customWidth="1"/>
    <col min="2" max="16384" width="11.3984375" style="582"/>
  </cols>
  <sheetData>
    <row r="1" spans="1:2" ht="16">
      <c r="A1" s="581" t="s">
        <v>969</v>
      </c>
    </row>
    <row r="2" spans="1:2" ht="16">
      <c r="A2" s="583"/>
    </row>
    <row r="3" spans="1:2">
      <c r="A3" s="584">
        <v>7.01</v>
      </c>
      <c r="B3" s="585" t="s">
        <v>970</v>
      </c>
    </row>
    <row r="4" spans="1:2">
      <c r="A4" s="584">
        <v>7.02</v>
      </c>
      <c r="B4" s="585" t="s">
        <v>971</v>
      </c>
    </row>
    <row r="5" spans="1:2">
      <c r="A5" s="584">
        <v>7.03</v>
      </c>
      <c r="B5" s="585" t="s">
        <v>972</v>
      </c>
    </row>
    <row r="6" spans="1:2">
      <c r="A6" s="584">
        <v>7.04</v>
      </c>
      <c r="B6" s="585" t="s">
        <v>1153</v>
      </c>
    </row>
    <row r="7" spans="1:2">
      <c r="A7" s="584">
        <v>7.05</v>
      </c>
      <c r="B7" s="585" t="s">
        <v>1154</v>
      </c>
    </row>
    <row r="10" spans="1:2">
      <c r="A10" s="586" t="s">
        <v>128</v>
      </c>
    </row>
  </sheetData>
  <phoneticPr fontId="37" type="noConversion"/>
  <pageMargins left="0.46" right="0.35" top="0.62" bottom="0.984251969" header="0.36" footer="0.4921259845"/>
  <pageSetup paperSize="9" orientation="portrait"/>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DF219-74D8-7F47-9408-C24E7FD4D8DB}">
  <sheetPr>
    <pageSetUpPr fitToPage="1"/>
  </sheetPr>
  <dimension ref="A1:K28"/>
  <sheetViews>
    <sheetView topLeftCell="A9" zoomScale="75" workbookViewId="0">
      <selection activeCell="A15" sqref="A15:IV15"/>
    </sheetView>
  </sheetViews>
  <sheetFormatPr baseColWidth="10" defaultColWidth="11.3984375" defaultRowHeight="13"/>
  <cols>
    <col min="1" max="1" width="16.796875" style="2" customWidth="1"/>
    <col min="2" max="2" width="16.19921875" style="2" customWidth="1"/>
    <col min="3" max="3" width="15" style="2" customWidth="1"/>
    <col min="4" max="4" width="16.19921875" style="2" customWidth="1"/>
    <col min="5" max="7" width="15" style="2" customWidth="1"/>
    <col min="8" max="16384" width="11.3984375" style="2"/>
  </cols>
  <sheetData>
    <row r="1" spans="1:11" s="1" customFormat="1" ht="14" customHeight="1"/>
    <row r="2" spans="1:11" s="1" customFormat="1" ht="42" customHeight="1">
      <c r="A2" s="1606" t="s">
        <v>1033</v>
      </c>
      <c r="B2" s="1610"/>
      <c r="C2" s="1610"/>
      <c r="D2" s="1610"/>
      <c r="E2" s="1610"/>
      <c r="F2" s="1610"/>
      <c r="G2" s="19">
        <v>2005</v>
      </c>
    </row>
    <row r="3" spans="1:11" ht="24" customHeight="1">
      <c r="A3" s="125" t="s">
        <v>1034</v>
      </c>
      <c r="B3" s="126" t="s">
        <v>2226</v>
      </c>
      <c r="C3" s="127" t="s">
        <v>265</v>
      </c>
      <c r="D3" s="126" t="s">
        <v>2227</v>
      </c>
      <c r="E3" s="127" t="s">
        <v>265</v>
      </c>
      <c r="F3" s="126" t="s">
        <v>1807</v>
      </c>
      <c r="G3" s="127" t="s">
        <v>265</v>
      </c>
    </row>
    <row r="4" spans="1:11" ht="15" customHeight="1">
      <c r="A4" s="212"/>
      <c r="B4" s="129" t="s">
        <v>1807</v>
      </c>
      <c r="C4" s="131" t="s">
        <v>267</v>
      </c>
      <c r="D4" s="129" t="s">
        <v>2228</v>
      </c>
      <c r="E4" s="131" t="s">
        <v>267</v>
      </c>
      <c r="F4" s="129" t="s">
        <v>2229</v>
      </c>
      <c r="G4" s="131" t="s">
        <v>267</v>
      </c>
    </row>
    <row r="5" spans="1:11" ht="15" customHeight="1">
      <c r="A5" s="212"/>
      <c r="B5" s="129" t="s">
        <v>2230</v>
      </c>
      <c r="C5" s="131" t="s">
        <v>268</v>
      </c>
      <c r="D5" s="129" t="s">
        <v>2231</v>
      </c>
      <c r="E5" s="131" t="s">
        <v>268</v>
      </c>
      <c r="F5" s="129" t="s">
        <v>945</v>
      </c>
      <c r="G5" s="131" t="s">
        <v>268</v>
      </c>
    </row>
    <row r="6" spans="1:11" ht="24" customHeight="1">
      <c r="A6" s="214"/>
      <c r="B6" s="135"/>
      <c r="C6" s="134"/>
      <c r="D6" s="135" t="s">
        <v>2232</v>
      </c>
      <c r="E6" s="134"/>
      <c r="F6" s="135"/>
      <c r="G6" s="134"/>
    </row>
    <row r="7" spans="1:11" ht="20" customHeight="1" thickBot="1">
      <c r="A7" s="216">
        <v>1996</v>
      </c>
      <c r="B7" s="157">
        <v>4599022226.4899998</v>
      </c>
      <c r="C7" s="158">
        <v>4.7135061423122571E-2</v>
      </c>
      <c r="D7" s="157">
        <v>4507461189</v>
      </c>
      <c r="E7" s="158">
        <v>8.2125105302542703E-2</v>
      </c>
      <c r="F7" s="157">
        <v>91699445.469999999</v>
      </c>
      <c r="G7" s="158">
        <v>-0.59537068849307151</v>
      </c>
      <c r="I7" s="10"/>
      <c r="J7" s="10"/>
      <c r="K7" s="10"/>
    </row>
    <row r="8" spans="1:11" ht="20" customHeight="1" thickBot="1">
      <c r="A8" s="218">
        <v>1997</v>
      </c>
      <c r="B8" s="159">
        <v>4851626656</v>
      </c>
      <c r="C8" s="160">
        <v>5.4925681388321837E-2</v>
      </c>
      <c r="D8" s="159">
        <v>4710142665.8999996</v>
      </c>
      <c r="E8" s="160">
        <v>4.4965773059704457E-2</v>
      </c>
      <c r="F8" s="159">
        <v>141483990.28999999</v>
      </c>
      <c r="G8" s="160">
        <v>0.54290998778490207</v>
      </c>
    </row>
    <row r="9" spans="1:11" ht="20" customHeight="1" thickBot="1">
      <c r="A9" s="218">
        <v>1998</v>
      </c>
      <c r="B9" s="159">
        <v>4992640209.6999998</v>
      </c>
      <c r="C9" s="160">
        <v>2.9065211257673453E-2</v>
      </c>
      <c r="D9" s="159">
        <v>4882154897.6999998</v>
      </c>
      <c r="E9" s="160">
        <v>3.6519537517476157E-2</v>
      </c>
      <c r="F9" s="159">
        <v>110485312.03</v>
      </c>
      <c r="G9" s="160">
        <v>-0.2190967203883771</v>
      </c>
    </row>
    <row r="10" spans="1:11" ht="20" customHeight="1" thickBot="1">
      <c r="A10" s="218">
        <v>1999</v>
      </c>
      <c r="B10" s="159">
        <v>4257016347.5999999</v>
      </c>
      <c r="C10" s="160">
        <v>-0.14734165315393363</v>
      </c>
      <c r="D10" s="159">
        <v>4120691131.5999999</v>
      </c>
      <c r="E10" s="160">
        <v>-0.15596878469766048</v>
      </c>
      <c r="F10" s="159">
        <v>136325216.02000001</v>
      </c>
      <c r="G10" s="160">
        <v>0.23387637248092957</v>
      </c>
    </row>
    <row r="11" spans="1:11" ht="20" customHeight="1" thickBot="1">
      <c r="A11" s="218">
        <v>2000</v>
      </c>
      <c r="B11" s="159">
        <v>3297340718.6999998</v>
      </c>
      <c r="C11" s="160">
        <v>-0.22543386037054836</v>
      </c>
      <c r="D11" s="159">
        <v>3197872772.4000001</v>
      </c>
      <c r="E11" s="160">
        <v>-0.22394747136548521</v>
      </c>
      <c r="F11" s="159">
        <v>99467946.299999997</v>
      </c>
      <c r="G11" s="160">
        <v>-0.27036281911772475</v>
      </c>
    </row>
    <row r="12" spans="1:11" ht="19.5" customHeight="1" thickBot="1">
      <c r="A12" s="218">
        <v>2001</v>
      </c>
      <c r="B12" s="159">
        <v>2297775177.9000001</v>
      </c>
      <c r="C12" s="160">
        <v>-0.30314293428374778</v>
      </c>
      <c r="D12" s="159">
        <v>2245296158.4000001</v>
      </c>
      <c r="E12" s="160">
        <v>-0.29787820898362138</v>
      </c>
      <c r="F12" s="159">
        <v>52479019.649999999</v>
      </c>
      <c r="G12" s="160">
        <v>-0.4724027025578591</v>
      </c>
    </row>
    <row r="13" spans="1:11" ht="19.5" customHeight="1" thickBot="1">
      <c r="A13" s="218">
        <v>2002</v>
      </c>
      <c r="B13" s="159">
        <v>2179075331.1500001</v>
      </c>
      <c r="C13" s="160">
        <v>-5.1658599105628367E-2</v>
      </c>
      <c r="D13" s="159">
        <v>2190020061.2499995</v>
      </c>
      <c r="E13" s="160">
        <v>-2.461862188789846E-2</v>
      </c>
      <c r="F13" s="159">
        <v>-10944730.16</v>
      </c>
      <c r="G13" s="160">
        <v>-1.2085543943654824</v>
      </c>
    </row>
    <row r="14" spans="1:11" ht="19.5" customHeight="1" thickBot="1">
      <c r="A14" s="218">
        <v>2003</v>
      </c>
      <c r="B14" s="159">
        <v>2288718484.4899998</v>
      </c>
      <c r="C14" s="160">
        <v>5.0316366659125936E-2</v>
      </c>
      <c r="D14" s="159">
        <v>2230195619.6600003</v>
      </c>
      <c r="E14" s="160">
        <v>1.8344835794367E-2</v>
      </c>
      <c r="F14" s="159">
        <v>58522864.830000006</v>
      </c>
      <c r="G14" s="160">
        <v>6.3471272452093057</v>
      </c>
    </row>
    <row r="15" spans="1:11" ht="19.5" customHeight="1" thickBot="1">
      <c r="A15" s="218">
        <v>2004</v>
      </c>
      <c r="B15" s="159">
        <v>1913538530.5999999</v>
      </c>
      <c r="C15" s="160">
        <v>-0.16392577611990669</v>
      </c>
      <c r="D15" s="159">
        <v>1875065073.2299998</v>
      </c>
      <c r="E15" s="160">
        <v>-0.15923739751768556</v>
      </c>
      <c r="F15" s="159">
        <v>38473457.389999993</v>
      </c>
      <c r="G15" s="160">
        <v>-0.34259101119264213</v>
      </c>
    </row>
    <row r="16" spans="1:11" ht="30" customHeight="1" thickBot="1">
      <c r="A16" s="485">
        <v>2005</v>
      </c>
      <c r="B16" s="161">
        <v>2014328063.2799997</v>
      </c>
      <c r="C16" s="162">
        <v>5.2671807266089776E-2</v>
      </c>
      <c r="D16" s="161">
        <v>1987939073.0000002</v>
      </c>
      <c r="E16" s="162">
        <v>6.0197377350516661E-2</v>
      </c>
      <c r="F16" s="161">
        <v>26388990.279999997</v>
      </c>
      <c r="G16" s="162">
        <v>-0.31409880810818386</v>
      </c>
    </row>
    <row r="17" spans="1:7" ht="20" customHeight="1">
      <c r="A17" s="146" t="s">
        <v>596</v>
      </c>
      <c r="B17" s="146"/>
      <c r="C17" s="146"/>
      <c r="D17" s="146"/>
      <c r="E17" s="146"/>
      <c r="F17" s="146"/>
      <c r="G17" s="146"/>
    </row>
    <row r="18" spans="1:7" ht="9.75" customHeight="1">
      <c r="A18" s="4"/>
      <c r="B18" s="4"/>
      <c r="C18" s="4"/>
      <c r="D18" s="4"/>
      <c r="E18" s="4"/>
      <c r="F18" s="4"/>
      <c r="G18" s="4"/>
    </row>
    <row r="19" spans="1:7">
      <c r="A19" s="4" t="s">
        <v>1028</v>
      </c>
    </row>
    <row r="20" spans="1:7">
      <c r="A20" s="2" t="s">
        <v>1029</v>
      </c>
    </row>
    <row r="21" spans="1:7">
      <c r="A21" s="2" t="s">
        <v>1030</v>
      </c>
    </row>
    <row r="22" spans="1:7">
      <c r="A22" s="2" t="s">
        <v>2234</v>
      </c>
    </row>
    <row r="23" spans="1:7">
      <c r="A23" s="2" t="s">
        <v>1031</v>
      </c>
    </row>
    <row r="25" spans="1:7" ht="15.75" customHeight="1">
      <c r="A25" s="4" t="s">
        <v>1032</v>
      </c>
      <c r="B25" s="4"/>
      <c r="C25" s="4"/>
      <c r="D25" s="4"/>
      <c r="E25" s="4"/>
      <c r="F25" s="4"/>
      <c r="G25" s="4"/>
    </row>
    <row r="28" spans="1:7">
      <c r="A28" s="2" t="s">
        <v>128</v>
      </c>
    </row>
  </sheetData>
  <mergeCells count="1">
    <mergeCell ref="A2:F2"/>
  </mergeCells>
  <phoneticPr fontId="0" type="noConversion"/>
  <pageMargins left="0.56000000000000005" right="0.59" top="0.89" bottom="0.49" header="0.49" footer="0.4921259845"/>
  <pageSetup paperSize="9" scale="84" orientation="portrait" horizontalDpi="1200" verticalDpi="1200"/>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A1EFB-360A-F845-93F8-DF4A47674B17}">
  <sheetPr>
    <pageSetUpPr fitToPage="1"/>
  </sheetPr>
  <dimension ref="A1:I23"/>
  <sheetViews>
    <sheetView zoomScale="75" workbookViewId="0">
      <selection activeCell="F3" sqref="F3:F17"/>
    </sheetView>
  </sheetViews>
  <sheetFormatPr baseColWidth="10" defaultColWidth="11.3984375" defaultRowHeight="13"/>
  <cols>
    <col min="1" max="1" width="33.3984375" style="2" customWidth="1"/>
    <col min="2" max="2" width="15.19921875" style="2" customWidth="1"/>
    <col min="3" max="3" width="15.59765625" style="2" customWidth="1"/>
    <col min="4" max="4" width="15.19921875" style="2" customWidth="1"/>
    <col min="5" max="5" width="17.796875" style="163" customWidth="1"/>
    <col min="6" max="6" width="15.19921875" style="2" customWidth="1"/>
    <col min="7" max="16384" width="11.3984375" style="2"/>
  </cols>
  <sheetData>
    <row r="1" spans="1:9" s="1" customFormat="1" ht="14" customHeight="1">
      <c r="E1" s="18"/>
    </row>
    <row r="2" spans="1:9" s="1" customFormat="1" ht="28" customHeight="1">
      <c r="A2" s="19" t="s">
        <v>1008</v>
      </c>
      <c r="E2" s="18"/>
      <c r="F2" s="19">
        <v>2005</v>
      </c>
    </row>
    <row r="3" spans="1:9" ht="24" customHeight="1">
      <c r="A3" s="267" t="s">
        <v>696</v>
      </c>
      <c r="B3" s="126" t="s">
        <v>1009</v>
      </c>
      <c r="C3" s="127" t="s">
        <v>1010</v>
      </c>
      <c r="D3" s="126" t="s">
        <v>162</v>
      </c>
      <c r="E3" s="269" t="s">
        <v>43</v>
      </c>
      <c r="F3" s="503" t="s">
        <v>265</v>
      </c>
    </row>
    <row r="4" spans="1:9" ht="15" customHeight="1">
      <c r="A4" s="212"/>
      <c r="B4" s="129" t="s">
        <v>1011</v>
      </c>
      <c r="C4" s="131" t="s">
        <v>1012</v>
      </c>
      <c r="D4" s="129" t="s">
        <v>1013</v>
      </c>
      <c r="E4" s="614"/>
      <c r="F4" s="130" t="s">
        <v>267</v>
      </c>
    </row>
    <row r="5" spans="1:9" ht="15" customHeight="1">
      <c r="A5" s="212"/>
      <c r="B5" s="129" t="s">
        <v>149</v>
      </c>
      <c r="C5" s="131" t="s">
        <v>1014</v>
      </c>
      <c r="D5" s="129" t="s">
        <v>72</v>
      </c>
      <c r="E5" s="614"/>
      <c r="F5" s="130" t="s">
        <v>268</v>
      </c>
    </row>
    <row r="6" spans="1:9" ht="15" customHeight="1">
      <c r="A6" s="212"/>
      <c r="B6" s="129"/>
      <c r="C6" s="131" t="s">
        <v>1015</v>
      </c>
      <c r="D6" s="129" t="s">
        <v>1016</v>
      </c>
      <c r="E6" s="614"/>
      <c r="F6" s="615"/>
    </row>
    <row r="7" spans="1:9" ht="15" customHeight="1">
      <c r="A7" s="212"/>
      <c r="B7" s="129"/>
      <c r="C7" s="131" t="s">
        <v>1017</v>
      </c>
      <c r="D7" s="353" t="s">
        <v>1018</v>
      </c>
      <c r="E7" s="614"/>
      <c r="F7" s="130"/>
    </row>
    <row r="8" spans="1:9" ht="24" customHeight="1">
      <c r="A8" s="214"/>
      <c r="B8" s="135"/>
      <c r="C8" s="134"/>
      <c r="D8" s="135"/>
      <c r="E8" s="616"/>
      <c r="F8" s="133"/>
    </row>
    <row r="9" spans="1:9" ht="30" customHeight="1" thickBot="1">
      <c r="A9" s="617" t="s">
        <v>1019</v>
      </c>
      <c r="B9" s="341">
        <v>1880790628.47</v>
      </c>
      <c r="C9" s="342">
        <v>90350462.540000007</v>
      </c>
      <c r="D9" s="341">
        <v>3584789.63</v>
      </c>
      <c r="E9" s="506">
        <v>1974725880.6400001</v>
      </c>
      <c r="F9" s="618">
        <v>3.5057578398902188E-2</v>
      </c>
      <c r="G9" s="9"/>
    </row>
    <row r="10" spans="1:9" ht="20" customHeight="1" thickBot="1">
      <c r="A10" s="142" t="s">
        <v>1020</v>
      </c>
      <c r="B10" s="314">
        <v>1895503128.6300001</v>
      </c>
      <c r="C10" s="315">
        <v>53029036.25</v>
      </c>
      <c r="D10" s="314">
        <v>3596831.42</v>
      </c>
      <c r="E10" s="487">
        <v>1952128996.3000002</v>
      </c>
      <c r="F10" s="619">
        <v>3.7670116918811843E-2</v>
      </c>
      <c r="H10" s="10"/>
      <c r="I10" s="10"/>
    </row>
    <row r="11" spans="1:9" ht="20" customHeight="1" thickBot="1">
      <c r="A11" s="218" t="s">
        <v>1021</v>
      </c>
      <c r="B11" s="314">
        <v>39687931.82</v>
      </c>
      <c r="C11" s="315">
        <v>-200727.92</v>
      </c>
      <c r="D11" s="314">
        <v>114978.74</v>
      </c>
      <c r="E11" s="487">
        <v>39602182.640000001</v>
      </c>
      <c r="F11" s="619">
        <v>5.9514642149524946</v>
      </c>
      <c r="H11" s="10"/>
      <c r="I11" s="10"/>
    </row>
    <row r="12" spans="1:9" ht="20" customHeight="1" thickBot="1">
      <c r="A12" s="218" t="s">
        <v>1022</v>
      </c>
      <c r="B12" s="314">
        <v>1920478560.29</v>
      </c>
      <c r="C12" s="315">
        <v>90149734.620000005</v>
      </c>
      <c r="D12" s="314">
        <v>3699768.37</v>
      </c>
      <c r="E12" s="487">
        <v>2014328063.2799997</v>
      </c>
      <c r="F12" s="619">
        <v>5.2671807266089776E-2</v>
      </c>
      <c r="H12" s="10"/>
      <c r="I12" s="10"/>
    </row>
    <row r="13" spans="1:9" ht="20" customHeight="1" thickBot="1">
      <c r="A13" s="218" t="s">
        <v>1023</v>
      </c>
      <c r="B13" s="314">
        <v>1637191162.03</v>
      </c>
      <c r="C13" s="315">
        <v>79898968.540000007</v>
      </c>
      <c r="D13" s="314">
        <v>8049086.79</v>
      </c>
      <c r="E13" s="487">
        <v>1725139217.3599999</v>
      </c>
      <c r="F13" s="619">
        <v>6.0360577016442894E-2</v>
      </c>
      <c r="H13" s="10"/>
      <c r="I13" s="10"/>
    </row>
    <row r="14" spans="1:9" ht="20" customHeight="1" thickBot="1">
      <c r="A14" s="142" t="s">
        <v>1024</v>
      </c>
      <c r="B14" s="314">
        <v>1644599920.9300001</v>
      </c>
      <c r="C14" s="315">
        <v>79898968.540000007</v>
      </c>
      <c r="D14" s="314">
        <v>8049086.79</v>
      </c>
      <c r="E14" s="487">
        <v>1732547976.26</v>
      </c>
      <c r="F14" s="619">
        <v>6.0227124525595484E-2</v>
      </c>
      <c r="H14" s="10"/>
      <c r="I14" s="10"/>
    </row>
    <row r="15" spans="1:9" ht="20" customHeight="1" thickBot="1">
      <c r="A15" s="218" t="s">
        <v>1025</v>
      </c>
      <c r="B15" s="314">
        <v>256763488.13</v>
      </c>
      <c r="C15" s="315">
        <v>5747055.6100000003</v>
      </c>
      <c r="D15" s="314">
        <v>289311.90000000002</v>
      </c>
      <c r="E15" s="487">
        <v>262799855.64000002</v>
      </c>
      <c r="F15" s="619">
        <v>5.9127305340201955E-2</v>
      </c>
      <c r="H15" s="10"/>
      <c r="I15" s="10"/>
    </row>
    <row r="16" spans="1:9" ht="20" customHeight="1" thickBot="1">
      <c r="A16" s="218" t="s">
        <v>1026</v>
      </c>
      <c r="B16" s="314">
        <v>1893954650.1600001</v>
      </c>
      <c r="C16" s="315">
        <v>85646024.150000006</v>
      </c>
      <c r="D16" s="314">
        <v>8338398.6900000004</v>
      </c>
      <c r="E16" s="487">
        <v>1987939073.0000002</v>
      </c>
      <c r="F16" s="619">
        <v>6.0197377350516661E-2</v>
      </c>
      <c r="H16" s="10"/>
      <c r="I16" s="10"/>
    </row>
    <row r="17" spans="1:6" ht="30" customHeight="1" thickBot="1">
      <c r="A17" s="620" t="s">
        <v>2076</v>
      </c>
      <c r="B17" s="314">
        <v>26523910.129999999</v>
      </c>
      <c r="C17" s="315">
        <v>4503710.47</v>
      </c>
      <c r="D17" s="314">
        <v>-4638630.32</v>
      </c>
      <c r="E17" s="487">
        <v>26388990.279999997</v>
      </c>
      <c r="F17" s="619">
        <v>-0.31409880810818386</v>
      </c>
    </row>
    <row r="18" spans="1:6" ht="20" customHeight="1">
      <c r="A18" s="146" t="s">
        <v>596</v>
      </c>
      <c r="B18" s="146"/>
      <c r="C18" s="146"/>
      <c r="D18" s="146"/>
      <c r="E18" s="596"/>
      <c r="F18" s="146"/>
    </row>
    <row r="19" spans="1:6">
      <c r="A19" s="4"/>
    </row>
    <row r="20" spans="1:6">
      <c r="A20" s="2" t="s">
        <v>1027</v>
      </c>
    </row>
    <row r="23" spans="1:6">
      <c r="A23" s="2" t="s">
        <v>128</v>
      </c>
    </row>
  </sheetData>
  <phoneticPr fontId="0" type="noConversion"/>
  <pageMargins left="0.47" right="0.47" top="0.92" bottom="0.49" header="0.49" footer="0.4921259845"/>
  <pageSetup paperSize="9" scale="84" orientation="portrait" horizontalDpi="1200" verticalDpi="1200"/>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950DF-A169-8246-904B-B8095D1F0481}">
  <sheetPr>
    <pageSetUpPr fitToPage="1"/>
  </sheetPr>
  <dimension ref="A1:E43"/>
  <sheetViews>
    <sheetView topLeftCell="A24" zoomScale="75" workbookViewId="0">
      <selection activeCell="E3" sqref="E3"/>
    </sheetView>
  </sheetViews>
  <sheetFormatPr baseColWidth="10" defaultColWidth="11.3984375" defaultRowHeight="13"/>
  <cols>
    <col min="1" max="1" width="8.796875" style="2" customWidth="1"/>
    <col min="2" max="2" width="48.796875" style="21" customWidth="1"/>
    <col min="3" max="3" width="16.59765625" style="2" customWidth="1"/>
    <col min="4" max="4" width="16.59765625" style="9" customWidth="1"/>
    <col min="5" max="5" width="15.3984375" style="347" customWidth="1"/>
    <col min="6" max="16384" width="11.3984375" style="2"/>
  </cols>
  <sheetData>
    <row r="1" spans="1:5" s="1" customFormat="1" ht="14" customHeight="1">
      <c r="B1" s="305"/>
      <c r="D1" s="306"/>
      <c r="E1" s="598"/>
    </row>
    <row r="2" spans="1:5" s="1" customFormat="1" ht="25.5" customHeight="1">
      <c r="A2" s="1606" t="s">
        <v>1002</v>
      </c>
      <c r="B2" s="1610"/>
      <c r="C2" s="1610"/>
      <c r="D2" s="1610"/>
      <c r="E2" s="19">
        <v>2005</v>
      </c>
    </row>
    <row r="3" spans="1:5" ht="39" customHeight="1">
      <c r="A3" s="267" t="s">
        <v>696</v>
      </c>
      <c r="B3" s="329"/>
      <c r="C3" s="126" t="s">
        <v>697</v>
      </c>
      <c r="D3" s="262" t="s">
        <v>698</v>
      </c>
      <c r="E3" s="307" t="s">
        <v>43</v>
      </c>
    </row>
    <row r="4" spans="1:5" ht="38" customHeight="1">
      <c r="A4" s="308"/>
      <c r="B4" s="244"/>
      <c r="C4" s="135" t="s">
        <v>699</v>
      </c>
      <c r="D4" s="215" t="s">
        <v>699</v>
      </c>
      <c r="E4" s="309" t="s">
        <v>699</v>
      </c>
    </row>
    <row r="5" spans="1:5" ht="30" customHeight="1" thickBot="1">
      <c r="A5" s="137">
        <v>63</v>
      </c>
      <c r="B5" s="137" t="s">
        <v>700</v>
      </c>
      <c r="C5" s="157">
        <v>1855420447.3399999</v>
      </c>
      <c r="D5" s="217">
        <v>77061368.629999995</v>
      </c>
      <c r="E5" s="330">
        <v>1932481815.97</v>
      </c>
    </row>
    <row r="6" spans="1:5" ht="20" customHeight="1" thickBot="1">
      <c r="A6" s="141">
        <v>64</v>
      </c>
      <c r="B6" s="141" t="s">
        <v>701</v>
      </c>
      <c r="C6" s="159">
        <v>-34274746.009999998</v>
      </c>
      <c r="D6" s="219">
        <v>-908985.87</v>
      </c>
      <c r="E6" s="313">
        <v>-35183731.880000003</v>
      </c>
    </row>
    <row r="7" spans="1:5" ht="20" customHeight="1" thickBot="1">
      <c r="A7" s="141">
        <v>65</v>
      </c>
      <c r="B7" s="141" t="s">
        <v>702</v>
      </c>
      <c r="C7" s="159">
        <v>-1643403.78</v>
      </c>
      <c r="D7" s="219">
        <v>-151551.67999999999</v>
      </c>
      <c r="E7" s="313">
        <v>-1794955.46</v>
      </c>
    </row>
    <row r="8" spans="1:5" ht="27" customHeight="1" thickBot="1">
      <c r="A8" s="142" t="s">
        <v>703</v>
      </c>
      <c r="B8" s="142" t="s">
        <v>704</v>
      </c>
      <c r="C8" s="159">
        <v>1819502297.55</v>
      </c>
      <c r="D8" s="219">
        <v>76000831.079999998</v>
      </c>
      <c r="E8" s="313">
        <v>1895503128.6300001</v>
      </c>
    </row>
    <row r="9" spans="1:5" ht="20" customHeight="1" thickBot="1">
      <c r="A9" s="141">
        <v>66</v>
      </c>
      <c r="B9" s="141" t="s">
        <v>705</v>
      </c>
      <c r="C9" s="159">
        <v>-16075659.380000001</v>
      </c>
      <c r="D9" s="219">
        <v>-1127640.28</v>
      </c>
      <c r="E9" s="313">
        <v>-17203299.66</v>
      </c>
    </row>
    <row r="10" spans="1:5" ht="27" customHeight="1" thickBot="1">
      <c r="A10" s="142" t="s">
        <v>706</v>
      </c>
      <c r="B10" s="142" t="s">
        <v>707</v>
      </c>
      <c r="C10" s="159">
        <v>1803426638.1800001</v>
      </c>
      <c r="D10" s="219">
        <v>74873190.799999997</v>
      </c>
      <c r="E10" s="313">
        <v>1878299828.98</v>
      </c>
    </row>
    <row r="11" spans="1:5" ht="20" customHeight="1" thickBot="1">
      <c r="A11" s="141">
        <v>67</v>
      </c>
      <c r="B11" s="141" t="s">
        <v>708</v>
      </c>
      <c r="C11" s="159">
        <v>-1196463.1000000001</v>
      </c>
      <c r="D11" s="219">
        <v>-82235.3</v>
      </c>
      <c r="E11" s="313">
        <v>-1278698.3999999999</v>
      </c>
    </row>
    <row r="12" spans="1:5" ht="20" customHeight="1" thickBot="1">
      <c r="A12" s="141">
        <v>68</v>
      </c>
      <c r="B12" s="141" t="s">
        <v>709</v>
      </c>
      <c r="C12" s="159">
        <v>-5760469.1500000004</v>
      </c>
      <c r="D12" s="219">
        <v>-35717.199999999997</v>
      </c>
      <c r="E12" s="313">
        <v>-5796186.3499999996</v>
      </c>
    </row>
    <row r="13" spans="1:5" ht="20" customHeight="1" thickBot="1">
      <c r="A13" s="141">
        <v>69</v>
      </c>
      <c r="B13" s="141" t="s">
        <v>710</v>
      </c>
      <c r="C13" s="159">
        <v>7666319.1900000004</v>
      </c>
      <c r="D13" s="219">
        <v>1899365.06</v>
      </c>
      <c r="E13" s="313">
        <v>9565684.25</v>
      </c>
    </row>
    <row r="14" spans="1:5" ht="27" customHeight="1" thickBot="1">
      <c r="A14" s="142">
        <v>6</v>
      </c>
      <c r="B14" s="142" t="s">
        <v>2055</v>
      </c>
      <c r="C14" s="159">
        <v>1804136025.1099999</v>
      </c>
      <c r="D14" s="219">
        <v>76654603.359999999</v>
      </c>
      <c r="E14" s="313">
        <v>1880790628.47</v>
      </c>
    </row>
    <row r="15" spans="1:5" ht="20" customHeight="1" thickBot="1">
      <c r="A15" s="141">
        <v>33</v>
      </c>
      <c r="B15" s="141" t="s">
        <v>2056</v>
      </c>
      <c r="C15" s="159">
        <v>1401843333.51</v>
      </c>
      <c r="D15" s="219">
        <v>47269139.090000004</v>
      </c>
      <c r="E15" s="313">
        <v>1449112472.5999999</v>
      </c>
    </row>
    <row r="16" spans="1:5" ht="20" customHeight="1" thickBot="1">
      <c r="A16" s="141">
        <v>32</v>
      </c>
      <c r="B16" s="141" t="s">
        <v>2057</v>
      </c>
      <c r="C16" s="159">
        <v>-35675283.479999997</v>
      </c>
      <c r="D16" s="219">
        <v>-1016022.39</v>
      </c>
      <c r="E16" s="313">
        <v>-36691305.869999997</v>
      </c>
    </row>
    <row r="17" spans="1:5" ht="27" customHeight="1" thickBot="1">
      <c r="A17" s="142" t="s">
        <v>2058</v>
      </c>
      <c r="B17" s="142" t="s">
        <v>2059</v>
      </c>
      <c r="C17" s="159">
        <v>1366168050.03</v>
      </c>
      <c r="D17" s="219">
        <v>46253116.700000003</v>
      </c>
      <c r="E17" s="313">
        <v>1412421166.73</v>
      </c>
    </row>
    <row r="18" spans="1:5" ht="20" customHeight="1" thickBot="1">
      <c r="A18" s="141">
        <v>34</v>
      </c>
      <c r="B18" s="141" t="s">
        <v>2060</v>
      </c>
      <c r="C18" s="159">
        <v>8049209.8799999999</v>
      </c>
      <c r="D18" s="219">
        <v>221067.83</v>
      </c>
      <c r="E18" s="313">
        <v>8270277.71</v>
      </c>
    </row>
    <row r="19" spans="1:5" ht="20" customHeight="1" thickBot="1">
      <c r="A19" s="141">
        <v>35</v>
      </c>
      <c r="B19" s="141" t="s">
        <v>2061</v>
      </c>
      <c r="C19" s="159">
        <v>216380777.44</v>
      </c>
      <c r="D19" s="219">
        <v>7527699.0599999996</v>
      </c>
      <c r="E19" s="313">
        <v>223908476.5</v>
      </c>
    </row>
    <row r="20" spans="1:5" ht="27" customHeight="1" thickBot="1">
      <c r="A20" s="142" t="s">
        <v>2062</v>
      </c>
      <c r="B20" s="142" t="s">
        <v>2063</v>
      </c>
      <c r="C20" s="159">
        <v>1590598037.3399999</v>
      </c>
      <c r="D20" s="219">
        <v>54001883.590000004</v>
      </c>
      <c r="E20" s="313">
        <v>1644599920.9300001</v>
      </c>
    </row>
    <row r="21" spans="1:5" ht="20" customHeight="1" thickBot="1">
      <c r="A21" s="141">
        <v>36</v>
      </c>
      <c r="B21" s="141" t="s">
        <v>2064</v>
      </c>
      <c r="C21" s="159">
        <v>-7114669.2699999996</v>
      </c>
      <c r="D21" s="219">
        <v>-294089.63</v>
      </c>
      <c r="E21" s="313">
        <v>-7408758.9000000004</v>
      </c>
    </row>
    <row r="22" spans="1:5" ht="20" customHeight="1" thickBot="1">
      <c r="A22" s="141">
        <v>37</v>
      </c>
      <c r="B22" s="141" t="s">
        <v>2065</v>
      </c>
      <c r="C22" s="159">
        <v>0</v>
      </c>
      <c r="D22" s="219">
        <v>0</v>
      </c>
      <c r="E22" s="313">
        <v>0</v>
      </c>
    </row>
    <row r="23" spans="1:5" ht="26.25" customHeight="1" thickBot="1">
      <c r="A23" s="142">
        <v>3</v>
      </c>
      <c r="B23" s="142" t="s">
        <v>2066</v>
      </c>
      <c r="C23" s="159">
        <v>1583483368.0699999</v>
      </c>
      <c r="D23" s="219">
        <v>53707793.960000001</v>
      </c>
      <c r="E23" s="313">
        <v>1637191162.03</v>
      </c>
    </row>
    <row r="24" spans="1:5" ht="20" customHeight="1" thickBot="1">
      <c r="A24" s="141" t="s">
        <v>2067</v>
      </c>
      <c r="B24" s="141" t="s">
        <v>2068</v>
      </c>
      <c r="C24" s="159">
        <v>235536870.18000001</v>
      </c>
      <c r="D24" s="219">
        <v>12925986.789999999</v>
      </c>
      <c r="E24" s="313">
        <v>248462856.97</v>
      </c>
    </row>
    <row r="25" spans="1:5" ht="20" customHeight="1" thickBot="1">
      <c r="A25" s="141">
        <v>48</v>
      </c>
      <c r="B25" s="141" t="s">
        <v>2069</v>
      </c>
      <c r="C25" s="159">
        <v>6536166.8200000003</v>
      </c>
      <c r="D25" s="219">
        <v>1143162.52</v>
      </c>
      <c r="E25" s="313">
        <v>7679329.3399999999</v>
      </c>
    </row>
    <row r="26" spans="1:5" ht="20" customHeight="1" thickBot="1">
      <c r="A26" s="141">
        <v>49</v>
      </c>
      <c r="B26" s="141" t="s">
        <v>2070</v>
      </c>
      <c r="C26" s="159">
        <v>582337.18999999994</v>
      </c>
      <c r="D26" s="219">
        <v>38964.620000000003</v>
      </c>
      <c r="E26" s="313">
        <v>621301.81000000006</v>
      </c>
    </row>
    <row r="27" spans="1:5" ht="27" customHeight="1" thickBot="1">
      <c r="A27" s="142">
        <v>4</v>
      </c>
      <c r="B27" s="142" t="s">
        <v>2071</v>
      </c>
      <c r="C27" s="159">
        <v>242655374.19999999</v>
      </c>
      <c r="D27" s="219">
        <v>14108113.93</v>
      </c>
      <c r="E27" s="313">
        <v>256763488.13</v>
      </c>
    </row>
    <row r="28" spans="1:5" ht="27" customHeight="1" thickBot="1">
      <c r="A28" s="142" t="s">
        <v>2072</v>
      </c>
      <c r="B28" s="142" t="s">
        <v>2073</v>
      </c>
      <c r="C28" s="159">
        <v>1826138742.28</v>
      </c>
      <c r="D28" s="219">
        <v>67815907.879999995</v>
      </c>
      <c r="E28" s="313">
        <v>1893954650.1600001</v>
      </c>
    </row>
    <row r="29" spans="1:5" ht="27" customHeight="1" thickBot="1">
      <c r="A29" s="142"/>
      <c r="B29" s="142" t="s">
        <v>2074</v>
      </c>
      <c r="C29" s="159">
        <v>-22002717.16</v>
      </c>
      <c r="D29" s="219">
        <v>8838695.4800000004</v>
      </c>
      <c r="E29" s="313">
        <v>-13164021.68</v>
      </c>
    </row>
    <row r="30" spans="1:5" ht="27" customHeight="1" thickBot="1">
      <c r="A30" s="142">
        <v>7</v>
      </c>
      <c r="B30" s="142" t="s">
        <v>2075</v>
      </c>
      <c r="C30" s="159">
        <v>36022965.289999999</v>
      </c>
      <c r="D30" s="219">
        <v>3664966.53</v>
      </c>
      <c r="E30" s="313">
        <v>39687931.82</v>
      </c>
    </row>
    <row r="31" spans="1:5" ht="28.5" customHeight="1" thickBot="1">
      <c r="A31" s="332"/>
      <c r="B31" s="332" t="s">
        <v>2076</v>
      </c>
      <c r="C31" s="333">
        <v>14020248.109999999</v>
      </c>
      <c r="D31" s="334">
        <v>12503662.02</v>
      </c>
      <c r="E31" s="335">
        <v>26523910.129999999</v>
      </c>
    </row>
    <row r="32" spans="1:5" ht="20" customHeight="1">
      <c r="A32" s="336"/>
      <c r="B32" s="336"/>
      <c r="C32" s="337"/>
      <c r="D32" s="337"/>
      <c r="E32" s="338"/>
    </row>
    <row r="33" spans="1:5" ht="23.25" customHeight="1">
      <c r="A33" s="339" t="s">
        <v>997</v>
      </c>
      <c r="B33" s="340"/>
      <c r="C33" s="340"/>
      <c r="D33" s="340"/>
      <c r="E33" s="340"/>
    </row>
    <row r="34" spans="1:5" ht="19.5" customHeight="1" thickBot="1">
      <c r="A34" s="203"/>
      <c r="B34" s="203" t="s">
        <v>998</v>
      </c>
      <c r="C34" s="341" t="s">
        <v>1646</v>
      </c>
      <c r="D34" s="342" t="s">
        <v>1646</v>
      </c>
      <c r="E34" s="343">
        <v>497833774.24000001</v>
      </c>
    </row>
    <row r="35" spans="1:5" ht="19.5" customHeight="1" thickBot="1">
      <c r="A35" s="142"/>
      <c r="B35" s="142" t="s">
        <v>999</v>
      </c>
      <c r="C35" s="314" t="s">
        <v>1646</v>
      </c>
      <c r="D35" s="315" t="s">
        <v>1646</v>
      </c>
      <c r="E35" s="161">
        <v>268004547.83000001</v>
      </c>
    </row>
    <row r="36" spans="1:5" ht="15.75" customHeight="1">
      <c r="A36" s="146" t="s">
        <v>596</v>
      </c>
      <c r="B36" s="344"/>
      <c r="C36" s="146"/>
      <c r="D36" s="345"/>
      <c r="E36" s="346"/>
    </row>
    <row r="37" spans="1:5">
      <c r="A37" s="4"/>
    </row>
    <row r="38" spans="1:5">
      <c r="A38" s="4" t="s">
        <v>1000</v>
      </c>
    </row>
    <row r="39" spans="1:5">
      <c r="A39" s="4"/>
    </row>
    <row r="40" spans="1:5">
      <c r="A40" s="2" t="s">
        <v>1001</v>
      </c>
    </row>
    <row r="43" spans="1:5">
      <c r="A43" s="2" t="s">
        <v>128</v>
      </c>
    </row>
  </sheetData>
  <mergeCells count="1">
    <mergeCell ref="A2:D2"/>
  </mergeCells>
  <phoneticPr fontId="0" type="noConversion"/>
  <pageMargins left="0.51181102362204722" right="0.47244094488188981" top="0.74" bottom="0.57999999999999996" header="0.41" footer="0.37"/>
  <pageSetup paperSize="9" scale="82" orientation="portrait" horizontalDpi="1200" verticalDpi="1200"/>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3F9C2-F01F-E34A-B124-226D72F3CD0E}">
  <sheetPr>
    <pageSetUpPr fitToPage="1"/>
  </sheetPr>
  <dimension ref="A1:H37"/>
  <sheetViews>
    <sheetView zoomScale="75" workbookViewId="0">
      <selection activeCell="F2" sqref="F2"/>
    </sheetView>
  </sheetViews>
  <sheetFormatPr baseColWidth="10" defaultColWidth="11.3984375" defaultRowHeight="13"/>
  <cols>
    <col min="1" max="1" width="8.796875" style="2" customWidth="1"/>
    <col min="2" max="2" width="48.796875" style="21" customWidth="1"/>
    <col min="3" max="3" width="17.3984375" style="2" customWidth="1"/>
    <col min="4" max="4" width="17.3984375" style="9" customWidth="1"/>
    <col min="5" max="5" width="17" style="347" customWidth="1"/>
    <col min="6" max="16384" width="11.3984375" style="2"/>
  </cols>
  <sheetData>
    <row r="1" spans="1:8" s="1" customFormat="1" ht="14" customHeight="1">
      <c r="B1" s="305"/>
      <c r="D1" s="306"/>
      <c r="E1" s="598"/>
    </row>
    <row r="2" spans="1:8" s="1" customFormat="1" ht="28" customHeight="1">
      <c r="A2" s="19" t="s">
        <v>1003</v>
      </c>
      <c r="B2" s="305"/>
      <c r="D2" s="306"/>
      <c r="E2" s="19">
        <v>2005</v>
      </c>
    </row>
    <row r="3" spans="1:8" ht="39" customHeight="1">
      <c r="A3" s="267" t="s">
        <v>696</v>
      </c>
      <c r="B3" s="329"/>
      <c r="C3" s="126" t="s">
        <v>697</v>
      </c>
      <c r="D3" s="262" t="s">
        <v>698</v>
      </c>
      <c r="E3" s="307" t="s">
        <v>43</v>
      </c>
      <c r="G3" s="5"/>
      <c r="H3" s="5"/>
    </row>
    <row r="4" spans="1:8" ht="38" customHeight="1">
      <c r="A4" s="308"/>
      <c r="B4" s="244"/>
      <c r="C4" s="135" t="s">
        <v>699</v>
      </c>
      <c r="D4" s="215" t="s">
        <v>699</v>
      </c>
      <c r="E4" s="309" t="s">
        <v>699</v>
      </c>
      <c r="G4" s="612"/>
      <c r="H4" s="400"/>
    </row>
    <row r="5" spans="1:8" ht="30" customHeight="1" thickBot="1">
      <c r="A5" s="137">
        <v>63</v>
      </c>
      <c r="B5" s="137" t="s">
        <v>700</v>
      </c>
      <c r="C5" s="157">
        <v>52783875.399999999</v>
      </c>
      <c r="D5" s="217">
        <v>1158342.3</v>
      </c>
      <c r="E5" s="330">
        <v>53942217.700000003</v>
      </c>
      <c r="G5" s="60"/>
      <c r="H5" s="400"/>
    </row>
    <row r="6" spans="1:8" ht="20" customHeight="1" thickBot="1">
      <c r="A6" s="141">
        <v>64</v>
      </c>
      <c r="B6" s="141" t="s">
        <v>701</v>
      </c>
      <c r="C6" s="159">
        <v>-894581.72</v>
      </c>
      <c r="D6" s="219">
        <v>-18599.73</v>
      </c>
      <c r="E6" s="313">
        <v>-913181.45</v>
      </c>
      <c r="G6" s="60"/>
      <c r="H6" s="400"/>
    </row>
    <row r="7" spans="1:8" ht="20" customHeight="1" thickBot="1">
      <c r="A7" s="141">
        <v>65</v>
      </c>
      <c r="B7" s="141" t="s">
        <v>702</v>
      </c>
      <c r="C7" s="159">
        <v>0</v>
      </c>
      <c r="D7" s="219">
        <v>0</v>
      </c>
      <c r="E7" s="313">
        <v>0</v>
      </c>
      <c r="G7" s="60"/>
      <c r="H7" s="400"/>
    </row>
    <row r="8" spans="1:8" ht="27" customHeight="1" thickBot="1">
      <c r="A8" s="142" t="s">
        <v>703</v>
      </c>
      <c r="B8" s="142" t="s">
        <v>704</v>
      </c>
      <c r="C8" s="159">
        <v>51889293.68</v>
      </c>
      <c r="D8" s="219">
        <v>1139742.57</v>
      </c>
      <c r="E8" s="313">
        <v>53029036.25</v>
      </c>
      <c r="G8" s="60"/>
      <c r="H8" s="400"/>
    </row>
    <row r="9" spans="1:8" ht="21" customHeight="1" thickBot="1">
      <c r="A9" s="141">
        <v>66</v>
      </c>
      <c r="B9" s="141" t="s">
        <v>705</v>
      </c>
      <c r="C9" s="159">
        <v>0</v>
      </c>
      <c r="D9" s="219">
        <v>0</v>
      </c>
      <c r="E9" s="313">
        <v>0</v>
      </c>
      <c r="G9" s="60"/>
      <c r="H9" s="400"/>
    </row>
    <row r="10" spans="1:8" ht="27" customHeight="1" thickBot="1">
      <c r="A10" s="142" t="s">
        <v>706</v>
      </c>
      <c r="B10" s="142" t="s">
        <v>707</v>
      </c>
      <c r="C10" s="159">
        <v>51889293.68</v>
      </c>
      <c r="D10" s="219">
        <v>1139742.57</v>
      </c>
      <c r="E10" s="313">
        <v>53029036.25</v>
      </c>
      <c r="G10" s="60"/>
      <c r="H10" s="400"/>
    </row>
    <row r="11" spans="1:8" ht="20" customHeight="1" thickBot="1">
      <c r="A11" s="141">
        <v>67</v>
      </c>
      <c r="B11" s="141" t="s">
        <v>708</v>
      </c>
      <c r="C11" s="159">
        <v>36295876.770000003</v>
      </c>
      <c r="D11" s="219">
        <v>1020630.23</v>
      </c>
      <c r="E11" s="313">
        <v>37316507</v>
      </c>
      <c r="G11" s="613"/>
      <c r="H11" s="400"/>
    </row>
    <row r="12" spans="1:8" ht="20" customHeight="1" thickBot="1">
      <c r="A12" s="141">
        <v>68</v>
      </c>
      <c r="B12" s="141" t="s">
        <v>709</v>
      </c>
      <c r="C12" s="159">
        <v>0</v>
      </c>
      <c r="D12" s="219">
        <v>0</v>
      </c>
      <c r="E12" s="313">
        <v>0</v>
      </c>
      <c r="G12" s="60"/>
      <c r="H12" s="400"/>
    </row>
    <row r="13" spans="1:8" ht="20" customHeight="1" thickBot="1">
      <c r="A13" s="141">
        <v>69</v>
      </c>
      <c r="B13" s="141" t="s">
        <v>710</v>
      </c>
      <c r="C13" s="159">
        <v>4816.91</v>
      </c>
      <c r="D13" s="219">
        <v>102.38</v>
      </c>
      <c r="E13" s="313">
        <v>4919.29</v>
      </c>
    </row>
    <row r="14" spans="1:8" ht="27" customHeight="1" thickBot="1">
      <c r="A14" s="142">
        <v>6</v>
      </c>
      <c r="B14" s="142" t="s">
        <v>2055</v>
      </c>
      <c r="C14" s="159">
        <v>88189987.359999999</v>
      </c>
      <c r="D14" s="219">
        <v>2160475.1800000002</v>
      </c>
      <c r="E14" s="313">
        <v>90350462.540000007</v>
      </c>
    </row>
    <row r="15" spans="1:8" ht="20" customHeight="1" thickBot="1">
      <c r="A15" s="141">
        <v>33</v>
      </c>
      <c r="B15" s="141" t="s">
        <v>2056</v>
      </c>
      <c r="C15" s="159">
        <v>81887678.549999997</v>
      </c>
      <c r="D15" s="219">
        <v>2235991.5</v>
      </c>
      <c r="E15" s="313">
        <v>84123670.049999997</v>
      </c>
    </row>
    <row r="16" spans="1:8" ht="20" customHeight="1" thickBot="1">
      <c r="A16" s="141">
        <v>32</v>
      </c>
      <c r="B16" s="141" t="s">
        <v>2057</v>
      </c>
      <c r="C16" s="159">
        <v>-6291246.7999999998</v>
      </c>
      <c r="D16" s="219">
        <v>-96052.95</v>
      </c>
      <c r="E16" s="313">
        <v>-6387299.75</v>
      </c>
    </row>
    <row r="17" spans="1:5" ht="27" customHeight="1" thickBot="1">
      <c r="A17" s="142" t="s">
        <v>2058</v>
      </c>
      <c r="B17" s="142" t="s">
        <v>2059</v>
      </c>
      <c r="C17" s="159">
        <v>75596431.75</v>
      </c>
      <c r="D17" s="219">
        <v>2139938.5499999998</v>
      </c>
      <c r="E17" s="313">
        <v>77736370.299999997</v>
      </c>
    </row>
    <row r="18" spans="1:5" ht="20" customHeight="1" thickBot="1">
      <c r="A18" s="141">
        <v>34</v>
      </c>
      <c r="B18" s="141" t="s">
        <v>2060</v>
      </c>
      <c r="C18" s="159">
        <v>275416.34999999998</v>
      </c>
      <c r="D18" s="219">
        <v>11051.43</v>
      </c>
      <c r="E18" s="313">
        <v>286467.78000000003</v>
      </c>
    </row>
    <row r="19" spans="1:5" ht="20" customHeight="1" thickBot="1">
      <c r="A19" s="141">
        <v>35</v>
      </c>
      <c r="B19" s="141" t="s">
        <v>2061</v>
      </c>
      <c r="C19" s="159">
        <v>1825606.86</v>
      </c>
      <c r="D19" s="219">
        <v>50523.6</v>
      </c>
      <c r="E19" s="313">
        <v>1876130.46</v>
      </c>
    </row>
    <row r="20" spans="1:5" ht="27" customHeight="1" thickBot="1">
      <c r="A20" s="142" t="s">
        <v>2062</v>
      </c>
      <c r="B20" s="142" t="s">
        <v>2063</v>
      </c>
      <c r="C20" s="159">
        <v>77697454.959999993</v>
      </c>
      <c r="D20" s="219">
        <v>2201513.58</v>
      </c>
      <c r="E20" s="313">
        <v>79898968.540000007</v>
      </c>
    </row>
    <row r="21" spans="1:5" ht="20" customHeight="1" thickBot="1">
      <c r="A21" s="141">
        <v>36</v>
      </c>
      <c r="B21" s="141" t="s">
        <v>2064</v>
      </c>
      <c r="C21" s="159">
        <v>0</v>
      </c>
      <c r="D21" s="219">
        <v>0</v>
      </c>
      <c r="E21" s="313">
        <v>0</v>
      </c>
    </row>
    <row r="22" spans="1:5" ht="20" customHeight="1" thickBot="1">
      <c r="A22" s="141">
        <v>37</v>
      </c>
      <c r="B22" s="141" t="s">
        <v>2065</v>
      </c>
      <c r="C22" s="159">
        <v>0</v>
      </c>
      <c r="D22" s="219">
        <v>0</v>
      </c>
      <c r="E22" s="313">
        <v>0</v>
      </c>
    </row>
    <row r="23" spans="1:5" ht="27" customHeight="1" thickBot="1">
      <c r="A23" s="142">
        <v>3</v>
      </c>
      <c r="B23" s="142" t="s">
        <v>2066</v>
      </c>
      <c r="C23" s="159">
        <v>77697454.959999993</v>
      </c>
      <c r="D23" s="219">
        <v>2201513.58</v>
      </c>
      <c r="E23" s="313">
        <v>79898968.540000007</v>
      </c>
    </row>
    <row r="24" spans="1:5" ht="20" customHeight="1" thickBot="1">
      <c r="A24" s="141" t="s">
        <v>2067</v>
      </c>
      <c r="B24" s="141" t="s">
        <v>2068</v>
      </c>
      <c r="C24" s="159">
        <v>5378606.8700000001</v>
      </c>
      <c r="D24" s="219">
        <v>113763.89</v>
      </c>
      <c r="E24" s="313">
        <v>5492370.7599999998</v>
      </c>
    </row>
    <row r="25" spans="1:5" ht="20" customHeight="1" thickBot="1">
      <c r="A25" s="141">
        <v>48</v>
      </c>
      <c r="B25" s="141" t="s">
        <v>2069</v>
      </c>
      <c r="C25" s="159">
        <v>237454.97</v>
      </c>
      <c r="D25" s="219">
        <v>4933.33</v>
      </c>
      <c r="E25" s="313">
        <v>242388.3</v>
      </c>
    </row>
    <row r="26" spans="1:5" ht="20" customHeight="1" thickBot="1">
      <c r="A26" s="141">
        <v>49</v>
      </c>
      <c r="B26" s="141" t="s">
        <v>2070</v>
      </c>
      <c r="C26" s="159">
        <v>12046.99</v>
      </c>
      <c r="D26" s="219">
        <v>249.56</v>
      </c>
      <c r="E26" s="313">
        <v>12296.55</v>
      </c>
    </row>
    <row r="27" spans="1:5" ht="27" customHeight="1" thickBot="1">
      <c r="A27" s="142">
        <v>4</v>
      </c>
      <c r="B27" s="142" t="s">
        <v>2071</v>
      </c>
      <c r="C27" s="159">
        <v>5628108.8300000001</v>
      </c>
      <c r="D27" s="219">
        <v>118946.78</v>
      </c>
      <c r="E27" s="313">
        <v>5747055.6100000003</v>
      </c>
    </row>
    <row r="28" spans="1:5" ht="27" customHeight="1" thickBot="1">
      <c r="A28" s="142" t="s">
        <v>2072</v>
      </c>
      <c r="B28" s="142" t="s">
        <v>2073</v>
      </c>
      <c r="C28" s="159">
        <v>83325563.790000007</v>
      </c>
      <c r="D28" s="219">
        <v>2320460.36</v>
      </c>
      <c r="E28" s="313">
        <v>85646024.150000006</v>
      </c>
    </row>
    <row r="29" spans="1:5" ht="27" customHeight="1" thickBot="1">
      <c r="A29" s="142"/>
      <c r="B29" s="142" t="s">
        <v>2074</v>
      </c>
      <c r="C29" s="159">
        <v>4864423.57</v>
      </c>
      <c r="D29" s="219">
        <v>-159985.18</v>
      </c>
      <c r="E29" s="313">
        <v>4704438.3899999997</v>
      </c>
    </row>
    <row r="30" spans="1:5" ht="27" customHeight="1" thickBot="1">
      <c r="A30" s="142">
        <v>7</v>
      </c>
      <c r="B30" s="142" t="s">
        <v>2075</v>
      </c>
      <c r="C30" s="159">
        <v>-197353.12</v>
      </c>
      <c r="D30" s="219">
        <v>-3374.8</v>
      </c>
      <c r="E30" s="313">
        <v>-200727.92</v>
      </c>
    </row>
    <row r="31" spans="1:5" ht="26.25" customHeight="1" thickBot="1">
      <c r="A31" s="232"/>
      <c r="B31" s="232" t="s">
        <v>2076</v>
      </c>
      <c r="C31" s="159">
        <v>4667070.45</v>
      </c>
      <c r="D31" s="219">
        <v>-163359.98000000001</v>
      </c>
      <c r="E31" s="313">
        <v>4503710.47</v>
      </c>
    </row>
    <row r="32" spans="1:5" ht="20.25" customHeight="1">
      <c r="A32" s="146" t="s">
        <v>596</v>
      </c>
      <c r="B32" s="344"/>
      <c r="C32" s="146"/>
      <c r="D32" s="345"/>
      <c r="E32" s="346"/>
    </row>
    <row r="34" spans="1:1">
      <c r="A34" s="2" t="s">
        <v>1004</v>
      </c>
    </row>
    <row r="37" spans="1:1">
      <c r="A37" s="2" t="s">
        <v>128</v>
      </c>
    </row>
  </sheetData>
  <phoneticPr fontId="0" type="noConversion"/>
  <pageMargins left="0.51" right="0.56000000000000005" top="0.74" bottom="0.49" header="0.44" footer="0.4921259845"/>
  <pageSetup paperSize="9" scale="85" orientation="portrait" horizontalDpi="4294967292" verticalDpi="4294967292"/>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65E35-AEA4-A447-B951-CBF2F5948F53}">
  <sheetPr>
    <pageSetUpPr fitToPage="1"/>
  </sheetPr>
  <dimension ref="A1:H39"/>
  <sheetViews>
    <sheetView zoomScale="75" workbookViewId="0">
      <selection activeCell="F11" sqref="F11"/>
    </sheetView>
  </sheetViews>
  <sheetFormatPr baseColWidth="10" defaultColWidth="11.3984375" defaultRowHeight="13"/>
  <cols>
    <col min="1" max="1" width="8.796875" style="2" customWidth="1"/>
    <col min="2" max="2" width="48.796875" style="21" customWidth="1"/>
    <col min="3" max="3" width="16.796875" style="2" customWidth="1"/>
    <col min="4" max="4" width="16.796875" style="9" customWidth="1"/>
    <col min="5" max="5" width="16.796875" style="347" customWidth="1"/>
    <col min="6" max="16384" width="11.3984375" style="2"/>
  </cols>
  <sheetData>
    <row r="1" spans="1:8" s="1" customFormat="1" ht="39.75" customHeight="1">
      <c r="A1" s="1608" t="s">
        <v>1007</v>
      </c>
      <c r="B1" s="1609"/>
      <c r="C1" s="1609"/>
      <c r="D1" s="1609"/>
      <c r="E1" s="19">
        <v>2005</v>
      </c>
    </row>
    <row r="2" spans="1:8" s="1" customFormat="1" ht="12" customHeight="1">
      <c r="A2" s="152"/>
      <c r="B2" s="152"/>
      <c r="C2" s="152"/>
      <c r="D2" s="152"/>
      <c r="E2" s="152"/>
    </row>
    <row r="3" spans="1:8" ht="39" customHeight="1">
      <c r="A3" s="267" t="s">
        <v>696</v>
      </c>
      <c r="B3" s="329"/>
      <c r="C3" s="126" t="s">
        <v>697</v>
      </c>
      <c r="D3" s="262" t="s">
        <v>698</v>
      </c>
      <c r="E3" s="307" t="s">
        <v>43</v>
      </c>
      <c r="G3" s="5"/>
      <c r="H3" s="5"/>
    </row>
    <row r="4" spans="1:8" ht="38" customHeight="1">
      <c r="A4" s="308"/>
      <c r="B4" s="244"/>
      <c r="C4" s="135" t="s">
        <v>699</v>
      </c>
      <c r="D4" s="215" t="s">
        <v>699</v>
      </c>
      <c r="E4" s="309" t="s">
        <v>699</v>
      </c>
      <c r="G4" s="612"/>
      <c r="H4" s="400"/>
    </row>
    <row r="5" spans="1:8" ht="30" customHeight="1" thickBot="1">
      <c r="A5" s="137">
        <v>63</v>
      </c>
      <c r="B5" s="137" t="s">
        <v>700</v>
      </c>
      <c r="C5" s="157">
        <v>3516019.45</v>
      </c>
      <c r="D5" s="217">
        <v>179027.46</v>
      </c>
      <c r="E5" s="330">
        <v>3695046.91</v>
      </c>
      <c r="G5" s="60"/>
      <c r="H5" s="400"/>
    </row>
    <row r="6" spans="1:8" ht="20" customHeight="1" thickBot="1">
      <c r="A6" s="141">
        <v>64</v>
      </c>
      <c r="B6" s="141" t="s">
        <v>701</v>
      </c>
      <c r="C6" s="159">
        <v>-93349.02</v>
      </c>
      <c r="D6" s="219">
        <v>-4866.47</v>
      </c>
      <c r="E6" s="313">
        <v>-98215.49</v>
      </c>
      <c r="G6" s="60"/>
      <c r="H6" s="400"/>
    </row>
    <row r="7" spans="1:8" ht="20" customHeight="1" thickBot="1">
      <c r="A7" s="141">
        <v>65</v>
      </c>
      <c r="B7" s="141" t="s">
        <v>702</v>
      </c>
      <c r="C7" s="159">
        <v>0</v>
      </c>
      <c r="D7" s="219">
        <v>0</v>
      </c>
      <c r="E7" s="313">
        <v>0</v>
      </c>
      <c r="G7" s="60"/>
      <c r="H7" s="400"/>
    </row>
    <row r="8" spans="1:8" ht="27" customHeight="1" thickBot="1">
      <c r="A8" s="142" t="s">
        <v>703</v>
      </c>
      <c r="B8" s="142" t="s">
        <v>704</v>
      </c>
      <c r="C8" s="159">
        <v>3422670.43</v>
      </c>
      <c r="D8" s="219">
        <v>174160.99</v>
      </c>
      <c r="E8" s="313">
        <v>3596831.42</v>
      </c>
      <c r="G8" s="60"/>
      <c r="H8" s="400"/>
    </row>
    <row r="9" spans="1:8" ht="20" customHeight="1" thickBot="1">
      <c r="A9" s="141">
        <v>66</v>
      </c>
      <c r="B9" s="141" t="s">
        <v>705</v>
      </c>
      <c r="C9" s="159">
        <v>-12505</v>
      </c>
      <c r="D9" s="219">
        <v>-658.2</v>
      </c>
      <c r="E9" s="313">
        <v>-13163.2</v>
      </c>
      <c r="G9" s="60"/>
      <c r="H9" s="400"/>
    </row>
    <row r="10" spans="1:8" ht="27" customHeight="1" thickBot="1">
      <c r="A10" s="142" t="s">
        <v>706</v>
      </c>
      <c r="B10" s="142" t="s">
        <v>707</v>
      </c>
      <c r="C10" s="159">
        <v>3410165.43</v>
      </c>
      <c r="D10" s="219">
        <v>173502.79</v>
      </c>
      <c r="E10" s="313">
        <v>3583668.22</v>
      </c>
      <c r="G10" s="60"/>
      <c r="H10" s="400"/>
    </row>
    <row r="11" spans="1:8" ht="21" customHeight="1" thickBot="1">
      <c r="A11" s="141">
        <v>67</v>
      </c>
      <c r="B11" s="141" t="s">
        <v>708</v>
      </c>
      <c r="C11" s="159">
        <v>0</v>
      </c>
      <c r="D11" s="219">
        <v>0</v>
      </c>
      <c r="E11" s="313">
        <v>0</v>
      </c>
      <c r="G11" s="613"/>
      <c r="H11" s="400"/>
    </row>
    <row r="12" spans="1:8" ht="21" customHeight="1" thickBot="1">
      <c r="A12" s="141">
        <v>68</v>
      </c>
      <c r="B12" s="141" t="s">
        <v>709</v>
      </c>
      <c r="C12" s="159">
        <v>0</v>
      </c>
      <c r="D12" s="219">
        <v>0</v>
      </c>
      <c r="E12" s="313">
        <v>0</v>
      </c>
      <c r="G12" s="60"/>
      <c r="H12" s="400"/>
    </row>
    <row r="13" spans="1:8" ht="21" customHeight="1" thickBot="1">
      <c r="A13" s="141">
        <v>69</v>
      </c>
      <c r="B13" s="141" t="s">
        <v>710</v>
      </c>
      <c r="C13" s="159">
        <v>1065.8499999999999</v>
      </c>
      <c r="D13" s="219">
        <v>55.56</v>
      </c>
      <c r="E13" s="313">
        <v>1121.4100000000001</v>
      </c>
    </row>
    <row r="14" spans="1:8" ht="27" customHeight="1" thickBot="1">
      <c r="A14" s="142">
        <v>6</v>
      </c>
      <c r="B14" s="142" t="s">
        <v>2055</v>
      </c>
      <c r="C14" s="159">
        <v>3411231.28</v>
      </c>
      <c r="D14" s="219">
        <v>173558.35</v>
      </c>
      <c r="E14" s="313">
        <v>3584789.63</v>
      </c>
    </row>
    <row r="15" spans="1:8" ht="20" customHeight="1" thickBot="1">
      <c r="A15" s="141">
        <v>33</v>
      </c>
      <c r="B15" s="141" t="s">
        <v>2056</v>
      </c>
      <c r="C15" s="159">
        <v>6754725.7999999998</v>
      </c>
      <c r="D15" s="219">
        <v>80963.55</v>
      </c>
      <c r="E15" s="313">
        <v>6835689.3499999996</v>
      </c>
    </row>
    <row r="16" spans="1:8" ht="20" customHeight="1" thickBot="1">
      <c r="A16" s="141">
        <v>32</v>
      </c>
      <c r="B16" s="141" t="s">
        <v>2057</v>
      </c>
      <c r="C16" s="159">
        <v>-195950.75</v>
      </c>
      <c r="D16" s="219">
        <v>-3616.2</v>
      </c>
      <c r="E16" s="313">
        <v>-199566.95</v>
      </c>
    </row>
    <row r="17" spans="1:5" ht="27" customHeight="1" thickBot="1">
      <c r="A17" s="142" t="s">
        <v>2058</v>
      </c>
      <c r="B17" s="142" t="s">
        <v>2059</v>
      </c>
      <c r="C17" s="159">
        <v>6558775.0499999998</v>
      </c>
      <c r="D17" s="219">
        <v>77347.350000000006</v>
      </c>
      <c r="E17" s="313">
        <v>6636122.4000000004</v>
      </c>
    </row>
    <row r="18" spans="1:5" ht="20" customHeight="1" thickBot="1">
      <c r="A18" s="141">
        <v>34</v>
      </c>
      <c r="B18" s="141" t="s">
        <v>2060</v>
      </c>
      <c r="C18" s="159">
        <v>40225</v>
      </c>
      <c r="D18" s="219">
        <v>420.89</v>
      </c>
      <c r="E18" s="313">
        <v>40645.89</v>
      </c>
    </row>
    <row r="19" spans="1:5" ht="20" customHeight="1" thickBot="1">
      <c r="A19" s="141">
        <v>35</v>
      </c>
      <c r="B19" s="141" t="s">
        <v>2061</v>
      </c>
      <c r="C19" s="159">
        <v>1352194.94</v>
      </c>
      <c r="D19" s="219">
        <v>20123.560000000001</v>
      </c>
      <c r="E19" s="313">
        <v>1372318.5</v>
      </c>
    </row>
    <row r="20" spans="1:5" ht="27" customHeight="1" thickBot="1">
      <c r="A20" s="142" t="s">
        <v>2062</v>
      </c>
      <c r="B20" s="142" t="s">
        <v>2063</v>
      </c>
      <c r="C20" s="159">
        <v>7951194.9900000002</v>
      </c>
      <c r="D20" s="219">
        <v>97891.8</v>
      </c>
      <c r="E20" s="313">
        <v>8049086.79</v>
      </c>
    </row>
    <row r="21" spans="1:5" ht="20" customHeight="1" thickBot="1">
      <c r="A21" s="141">
        <v>36</v>
      </c>
      <c r="B21" s="141" t="s">
        <v>2064</v>
      </c>
      <c r="C21" s="159">
        <v>0</v>
      </c>
      <c r="D21" s="219">
        <v>0</v>
      </c>
      <c r="E21" s="313">
        <v>0</v>
      </c>
    </row>
    <row r="22" spans="1:5" ht="20" customHeight="1" thickBot="1">
      <c r="A22" s="141">
        <v>37</v>
      </c>
      <c r="B22" s="141" t="s">
        <v>2065</v>
      </c>
      <c r="C22" s="159">
        <v>0</v>
      </c>
      <c r="D22" s="219">
        <v>0</v>
      </c>
      <c r="E22" s="313">
        <v>0</v>
      </c>
    </row>
    <row r="23" spans="1:5" ht="27" customHeight="1" thickBot="1">
      <c r="A23" s="142">
        <v>3</v>
      </c>
      <c r="B23" s="142" t="s">
        <v>2066</v>
      </c>
      <c r="C23" s="159">
        <v>7951194.9900000002</v>
      </c>
      <c r="D23" s="219">
        <v>97891.8</v>
      </c>
      <c r="E23" s="313">
        <v>8049086.79</v>
      </c>
    </row>
    <row r="24" spans="1:5" ht="20" customHeight="1" thickBot="1">
      <c r="A24" s="141" t="s">
        <v>2067</v>
      </c>
      <c r="B24" s="141" t="s">
        <v>2068</v>
      </c>
      <c r="C24" s="159">
        <v>270392.82</v>
      </c>
      <c r="D24" s="219">
        <v>13841.25</v>
      </c>
      <c r="E24" s="313">
        <v>284234.07</v>
      </c>
    </row>
    <row r="25" spans="1:5" ht="20" customHeight="1" thickBot="1">
      <c r="A25" s="141">
        <v>48</v>
      </c>
      <c r="B25" s="141" t="s">
        <v>2069</v>
      </c>
      <c r="C25" s="159">
        <v>4736.25</v>
      </c>
      <c r="D25" s="219">
        <v>246.58</v>
      </c>
      <c r="E25" s="313">
        <v>4982.83</v>
      </c>
    </row>
    <row r="26" spans="1:5" ht="20" customHeight="1" thickBot="1">
      <c r="A26" s="141">
        <v>49</v>
      </c>
      <c r="B26" s="141" t="s">
        <v>2070</v>
      </c>
      <c r="C26" s="159">
        <v>90</v>
      </c>
      <c r="D26" s="219">
        <v>5</v>
      </c>
      <c r="E26" s="313">
        <v>95</v>
      </c>
    </row>
    <row r="27" spans="1:5" ht="27" customHeight="1" thickBot="1">
      <c r="A27" s="142">
        <v>4</v>
      </c>
      <c r="B27" s="142" t="s">
        <v>2071</v>
      </c>
      <c r="C27" s="159">
        <v>275219.07</v>
      </c>
      <c r="D27" s="219">
        <v>14092.83</v>
      </c>
      <c r="E27" s="313">
        <v>289311.90000000002</v>
      </c>
    </row>
    <row r="28" spans="1:5" ht="27" customHeight="1" thickBot="1">
      <c r="A28" s="142" t="s">
        <v>2072</v>
      </c>
      <c r="B28" s="142" t="s">
        <v>2073</v>
      </c>
      <c r="C28" s="159">
        <v>8226414.0599999996</v>
      </c>
      <c r="D28" s="219">
        <v>111984.63</v>
      </c>
      <c r="E28" s="313">
        <v>8338398.6900000004</v>
      </c>
    </row>
    <row r="29" spans="1:5" ht="27" customHeight="1" thickBot="1">
      <c r="A29" s="142"/>
      <c r="B29" s="142" t="s">
        <v>2074</v>
      </c>
      <c r="C29" s="159">
        <v>-4815182.78</v>
      </c>
      <c r="D29" s="219">
        <v>61573.72</v>
      </c>
      <c r="E29" s="313">
        <v>-4753609.0599999996</v>
      </c>
    </row>
    <row r="30" spans="1:5" ht="27" customHeight="1" thickBot="1">
      <c r="A30" s="142">
        <v>7</v>
      </c>
      <c r="B30" s="142" t="s">
        <v>2075</v>
      </c>
      <c r="C30" s="159">
        <v>109277.91</v>
      </c>
      <c r="D30" s="219">
        <v>5700.83</v>
      </c>
      <c r="E30" s="313">
        <v>114978.74</v>
      </c>
    </row>
    <row r="31" spans="1:5" ht="27.75" customHeight="1" thickBot="1">
      <c r="A31" s="232"/>
      <c r="B31" s="232" t="s">
        <v>2076</v>
      </c>
      <c r="C31" s="159">
        <v>-4705904.87</v>
      </c>
      <c r="D31" s="219">
        <v>67274.55</v>
      </c>
      <c r="E31" s="313">
        <v>-4638630.32</v>
      </c>
    </row>
    <row r="32" spans="1:5" ht="19.5" customHeight="1">
      <c r="A32" s="146" t="s">
        <v>596</v>
      </c>
      <c r="B32" s="344"/>
      <c r="C32" s="146"/>
      <c r="D32" s="345"/>
      <c r="E32" s="346"/>
    </row>
    <row r="34" spans="1:1">
      <c r="A34" s="228" t="s">
        <v>1005</v>
      </c>
    </row>
    <row r="35" spans="1:1">
      <c r="A35" s="320"/>
    </row>
    <row r="36" spans="1:1">
      <c r="A36" s="2" t="s">
        <v>1006</v>
      </c>
    </row>
    <row r="39" spans="1:1">
      <c r="A39" s="2" t="s">
        <v>128</v>
      </c>
    </row>
  </sheetData>
  <mergeCells count="1">
    <mergeCell ref="A1:D1"/>
  </mergeCells>
  <phoneticPr fontId="0" type="noConversion"/>
  <pageMargins left="0.53" right="0.57999999999999996" top="0.92" bottom="0.49" header="0.49" footer="0.4921259845"/>
  <pageSetup paperSize="9" scale="86" orientation="portrait" horizontalDpi="4294967292" verticalDpi="4294967292"/>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7E38C-3634-F740-B14F-E7DB07F0521F}">
  <sheetPr>
    <pageSetUpPr fitToPage="1"/>
  </sheetPr>
  <dimension ref="A1:B17"/>
  <sheetViews>
    <sheetView workbookViewId="0">
      <selection activeCell="A16" sqref="A16:IV16"/>
    </sheetView>
  </sheetViews>
  <sheetFormatPr baseColWidth="10" defaultColWidth="11.3984375" defaultRowHeight="13"/>
  <cols>
    <col min="1" max="1" width="5.59765625" style="416" customWidth="1"/>
    <col min="2" max="16384" width="11.3984375" style="416"/>
  </cols>
  <sheetData>
    <row r="1" spans="1:2" ht="16">
      <c r="A1" s="415" t="s">
        <v>734</v>
      </c>
    </row>
    <row r="2" spans="1:2" ht="16">
      <c r="A2" s="415"/>
    </row>
    <row r="3" spans="1:2">
      <c r="A3" s="417">
        <v>8.01</v>
      </c>
      <c r="B3" s="418" t="s">
        <v>735</v>
      </c>
    </row>
    <row r="4" spans="1:2">
      <c r="A4" s="417">
        <v>8.02</v>
      </c>
      <c r="B4" s="419" t="s">
        <v>736</v>
      </c>
    </row>
    <row r="5" spans="1:2">
      <c r="A5" s="417">
        <v>8.0299999999999994</v>
      </c>
      <c r="B5" s="418" t="s">
        <v>737</v>
      </c>
    </row>
    <row r="6" spans="1:2">
      <c r="A6" s="417">
        <v>8.0399999999999991</v>
      </c>
      <c r="B6" s="418" t="s">
        <v>738</v>
      </c>
    </row>
    <row r="7" spans="1:2">
      <c r="A7" s="417">
        <v>8.0500000000000007</v>
      </c>
      <c r="B7" s="418" t="s">
        <v>739</v>
      </c>
    </row>
    <row r="8" spans="1:2">
      <c r="A8" s="417">
        <v>8.06</v>
      </c>
      <c r="B8" s="418" t="s">
        <v>740</v>
      </c>
    </row>
    <row r="9" spans="1:2">
      <c r="A9" s="417">
        <v>8.07</v>
      </c>
      <c r="B9" s="418" t="s">
        <v>741</v>
      </c>
    </row>
    <row r="10" spans="1:2">
      <c r="A10" s="417">
        <v>8.08</v>
      </c>
      <c r="B10" s="418" t="s">
        <v>742</v>
      </c>
    </row>
    <row r="11" spans="1:2">
      <c r="A11" s="417">
        <v>8.09</v>
      </c>
      <c r="B11" s="418" t="s">
        <v>743</v>
      </c>
    </row>
    <row r="12" spans="1:2">
      <c r="A12" s="417">
        <v>8.1</v>
      </c>
      <c r="B12" s="418" t="s">
        <v>744</v>
      </c>
    </row>
    <row r="13" spans="1:2">
      <c r="A13" s="417">
        <v>8.11</v>
      </c>
      <c r="B13" s="420" t="s">
        <v>745</v>
      </c>
    </row>
    <row r="14" spans="1:2">
      <c r="A14" s="417">
        <v>8.1199999999999992</v>
      </c>
      <c r="B14" s="420" t="s">
        <v>746</v>
      </c>
    </row>
    <row r="17" spans="1:1">
      <c r="A17" s="421" t="s">
        <v>128</v>
      </c>
    </row>
  </sheetData>
  <phoneticPr fontId="37" type="noConversion"/>
  <pageMargins left="0.54" right="0.53" top="0.65" bottom="0.984251969" header="0.38" footer="0.4921259845"/>
  <pageSetup paperSize="9" orientation="portrait"/>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171F2-107C-2F4C-A720-F8953F330B19}">
  <sheetPr>
    <pageSetUpPr fitToPage="1"/>
  </sheetPr>
  <dimension ref="A1:F22"/>
  <sheetViews>
    <sheetView zoomScale="75" workbookViewId="0">
      <selection activeCell="I12" sqref="I12"/>
    </sheetView>
  </sheetViews>
  <sheetFormatPr baseColWidth="10" defaultColWidth="11.3984375" defaultRowHeight="13"/>
  <cols>
    <col min="1" max="1" width="12.796875" style="2" customWidth="1"/>
    <col min="2" max="2" width="13.19921875" style="21" customWidth="1"/>
    <col min="3" max="4" width="13.19921875" style="2" customWidth="1"/>
    <col min="5" max="5" width="15.3984375" style="21" customWidth="1"/>
    <col min="6" max="6" width="14.3984375" style="21" customWidth="1"/>
    <col min="7" max="7" width="22.19921875" style="2" customWidth="1"/>
    <col min="8" max="16384" width="11.3984375" style="2"/>
  </cols>
  <sheetData>
    <row r="1" spans="1:6" s="1" customFormat="1" ht="14" customHeight="1">
      <c r="B1" s="305"/>
      <c r="E1" s="305"/>
      <c r="F1" s="305"/>
    </row>
    <row r="2" spans="1:6" s="1" customFormat="1" ht="28" customHeight="1">
      <c r="A2" s="19" t="s">
        <v>1940</v>
      </c>
      <c r="B2" s="305"/>
      <c r="C2" s="19"/>
      <c r="D2" s="19"/>
      <c r="E2" s="305"/>
      <c r="F2" s="192">
        <v>2005</v>
      </c>
    </row>
    <row r="3" spans="1:6" ht="24" customHeight="1">
      <c r="A3" s="125" t="s">
        <v>1254</v>
      </c>
      <c r="B3" s="503"/>
      <c r="C3" s="125"/>
      <c r="D3" s="504"/>
      <c r="E3" s="125" t="s">
        <v>1338</v>
      </c>
      <c r="F3" s="503"/>
    </row>
    <row r="4" spans="1:6" ht="18.75" customHeight="1">
      <c r="A4" s="212"/>
      <c r="B4" s="505" t="s">
        <v>1339</v>
      </c>
      <c r="C4" s="131" t="s">
        <v>1340</v>
      </c>
      <c r="D4" s="129" t="s">
        <v>1341</v>
      </c>
      <c r="E4" s="128" t="s">
        <v>1342</v>
      </c>
      <c r="F4" s="1579" t="s">
        <v>1941</v>
      </c>
    </row>
    <row r="5" spans="1:6" ht="15" customHeight="1">
      <c r="A5" s="212"/>
      <c r="B5" s="505" t="s">
        <v>1569</v>
      </c>
      <c r="C5" s="131"/>
      <c r="D5" s="129"/>
      <c r="E5" s="128" t="s">
        <v>1344</v>
      </c>
      <c r="F5" s="130" t="s">
        <v>1343</v>
      </c>
    </row>
    <row r="6" spans="1:6" ht="30" customHeight="1">
      <c r="A6" s="214"/>
      <c r="B6" s="1584" t="s">
        <v>460</v>
      </c>
      <c r="C6" s="134"/>
      <c r="D6" s="135"/>
      <c r="E6" s="132" t="s">
        <v>1345</v>
      </c>
      <c r="F6" s="133" t="s">
        <v>1345</v>
      </c>
    </row>
    <row r="7" spans="1:6" ht="17.25" customHeight="1" thickBot="1">
      <c r="A7" s="331">
        <v>1996</v>
      </c>
      <c r="B7" s="341">
        <v>159</v>
      </c>
      <c r="C7" s="342">
        <v>0</v>
      </c>
      <c r="D7" s="341">
        <v>25</v>
      </c>
      <c r="E7" s="342">
        <v>145</v>
      </c>
      <c r="F7" s="341">
        <v>150</v>
      </c>
    </row>
    <row r="8" spans="1:6" ht="17.25" customHeight="1" thickBot="1">
      <c r="A8" s="141">
        <v>1997</v>
      </c>
      <c r="B8" s="314">
        <v>142</v>
      </c>
      <c r="C8" s="315">
        <v>1</v>
      </c>
      <c r="D8" s="314">
        <v>18</v>
      </c>
      <c r="E8" s="315">
        <v>129</v>
      </c>
      <c r="F8" s="314">
        <v>134</v>
      </c>
    </row>
    <row r="9" spans="1:6" ht="17.25" customHeight="1" thickBot="1">
      <c r="A9" s="141">
        <v>1998</v>
      </c>
      <c r="B9" s="314">
        <v>127</v>
      </c>
      <c r="C9" s="315">
        <v>0</v>
      </c>
      <c r="D9" s="314">
        <v>15</v>
      </c>
      <c r="E9" s="315">
        <v>118</v>
      </c>
      <c r="F9" s="314">
        <v>115</v>
      </c>
    </row>
    <row r="10" spans="1:6" ht="17.25" customHeight="1" thickBot="1">
      <c r="A10" s="141">
        <v>1999</v>
      </c>
      <c r="B10" s="314">
        <v>119</v>
      </c>
      <c r="C10" s="315">
        <v>2</v>
      </c>
      <c r="D10" s="314">
        <v>10</v>
      </c>
      <c r="E10" s="315">
        <v>109</v>
      </c>
      <c r="F10" s="314">
        <v>109</v>
      </c>
    </row>
    <row r="11" spans="1:6" ht="17.25" customHeight="1" thickBot="1">
      <c r="A11" s="141">
        <v>2000</v>
      </c>
      <c r="B11" s="314">
        <v>110</v>
      </c>
      <c r="C11" s="315">
        <v>0</v>
      </c>
      <c r="D11" s="314">
        <v>9</v>
      </c>
      <c r="E11" s="315">
        <v>101</v>
      </c>
      <c r="F11" s="314">
        <v>102</v>
      </c>
    </row>
    <row r="12" spans="1:6" ht="17.25" customHeight="1" thickBot="1">
      <c r="A12" s="141">
        <v>2001</v>
      </c>
      <c r="B12" s="314">
        <v>108</v>
      </c>
      <c r="C12" s="315">
        <v>0</v>
      </c>
      <c r="D12" s="314">
        <v>2</v>
      </c>
      <c r="E12" s="315">
        <v>99</v>
      </c>
      <c r="F12" s="314">
        <v>102</v>
      </c>
    </row>
    <row r="13" spans="1:6" ht="17.25" customHeight="1" thickBot="1">
      <c r="A13" s="331">
        <v>2002</v>
      </c>
      <c r="B13" s="341">
        <v>101</v>
      </c>
      <c r="C13" s="342">
        <v>1</v>
      </c>
      <c r="D13" s="341">
        <v>8</v>
      </c>
      <c r="E13" s="342">
        <v>93</v>
      </c>
      <c r="F13" s="341">
        <v>93</v>
      </c>
    </row>
    <row r="14" spans="1:6" ht="17.25" customHeight="1" thickBot="1">
      <c r="A14" s="331">
        <v>2003</v>
      </c>
      <c r="B14" s="341">
        <v>99</v>
      </c>
      <c r="C14" s="342">
        <v>2</v>
      </c>
      <c r="D14" s="341">
        <v>3</v>
      </c>
      <c r="E14" s="342">
        <v>93</v>
      </c>
      <c r="F14" s="341">
        <v>92</v>
      </c>
    </row>
    <row r="15" spans="1:6" ht="17.25" customHeight="1" thickBot="1">
      <c r="A15" s="331">
        <v>2004</v>
      </c>
      <c r="B15" s="341">
        <v>98</v>
      </c>
      <c r="C15" s="342">
        <v>0</v>
      </c>
      <c r="D15" s="341">
        <v>2</v>
      </c>
      <c r="E15" s="342">
        <v>92</v>
      </c>
      <c r="F15" s="341">
        <v>93</v>
      </c>
    </row>
    <row r="16" spans="1:6" ht="25.5" customHeight="1" thickBot="1">
      <c r="A16" s="143">
        <v>2005</v>
      </c>
      <c r="B16" s="221">
        <v>90</v>
      </c>
      <c r="C16" s="506">
        <v>2</v>
      </c>
      <c r="D16" s="221">
        <v>9</v>
      </c>
      <c r="E16" s="222">
        <v>85</v>
      </c>
      <c r="F16" s="221">
        <v>82</v>
      </c>
    </row>
    <row r="17" spans="1:6" ht="20" customHeight="1">
      <c r="A17" s="146" t="s">
        <v>596</v>
      </c>
      <c r="B17" s="344"/>
      <c r="C17" s="146"/>
      <c r="D17" s="146"/>
      <c r="E17" s="344"/>
      <c r="F17" s="344"/>
    </row>
    <row r="18" spans="1:6" ht="12.75" customHeight="1">
      <c r="A18" s="4"/>
      <c r="B18" s="448"/>
      <c r="C18" s="4"/>
      <c r="D18" s="4"/>
      <c r="E18" s="448"/>
      <c r="F18" s="448"/>
    </row>
    <row r="19" spans="1:6" ht="12" customHeight="1">
      <c r="A19" s="507" t="s">
        <v>1346</v>
      </c>
    </row>
    <row r="22" spans="1:6">
      <c r="A22" s="2" t="s">
        <v>128</v>
      </c>
    </row>
  </sheetData>
  <phoneticPr fontId="0" type="noConversion"/>
  <pageMargins left="0.56000000000000005" right="0.42" top="0.76" bottom="0.49" header="0.44" footer="0.4921259845"/>
  <pageSetup paperSize="9" scale="90" orientation="portrait" horizontalDpi="1200" verticalDpi="1200"/>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BB510-6CBC-B347-AD9D-C5CF8FE64723}">
  <sheetPr>
    <pageSetUpPr fitToPage="1"/>
  </sheetPr>
  <dimension ref="A1:M24"/>
  <sheetViews>
    <sheetView zoomScale="75" workbookViewId="0">
      <selection activeCell="A18" sqref="A18"/>
    </sheetView>
  </sheetViews>
  <sheetFormatPr baseColWidth="10" defaultColWidth="11.3984375" defaultRowHeight="13"/>
  <cols>
    <col min="1" max="1" width="12.796875" style="2" customWidth="1"/>
    <col min="2" max="9" width="11.796875" style="2" customWidth="1"/>
    <col min="10" max="16384" width="11.3984375" style="2"/>
  </cols>
  <sheetData>
    <row r="1" spans="1:13" s="1" customFormat="1" ht="14" customHeight="1"/>
    <row r="2" spans="1:13" s="1" customFormat="1" ht="28" customHeight="1">
      <c r="A2" s="124" t="s">
        <v>96</v>
      </c>
      <c r="I2" s="192">
        <v>2005</v>
      </c>
    </row>
    <row r="3" spans="1:13" ht="24" customHeight="1">
      <c r="A3" s="508" t="s">
        <v>1254</v>
      </c>
      <c r="B3" s="509" t="s">
        <v>1347</v>
      </c>
      <c r="C3" s="510" t="s">
        <v>1348</v>
      </c>
      <c r="D3" s="126" t="s">
        <v>1349</v>
      </c>
      <c r="E3" s="510" t="s">
        <v>1270</v>
      </c>
      <c r="F3" s="126" t="s">
        <v>1271</v>
      </c>
      <c r="G3" s="510" t="s">
        <v>1272</v>
      </c>
      <c r="H3" s="126" t="s">
        <v>43</v>
      </c>
      <c r="I3" s="510" t="s">
        <v>265</v>
      </c>
    </row>
    <row r="4" spans="1:13" ht="15" customHeight="1">
      <c r="A4" s="511"/>
      <c r="B4" s="512"/>
      <c r="C4" s="513">
        <v>10000</v>
      </c>
      <c r="D4" s="155">
        <v>50000</v>
      </c>
      <c r="E4" s="513">
        <v>100000</v>
      </c>
      <c r="F4" s="155">
        <v>500000</v>
      </c>
      <c r="G4" s="513">
        <v>500000</v>
      </c>
      <c r="H4" s="129"/>
      <c r="I4" s="514" t="s">
        <v>267</v>
      </c>
    </row>
    <row r="5" spans="1:13" ht="15" customHeight="1">
      <c r="A5" s="511"/>
      <c r="B5" s="512"/>
      <c r="C5" s="514"/>
      <c r="D5" s="129"/>
      <c r="E5" s="514"/>
      <c r="F5" s="129"/>
      <c r="G5" s="514"/>
      <c r="H5" s="129"/>
      <c r="I5" s="514" t="s">
        <v>268</v>
      </c>
    </row>
    <row r="6" spans="1:13" ht="24" customHeight="1">
      <c r="A6" s="515"/>
      <c r="B6" s="516"/>
      <c r="C6" s="517"/>
      <c r="D6" s="135"/>
      <c r="E6" s="517"/>
      <c r="F6" s="135"/>
      <c r="G6" s="517"/>
      <c r="H6" s="135"/>
      <c r="I6" s="517"/>
    </row>
    <row r="7" spans="1:13" ht="21.75" customHeight="1" thickBot="1">
      <c r="A7" s="518">
        <v>1996</v>
      </c>
      <c r="B7" s="519">
        <v>90</v>
      </c>
      <c r="C7" s="520">
        <v>14</v>
      </c>
      <c r="D7" s="157">
        <v>20</v>
      </c>
      <c r="E7" s="520">
        <v>6</v>
      </c>
      <c r="F7" s="157">
        <v>12</v>
      </c>
      <c r="G7" s="520">
        <v>3</v>
      </c>
      <c r="H7" s="157">
        <v>145</v>
      </c>
      <c r="I7" s="521">
        <v>-0.12650602409638553</v>
      </c>
    </row>
    <row r="8" spans="1:13" ht="20" customHeight="1" thickBot="1">
      <c r="A8" s="522">
        <v>1997</v>
      </c>
      <c r="B8" s="523">
        <v>76</v>
      </c>
      <c r="C8" s="524">
        <v>14</v>
      </c>
      <c r="D8" s="159">
        <v>20</v>
      </c>
      <c r="E8" s="524">
        <v>4</v>
      </c>
      <c r="F8" s="159">
        <v>11</v>
      </c>
      <c r="G8" s="524">
        <v>4</v>
      </c>
      <c r="H8" s="159">
        <v>129</v>
      </c>
      <c r="I8" s="525">
        <v>-0.1103448275862069</v>
      </c>
      <c r="K8" s="10"/>
      <c r="L8" s="10"/>
      <c r="M8" s="10"/>
    </row>
    <row r="9" spans="1:13" ht="20" customHeight="1" thickBot="1">
      <c r="A9" s="522">
        <v>1998</v>
      </c>
      <c r="B9" s="523">
        <v>64</v>
      </c>
      <c r="C9" s="524">
        <v>13</v>
      </c>
      <c r="D9" s="159">
        <v>21</v>
      </c>
      <c r="E9" s="524">
        <v>6</v>
      </c>
      <c r="F9" s="159">
        <v>10</v>
      </c>
      <c r="G9" s="524">
        <v>4</v>
      </c>
      <c r="H9" s="159">
        <v>118</v>
      </c>
      <c r="I9" s="525">
        <v>-8.5271317829457363E-2</v>
      </c>
    </row>
    <row r="10" spans="1:13" ht="20" customHeight="1" thickBot="1">
      <c r="A10" s="522">
        <v>1999</v>
      </c>
      <c r="B10" s="523">
        <v>56</v>
      </c>
      <c r="C10" s="524">
        <v>12</v>
      </c>
      <c r="D10" s="159">
        <v>19</v>
      </c>
      <c r="E10" s="524">
        <v>8</v>
      </c>
      <c r="F10" s="159">
        <v>10</v>
      </c>
      <c r="G10" s="524">
        <v>4</v>
      </c>
      <c r="H10" s="159">
        <v>109</v>
      </c>
      <c r="I10" s="525">
        <v>-7.6271186440677971E-2</v>
      </c>
    </row>
    <row r="11" spans="1:13" ht="20" customHeight="1" thickBot="1">
      <c r="A11" s="522">
        <v>2000</v>
      </c>
      <c r="B11" s="523">
        <v>48</v>
      </c>
      <c r="C11" s="524">
        <v>11</v>
      </c>
      <c r="D11" s="159">
        <v>19</v>
      </c>
      <c r="E11" s="524">
        <v>9</v>
      </c>
      <c r="F11" s="159">
        <v>10</v>
      </c>
      <c r="G11" s="524">
        <v>4</v>
      </c>
      <c r="H11" s="159">
        <v>101</v>
      </c>
      <c r="I11" s="525">
        <v>-7.3394495412844041E-2</v>
      </c>
    </row>
    <row r="12" spans="1:13" ht="20" customHeight="1" thickBot="1">
      <c r="A12" s="522">
        <v>2001</v>
      </c>
      <c r="B12" s="523">
        <v>43</v>
      </c>
      <c r="C12" s="524">
        <v>9</v>
      </c>
      <c r="D12" s="159">
        <v>23</v>
      </c>
      <c r="E12" s="524">
        <v>9</v>
      </c>
      <c r="F12" s="159">
        <v>11</v>
      </c>
      <c r="G12" s="524">
        <v>4</v>
      </c>
      <c r="H12" s="159">
        <v>99</v>
      </c>
      <c r="I12" s="525">
        <v>-1.9801980198019802E-2</v>
      </c>
    </row>
    <row r="13" spans="1:13" ht="20" customHeight="1" thickBot="1">
      <c r="A13" s="522">
        <v>2002</v>
      </c>
      <c r="B13" s="523">
        <v>33</v>
      </c>
      <c r="C13" s="524">
        <v>10</v>
      </c>
      <c r="D13" s="159">
        <v>25</v>
      </c>
      <c r="E13" s="524">
        <v>9</v>
      </c>
      <c r="F13" s="159">
        <v>13</v>
      </c>
      <c r="G13" s="524">
        <v>3</v>
      </c>
      <c r="H13" s="159">
        <v>93</v>
      </c>
      <c r="I13" s="525">
        <v>-6.0606060606060608E-2</v>
      </c>
    </row>
    <row r="14" spans="1:13" ht="20" customHeight="1" thickBot="1">
      <c r="A14" s="522">
        <v>2003</v>
      </c>
      <c r="B14" s="523">
        <v>32</v>
      </c>
      <c r="C14" s="524">
        <v>10</v>
      </c>
      <c r="D14" s="159">
        <v>26</v>
      </c>
      <c r="E14" s="524">
        <v>9</v>
      </c>
      <c r="F14" s="159">
        <v>12</v>
      </c>
      <c r="G14" s="524">
        <v>4</v>
      </c>
      <c r="H14" s="159">
        <v>93</v>
      </c>
      <c r="I14" s="525">
        <v>0</v>
      </c>
    </row>
    <row r="15" spans="1:13" ht="20" customHeight="1" thickBot="1">
      <c r="A15" s="522">
        <v>2004</v>
      </c>
      <c r="B15" s="523">
        <v>32</v>
      </c>
      <c r="C15" s="524">
        <v>11</v>
      </c>
      <c r="D15" s="159">
        <v>24</v>
      </c>
      <c r="E15" s="524">
        <v>9</v>
      </c>
      <c r="F15" s="159">
        <v>12</v>
      </c>
      <c r="G15" s="524">
        <v>4</v>
      </c>
      <c r="H15" s="159">
        <v>92</v>
      </c>
      <c r="I15" s="525">
        <v>-1.0752688172043012E-2</v>
      </c>
    </row>
    <row r="16" spans="1:13" ht="30" customHeight="1" thickBot="1">
      <c r="A16" s="526">
        <v>2005</v>
      </c>
      <c r="B16" s="527">
        <v>27</v>
      </c>
      <c r="C16" s="528">
        <v>13</v>
      </c>
      <c r="D16" s="221">
        <v>20</v>
      </c>
      <c r="E16" s="528">
        <v>8</v>
      </c>
      <c r="F16" s="221">
        <v>13</v>
      </c>
      <c r="G16" s="528">
        <v>4</v>
      </c>
      <c r="H16" s="221">
        <v>85</v>
      </c>
      <c r="I16" s="529">
        <v>-7.6086956521739135E-2</v>
      </c>
    </row>
    <row r="17" spans="1:9" ht="20" customHeight="1">
      <c r="A17" s="146" t="s">
        <v>596</v>
      </c>
      <c r="B17" s="223"/>
      <c r="C17" s="223"/>
      <c r="D17" s="223"/>
      <c r="E17" s="223"/>
      <c r="F17" s="223"/>
      <c r="G17" s="223"/>
      <c r="H17" s="223"/>
      <c r="I17" s="224"/>
    </row>
    <row r="18" spans="1:9" ht="13.5" customHeight="1">
      <c r="A18" s="4"/>
      <c r="B18" s="225"/>
      <c r="C18" s="225"/>
      <c r="D18" s="225"/>
      <c r="E18" s="225"/>
      <c r="F18" s="225"/>
      <c r="G18" s="225"/>
      <c r="H18" s="225"/>
      <c r="I18" s="226"/>
    </row>
    <row r="19" spans="1:9" ht="14.25" customHeight="1">
      <c r="A19" s="4" t="s">
        <v>94</v>
      </c>
      <c r="B19" s="225"/>
      <c r="C19" s="225"/>
      <c r="D19" s="225"/>
      <c r="E19" s="225"/>
      <c r="F19" s="225"/>
      <c r="G19" s="225"/>
      <c r="H19" s="225"/>
      <c r="I19" s="226"/>
    </row>
    <row r="21" spans="1:9">
      <c r="A21" s="2" t="s">
        <v>95</v>
      </c>
    </row>
    <row r="24" spans="1:9">
      <c r="A24" s="2" t="s">
        <v>128</v>
      </c>
    </row>
  </sheetData>
  <phoneticPr fontId="0" type="noConversion"/>
  <pageMargins left="0.53" right="0.61" top="1.03" bottom="0.49" header="0.56000000000000005" footer="0.4921259845"/>
  <pageSetup paperSize="9" scale="86" orientation="portrait" horizontalDpi="4294967292" verticalDpi="4294967292"/>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315A6-5840-7847-A0ED-C38F2EA85A22}">
  <sheetPr>
    <pageSetUpPr fitToPage="1"/>
  </sheetPr>
  <dimension ref="A1:L25"/>
  <sheetViews>
    <sheetView zoomScale="75" workbookViewId="0">
      <selection activeCell="A15" sqref="A15:IV15"/>
    </sheetView>
  </sheetViews>
  <sheetFormatPr baseColWidth="10" defaultColWidth="11.3984375" defaultRowHeight="13"/>
  <cols>
    <col min="1" max="1" width="14.59765625" style="2" customWidth="1"/>
    <col min="2" max="7" width="12.796875" style="2" customWidth="1"/>
    <col min="8" max="8" width="13.796875" style="451" customWidth="1"/>
    <col min="9" max="16384" width="11.3984375" style="2"/>
  </cols>
  <sheetData>
    <row r="1" spans="1:12" s="1" customFormat="1" ht="14" customHeight="1">
      <c r="H1" s="422"/>
    </row>
    <row r="2" spans="1:12" s="1" customFormat="1" ht="28" customHeight="1">
      <c r="A2" s="19" t="s">
        <v>1328</v>
      </c>
      <c r="B2" s="19"/>
      <c r="H2" s="192">
        <v>2005</v>
      </c>
    </row>
    <row r="3" spans="1:12" ht="24" customHeight="1">
      <c r="A3" s="125" t="s">
        <v>1746</v>
      </c>
      <c r="B3" s="489" t="s">
        <v>1329</v>
      </c>
      <c r="C3" s="490"/>
      <c r="D3" s="489" t="s">
        <v>1330</v>
      </c>
      <c r="E3" s="490"/>
      <c r="F3" s="491" t="s">
        <v>1331</v>
      </c>
      <c r="G3" s="490"/>
      <c r="H3" s="492" t="s">
        <v>265</v>
      </c>
    </row>
    <row r="4" spans="1:12" ht="15" customHeight="1">
      <c r="A4" s="212"/>
      <c r="B4" s="493" t="s">
        <v>1332</v>
      </c>
      <c r="C4" s="494" t="s">
        <v>1333</v>
      </c>
      <c r="D4" s="493" t="s">
        <v>1332</v>
      </c>
      <c r="E4" s="494" t="s">
        <v>1333</v>
      </c>
      <c r="F4" s="493" t="s">
        <v>1332</v>
      </c>
      <c r="G4" s="494" t="s">
        <v>1333</v>
      </c>
      <c r="H4" s="495" t="s">
        <v>267</v>
      </c>
    </row>
    <row r="5" spans="1:12" ht="15" customHeight="1">
      <c r="A5" s="212"/>
      <c r="B5" s="496"/>
      <c r="C5" s="497"/>
      <c r="D5" s="498"/>
      <c r="E5" s="497"/>
      <c r="F5" s="498"/>
      <c r="G5" s="497"/>
      <c r="H5" s="495" t="s">
        <v>1337</v>
      </c>
    </row>
    <row r="6" spans="1:12" ht="24" customHeight="1">
      <c r="A6" s="214"/>
      <c r="B6" s="499"/>
      <c r="C6" s="134"/>
      <c r="D6" s="135"/>
      <c r="E6" s="134"/>
      <c r="F6" s="135"/>
      <c r="G6" s="134"/>
      <c r="H6" s="482"/>
    </row>
    <row r="7" spans="1:12" ht="21.75" customHeight="1" thickBot="1">
      <c r="A7" s="216">
        <v>1996</v>
      </c>
      <c r="B7" s="500">
        <v>5252</v>
      </c>
      <c r="C7" s="217">
        <v>5728</v>
      </c>
      <c r="D7" s="157">
        <v>5623</v>
      </c>
      <c r="E7" s="217">
        <v>7761</v>
      </c>
      <c r="F7" s="157">
        <v>10875</v>
      </c>
      <c r="G7" s="217">
        <v>13489</v>
      </c>
      <c r="H7" s="483">
        <v>6.9028372166745913E-2</v>
      </c>
      <c r="J7" s="10"/>
      <c r="K7" s="10"/>
      <c r="L7" s="10"/>
    </row>
    <row r="8" spans="1:12" ht="20" customHeight="1" thickBot="1">
      <c r="A8" s="218">
        <v>1997</v>
      </c>
      <c r="B8" s="501">
        <v>5702</v>
      </c>
      <c r="C8" s="219">
        <v>6184</v>
      </c>
      <c r="D8" s="159">
        <v>4631</v>
      </c>
      <c r="E8" s="219">
        <v>6865</v>
      </c>
      <c r="F8" s="159">
        <v>10333</v>
      </c>
      <c r="G8" s="219">
        <v>13049</v>
      </c>
      <c r="H8" s="484">
        <v>-3.2619171176514195E-2</v>
      </c>
    </row>
    <row r="9" spans="1:12" ht="20" customHeight="1" thickBot="1">
      <c r="A9" s="218">
        <v>1998</v>
      </c>
      <c r="B9" s="501">
        <v>5440</v>
      </c>
      <c r="C9" s="219">
        <v>5884</v>
      </c>
      <c r="D9" s="159">
        <v>4852</v>
      </c>
      <c r="E9" s="219">
        <v>6728</v>
      </c>
      <c r="F9" s="159">
        <v>10292</v>
      </c>
      <c r="G9" s="219">
        <v>12612</v>
      </c>
      <c r="H9" s="484">
        <v>-3.348915625718446E-2</v>
      </c>
    </row>
    <row r="10" spans="1:12" ht="20" customHeight="1" thickBot="1">
      <c r="A10" s="218">
        <v>1999</v>
      </c>
      <c r="B10" s="501">
        <v>5286</v>
      </c>
      <c r="C10" s="219">
        <v>5825</v>
      </c>
      <c r="D10" s="159">
        <v>4444</v>
      </c>
      <c r="E10" s="219">
        <v>6096</v>
      </c>
      <c r="F10" s="159">
        <v>9729</v>
      </c>
      <c r="G10" s="219">
        <v>11920</v>
      </c>
      <c r="H10" s="484">
        <v>-5.4868379321281323E-2</v>
      </c>
    </row>
    <row r="11" spans="1:12" ht="20" customHeight="1" thickBot="1">
      <c r="A11" s="218">
        <v>2000</v>
      </c>
      <c r="B11" s="501">
        <v>4367</v>
      </c>
      <c r="C11" s="219">
        <v>4846</v>
      </c>
      <c r="D11" s="159">
        <v>5837</v>
      </c>
      <c r="E11" s="219">
        <v>7246</v>
      </c>
      <c r="F11" s="159">
        <v>10204</v>
      </c>
      <c r="G11" s="219">
        <v>12092</v>
      </c>
      <c r="H11" s="484">
        <v>1.4429530201342283E-2</v>
      </c>
    </row>
    <row r="12" spans="1:12" ht="20" customHeight="1" thickBot="1">
      <c r="A12" s="218">
        <v>2001</v>
      </c>
      <c r="B12" s="501">
        <v>4317</v>
      </c>
      <c r="C12" s="219">
        <v>4736</v>
      </c>
      <c r="D12" s="159">
        <v>3995</v>
      </c>
      <c r="E12" s="219">
        <v>4942</v>
      </c>
      <c r="F12" s="159">
        <v>8312</v>
      </c>
      <c r="G12" s="219">
        <v>9678</v>
      </c>
      <c r="H12" s="484">
        <v>-0.19963612305656633</v>
      </c>
    </row>
    <row r="13" spans="1:12" ht="21.75" customHeight="1" thickBot="1">
      <c r="A13" s="218">
        <v>2002</v>
      </c>
      <c r="B13" s="501">
        <v>4346</v>
      </c>
      <c r="C13" s="219">
        <v>4839</v>
      </c>
      <c r="D13" s="159">
        <v>3951</v>
      </c>
      <c r="E13" s="219">
        <v>4838</v>
      </c>
      <c r="F13" s="159">
        <v>8297</v>
      </c>
      <c r="G13" s="219">
        <v>9677</v>
      </c>
      <c r="H13" s="484">
        <v>-1.0332713370531102E-4</v>
      </c>
    </row>
    <row r="14" spans="1:12" ht="21.75" customHeight="1" thickBot="1">
      <c r="A14" s="218">
        <v>2003</v>
      </c>
      <c r="B14" s="501">
        <v>5023</v>
      </c>
      <c r="C14" s="219">
        <v>5690</v>
      </c>
      <c r="D14" s="159">
        <v>2968</v>
      </c>
      <c r="E14" s="219">
        <v>3779</v>
      </c>
      <c r="F14" s="159">
        <v>7991</v>
      </c>
      <c r="G14" s="219">
        <v>9469</v>
      </c>
      <c r="H14" s="484">
        <v>-2.1494264751472564E-2</v>
      </c>
    </row>
    <row r="15" spans="1:12" ht="21.75" customHeight="1" thickBot="1">
      <c r="A15" s="218">
        <v>2004</v>
      </c>
      <c r="B15" s="501">
        <v>5428</v>
      </c>
      <c r="C15" s="219">
        <v>6333</v>
      </c>
      <c r="D15" s="159">
        <v>2801</v>
      </c>
      <c r="E15" s="219">
        <v>3511</v>
      </c>
      <c r="F15" s="159">
        <v>8229</v>
      </c>
      <c r="G15" s="219">
        <v>9844</v>
      </c>
      <c r="H15" s="484">
        <v>3.9602914774527403E-2</v>
      </c>
    </row>
    <row r="16" spans="1:12" s="398" customFormat="1" ht="26.25" customHeight="1" thickBot="1">
      <c r="A16" s="485">
        <v>2005</v>
      </c>
      <c r="B16" s="502">
        <v>5554</v>
      </c>
      <c r="C16" s="487">
        <v>6193</v>
      </c>
      <c r="D16" s="161">
        <v>3178</v>
      </c>
      <c r="E16" s="487">
        <v>3889</v>
      </c>
      <c r="F16" s="161">
        <v>8732</v>
      </c>
      <c r="G16" s="487">
        <v>10082</v>
      </c>
      <c r="H16" s="486">
        <v>2.4177163754571313E-2</v>
      </c>
    </row>
    <row r="17" spans="1:8" ht="20.25" customHeight="1">
      <c r="A17" s="146" t="s">
        <v>596</v>
      </c>
      <c r="B17" s="146"/>
      <c r="C17" s="146"/>
      <c r="D17" s="146"/>
      <c r="E17" s="146"/>
      <c r="F17" s="146"/>
      <c r="G17" s="146"/>
      <c r="H17" s="447"/>
    </row>
    <row r="18" spans="1:8" ht="14.25" customHeight="1">
      <c r="A18" s="4"/>
      <c r="B18" s="4"/>
      <c r="C18" s="4"/>
      <c r="D18" s="4"/>
      <c r="E18" s="4"/>
      <c r="F18" s="4"/>
      <c r="G18" s="4"/>
      <c r="H18" s="450"/>
    </row>
    <row r="19" spans="1:8">
      <c r="A19" s="2" t="s">
        <v>1334</v>
      </c>
    </row>
    <row r="20" spans="1:8">
      <c r="A20" s="2" t="s">
        <v>1335</v>
      </c>
    </row>
    <row r="22" spans="1:8">
      <c r="A22" s="2" t="s">
        <v>1336</v>
      </c>
    </row>
    <row r="25" spans="1:8">
      <c r="A25" s="2" t="s">
        <v>128</v>
      </c>
    </row>
  </sheetData>
  <phoneticPr fontId="0" type="noConversion"/>
  <pageMargins left="0.69" right="0.69" top="1.03" bottom="0.49" header="0.61" footer="0.4921259845"/>
  <pageSetup paperSize="9" scale="85" orientation="portrait" horizontalDpi="4294967292" verticalDpi="4294967292"/>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DDCDC-AB97-B74A-8AB9-43D1B20FF930}">
  <sheetPr>
    <pageSetUpPr fitToPage="1"/>
  </sheetPr>
  <dimension ref="A1:K27"/>
  <sheetViews>
    <sheetView zoomScale="75" workbookViewId="0"/>
  </sheetViews>
  <sheetFormatPr baseColWidth="10" defaultColWidth="11.3984375" defaultRowHeight="13"/>
  <cols>
    <col min="1" max="1" width="15.796875" style="2" customWidth="1"/>
    <col min="2" max="2" width="16.796875" style="2" customWidth="1"/>
    <col min="3" max="3" width="12.796875" style="451" customWidth="1"/>
    <col min="4" max="4" width="16.796875" style="2" customWidth="1"/>
    <col min="5" max="5" width="12.796875" style="451" customWidth="1"/>
    <col min="6" max="6" width="16.796875" style="2" customWidth="1"/>
    <col min="7" max="7" width="14" style="451" customWidth="1"/>
    <col min="8" max="8" width="10.3984375" style="2" customWidth="1"/>
    <col min="9" max="16384" width="11.3984375" style="2"/>
  </cols>
  <sheetData>
    <row r="1" spans="1:11" s="1" customFormat="1" ht="14" customHeight="1">
      <c r="C1" s="422"/>
      <c r="E1" s="422"/>
      <c r="G1" s="422"/>
    </row>
    <row r="2" spans="1:11" s="1" customFormat="1" ht="28" customHeight="1">
      <c r="A2" s="19" t="s">
        <v>2225</v>
      </c>
      <c r="C2" s="422"/>
      <c r="E2" s="422"/>
      <c r="G2" s="192">
        <v>2005</v>
      </c>
    </row>
    <row r="3" spans="1:11" ht="24" customHeight="1">
      <c r="A3" s="125" t="s">
        <v>1746</v>
      </c>
      <c r="B3" s="126" t="s">
        <v>2226</v>
      </c>
      <c r="C3" s="424" t="s">
        <v>265</v>
      </c>
      <c r="D3" s="126" t="s">
        <v>2227</v>
      </c>
      <c r="E3" s="424" t="s">
        <v>265</v>
      </c>
      <c r="F3" s="126" t="s">
        <v>1807</v>
      </c>
      <c r="G3" s="424" t="s">
        <v>265</v>
      </c>
    </row>
    <row r="4" spans="1:11" ht="15" customHeight="1">
      <c r="A4" s="212"/>
      <c r="B4" s="129" t="s">
        <v>1807</v>
      </c>
      <c r="C4" s="480" t="s">
        <v>267</v>
      </c>
      <c r="D4" s="129" t="s">
        <v>2228</v>
      </c>
      <c r="E4" s="480" t="s">
        <v>267</v>
      </c>
      <c r="F4" s="129" t="s">
        <v>2229</v>
      </c>
      <c r="G4" s="480" t="s">
        <v>267</v>
      </c>
    </row>
    <row r="5" spans="1:11" ht="15" customHeight="1">
      <c r="A5" s="212"/>
      <c r="B5" s="129" t="s">
        <v>2230</v>
      </c>
      <c r="C5" s="480" t="s">
        <v>268</v>
      </c>
      <c r="D5" s="129" t="s">
        <v>2231</v>
      </c>
      <c r="E5" s="480" t="s">
        <v>268</v>
      </c>
      <c r="F5" s="129" t="s">
        <v>732</v>
      </c>
      <c r="G5" s="480" t="s">
        <v>268</v>
      </c>
    </row>
    <row r="6" spans="1:11" ht="24" customHeight="1">
      <c r="A6" s="214"/>
      <c r="B6" s="135"/>
      <c r="C6" s="426"/>
      <c r="D6" s="135" t="s">
        <v>2232</v>
      </c>
      <c r="E6" s="426"/>
      <c r="F6" s="135"/>
      <c r="G6" s="426"/>
    </row>
    <row r="7" spans="1:11" ht="20" customHeight="1" thickBot="1">
      <c r="A7" s="216">
        <v>1996</v>
      </c>
      <c r="B7" s="157">
        <v>16879057940.52</v>
      </c>
      <c r="C7" s="458">
        <v>3.1990175768496547E-2</v>
      </c>
      <c r="D7" s="157">
        <v>17192470827.740002</v>
      </c>
      <c r="E7" s="458">
        <v>6.792517720196245E-2</v>
      </c>
      <c r="F7" s="157">
        <v>-313412887.24000007</v>
      </c>
      <c r="G7" s="458">
        <v>-2.2198566405891191</v>
      </c>
      <c r="I7" s="10"/>
      <c r="J7" s="10"/>
      <c r="K7" s="10"/>
    </row>
    <row r="8" spans="1:11" ht="20" customHeight="1" thickBot="1">
      <c r="A8" s="218">
        <v>1997</v>
      </c>
      <c r="B8" s="159">
        <v>17865032287.75</v>
      </c>
      <c r="C8" s="462">
        <v>5.8414062603758338E-2</v>
      </c>
      <c r="D8" s="159">
        <v>17672056997.619999</v>
      </c>
      <c r="E8" s="462">
        <v>2.7895127738485754E-2</v>
      </c>
      <c r="F8" s="159">
        <v>192975290.09999996</v>
      </c>
      <c r="G8" s="462">
        <v>1.6157222563481461</v>
      </c>
    </row>
    <row r="9" spans="1:11" ht="20" customHeight="1" thickBot="1">
      <c r="A9" s="218">
        <v>1998</v>
      </c>
      <c r="B9" s="159">
        <v>18556339847.599998</v>
      </c>
      <c r="C9" s="462">
        <v>3.8696127088671761E-2</v>
      </c>
      <c r="D9" s="159">
        <v>18402610160.25</v>
      </c>
      <c r="E9" s="462">
        <v>4.1339452601832881E-2</v>
      </c>
      <c r="F9" s="159">
        <v>153728761.16999999</v>
      </c>
      <c r="G9" s="462">
        <v>-0.20337592916514022</v>
      </c>
    </row>
    <row r="10" spans="1:11" ht="19.5" customHeight="1" thickBot="1">
      <c r="A10" s="218">
        <v>1999</v>
      </c>
      <c r="B10" s="159">
        <v>18130009685.380001</v>
      </c>
      <c r="C10" s="462">
        <v>-2.2974905920099174E-2</v>
      </c>
      <c r="D10" s="159">
        <v>18002606410.59</v>
      </c>
      <c r="E10" s="462">
        <v>-2.1736250791423915E-2</v>
      </c>
      <c r="F10" s="159">
        <v>127403274.93000001</v>
      </c>
      <c r="G10" s="462">
        <v>-0.17124633048260959</v>
      </c>
    </row>
    <row r="11" spans="1:11" ht="19.5" customHeight="1" thickBot="1">
      <c r="A11" s="218">
        <v>2000</v>
      </c>
      <c r="B11" s="159">
        <v>17664531028.940002</v>
      </c>
      <c r="C11" s="462">
        <v>-2.5674484708927629E-2</v>
      </c>
      <c r="D11" s="159">
        <v>17831851511.68</v>
      </c>
      <c r="E11" s="462">
        <v>-9.4850098377729126E-3</v>
      </c>
      <c r="F11" s="159">
        <v>-167299750.25</v>
      </c>
      <c r="G11" s="462">
        <v>-2.3131510971120686</v>
      </c>
    </row>
    <row r="12" spans="1:11" ht="19.5" customHeight="1" thickBot="1">
      <c r="A12" s="218">
        <v>2001</v>
      </c>
      <c r="B12" s="159">
        <v>16854501683</v>
      </c>
      <c r="C12" s="462">
        <v>-4.5856261035909875E-2</v>
      </c>
      <c r="D12" s="159">
        <v>17581378780</v>
      </c>
      <c r="E12" s="462">
        <v>-1.4046367059300529E-2</v>
      </c>
      <c r="F12" s="159">
        <v>-724676858.32999992</v>
      </c>
      <c r="G12" s="462">
        <v>-3.3316075322712559</v>
      </c>
    </row>
    <row r="13" spans="1:11" ht="19.5" customHeight="1" thickBot="1">
      <c r="A13" s="218">
        <v>2002</v>
      </c>
      <c r="B13" s="159">
        <v>17923033692</v>
      </c>
      <c r="C13" s="462">
        <v>6.339742515661298E-2</v>
      </c>
      <c r="D13" s="159">
        <v>18156411305</v>
      </c>
      <c r="E13" s="462">
        <v>3.2706907245189334E-2</v>
      </c>
      <c r="F13" s="159">
        <v>-233377612.33999997</v>
      </c>
      <c r="G13" s="462">
        <v>0.67795630610060742</v>
      </c>
    </row>
    <row r="14" spans="1:11" ht="19.5" customHeight="1" thickBot="1">
      <c r="A14" s="218">
        <v>2003</v>
      </c>
      <c r="B14" s="159">
        <v>19735068495</v>
      </c>
      <c r="C14" s="462">
        <v>0.1011008981034727</v>
      </c>
      <c r="D14" s="159">
        <v>19234994873</v>
      </c>
      <c r="E14" s="462">
        <v>5.9405107643875334E-2</v>
      </c>
      <c r="F14" s="159">
        <v>500073622.12000006</v>
      </c>
      <c r="G14" s="462">
        <v>3.1427660395782078</v>
      </c>
    </row>
    <row r="15" spans="1:11" ht="19.5" customHeight="1" thickBot="1">
      <c r="A15" s="218">
        <v>2004</v>
      </c>
      <c r="B15" s="159">
        <v>20469211172</v>
      </c>
      <c r="C15" s="462">
        <v>3.7199905193437736E-2</v>
      </c>
      <c r="D15" s="159">
        <v>19860790330</v>
      </c>
      <c r="E15" s="462">
        <v>3.253421491047153E-2</v>
      </c>
      <c r="F15" s="159">
        <v>608420841.96000004</v>
      </c>
      <c r="G15" s="462">
        <v>0.21666253736934848</v>
      </c>
    </row>
    <row r="16" spans="1:11" s="398" customFormat="1" ht="26.25" customHeight="1" thickBot="1">
      <c r="A16" s="485">
        <v>2005</v>
      </c>
      <c r="B16" s="161">
        <v>21134645651.759998</v>
      </c>
      <c r="C16" s="465">
        <v>3.2509043664088605E-2</v>
      </c>
      <c r="D16" s="161">
        <v>20885686091</v>
      </c>
      <c r="E16" s="465">
        <v>5.1603976678203017E-2</v>
      </c>
      <c r="F16" s="161">
        <v>248959561.38999999</v>
      </c>
      <c r="G16" s="465">
        <v>-0.59081026779426538</v>
      </c>
      <c r="I16" s="488"/>
    </row>
    <row r="17" spans="1:7" ht="20" customHeight="1">
      <c r="A17" s="146" t="s">
        <v>596</v>
      </c>
      <c r="B17" s="146"/>
      <c r="C17" s="447"/>
      <c r="D17" s="146"/>
      <c r="E17" s="447"/>
      <c r="F17" s="146"/>
      <c r="G17" s="447"/>
    </row>
    <row r="18" spans="1:7" ht="13.5" customHeight="1">
      <c r="A18" s="4"/>
      <c r="B18" s="4"/>
      <c r="C18" s="450"/>
      <c r="D18" s="4"/>
      <c r="E18" s="450"/>
      <c r="F18" s="4"/>
      <c r="G18" s="450"/>
    </row>
    <row r="19" spans="1:7">
      <c r="A19" s="4" t="s">
        <v>2233</v>
      </c>
    </row>
    <row r="20" spans="1:7">
      <c r="A20" s="2" t="s">
        <v>2234</v>
      </c>
    </row>
    <row r="21" spans="1:7">
      <c r="A21" s="2" t="s">
        <v>1327</v>
      </c>
    </row>
    <row r="22" spans="1:7">
      <c r="A22" s="2" t="s">
        <v>730</v>
      </c>
    </row>
    <row r="24" spans="1:7">
      <c r="A24" s="2" t="s">
        <v>731</v>
      </c>
    </row>
    <row r="27" spans="1:7">
      <c r="A27" s="2" t="s">
        <v>128</v>
      </c>
    </row>
  </sheetData>
  <phoneticPr fontId="0" type="noConversion"/>
  <pageMargins left="0.67" right="0.78740157480314965" top="1.1000000000000001" bottom="0.49" header="0.59" footer="0.4921259845"/>
  <pageSetup paperSize="9" scale="76" orientation="portrait" horizontalDpi="4294967292" verticalDpi="4294967292"/>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9F304-F8A9-FD44-8B84-0E159ECBA716}">
  <sheetPr>
    <pageSetUpPr fitToPage="1"/>
  </sheetPr>
  <dimension ref="A1:D48"/>
  <sheetViews>
    <sheetView topLeftCell="A24" zoomScale="75" workbookViewId="0">
      <selection activeCell="B46" sqref="B46"/>
    </sheetView>
  </sheetViews>
  <sheetFormatPr baseColWidth="10" defaultColWidth="11.3984375" defaultRowHeight="13"/>
  <cols>
    <col min="1" max="1" width="10.796875" style="2" customWidth="1"/>
    <col min="2" max="2" width="60.3984375" style="21" customWidth="1"/>
    <col min="3" max="3" width="18.3984375" style="9" customWidth="1"/>
    <col min="4" max="4" width="17" style="451" customWidth="1"/>
    <col min="5" max="16384" width="11.3984375" style="2"/>
  </cols>
  <sheetData>
    <row r="1" spans="1:4" s="1" customFormat="1" ht="14" customHeight="1">
      <c r="B1" s="305"/>
      <c r="C1" s="306"/>
      <c r="D1" s="422"/>
    </row>
    <row r="2" spans="1:4" s="1" customFormat="1" ht="28" customHeight="1">
      <c r="A2" s="19" t="s">
        <v>650</v>
      </c>
      <c r="B2" s="305"/>
      <c r="C2" s="306"/>
      <c r="D2" s="192">
        <v>2005</v>
      </c>
    </row>
    <row r="3" spans="1:4" ht="39" customHeight="1">
      <c r="A3" s="125" t="s">
        <v>696</v>
      </c>
      <c r="B3" s="329"/>
      <c r="C3" s="154" t="s">
        <v>748</v>
      </c>
      <c r="D3" s="424" t="s">
        <v>766</v>
      </c>
    </row>
    <row r="4" spans="1:4" ht="38" customHeight="1">
      <c r="A4" s="308"/>
      <c r="B4" s="244"/>
      <c r="C4" s="156" t="s">
        <v>699</v>
      </c>
      <c r="D4" s="426" t="s">
        <v>263</v>
      </c>
    </row>
    <row r="5" spans="1:4" ht="30" customHeight="1" thickBot="1">
      <c r="A5" s="137">
        <v>60</v>
      </c>
      <c r="B5" s="137" t="s">
        <v>57</v>
      </c>
      <c r="C5" s="157">
        <v>342301094.81</v>
      </c>
      <c r="D5" s="458">
        <v>1.6196206950907392E-2</v>
      </c>
    </row>
    <row r="6" spans="1:4" ht="16" customHeight="1" thickBot="1">
      <c r="A6" s="141">
        <v>600</v>
      </c>
      <c r="B6" s="141" t="s">
        <v>651</v>
      </c>
      <c r="C6" s="159">
        <v>353324619.66000003</v>
      </c>
      <c r="D6" s="462">
        <v>1.6717792457077545E-2</v>
      </c>
    </row>
    <row r="7" spans="1:4" ht="16" customHeight="1" thickBot="1">
      <c r="A7" s="141">
        <v>601</v>
      </c>
      <c r="B7" s="141" t="s">
        <v>652</v>
      </c>
      <c r="C7" s="159">
        <v>-11023524.85</v>
      </c>
      <c r="D7" s="462">
        <v>-5.2158550617015004E-4</v>
      </c>
    </row>
    <row r="8" spans="1:4" ht="19.5" customHeight="1" thickBot="1">
      <c r="A8" s="141">
        <v>61</v>
      </c>
      <c r="B8" s="141" t="s">
        <v>648</v>
      </c>
      <c r="C8" s="159">
        <v>18553767334.939999</v>
      </c>
      <c r="D8" s="462">
        <v>0.8778840033873444</v>
      </c>
    </row>
    <row r="9" spans="1:4" ht="18" customHeight="1" thickBot="1">
      <c r="A9" s="141">
        <v>63</v>
      </c>
      <c r="B9" s="141" t="s">
        <v>649</v>
      </c>
      <c r="C9" s="159">
        <v>1990119080.5799999</v>
      </c>
      <c r="D9" s="462">
        <v>9.4163825283452143E-2</v>
      </c>
    </row>
    <row r="10" spans="1:4" ht="21.75" customHeight="1" thickBot="1">
      <c r="A10" s="142" t="s">
        <v>653</v>
      </c>
      <c r="B10" s="142" t="s">
        <v>654</v>
      </c>
      <c r="C10" s="159">
        <v>20886187510.330002</v>
      </c>
      <c r="D10" s="462">
        <v>0.98824403562170415</v>
      </c>
    </row>
    <row r="11" spans="1:4" ht="16" customHeight="1" thickBot="1">
      <c r="A11" s="141">
        <v>64</v>
      </c>
      <c r="B11" s="141" t="s">
        <v>655</v>
      </c>
      <c r="C11" s="159">
        <v>-98159518.319999993</v>
      </c>
      <c r="D11" s="462">
        <v>-4.6444837513434116E-3</v>
      </c>
    </row>
    <row r="12" spans="1:4" ht="16" customHeight="1" thickBot="1">
      <c r="A12" s="141">
        <v>65</v>
      </c>
      <c r="B12" s="141" t="s">
        <v>656</v>
      </c>
      <c r="C12" s="159">
        <v>3795596.42</v>
      </c>
      <c r="D12" s="462">
        <v>1.7959120216827102E-4</v>
      </c>
    </row>
    <row r="13" spans="1:4" ht="21.75" customHeight="1" thickBot="1">
      <c r="A13" s="142" t="s">
        <v>657</v>
      </c>
      <c r="B13" s="142" t="s">
        <v>704</v>
      </c>
      <c r="C13" s="159">
        <v>20791823588.43</v>
      </c>
      <c r="D13" s="462">
        <v>0.98377914307252889</v>
      </c>
    </row>
    <row r="14" spans="1:4" ht="16" customHeight="1" thickBot="1">
      <c r="A14" s="141">
        <v>66</v>
      </c>
      <c r="B14" s="141" t="s">
        <v>658</v>
      </c>
      <c r="C14" s="159">
        <v>-30925272.050000001</v>
      </c>
      <c r="D14" s="462">
        <v>-1.4632500851711552E-3</v>
      </c>
    </row>
    <row r="15" spans="1:4" ht="21.75" customHeight="1" thickBot="1">
      <c r="A15" s="142" t="s">
        <v>659</v>
      </c>
      <c r="B15" s="142" t="s">
        <v>707</v>
      </c>
      <c r="C15" s="159">
        <v>20760898316.380001</v>
      </c>
      <c r="D15" s="462">
        <v>0.98231589298735777</v>
      </c>
    </row>
    <row r="16" spans="1:4" ht="16" customHeight="1" thickBot="1">
      <c r="A16" s="141">
        <v>67</v>
      </c>
      <c r="B16" s="141" t="s">
        <v>660</v>
      </c>
      <c r="C16" s="159">
        <v>1541385275</v>
      </c>
      <c r="D16" s="462">
        <v>7.2931682905771372E-2</v>
      </c>
    </row>
    <row r="17" spans="1:4" ht="16" customHeight="1" thickBot="1">
      <c r="A17" s="141">
        <v>670</v>
      </c>
      <c r="B17" s="141" t="s">
        <v>661</v>
      </c>
      <c r="C17" s="159">
        <v>1479380748.6099999</v>
      </c>
      <c r="D17" s="462">
        <v>6.9997896959621067E-2</v>
      </c>
    </row>
    <row r="18" spans="1:4" ht="16" customHeight="1" thickBot="1">
      <c r="A18" s="141">
        <v>672</v>
      </c>
      <c r="B18" s="141" t="s">
        <v>662</v>
      </c>
      <c r="C18" s="159">
        <v>64368528.899999999</v>
      </c>
      <c r="D18" s="462">
        <v>3.0456403178275985E-3</v>
      </c>
    </row>
    <row r="19" spans="1:4" ht="16" customHeight="1" thickBot="1">
      <c r="A19" s="141">
        <v>673</v>
      </c>
      <c r="B19" s="141" t="s">
        <v>663</v>
      </c>
      <c r="C19" s="159">
        <v>18881506.59</v>
      </c>
      <c r="D19" s="462">
        <v>8.9339120707839414E-4</v>
      </c>
    </row>
    <row r="20" spans="1:4" ht="16" customHeight="1" thickBot="1">
      <c r="A20" s="141">
        <v>675</v>
      </c>
      <c r="B20" s="141" t="s">
        <v>664</v>
      </c>
      <c r="C20" s="159">
        <v>-21245509.100000001</v>
      </c>
      <c r="D20" s="462">
        <v>-1.0052455787556945E-3</v>
      </c>
    </row>
    <row r="21" spans="1:4" ht="16" customHeight="1" thickBot="1">
      <c r="A21" s="141">
        <v>68</v>
      </c>
      <c r="B21" s="141" t="s">
        <v>665</v>
      </c>
      <c r="C21" s="159">
        <v>-1509058325.6600001</v>
      </c>
      <c r="D21" s="462">
        <v>-7.140211151514303E-2</v>
      </c>
    </row>
    <row r="22" spans="1:4" ht="21.75" customHeight="1" thickBot="1">
      <c r="A22" s="142" t="s">
        <v>666</v>
      </c>
      <c r="B22" s="142" t="s">
        <v>667</v>
      </c>
      <c r="C22" s="159">
        <v>32326949.34</v>
      </c>
      <c r="D22" s="462">
        <v>1.5295713906283523E-3</v>
      </c>
    </row>
    <row r="23" spans="1:4" ht="16" customHeight="1" thickBot="1">
      <c r="A23" s="141">
        <v>69</v>
      </c>
      <c r="B23" s="141" t="s">
        <v>710</v>
      </c>
      <c r="C23" s="159">
        <v>99126823.180000007</v>
      </c>
      <c r="D23" s="462">
        <v>4.6902524325855054E-3</v>
      </c>
    </row>
    <row r="24" spans="1:4" ht="21.75" customHeight="1" thickBot="1">
      <c r="A24" s="142">
        <v>6</v>
      </c>
      <c r="B24" s="142" t="s">
        <v>2055</v>
      </c>
      <c r="C24" s="159">
        <v>20892352088.900002</v>
      </c>
      <c r="D24" s="462">
        <v>0.98853571681057162</v>
      </c>
    </row>
    <row r="25" spans="1:4" ht="16" customHeight="1" thickBot="1">
      <c r="A25" s="141">
        <v>70</v>
      </c>
      <c r="B25" s="141" t="s">
        <v>668</v>
      </c>
      <c r="C25" s="159">
        <v>19550026.469999999</v>
      </c>
      <c r="D25" s="462">
        <v>9.2502267566392624E-4</v>
      </c>
    </row>
    <row r="26" spans="1:4" ht="16" customHeight="1" thickBot="1">
      <c r="A26" s="141">
        <v>701</v>
      </c>
      <c r="B26" s="141" t="s">
        <v>669</v>
      </c>
      <c r="C26" s="159">
        <v>19550026.469999999</v>
      </c>
      <c r="D26" s="462">
        <v>9.2502267566392624E-4</v>
      </c>
    </row>
    <row r="27" spans="1:4" ht="16" customHeight="1" thickBot="1">
      <c r="A27" s="141">
        <v>72</v>
      </c>
      <c r="B27" s="141" t="s">
        <v>670</v>
      </c>
      <c r="C27" s="159">
        <v>227306312.53999999</v>
      </c>
      <c r="D27" s="462">
        <v>1.075515134180028E-2</v>
      </c>
    </row>
    <row r="28" spans="1:4" ht="16" customHeight="1" thickBot="1">
      <c r="A28" s="141">
        <v>720</v>
      </c>
      <c r="B28" s="141" t="s">
        <v>671</v>
      </c>
      <c r="C28" s="159">
        <v>464860176.89999998</v>
      </c>
      <c r="D28" s="462">
        <v>2.1995172502988641E-2</v>
      </c>
    </row>
    <row r="29" spans="1:4" ht="16" customHeight="1" thickBot="1">
      <c r="A29" s="141">
        <v>721</v>
      </c>
      <c r="B29" s="141" t="s">
        <v>672</v>
      </c>
      <c r="C29" s="159">
        <v>-99677292.769999996</v>
      </c>
      <c r="D29" s="462">
        <v>-4.7162982721548168E-3</v>
      </c>
    </row>
    <row r="30" spans="1:4" ht="16" customHeight="1" thickBot="1">
      <c r="A30" s="141">
        <v>722</v>
      </c>
      <c r="B30" s="141" t="s">
        <v>673</v>
      </c>
      <c r="C30" s="159">
        <v>-107692477.69</v>
      </c>
      <c r="D30" s="462">
        <v>-5.095542147451706E-3</v>
      </c>
    </row>
    <row r="31" spans="1:4" ht="16" customHeight="1" thickBot="1">
      <c r="A31" s="141">
        <v>723</v>
      </c>
      <c r="B31" s="141" t="s">
        <v>674</v>
      </c>
      <c r="C31" s="159">
        <v>845768.69</v>
      </c>
      <c r="D31" s="462">
        <v>4.0018115464811122E-5</v>
      </c>
    </row>
    <row r="32" spans="1:4" ht="16" customHeight="1" thickBot="1">
      <c r="A32" s="141">
        <v>724</v>
      </c>
      <c r="B32" s="141" t="s">
        <v>675</v>
      </c>
      <c r="C32" s="159">
        <v>-31029862.59</v>
      </c>
      <c r="D32" s="462">
        <v>-1.4681988570466509E-3</v>
      </c>
    </row>
    <row r="33" spans="1:4" ht="16" customHeight="1" thickBot="1">
      <c r="A33" s="141">
        <v>76</v>
      </c>
      <c r="B33" s="141" t="s">
        <v>2155</v>
      </c>
      <c r="C33" s="159">
        <v>-4562776.1500000004</v>
      </c>
      <c r="D33" s="462">
        <v>-2.1589082803572025E-4</v>
      </c>
    </row>
    <row r="34" spans="1:4" ht="21.75" customHeight="1" thickBot="1">
      <c r="A34" s="142">
        <v>7</v>
      </c>
      <c r="B34" s="142" t="s">
        <v>2156</v>
      </c>
      <c r="C34" s="159">
        <v>242293562.86000001</v>
      </c>
      <c r="D34" s="462">
        <v>1.1464283189428487E-2</v>
      </c>
    </row>
    <row r="35" spans="1:4" s="163" customFormat="1" ht="21.75" customHeight="1" thickBot="1">
      <c r="A35" s="444" t="s">
        <v>2157</v>
      </c>
      <c r="B35" s="444" t="s">
        <v>2158</v>
      </c>
      <c r="C35" s="313">
        <v>21134645651.759998</v>
      </c>
      <c r="D35" s="477">
        <v>1</v>
      </c>
    </row>
    <row r="36" spans="1:4" ht="21.75" customHeight="1" thickBot="1">
      <c r="A36" s="142" t="s">
        <v>859</v>
      </c>
      <c r="B36" s="142" t="s">
        <v>2159</v>
      </c>
      <c r="C36" s="159">
        <v>26629886.609999999</v>
      </c>
      <c r="D36" s="462" t="s">
        <v>861</v>
      </c>
    </row>
    <row r="37" spans="1:4" s="398" customFormat="1" ht="35.25" customHeight="1" thickBot="1">
      <c r="A37" s="232"/>
      <c r="B37" s="232" t="s">
        <v>862</v>
      </c>
      <c r="C37" s="314">
        <v>21161275538.369999</v>
      </c>
      <c r="D37" s="478" t="s">
        <v>861</v>
      </c>
    </row>
    <row r="38" spans="1:4" ht="20" customHeight="1">
      <c r="A38" s="146" t="s">
        <v>596</v>
      </c>
      <c r="B38" s="344"/>
      <c r="C38" s="345"/>
      <c r="D38" s="447"/>
    </row>
    <row r="39" spans="1:4" ht="11.25" customHeight="1">
      <c r="A39" s="4"/>
      <c r="B39" s="448"/>
      <c r="C39" s="449"/>
      <c r="D39" s="450"/>
    </row>
    <row r="40" spans="1:4" ht="11.25" customHeight="1">
      <c r="A40" s="4" t="s">
        <v>643</v>
      </c>
      <c r="B40" s="448"/>
      <c r="C40" s="449"/>
      <c r="D40" s="450"/>
    </row>
    <row r="41" spans="1:4" ht="11.25" customHeight="1">
      <c r="A41" s="4" t="s">
        <v>644</v>
      </c>
      <c r="B41" s="448"/>
      <c r="C41" s="449"/>
      <c r="D41" s="450"/>
    </row>
    <row r="42" spans="1:4">
      <c r="A42" s="4" t="s">
        <v>645</v>
      </c>
    </row>
    <row r="43" spans="1:4">
      <c r="A43" s="2" t="s">
        <v>2160</v>
      </c>
    </row>
    <row r="45" spans="1:4">
      <c r="A45" s="2" t="s">
        <v>2161</v>
      </c>
    </row>
    <row r="48" spans="1:4">
      <c r="A48" s="211" t="s">
        <v>128</v>
      </c>
    </row>
  </sheetData>
  <phoneticPr fontId="0" type="noConversion"/>
  <pageMargins left="0.69" right="0.71" top="0.85" bottom="0.49" header="0.44" footer="0.4921259845"/>
  <pageSetup paperSize="9" scale="83" orientation="portrait" horizontalDpi="4294967292" verticalDpi="4294967292"/>
  <headerFooter alignWithMargins="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F2F29-0BA5-B84D-B471-69581FD9928E}">
  <sheetPr>
    <pageSetUpPr fitToPage="1"/>
  </sheetPr>
  <dimension ref="A1:D41"/>
  <sheetViews>
    <sheetView zoomScale="75" workbookViewId="0">
      <selection activeCell="F8" sqref="F8"/>
    </sheetView>
  </sheetViews>
  <sheetFormatPr baseColWidth="10" defaultColWidth="11.3984375" defaultRowHeight="13"/>
  <cols>
    <col min="1" max="1" width="10.59765625" style="2" customWidth="1"/>
    <col min="2" max="2" width="60.796875" style="21" customWidth="1"/>
    <col min="3" max="3" width="17" style="9" customWidth="1"/>
    <col min="4" max="4" width="17" style="476" customWidth="1"/>
    <col min="5" max="16384" width="11.3984375" style="2"/>
  </cols>
  <sheetData>
    <row r="1" spans="1:4" s="1" customFormat="1" ht="14" customHeight="1">
      <c r="B1" s="305"/>
      <c r="C1" s="306"/>
      <c r="D1" s="466"/>
    </row>
    <row r="2" spans="1:4" s="1" customFormat="1" ht="28" customHeight="1">
      <c r="A2" s="19" t="s">
        <v>842</v>
      </c>
      <c r="B2" s="305"/>
      <c r="C2" s="306"/>
      <c r="D2" s="192">
        <v>2005</v>
      </c>
    </row>
    <row r="3" spans="1:4" ht="39" customHeight="1">
      <c r="A3" s="125" t="s">
        <v>696</v>
      </c>
      <c r="B3" s="329"/>
      <c r="C3" s="154" t="s">
        <v>748</v>
      </c>
      <c r="D3" s="467" t="s">
        <v>766</v>
      </c>
    </row>
    <row r="4" spans="1:4" ht="38" customHeight="1">
      <c r="A4" s="308"/>
      <c r="B4" s="244"/>
      <c r="C4" s="156" t="s">
        <v>699</v>
      </c>
      <c r="D4" s="468" t="s">
        <v>263</v>
      </c>
    </row>
    <row r="5" spans="1:4" ht="30" customHeight="1" thickBot="1">
      <c r="A5" s="137">
        <v>30</v>
      </c>
      <c r="B5" s="137" t="s">
        <v>57</v>
      </c>
      <c r="C5" s="157">
        <v>251061482</v>
      </c>
      <c r="D5" s="458">
        <v>1.2020743819767869E-2</v>
      </c>
    </row>
    <row r="6" spans="1:4" ht="16" customHeight="1" thickBot="1">
      <c r="A6" s="141">
        <v>31</v>
      </c>
      <c r="B6" s="141" t="s">
        <v>648</v>
      </c>
      <c r="C6" s="157">
        <v>20380993656</v>
      </c>
      <c r="D6" s="458">
        <v>0.97583548690710809</v>
      </c>
    </row>
    <row r="7" spans="1:4" ht="16" customHeight="1" thickBot="1">
      <c r="A7" s="141">
        <v>32</v>
      </c>
      <c r="B7" s="141" t="s">
        <v>843</v>
      </c>
      <c r="C7" s="157">
        <v>-3041494591</v>
      </c>
      <c r="D7" s="458">
        <v>-0.1456257926001594</v>
      </c>
    </row>
    <row r="8" spans="1:4" ht="18.75" customHeight="1" thickBot="1">
      <c r="A8" s="141">
        <v>33</v>
      </c>
      <c r="B8" s="141" t="s">
        <v>649</v>
      </c>
      <c r="C8" s="157">
        <v>1540071832</v>
      </c>
      <c r="D8" s="458">
        <v>7.3738148954735239E-2</v>
      </c>
    </row>
    <row r="9" spans="1:4" ht="21.75" customHeight="1" thickBot="1">
      <c r="A9" s="142" t="s">
        <v>844</v>
      </c>
      <c r="B9" s="142" t="s">
        <v>2059</v>
      </c>
      <c r="C9" s="157">
        <v>19130632379</v>
      </c>
      <c r="D9" s="458">
        <v>0.91596858708145179</v>
      </c>
    </row>
    <row r="10" spans="1:4" ht="16" customHeight="1" thickBot="1">
      <c r="A10" s="141">
        <v>34</v>
      </c>
      <c r="B10" s="141" t="s">
        <v>2060</v>
      </c>
      <c r="C10" s="157">
        <v>-286866</v>
      </c>
      <c r="D10" s="458">
        <v>-1.3735052741389974E-5</v>
      </c>
    </row>
    <row r="11" spans="1:4" ht="39" customHeight="1" thickBot="1">
      <c r="A11" s="469">
        <v>35</v>
      </c>
      <c r="B11" s="469" t="s">
        <v>845</v>
      </c>
      <c r="C11" s="341">
        <v>468070103</v>
      </c>
      <c r="D11" s="470">
        <v>2.2411047497343142E-2</v>
      </c>
    </row>
    <row r="12" spans="1:4" ht="21.75" customHeight="1" thickBot="1">
      <c r="A12" s="142" t="s">
        <v>846</v>
      </c>
      <c r="B12" s="142" t="s">
        <v>2063</v>
      </c>
      <c r="C12" s="157">
        <v>19598415616</v>
      </c>
      <c r="D12" s="458">
        <v>0.93836589952605354</v>
      </c>
    </row>
    <row r="13" spans="1:4" ht="16" customHeight="1" thickBot="1">
      <c r="A13" s="141">
        <v>36</v>
      </c>
      <c r="B13" s="141" t="s">
        <v>847</v>
      </c>
      <c r="C13" s="157">
        <v>-23686991</v>
      </c>
      <c r="D13" s="458">
        <v>-1.1341255871027923E-3</v>
      </c>
    </row>
    <row r="14" spans="1:4" ht="16" customHeight="1" thickBot="1">
      <c r="A14" s="142">
        <v>37</v>
      </c>
      <c r="B14" s="142" t="s">
        <v>2065</v>
      </c>
      <c r="C14" s="157">
        <v>-1304533</v>
      </c>
      <c r="D14" s="458">
        <v>-6.2460624674529872E-5</v>
      </c>
    </row>
    <row r="15" spans="1:4" ht="21.75" customHeight="1" thickBot="1">
      <c r="A15" s="142">
        <v>3</v>
      </c>
      <c r="B15" s="142" t="s">
        <v>2066</v>
      </c>
      <c r="C15" s="157">
        <v>19573424093</v>
      </c>
      <c r="D15" s="458">
        <v>0.93716931336215592</v>
      </c>
    </row>
    <row r="16" spans="1:4" ht="16" customHeight="1" thickBot="1">
      <c r="A16" s="141">
        <v>400</v>
      </c>
      <c r="B16" s="141" t="s">
        <v>848</v>
      </c>
      <c r="C16" s="157">
        <v>1085526016</v>
      </c>
      <c r="D16" s="458">
        <v>5.1974640012796697E-2</v>
      </c>
    </row>
    <row r="17" spans="1:4" ht="16" customHeight="1" thickBot="1">
      <c r="A17" s="141">
        <v>410</v>
      </c>
      <c r="B17" s="141" t="s">
        <v>849</v>
      </c>
      <c r="C17" s="157">
        <v>106992353</v>
      </c>
      <c r="D17" s="458">
        <v>5.1227597950974108E-3</v>
      </c>
    </row>
    <row r="18" spans="1:4" ht="16" customHeight="1" thickBot="1">
      <c r="A18" s="141">
        <v>420</v>
      </c>
      <c r="B18" s="141" t="s">
        <v>850</v>
      </c>
      <c r="C18" s="157">
        <v>165440156</v>
      </c>
      <c r="D18" s="458">
        <v>7.9212219928600294E-3</v>
      </c>
    </row>
    <row r="19" spans="1:4" ht="16" customHeight="1" thickBot="1">
      <c r="A19" s="141">
        <v>430</v>
      </c>
      <c r="B19" s="141" t="s">
        <v>851</v>
      </c>
      <c r="C19" s="157">
        <v>62070029</v>
      </c>
      <c r="D19" s="458">
        <v>2.9718932253198537E-3</v>
      </c>
    </row>
    <row r="20" spans="1:4" ht="16" customHeight="1" thickBot="1">
      <c r="A20" s="142">
        <v>450</v>
      </c>
      <c r="B20" s="142" t="s">
        <v>852</v>
      </c>
      <c r="C20" s="157">
        <v>96980122</v>
      </c>
      <c r="D20" s="458">
        <v>4.6433773627283619E-3</v>
      </c>
    </row>
    <row r="21" spans="1:4" ht="16" customHeight="1" thickBot="1">
      <c r="A21" s="141">
        <v>453</v>
      </c>
      <c r="B21" s="141" t="s">
        <v>853</v>
      </c>
      <c r="C21" s="157">
        <v>25143478</v>
      </c>
      <c r="D21" s="458">
        <v>1.2038617209149168E-3</v>
      </c>
    </row>
    <row r="22" spans="1:4" ht="16" customHeight="1" thickBot="1">
      <c r="A22" s="142">
        <v>460</v>
      </c>
      <c r="B22" s="142" t="s">
        <v>854</v>
      </c>
      <c r="C22" s="157">
        <v>269428562</v>
      </c>
      <c r="D22" s="458">
        <v>1.2900153762059144E-2</v>
      </c>
    </row>
    <row r="23" spans="1:4" ht="16" customHeight="1" thickBot="1">
      <c r="A23" s="141">
        <v>470</v>
      </c>
      <c r="B23" s="141" t="s">
        <v>855</v>
      </c>
      <c r="C23" s="157">
        <v>-605571181</v>
      </c>
      <c r="D23" s="458">
        <v>-2.8994555331411927E-2</v>
      </c>
    </row>
    <row r="24" spans="1:4" ht="21.75" customHeight="1" thickBot="1">
      <c r="A24" s="142" t="s">
        <v>856</v>
      </c>
      <c r="B24" s="142" t="s">
        <v>857</v>
      </c>
      <c r="C24" s="157">
        <v>1206009535</v>
      </c>
      <c r="D24" s="458">
        <v>5.774335254036448E-2</v>
      </c>
    </row>
    <row r="25" spans="1:4" ht="16" customHeight="1" thickBot="1">
      <c r="A25" s="141">
        <v>48</v>
      </c>
      <c r="B25" s="141" t="s">
        <v>2069</v>
      </c>
      <c r="C25" s="157">
        <v>103951767</v>
      </c>
      <c r="D25" s="458">
        <v>4.977177505545034E-3</v>
      </c>
    </row>
    <row r="26" spans="1:4" ht="16" customHeight="1" thickBot="1">
      <c r="A26" s="141">
        <v>49</v>
      </c>
      <c r="B26" s="141" t="s">
        <v>2070</v>
      </c>
      <c r="C26" s="157">
        <v>2300696</v>
      </c>
      <c r="D26" s="458">
        <v>1.1015659193457902E-4</v>
      </c>
    </row>
    <row r="27" spans="1:4" ht="21.75" customHeight="1" thickBot="1">
      <c r="A27" s="142">
        <v>4</v>
      </c>
      <c r="B27" s="142" t="s">
        <v>2071</v>
      </c>
      <c r="C27" s="157">
        <v>1312261998</v>
      </c>
      <c r="D27" s="458">
        <v>6.2830686637844094E-2</v>
      </c>
    </row>
    <row r="28" spans="1:4" s="163" customFormat="1" ht="21.75" customHeight="1" thickBot="1">
      <c r="A28" s="444" t="s">
        <v>858</v>
      </c>
      <c r="B28" s="444" t="s">
        <v>2073</v>
      </c>
      <c r="C28" s="330">
        <v>20885686091</v>
      </c>
      <c r="D28" s="471">
        <v>1</v>
      </c>
    </row>
    <row r="29" spans="1:4" ht="21.75" customHeight="1" thickBot="1">
      <c r="A29" s="142" t="s">
        <v>859</v>
      </c>
      <c r="B29" s="142" t="s">
        <v>860</v>
      </c>
      <c r="C29" s="341">
        <v>275589448</v>
      </c>
      <c r="D29" s="472" t="s">
        <v>861</v>
      </c>
    </row>
    <row r="30" spans="1:4" ht="35.25" customHeight="1" thickBot="1">
      <c r="A30" s="232"/>
      <c r="B30" s="232" t="s">
        <v>862</v>
      </c>
      <c r="C30" s="341">
        <v>21161275538</v>
      </c>
      <c r="D30" s="473" t="s">
        <v>861</v>
      </c>
    </row>
    <row r="31" spans="1:4" ht="20" customHeight="1">
      <c r="A31" s="146" t="s">
        <v>596</v>
      </c>
      <c r="B31" s="344"/>
      <c r="C31" s="345"/>
      <c r="D31" s="474"/>
    </row>
    <row r="32" spans="1:4" ht="15.75" customHeight="1">
      <c r="A32" s="4"/>
      <c r="B32" s="448"/>
      <c r="C32" s="449"/>
      <c r="D32" s="475"/>
    </row>
    <row r="33" spans="1:4" ht="15.75" customHeight="1">
      <c r="A33" s="4" t="s">
        <v>643</v>
      </c>
      <c r="B33" s="448"/>
      <c r="C33" s="449"/>
      <c r="D33" s="475"/>
    </row>
    <row r="34" spans="1:4" ht="15.75" customHeight="1">
      <c r="A34" s="4" t="s">
        <v>644</v>
      </c>
      <c r="B34" s="448"/>
      <c r="C34" s="449"/>
      <c r="D34" s="475"/>
    </row>
    <row r="35" spans="1:4">
      <c r="A35" s="4" t="s">
        <v>645</v>
      </c>
    </row>
    <row r="36" spans="1:4">
      <c r="A36" s="2" t="s">
        <v>646</v>
      </c>
    </row>
    <row r="38" spans="1:4">
      <c r="A38" s="2" t="s">
        <v>647</v>
      </c>
    </row>
    <row r="41" spans="1:4">
      <c r="A41" s="211" t="s">
        <v>128</v>
      </c>
    </row>
  </sheetData>
  <phoneticPr fontId="0" type="noConversion"/>
  <pageMargins left="0.65" right="0.74" top="0.83" bottom="0.49" header="0.53" footer="0.4921259845"/>
  <pageSetup paperSize="9" scale="85" orientation="portrait" horizontalDpi="4294967292" verticalDpi="4294967292"/>
  <headerFooter alignWithMargins="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24D3-897C-1D47-AAD7-48A0C5EC51E9}">
  <dimension ref="A1:K26"/>
  <sheetViews>
    <sheetView topLeftCell="A2" zoomScale="75" workbookViewId="0">
      <selection activeCell="A15" sqref="A15:IV15"/>
    </sheetView>
  </sheetViews>
  <sheetFormatPr baseColWidth="10" defaultColWidth="11.3984375" defaultRowHeight="13"/>
  <cols>
    <col min="1" max="1" width="13.796875" style="2" customWidth="1"/>
    <col min="2" max="3" width="15.796875" style="2" customWidth="1"/>
    <col min="4" max="4" width="16.19921875" style="2" customWidth="1"/>
    <col min="5" max="5" width="15.796875" style="2" customWidth="1"/>
    <col min="6" max="6" width="16.19921875" style="2" customWidth="1"/>
    <col min="7" max="7" width="13" style="451" customWidth="1"/>
    <col min="8" max="16384" width="11.3984375" style="2"/>
  </cols>
  <sheetData>
    <row r="1" spans="1:11" s="1" customFormat="1" ht="14" customHeight="1">
      <c r="G1" s="422"/>
    </row>
    <row r="2" spans="1:11" s="1" customFormat="1" ht="28" customHeight="1">
      <c r="A2" s="19" t="s">
        <v>2209</v>
      </c>
      <c r="G2" s="192">
        <v>2005</v>
      </c>
    </row>
    <row r="3" spans="1:11" ht="24" customHeight="1">
      <c r="A3" s="125" t="s">
        <v>1746</v>
      </c>
      <c r="B3" s="126" t="s">
        <v>2210</v>
      </c>
      <c r="C3" s="127"/>
      <c r="D3" s="126" t="s">
        <v>2211</v>
      </c>
      <c r="E3" s="127"/>
      <c r="F3" s="126" t="s">
        <v>2212</v>
      </c>
      <c r="G3" s="424" t="s">
        <v>265</v>
      </c>
    </row>
    <row r="4" spans="1:11" ht="15" customHeight="1">
      <c r="A4" s="212"/>
      <c r="B4" s="129" t="s">
        <v>2213</v>
      </c>
      <c r="C4" s="131" t="s">
        <v>2214</v>
      </c>
      <c r="D4" s="129" t="s">
        <v>2215</v>
      </c>
      <c r="E4" s="131" t="s">
        <v>2216</v>
      </c>
      <c r="F4" s="129" t="s">
        <v>2217</v>
      </c>
      <c r="G4" s="480" t="s">
        <v>267</v>
      </c>
    </row>
    <row r="5" spans="1:11" ht="15" customHeight="1">
      <c r="A5" s="212"/>
      <c r="B5" s="129" t="s">
        <v>2218</v>
      </c>
      <c r="C5" s="131" t="s">
        <v>2218</v>
      </c>
      <c r="D5" s="129" t="s">
        <v>2219</v>
      </c>
      <c r="E5" s="131" t="s">
        <v>2220</v>
      </c>
      <c r="F5" s="129"/>
      <c r="G5" s="480" t="s">
        <v>268</v>
      </c>
    </row>
    <row r="6" spans="1:11" ht="24" customHeight="1">
      <c r="A6" s="214"/>
      <c r="B6" s="135"/>
      <c r="C6" s="134"/>
      <c r="D6" s="135"/>
      <c r="E6" s="134"/>
      <c r="F6" s="135"/>
      <c r="G6" s="426"/>
    </row>
    <row r="7" spans="1:11" ht="20" customHeight="1" thickBot="1">
      <c r="A7" s="216">
        <v>1996</v>
      </c>
      <c r="B7" s="157">
        <v>4170906498.3500004</v>
      </c>
      <c r="C7" s="217">
        <v>8662528518.7900009</v>
      </c>
      <c r="D7" s="157">
        <v>8044141952.3000002</v>
      </c>
      <c r="E7" s="217">
        <v>4789293064.8400002</v>
      </c>
      <c r="F7" s="157">
        <v>12833435017.170002</v>
      </c>
      <c r="G7" s="458">
        <v>-6.5875098254165963E-3</v>
      </c>
      <c r="I7" s="10"/>
      <c r="J7" s="10"/>
      <c r="K7" s="10"/>
    </row>
    <row r="8" spans="1:11" ht="20" customHeight="1" thickBot="1">
      <c r="A8" s="218">
        <v>1997</v>
      </c>
      <c r="B8" s="159">
        <v>4394709847.7299995</v>
      </c>
      <c r="C8" s="219">
        <v>9362350997.4099998</v>
      </c>
      <c r="D8" s="159">
        <v>9077911654.8700008</v>
      </c>
      <c r="E8" s="219">
        <v>4679149190.2700005</v>
      </c>
      <c r="F8" s="159">
        <v>13757060845.139999</v>
      </c>
      <c r="G8" s="462">
        <v>7.1970273487516612E-2</v>
      </c>
    </row>
    <row r="9" spans="1:11" ht="20" customHeight="1" thickBot="1">
      <c r="A9" s="218">
        <v>1998</v>
      </c>
      <c r="B9" s="159">
        <v>4492004206.21</v>
      </c>
      <c r="C9" s="219">
        <v>10278585833.719999</v>
      </c>
      <c r="D9" s="159">
        <v>9968547987.1800003</v>
      </c>
      <c r="E9" s="219">
        <v>4802042053.0199995</v>
      </c>
      <c r="F9" s="159">
        <v>14770590039.959999</v>
      </c>
      <c r="G9" s="462">
        <v>7.367338170769612E-2</v>
      </c>
    </row>
    <row r="10" spans="1:11" ht="20" customHeight="1" thickBot="1">
      <c r="A10" s="218">
        <v>1999</v>
      </c>
      <c r="B10" s="159">
        <v>4039072052.96</v>
      </c>
      <c r="C10" s="219">
        <v>10698624229.800001</v>
      </c>
      <c r="D10" s="159">
        <v>9829333068.8500004</v>
      </c>
      <c r="E10" s="219">
        <v>4908363213.9400005</v>
      </c>
      <c r="F10" s="159">
        <v>14737696282.75</v>
      </c>
      <c r="G10" s="462">
        <v>-2.2269765203021073E-3</v>
      </c>
    </row>
    <row r="11" spans="1:11" ht="20" customHeight="1" thickBot="1">
      <c r="A11" s="218">
        <v>2000</v>
      </c>
      <c r="B11" s="159">
        <v>4332012500.6399994</v>
      </c>
      <c r="C11" s="219">
        <v>10499430512.299999</v>
      </c>
      <c r="D11" s="159">
        <v>10459056308.799999</v>
      </c>
      <c r="E11" s="219">
        <v>4372386704.1300001</v>
      </c>
      <c r="F11" s="159">
        <v>14831443012.869999</v>
      </c>
      <c r="G11" s="462">
        <v>6.3610165606226036E-3</v>
      </c>
    </row>
    <row r="12" spans="1:11" ht="20" customHeight="1" thickBot="1">
      <c r="A12" s="218">
        <v>2001</v>
      </c>
      <c r="B12" s="159">
        <v>4480221295.5</v>
      </c>
      <c r="C12" s="219">
        <v>9101419286.2999992</v>
      </c>
      <c r="D12" s="159">
        <v>10583525388</v>
      </c>
      <c r="E12" s="219">
        <v>2998115193.5</v>
      </c>
      <c r="F12" s="159">
        <v>13581640582</v>
      </c>
      <c r="G12" s="462">
        <v>-8.4267082426536757E-2</v>
      </c>
    </row>
    <row r="13" spans="1:11" ht="20" customHeight="1" thickBot="1">
      <c r="A13" s="218">
        <v>2002</v>
      </c>
      <c r="B13" s="159">
        <v>5055018753.3999996</v>
      </c>
      <c r="C13" s="219">
        <v>8256319714.8999996</v>
      </c>
      <c r="D13" s="159">
        <v>10485582893</v>
      </c>
      <c r="E13" s="219">
        <v>2730316146</v>
      </c>
      <c r="F13" s="159">
        <v>13311318468</v>
      </c>
      <c r="G13" s="462">
        <v>-1.990349489576855E-2</v>
      </c>
    </row>
    <row r="14" spans="1:11" ht="20" customHeight="1" thickBot="1">
      <c r="A14" s="218">
        <v>2003</v>
      </c>
      <c r="B14" s="159">
        <v>6067195996.1999998</v>
      </c>
      <c r="C14" s="219">
        <v>8398494201.8000002</v>
      </c>
      <c r="D14" s="159">
        <v>11252005747</v>
      </c>
      <c r="E14" s="219">
        <v>3213684450.5</v>
      </c>
      <c r="F14" s="159">
        <v>14465690198</v>
      </c>
      <c r="G14" s="462">
        <v>8.6721066194537691E-2</v>
      </c>
    </row>
    <row r="15" spans="1:11" ht="20" customHeight="1" thickBot="1">
      <c r="A15" s="218">
        <v>2004</v>
      </c>
      <c r="B15" s="159">
        <v>6542917290.8000002</v>
      </c>
      <c r="C15" s="219">
        <v>8401476716.8999996</v>
      </c>
      <c r="D15" s="159">
        <v>11192037166</v>
      </c>
      <c r="E15" s="219">
        <v>3752356842.1999998</v>
      </c>
      <c r="F15" s="159">
        <v>14944394008</v>
      </c>
      <c r="G15" s="462">
        <v>3.3092358777750179E-2</v>
      </c>
    </row>
    <row r="16" spans="1:11" s="398" customFormat="1" ht="27.75" customHeight="1" thickBot="1">
      <c r="A16" s="485">
        <v>2005</v>
      </c>
      <c r="B16" s="161">
        <v>6906540736.5</v>
      </c>
      <c r="C16" s="487">
        <v>9245441763.5</v>
      </c>
      <c r="D16" s="161">
        <v>12133798942.5</v>
      </c>
      <c r="E16" s="487">
        <v>4018183557.1999998</v>
      </c>
      <c r="F16" s="161">
        <v>16151982499.6</v>
      </c>
      <c r="G16" s="465">
        <v>8.0805450589268246E-2</v>
      </c>
    </row>
    <row r="17" spans="1:7" ht="20" customHeight="1">
      <c r="A17" s="146" t="s">
        <v>596</v>
      </c>
      <c r="B17" s="146"/>
      <c r="C17" s="146"/>
      <c r="D17" s="146"/>
      <c r="E17" s="146"/>
      <c r="F17" s="146"/>
      <c r="G17" s="447"/>
    </row>
    <row r="18" spans="1:7" ht="10.5" customHeight="1">
      <c r="A18" s="4"/>
      <c r="B18" s="4"/>
      <c r="C18" s="4"/>
      <c r="D18" s="4"/>
      <c r="E18" s="4"/>
      <c r="F18" s="4"/>
      <c r="G18" s="450"/>
    </row>
    <row r="19" spans="1:7">
      <c r="A19" s="4" t="s">
        <v>2221</v>
      </c>
    </row>
    <row r="20" spans="1:7">
      <c r="A20" s="2" t="s">
        <v>2222</v>
      </c>
    </row>
    <row r="21" spans="1:7">
      <c r="A21" s="2" t="s">
        <v>2223</v>
      </c>
    </row>
    <row r="23" spans="1:7">
      <c r="A23" s="2" t="s">
        <v>2224</v>
      </c>
    </row>
    <row r="26" spans="1:7">
      <c r="A26" s="2" t="s">
        <v>128</v>
      </c>
    </row>
  </sheetData>
  <phoneticPr fontId="0" type="noConversion"/>
  <pageMargins left="0.65" right="0.61" top="0.99" bottom="0.49" header="0.56000000000000005" footer="0.4921259845"/>
  <pageSetup paperSize="9" scale="80" orientation="portrait" horizontalDpi="4294967292" verticalDpi="4294967292"/>
  <headerFooter alignWithMargins="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3BB1C-4A72-9A4A-8DE3-FF5DF91A190C}">
  <sheetPr>
    <pageSetUpPr fitToPage="1"/>
  </sheetPr>
  <dimension ref="A1:I24"/>
  <sheetViews>
    <sheetView topLeftCell="A6" zoomScale="75" workbookViewId="0">
      <selection activeCell="B27" sqref="B27"/>
    </sheetView>
  </sheetViews>
  <sheetFormatPr baseColWidth="10" defaultColWidth="11.3984375" defaultRowHeight="13"/>
  <cols>
    <col min="1" max="1" width="14.19921875" style="2" customWidth="1"/>
    <col min="2" max="2" width="18.796875" style="2" customWidth="1"/>
    <col min="3" max="3" width="15.59765625" style="451" customWidth="1"/>
    <col min="4" max="4" width="16.19921875" style="451" customWidth="1"/>
    <col min="5" max="5" width="16.796875" style="451" customWidth="1"/>
    <col min="6" max="6" width="29.796875" style="2" customWidth="1"/>
    <col min="7" max="16384" width="11.3984375" style="2"/>
  </cols>
  <sheetData>
    <row r="1" spans="1:9" s="1" customFormat="1" ht="14" customHeight="1">
      <c r="C1" s="422"/>
      <c r="D1" s="422"/>
      <c r="E1" s="422"/>
    </row>
    <row r="2" spans="1:9" s="1" customFormat="1" ht="42" customHeight="1">
      <c r="A2" s="1606" t="s">
        <v>2162</v>
      </c>
      <c r="B2" s="1610"/>
      <c r="C2" s="1610"/>
      <c r="D2" s="1610"/>
      <c r="E2" s="192">
        <v>2005</v>
      </c>
    </row>
    <row r="3" spans="1:9" ht="24" customHeight="1">
      <c r="A3" s="125" t="s">
        <v>328</v>
      </c>
      <c r="B3" s="126" t="s">
        <v>810</v>
      </c>
      <c r="C3" s="424" t="s">
        <v>265</v>
      </c>
      <c r="D3" s="479" t="s">
        <v>2163</v>
      </c>
      <c r="E3" s="424" t="s">
        <v>265</v>
      </c>
    </row>
    <row r="4" spans="1:9" ht="15" customHeight="1">
      <c r="A4" s="212"/>
      <c r="B4" s="129" t="s">
        <v>699</v>
      </c>
      <c r="C4" s="480" t="s">
        <v>267</v>
      </c>
      <c r="D4" s="481" t="s">
        <v>2166</v>
      </c>
      <c r="E4" s="480" t="s">
        <v>267</v>
      </c>
    </row>
    <row r="5" spans="1:9" ht="15" customHeight="1">
      <c r="A5" s="212"/>
      <c r="B5" s="129"/>
      <c r="C5" s="480" t="s">
        <v>268</v>
      </c>
      <c r="D5" s="481"/>
      <c r="E5" s="480" t="s">
        <v>268</v>
      </c>
    </row>
    <row r="6" spans="1:9" ht="24" customHeight="1">
      <c r="A6" s="214"/>
      <c r="B6" s="135"/>
      <c r="C6" s="426"/>
      <c r="D6" s="482"/>
      <c r="E6" s="426"/>
    </row>
    <row r="7" spans="1:9" ht="20" customHeight="1" thickBot="1">
      <c r="A7" s="216">
        <v>1996</v>
      </c>
      <c r="B7" s="157">
        <v>4007836659.5999999</v>
      </c>
      <c r="C7" s="458">
        <v>-1.767505493939879E-2</v>
      </c>
      <c r="D7" s="483">
        <v>0.24196501185861982</v>
      </c>
      <c r="E7" s="458">
        <v>-0.13361491714857204</v>
      </c>
      <c r="G7" s="10"/>
      <c r="H7" s="10"/>
      <c r="I7" s="10"/>
    </row>
    <row r="8" spans="1:9" ht="20" customHeight="1" thickBot="1">
      <c r="A8" s="218">
        <v>1997</v>
      </c>
      <c r="B8" s="159">
        <v>4017395607.9000001</v>
      </c>
      <c r="C8" s="462">
        <v>2.3850643406595857E-3</v>
      </c>
      <c r="D8" s="484">
        <v>0.22399999999999998</v>
      </c>
      <c r="E8" s="462">
        <v>-7.42463206586116E-2</v>
      </c>
    </row>
    <row r="9" spans="1:9" ht="20" customHeight="1" thickBot="1">
      <c r="A9" s="218">
        <v>1998</v>
      </c>
      <c r="B9" s="159">
        <v>4117666794.6999998</v>
      </c>
      <c r="C9" s="462">
        <v>2.4959251362455224E-2</v>
      </c>
      <c r="D9" s="484">
        <v>0.22</v>
      </c>
      <c r="E9" s="462">
        <v>-1.7857142857142752E-2</v>
      </c>
    </row>
    <row r="10" spans="1:9" ht="20" customHeight="1" thickBot="1">
      <c r="A10" s="218">
        <v>1999</v>
      </c>
      <c r="B10" s="159">
        <v>4531003557.1000004</v>
      </c>
      <c r="C10" s="462">
        <v>0.10038130402683906</v>
      </c>
      <c r="D10" s="484">
        <v>0.248</v>
      </c>
      <c r="E10" s="462">
        <v>0.12727272727272726</v>
      </c>
    </row>
    <row r="11" spans="1:9" ht="20" customHeight="1" thickBot="1">
      <c r="A11" s="218">
        <v>2000</v>
      </c>
      <c r="B11" s="159">
        <v>4046317342.6999998</v>
      </c>
      <c r="C11" s="462">
        <v>-0.10697105139997211</v>
      </c>
      <c r="D11" s="484">
        <v>0.22899999999999998</v>
      </c>
      <c r="E11" s="462">
        <v>-7.6612903225806522E-2</v>
      </c>
    </row>
    <row r="12" spans="1:9" ht="20" customHeight="1" thickBot="1">
      <c r="A12" s="218">
        <v>2001</v>
      </c>
      <c r="B12" s="159">
        <v>2721453787.0999999</v>
      </c>
      <c r="C12" s="462">
        <v>-0.32742453035479263</v>
      </c>
      <c r="D12" s="484">
        <v>0.16266572127677031</v>
      </c>
      <c r="E12" s="462">
        <v>-0.28966933940274964</v>
      </c>
    </row>
    <row r="13" spans="1:9" ht="20" customHeight="1" thickBot="1">
      <c r="A13" s="218">
        <v>2002</v>
      </c>
      <c r="B13" s="159">
        <v>2517283980.4000001</v>
      </c>
      <c r="C13" s="462">
        <v>-7.5022330957000949E-2</v>
      </c>
      <c r="D13" s="484">
        <v>0.13972376589664312</v>
      </c>
      <c r="E13" s="462">
        <v>-0.14103743062800686</v>
      </c>
    </row>
    <row r="14" spans="1:9" ht="20" customHeight="1" thickBot="1">
      <c r="A14" s="218">
        <v>2003</v>
      </c>
      <c r="B14" s="159">
        <v>3007478271.7600007</v>
      </c>
      <c r="C14" s="462">
        <v>0.19473142290529655</v>
      </c>
      <c r="D14" s="484">
        <v>0.15444074863234167</v>
      </c>
      <c r="E14" s="462">
        <v>0.10532913023962608</v>
      </c>
    </row>
    <row r="15" spans="1:9" ht="20" customHeight="1" thickBot="1">
      <c r="A15" s="218">
        <v>2004</v>
      </c>
      <c r="B15" s="159">
        <v>3581787875.8600006</v>
      </c>
      <c r="C15" s="462">
        <v>0.19096051648742562</v>
      </c>
      <c r="D15" s="484">
        <v>0.17609858201884715</v>
      </c>
      <c r="E15" s="462">
        <v>0.14023393164237799</v>
      </c>
    </row>
    <row r="16" spans="1:9" s="398" customFormat="1" ht="28.5" customHeight="1" thickBot="1">
      <c r="A16" s="485">
        <v>2005</v>
      </c>
      <c r="B16" s="161">
        <v>3869547076.1999998</v>
      </c>
      <c r="C16" s="465">
        <v>8.0339542796321273E-2</v>
      </c>
      <c r="D16" s="486">
        <v>0.18526823405593668</v>
      </c>
      <c r="E16" s="465">
        <v>5.2071129318395838E-2</v>
      </c>
    </row>
    <row r="17" spans="1:5" ht="20" customHeight="1">
      <c r="A17" s="146" t="s">
        <v>596</v>
      </c>
      <c r="B17" s="146"/>
      <c r="C17" s="447"/>
      <c r="D17" s="447"/>
      <c r="E17" s="447"/>
    </row>
    <row r="18" spans="1:5" ht="11.25" customHeight="1">
      <c r="A18" s="4"/>
      <c r="B18" s="4"/>
      <c r="C18" s="450"/>
      <c r="D18" s="450"/>
      <c r="E18" s="450"/>
    </row>
    <row r="19" spans="1:5">
      <c r="A19" s="2" t="s">
        <v>2164</v>
      </c>
    </row>
    <row r="21" spans="1:5">
      <c r="A21" s="2" t="s">
        <v>2165</v>
      </c>
    </row>
    <row r="24" spans="1:5">
      <c r="A24" s="2" t="s">
        <v>128</v>
      </c>
    </row>
  </sheetData>
  <mergeCells count="1">
    <mergeCell ref="A2:D2"/>
  </mergeCells>
  <phoneticPr fontId="0" type="noConversion"/>
  <pageMargins left="0.69" right="0.56000000000000005" top="1.08" bottom="0.49" header="0.53" footer="0.4921259845"/>
  <pageSetup paperSize="9" scale="81" orientation="portrait" horizontalDpi="4294967292" verticalDpi="4294967292"/>
  <headerFooter alignWithMargins="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F8BC8-EBFC-4641-A2F9-BFB10BE7A38D}">
  <sheetPr>
    <pageSetUpPr fitToPage="1"/>
  </sheetPr>
  <dimension ref="A1:D33"/>
  <sheetViews>
    <sheetView topLeftCell="A13" zoomScale="75" workbookViewId="0">
      <selection activeCell="C17" sqref="C17"/>
    </sheetView>
  </sheetViews>
  <sheetFormatPr baseColWidth="10" defaultColWidth="11.3984375" defaultRowHeight="13"/>
  <cols>
    <col min="1" max="1" width="10.59765625" style="2" customWidth="1"/>
    <col min="2" max="2" width="60.796875" style="21" customWidth="1"/>
    <col min="3" max="3" width="17" style="9" customWidth="1"/>
    <col min="4" max="4" width="17" style="451" customWidth="1"/>
    <col min="5" max="16384" width="11.3984375" style="2"/>
  </cols>
  <sheetData>
    <row r="1" spans="1:4" s="1" customFormat="1" ht="14" customHeight="1">
      <c r="B1" s="305"/>
      <c r="C1" s="306"/>
      <c r="D1" s="422"/>
    </row>
    <row r="2" spans="1:4" s="1" customFormat="1" ht="28" customHeight="1">
      <c r="A2" s="19" t="s">
        <v>819</v>
      </c>
      <c r="B2" s="305"/>
      <c r="C2" s="306"/>
      <c r="D2" s="192">
        <v>2005</v>
      </c>
    </row>
    <row r="3" spans="1:4" ht="39" customHeight="1">
      <c r="A3" s="125" t="s">
        <v>696</v>
      </c>
      <c r="B3" s="329"/>
      <c r="C3" s="154" t="s">
        <v>748</v>
      </c>
      <c r="D3" s="424" t="s">
        <v>766</v>
      </c>
    </row>
    <row r="4" spans="1:4" ht="38" customHeight="1">
      <c r="A4" s="308"/>
      <c r="B4" s="244"/>
      <c r="C4" s="156" t="s">
        <v>699</v>
      </c>
      <c r="D4" s="426" t="s">
        <v>263</v>
      </c>
    </row>
    <row r="5" spans="1:4" ht="30" customHeight="1" thickBot="1">
      <c r="A5" s="137"/>
      <c r="B5" s="457" t="s">
        <v>820</v>
      </c>
      <c r="C5" s="330">
        <v>6906540736.5</v>
      </c>
      <c r="D5" s="458">
        <v>0.42759709134776491</v>
      </c>
    </row>
    <row r="6" spans="1:4" ht="21.75" customHeight="1" thickBot="1">
      <c r="A6" s="141">
        <v>10</v>
      </c>
      <c r="B6" s="141" t="s">
        <v>821</v>
      </c>
      <c r="C6" s="157">
        <v>2344415009.6999998</v>
      </c>
      <c r="D6" s="462">
        <v>0.14514719847548124</v>
      </c>
    </row>
    <row r="7" spans="1:4" ht="21.75" customHeight="1" thickBot="1">
      <c r="A7" s="141">
        <v>11</v>
      </c>
      <c r="B7" s="141" t="s">
        <v>822</v>
      </c>
      <c r="C7" s="157">
        <v>3240235354</v>
      </c>
      <c r="D7" s="462">
        <v>0.2006091421904401</v>
      </c>
    </row>
    <row r="8" spans="1:4" ht="18.75" customHeight="1" thickBot="1">
      <c r="A8" s="141"/>
      <c r="B8" s="454" t="s">
        <v>823</v>
      </c>
      <c r="C8" s="463">
        <v>3473478205.9000001</v>
      </c>
      <c r="D8" s="462">
        <v>0.21504965139109086</v>
      </c>
    </row>
    <row r="9" spans="1:4" ht="18.75" customHeight="1" thickBot="1">
      <c r="A9" s="141"/>
      <c r="B9" s="454" t="s">
        <v>824</v>
      </c>
      <c r="C9" s="463">
        <v>-233242851.90000001</v>
      </c>
      <c r="D9" s="462">
        <v>-1.4440509200650757E-2</v>
      </c>
    </row>
    <row r="10" spans="1:4" ht="21.75" customHeight="1" thickBot="1">
      <c r="A10" s="141">
        <v>12</v>
      </c>
      <c r="B10" s="141" t="s">
        <v>825</v>
      </c>
      <c r="C10" s="157">
        <v>724147844.70000005</v>
      </c>
      <c r="D10" s="462">
        <v>4.4833372293463049E-2</v>
      </c>
    </row>
    <row r="11" spans="1:4" ht="18.75" customHeight="1" thickBot="1">
      <c r="A11" s="141"/>
      <c r="B11" s="454" t="s">
        <v>826</v>
      </c>
      <c r="C11" s="463">
        <v>746133121.70000005</v>
      </c>
      <c r="D11" s="462">
        <v>4.6194522666180453E-2</v>
      </c>
    </row>
    <row r="12" spans="1:4" ht="18.75" customHeight="1" thickBot="1">
      <c r="A12" s="141"/>
      <c r="B12" s="454" t="s">
        <v>827</v>
      </c>
      <c r="C12" s="463">
        <v>-21985277</v>
      </c>
      <c r="D12" s="462">
        <v>-1.3611503727174049E-3</v>
      </c>
    </row>
    <row r="13" spans="1:4" ht="24" customHeight="1" thickBot="1">
      <c r="A13" s="141">
        <v>13</v>
      </c>
      <c r="B13" s="141" t="s">
        <v>828</v>
      </c>
      <c r="C13" s="157">
        <v>11855310.800000001</v>
      </c>
      <c r="D13" s="462">
        <v>7.3398487151654613E-4</v>
      </c>
    </row>
    <row r="14" spans="1:4" ht="28.5" customHeight="1" thickBot="1">
      <c r="A14" s="141">
        <v>14</v>
      </c>
      <c r="B14" s="435" t="s">
        <v>829</v>
      </c>
      <c r="C14" s="157">
        <v>382048943.69999999</v>
      </c>
      <c r="D14" s="462">
        <v>2.3653377763379821E-2</v>
      </c>
    </row>
    <row r="15" spans="1:4" ht="30.75" customHeight="1" thickBot="1">
      <c r="A15" s="141">
        <v>15</v>
      </c>
      <c r="B15" s="435" t="s">
        <v>830</v>
      </c>
      <c r="C15" s="157">
        <v>22225835.100000001</v>
      </c>
      <c r="D15" s="462">
        <v>1.3760437828607109E-3</v>
      </c>
    </row>
    <row r="16" spans="1:4" ht="21.75" customHeight="1" thickBot="1">
      <c r="A16" s="141">
        <v>16</v>
      </c>
      <c r="B16" s="141" t="s">
        <v>831</v>
      </c>
      <c r="C16" s="157">
        <v>181612438.59999999</v>
      </c>
      <c r="D16" s="462">
        <v>1.124397197681461E-2</v>
      </c>
    </row>
    <row r="17" spans="1:4" ht="30" customHeight="1" thickBot="1">
      <c r="A17" s="141"/>
      <c r="B17" s="443" t="s">
        <v>832</v>
      </c>
      <c r="C17" s="330">
        <v>9245441763.5</v>
      </c>
      <c r="D17" s="462">
        <v>0.57240290865223509</v>
      </c>
    </row>
    <row r="18" spans="1:4" ht="21.75" customHeight="1" thickBot="1">
      <c r="A18" s="141">
        <v>17</v>
      </c>
      <c r="B18" s="141" t="s">
        <v>833</v>
      </c>
      <c r="C18" s="157">
        <v>8227321920</v>
      </c>
      <c r="D18" s="462">
        <v>0.50936917000745885</v>
      </c>
    </row>
    <row r="19" spans="1:4" ht="18.75" customHeight="1" thickBot="1">
      <c r="A19" s="141"/>
      <c r="B19" s="454" t="s">
        <v>834</v>
      </c>
      <c r="C19" s="463">
        <v>8636525384.5</v>
      </c>
      <c r="D19" s="462">
        <v>0.53470373587267073</v>
      </c>
    </row>
    <row r="20" spans="1:4" ht="18.75" customHeight="1" thickBot="1">
      <c r="A20" s="142"/>
      <c r="B20" s="464" t="s">
        <v>835</v>
      </c>
      <c r="C20" s="463">
        <v>-409203464.5</v>
      </c>
      <c r="D20" s="462">
        <v>-2.5334565865211902E-2</v>
      </c>
    </row>
    <row r="21" spans="1:4" ht="21.75" customHeight="1" thickBot="1">
      <c r="A21" s="141">
        <v>18</v>
      </c>
      <c r="B21" s="141" t="s">
        <v>778</v>
      </c>
      <c r="C21" s="157">
        <v>864969454.79999995</v>
      </c>
      <c r="D21" s="462">
        <v>5.3551906386723733E-2</v>
      </c>
    </row>
    <row r="22" spans="1:4" ht="18.75" customHeight="1" thickBot="1">
      <c r="A22" s="142"/>
      <c r="B22" s="464" t="s">
        <v>836</v>
      </c>
      <c r="C22" s="463">
        <v>1268135304.3</v>
      </c>
      <c r="D22" s="462">
        <v>7.8512672007909859E-2</v>
      </c>
    </row>
    <row r="23" spans="1:4" ht="18.75" customHeight="1" thickBot="1">
      <c r="A23" s="141"/>
      <c r="B23" s="454" t="s">
        <v>837</v>
      </c>
      <c r="C23" s="463">
        <v>-403165849.5</v>
      </c>
      <c r="D23" s="462">
        <v>-2.496076562118613E-2</v>
      </c>
    </row>
    <row r="24" spans="1:4" ht="21.75" customHeight="1" thickBot="1">
      <c r="A24" s="141">
        <v>19</v>
      </c>
      <c r="B24" s="141" t="s">
        <v>838</v>
      </c>
      <c r="C24" s="157">
        <v>153150388.69999999</v>
      </c>
      <c r="D24" s="462">
        <v>9.4818322580525333E-3</v>
      </c>
    </row>
    <row r="25" spans="1:4" ht="18.75" customHeight="1" thickBot="1">
      <c r="A25" s="141"/>
      <c r="B25" s="454" t="s">
        <v>839</v>
      </c>
      <c r="C25" s="463">
        <v>794342938.20000005</v>
      </c>
      <c r="D25" s="462">
        <v>4.917928422718388E-2</v>
      </c>
    </row>
    <row r="26" spans="1:4" ht="18.75" customHeight="1" thickBot="1">
      <c r="A26" s="141"/>
      <c r="B26" s="454" t="s">
        <v>835</v>
      </c>
      <c r="C26" s="463">
        <v>-641192549.60000002</v>
      </c>
      <c r="D26" s="462">
        <v>-3.9697451975322533E-2</v>
      </c>
    </row>
    <row r="27" spans="1:4" s="280" customFormat="1" ht="36" customHeight="1" thickBot="1">
      <c r="A27" s="143">
        <v>1</v>
      </c>
      <c r="B27" s="143" t="s">
        <v>840</v>
      </c>
      <c r="C27" s="343">
        <v>16151982500</v>
      </c>
      <c r="D27" s="465">
        <v>1</v>
      </c>
    </row>
    <row r="28" spans="1:4" ht="18.75" customHeight="1">
      <c r="A28" s="146" t="s">
        <v>596</v>
      </c>
      <c r="B28" s="344"/>
      <c r="C28" s="345"/>
      <c r="D28" s="447"/>
    </row>
    <row r="30" spans="1:4">
      <c r="A30" s="2" t="s">
        <v>841</v>
      </c>
    </row>
    <row r="33" spans="1:1">
      <c r="A33" s="211" t="s">
        <v>128</v>
      </c>
    </row>
  </sheetData>
  <phoneticPr fontId="0" type="noConversion"/>
  <pageMargins left="0.78740157480314965" right="0.78740157480314965" top="0.87" bottom="0.49" header="0.47" footer="0.4921259845"/>
  <pageSetup paperSize="9" scale="82" orientation="portrait" horizontalDpi="4294967292" verticalDpi="4294967292"/>
  <headerFooter alignWithMargins="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EB2AB-322A-C84C-8435-F75CE498F3DD}">
  <sheetPr>
    <pageSetUpPr fitToPage="1"/>
  </sheetPr>
  <dimension ref="A1:D44"/>
  <sheetViews>
    <sheetView zoomScale="75" workbookViewId="0"/>
  </sheetViews>
  <sheetFormatPr baseColWidth="10" defaultColWidth="11.3984375" defaultRowHeight="13"/>
  <cols>
    <col min="1" max="1" width="10.59765625" style="2" customWidth="1"/>
    <col min="2" max="2" width="60.796875" style="21" customWidth="1"/>
    <col min="3" max="3" width="17.3984375" style="169" customWidth="1"/>
    <col min="4" max="4" width="16.796875" style="451" customWidth="1"/>
    <col min="5" max="16384" width="11.3984375" style="2"/>
  </cols>
  <sheetData>
    <row r="1" spans="1:4" s="1" customFormat="1" ht="14" customHeight="1">
      <c r="B1" s="305"/>
      <c r="C1" s="151"/>
      <c r="D1" s="422"/>
    </row>
    <row r="2" spans="1:4" s="1" customFormat="1" ht="28" customHeight="1">
      <c r="A2" s="19" t="s">
        <v>784</v>
      </c>
      <c r="B2" s="305"/>
      <c r="C2" s="151"/>
      <c r="D2" s="192">
        <v>2005</v>
      </c>
    </row>
    <row r="3" spans="1:4" ht="39" customHeight="1">
      <c r="A3" s="125" t="s">
        <v>696</v>
      </c>
      <c r="B3" s="329"/>
      <c r="C3" s="154" t="s">
        <v>748</v>
      </c>
      <c r="D3" s="424" t="s">
        <v>766</v>
      </c>
    </row>
    <row r="4" spans="1:4" ht="38" customHeight="1">
      <c r="A4" s="308"/>
      <c r="B4" s="244"/>
      <c r="C4" s="156" t="s">
        <v>699</v>
      </c>
      <c r="D4" s="426" t="s">
        <v>263</v>
      </c>
    </row>
    <row r="5" spans="1:4" ht="30" customHeight="1" thickBot="1">
      <c r="A5" s="137"/>
      <c r="B5" s="457" t="s">
        <v>785</v>
      </c>
      <c r="C5" s="330">
        <v>12133798942.5</v>
      </c>
      <c r="D5" s="458">
        <v>0.75122660285203324</v>
      </c>
    </row>
    <row r="6" spans="1:4" ht="21.75" customHeight="1" thickBot="1">
      <c r="A6" s="141">
        <v>20</v>
      </c>
      <c r="B6" s="141" t="s">
        <v>786</v>
      </c>
      <c r="C6" s="157">
        <v>412089115.69999999</v>
      </c>
      <c r="D6" s="458">
        <v>2.5513222027711165E-2</v>
      </c>
    </row>
    <row r="7" spans="1:4" ht="21.75" customHeight="1" thickBot="1">
      <c r="A7" s="141">
        <v>21</v>
      </c>
      <c r="B7" s="141" t="s">
        <v>787</v>
      </c>
      <c r="C7" s="157">
        <v>3711224159.1999998</v>
      </c>
      <c r="D7" s="458">
        <v>0.22976895618181281</v>
      </c>
    </row>
    <row r="8" spans="1:4" ht="31.5" customHeight="1" thickBot="1">
      <c r="A8" s="141">
        <v>215</v>
      </c>
      <c r="B8" s="435" t="s">
        <v>788</v>
      </c>
      <c r="C8" s="157">
        <v>-1868422.9</v>
      </c>
      <c r="D8" s="458">
        <v>-1.1567762038166342E-4</v>
      </c>
    </row>
    <row r="9" spans="1:4" ht="21.75" customHeight="1" thickBot="1">
      <c r="A9" s="141">
        <v>22</v>
      </c>
      <c r="B9" s="141" t="s">
        <v>789</v>
      </c>
      <c r="C9" s="157">
        <v>575945423.39999998</v>
      </c>
      <c r="D9" s="458">
        <v>3.5657878122036295E-2</v>
      </c>
    </row>
    <row r="10" spans="1:4" ht="21.75" customHeight="1" thickBot="1">
      <c r="A10" s="141">
        <v>23</v>
      </c>
      <c r="B10" s="141" t="s">
        <v>790</v>
      </c>
      <c r="C10" s="157">
        <v>20560236.399999999</v>
      </c>
      <c r="D10" s="458">
        <v>1.2729233950389165E-3</v>
      </c>
    </row>
    <row r="11" spans="1:4" ht="21.75" customHeight="1" thickBot="1">
      <c r="A11" s="141">
        <v>24</v>
      </c>
      <c r="B11" s="141" t="s">
        <v>791</v>
      </c>
      <c r="C11" s="157">
        <v>23848371.300000001</v>
      </c>
      <c r="D11" s="458">
        <v>1.4764980893577986E-3</v>
      </c>
    </row>
    <row r="12" spans="1:4" ht="21.75" customHeight="1" thickBot="1">
      <c r="A12" s="141">
        <v>25</v>
      </c>
      <c r="B12" s="141" t="s">
        <v>792</v>
      </c>
      <c r="C12" s="157">
        <v>56797613</v>
      </c>
      <c r="D12" s="458">
        <v>3.5164483989136674E-3</v>
      </c>
    </row>
    <row r="13" spans="1:4" ht="21.75" customHeight="1" thickBot="1">
      <c r="A13" s="141">
        <v>26</v>
      </c>
      <c r="B13" s="141" t="s">
        <v>793</v>
      </c>
      <c r="C13" s="157">
        <v>447847404.80000001</v>
      </c>
      <c r="D13" s="458">
        <v>2.7727085811979479E-2</v>
      </c>
    </row>
    <row r="14" spans="1:4" s="441" customFormat="1" ht="47.25" customHeight="1" thickBot="1">
      <c r="A14" s="435">
        <v>27</v>
      </c>
      <c r="B14" s="435" t="s">
        <v>794</v>
      </c>
      <c r="C14" s="157">
        <v>6887355041.6000004</v>
      </c>
      <c r="D14" s="458">
        <v>0.42640926844556476</v>
      </c>
    </row>
    <row r="15" spans="1:4" s="441" customFormat="1" ht="21" customHeight="1" thickBot="1">
      <c r="A15" s="459">
        <v>270</v>
      </c>
      <c r="B15" s="460" t="s">
        <v>795</v>
      </c>
      <c r="C15" s="157">
        <v>4710406318.5</v>
      </c>
      <c r="D15" s="458">
        <v>0.29163022673016464</v>
      </c>
    </row>
    <row r="16" spans="1:4" ht="18.75" customHeight="1" thickBot="1">
      <c r="A16" s="453">
        <v>270.10000000000002</v>
      </c>
      <c r="B16" s="454" t="s">
        <v>796</v>
      </c>
      <c r="C16" s="157">
        <v>301033114.60000002</v>
      </c>
      <c r="D16" s="458">
        <v>1.8637533479710928E-2</v>
      </c>
    </row>
    <row r="17" spans="1:4" ht="31.5" customHeight="1" thickBot="1">
      <c r="A17" s="453">
        <v>270.2</v>
      </c>
      <c r="B17" s="460" t="s">
        <v>797</v>
      </c>
      <c r="C17" s="157">
        <v>20251041.399999999</v>
      </c>
      <c r="D17" s="458">
        <v>1.2537805436887708E-3</v>
      </c>
    </row>
    <row r="18" spans="1:4" ht="30.75" customHeight="1" thickBot="1">
      <c r="A18" s="453">
        <v>270.3</v>
      </c>
      <c r="B18" s="460" t="s">
        <v>798</v>
      </c>
      <c r="C18" s="157">
        <v>2002691.1</v>
      </c>
      <c r="D18" s="458">
        <v>1.2399042037406841E-4</v>
      </c>
    </row>
    <row r="19" spans="1:4" ht="18.75" customHeight="1" thickBot="1">
      <c r="A19" s="453">
        <v>271</v>
      </c>
      <c r="B19" s="454" t="s">
        <v>799</v>
      </c>
      <c r="C19" s="157">
        <v>92528796</v>
      </c>
      <c r="D19" s="458">
        <v>5.7286339929040571E-3</v>
      </c>
    </row>
    <row r="20" spans="1:4" ht="18.75" customHeight="1" thickBot="1">
      <c r="A20" s="453">
        <v>272</v>
      </c>
      <c r="B20" s="454" t="s">
        <v>800</v>
      </c>
      <c r="C20" s="157">
        <v>1750000</v>
      </c>
      <c r="D20" s="458">
        <v>1.0834583309159345E-4</v>
      </c>
    </row>
    <row r="21" spans="1:4" ht="18.75" customHeight="1" thickBot="1">
      <c r="A21" s="453">
        <v>273</v>
      </c>
      <c r="B21" s="454" t="s">
        <v>801</v>
      </c>
      <c r="C21" s="157">
        <v>1274774037.5999999</v>
      </c>
      <c r="D21" s="458">
        <v>7.892368863274643E-2</v>
      </c>
    </row>
    <row r="22" spans="1:4" ht="18.75" customHeight="1" thickBot="1">
      <c r="A22" s="453">
        <v>273.10000000000002</v>
      </c>
      <c r="B22" s="454" t="s">
        <v>802</v>
      </c>
      <c r="C22" s="157">
        <v>251026004.59999999</v>
      </c>
      <c r="D22" s="458">
        <v>1.5541498054880669E-2</v>
      </c>
    </row>
    <row r="23" spans="1:4" ht="18.75" customHeight="1" thickBot="1">
      <c r="A23" s="453">
        <v>274</v>
      </c>
      <c r="B23" s="454" t="s">
        <v>803</v>
      </c>
      <c r="C23" s="157">
        <v>223841089.5</v>
      </c>
      <c r="D23" s="458">
        <v>1.3858428184004247E-2</v>
      </c>
    </row>
    <row r="24" spans="1:4" ht="18.75" customHeight="1" thickBot="1">
      <c r="A24" s="453">
        <v>279</v>
      </c>
      <c r="B24" s="454" t="s">
        <v>804</v>
      </c>
      <c r="C24" s="157">
        <v>9741948.4000000004</v>
      </c>
      <c r="D24" s="458">
        <v>6.0314258019046618E-4</v>
      </c>
    </row>
    <row r="25" spans="1:4" ht="21.75" customHeight="1" thickBot="1">
      <c r="A25" s="141"/>
      <c r="B25" s="454" t="s">
        <v>805</v>
      </c>
      <c r="C25" s="157">
        <v>4018183557.1999998</v>
      </c>
      <c r="D25" s="458">
        <v>0.24877339715415794</v>
      </c>
    </row>
    <row r="26" spans="1:4" ht="21.75" customHeight="1" thickBot="1">
      <c r="A26" s="141">
        <v>28</v>
      </c>
      <c r="B26" s="443" t="s">
        <v>806</v>
      </c>
      <c r="C26" s="157">
        <v>148636481.09999999</v>
      </c>
      <c r="D26" s="458">
        <v>9.2023676414756481E-3</v>
      </c>
    </row>
    <row r="27" spans="1:4" ht="18.75" customHeight="1" thickBot="1">
      <c r="A27" s="453">
        <v>280</v>
      </c>
      <c r="B27" s="454" t="s">
        <v>807</v>
      </c>
      <c r="C27" s="157">
        <v>88536786.200000003</v>
      </c>
      <c r="D27" s="458">
        <v>5.4814810629093113E-3</v>
      </c>
    </row>
    <row r="28" spans="1:4" ht="18.75" customHeight="1" thickBot="1">
      <c r="A28" s="453">
        <v>281</v>
      </c>
      <c r="B28" s="454" t="s">
        <v>808</v>
      </c>
      <c r="C28" s="157">
        <v>35239680.5</v>
      </c>
      <c r="D28" s="458">
        <v>2.181755738088046E-3</v>
      </c>
    </row>
    <row r="29" spans="1:4" ht="18.75" customHeight="1" thickBot="1">
      <c r="A29" s="453">
        <v>282</v>
      </c>
      <c r="B29" s="454" t="s">
        <v>809</v>
      </c>
      <c r="C29" s="157">
        <v>24860014.399999999</v>
      </c>
      <c r="D29" s="458">
        <v>1.5391308404782912E-3</v>
      </c>
    </row>
    <row r="30" spans="1:4" ht="21.75" customHeight="1" thickBot="1">
      <c r="A30" s="141">
        <v>29</v>
      </c>
      <c r="B30" s="443" t="s">
        <v>810</v>
      </c>
      <c r="C30" s="157">
        <v>3869547076.0999999</v>
      </c>
      <c r="D30" s="458">
        <v>0.2395710295126823</v>
      </c>
    </row>
    <row r="31" spans="1:4" ht="30" customHeight="1" thickBot="1">
      <c r="A31" s="453">
        <v>290</v>
      </c>
      <c r="B31" s="460" t="s">
        <v>811</v>
      </c>
      <c r="C31" s="157">
        <v>3097123020.8000002</v>
      </c>
      <c r="D31" s="458">
        <v>0.19174878507184487</v>
      </c>
    </row>
    <row r="32" spans="1:4" ht="30.75" customHeight="1" thickBot="1">
      <c r="A32" s="453">
        <v>290.5</v>
      </c>
      <c r="B32" s="460" t="s">
        <v>760</v>
      </c>
      <c r="C32" s="157">
        <v>12339004.699999999</v>
      </c>
      <c r="D32" s="458">
        <v>7.639312821386212E-4</v>
      </c>
    </row>
    <row r="33" spans="1:4" ht="18.75" customHeight="1" thickBot="1">
      <c r="A33" s="453">
        <v>290.89999999999998</v>
      </c>
      <c r="B33" s="454" t="s">
        <v>812</v>
      </c>
      <c r="C33" s="157">
        <v>87365309.200000003</v>
      </c>
      <c r="D33" s="458">
        <v>5.4089526906163738E-3</v>
      </c>
    </row>
    <row r="34" spans="1:4" ht="18.75" customHeight="1" thickBot="1">
      <c r="A34" s="453">
        <v>291</v>
      </c>
      <c r="B34" s="454" t="s">
        <v>813</v>
      </c>
      <c r="C34" s="157">
        <v>346889185.39999998</v>
      </c>
      <c r="D34" s="458">
        <v>2.1476570161501264E-2</v>
      </c>
    </row>
    <row r="35" spans="1:4" ht="18.75" customHeight="1" thickBot="1">
      <c r="A35" s="453">
        <v>292</v>
      </c>
      <c r="B35" s="454" t="s">
        <v>814</v>
      </c>
      <c r="C35" s="157">
        <v>-3917062.5</v>
      </c>
      <c r="D35" s="458">
        <v>-2.4251279990533702E-4</v>
      </c>
    </row>
    <row r="36" spans="1:4" ht="18.75" customHeight="1" thickBot="1">
      <c r="A36" s="453">
        <v>293</v>
      </c>
      <c r="B36" s="454" t="s">
        <v>815</v>
      </c>
      <c r="C36" s="157">
        <v>329747618.60000002</v>
      </c>
      <c r="D36" s="458">
        <v>2.0415303112677724E-2</v>
      </c>
    </row>
    <row r="37" spans="1:4" ht="18.75" customHeight="1" thickBot="1">
      <c r="A37" s="453">
        <v>299</v>
      </c>
      <c r="B37" s="454" t="s">
        <v>816</v>
      </c>
      <c r="C37" s="157">
        <v>0</v>
      </c>
      <c r="D37" s="458">
        <v>0</v>
      </c>
    </row>
    <row r="38" spans="1:4" s="280" customFormat="1" ht="35.25" customHeight="1" thickBot="1">
      <c r="A38" s="143">
        <v>2</v>
      </c>
      <c r="B38" s="143" t="s">
        <v>817</v>
      </c>
      <c r="C38" s="343">
        <v>16151982499.6</v>
      </c>
      <c r="D38" s="461">
        <v>1</v>
      </c>
    </row>
    <row r="39" spans="1:4" ht="19.5" customHeight="1">
      <c r="A39" s="146" t="s">
        <v>596</v>
      </c>
      <c r="B39" s="344"/>
      <c r="C39" s="165"/>
      <c r="D39" s="447"/>
    </row>
    <row r="41" spans="1:4">
      <c r="A41" s="2" t="s">
        <v>818</v>
      </c>
    </row>
    <row r="44" spans="1:4">
      <c r="A44" s="211" t="s">
        <v>128</v>
      </c>
    </row>
  </sheetData>
  <phoneticPr fontId="0" type="noConversion"/>
  <pageMargins left="0.62" right="0.69" top="0.85" bottom="0.49" header="0.47" footer="0.4921259845"/>
  <pageSetup paperSize="9" scale="77" orientation="portrait" horizontalDpi="4294967292" verticalDpi="4294967292"/>
  <headerFooter alignWithMargins="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FAEF5-F3FD-ED4A-A81B-2D03BCD62351}">
  <sheetPr>
    <pageSetUpPr fitToPage="1"/>
  </sheetPr>
  <dimension ref="A1:D31"/>
  <sheetViews>
    <sheetView topLeftCell="A16" zoomScale="75" workbookViewId="0">
      <selection activeCell="A3" sqref="A3"/>
    </sheetView>
  </sheetViews>
  <sheetFormatPr baseColWidth="10" defaultColWidth="11.3984375" defaultRowHeight="13"/>
  <cols>
    <col min="1" max="1" width="10.59765625" style="2" customWidth="1"/>
    <col min="2" max="2" width="60.796875" style="21" customWidth="1"/>
    <col min="3" max="3" width="17.19921875" style="9" customWidth="1"/>
    <col min="4" max="4" width="16.796875" style="451" customWidth="1"/>
    <col min="5" max="16384" width="11.3984375" style="2"/>
  </cols>
  <sheetData>
    <row r="1" spans="1:4" s="1" customFormat="1" ht="14" customHeight="1">
      <c r="B1" s="305"/>
      <c r="C1" s="306"/>
      <c r="D1" s="422"/>
    </row>
    <row r="2" spans="1:4" s="1" customFormat="1" ht="28" customHeight="1">
      <c r="A2" s="19" t="s">
        <v>765</v>
      </c>
      <c r="B2" s="305"/>
      <c r="C2" s="306"/>
      <c r="D2" s="192">
        <v>2005</v>
      </c>
    </row>
    <row r="3" spans="1:4" ht="39" customHeight="1">
      <c r="A3" s="125" t="s">
        <v>696</v>
      </c>
      <c r="B3" s="329"/>
      <c r="C3" s="154" t="s">
        <v>748</v>
      </c>
      <c r="D3" s="424" t="s">
        <v>766</v>
      </c>
    </row>
    <row r="4" spans="1:4" ht="38" customHeight="1">
      <c r="A4" s="308"/>
      <c r="B4" s="244"/>
      <c r="C4" s="156" t="s">
        <v>699</v>
      </c>
      <c r="D4" s="426" t="s">
        <v>263</v>
      </c>
    </row>
    <row r="5" spans="1:4" ht="39" customHeight="1" thickBot="1">
      <c r="A5" s="427">
        <v>17</v>
      </c>
      <c r="B5" s="452" t="s">
        <v>767</v>
      </c>
      <c r="C5" s="431"/>
      <c r="D5" s="432"/>
    </row>
    <row r="6" spans="1:4" ht="21.75" customHeight="1" thickBot="1">
      <c r="A6" s="453">
        <v>170</v>
      </c>
      <c r="B6" s="454" t="s">
        <v>768</v>
      </c>
      <c r="C6" s="159"/>
      <c r="D6" s="455"/>
    </row>
    <row r="7" spans="1:4" ht="33.75" customHeight="1" thickBot="1">
      <c r="A7" s="433"/>
      <c r="B7" s="435" t="s">
        <v>769</v>
      </c>
      <c r="C7" s="159">
        <v>2282370895</v>
      </c>
      <c r="D7" s="455">
        <v>0.25102263014530812</v>
      </c>
    </row>
    <row r="8" spans="1:4" ht="18" customHeight="1" thickBot="1">
      <c r="A8" s="433"/>
      <c r="B8" s="435" t="s">
        <v>770</v>
      </c>
      <c r="C8" s="159">
        <v>5923450565</v>
      </c>
      <c r="D8" s="455">
        <v>0.65148050372505795</v>
      </c>
    </row>
    <row r="9" spans="1:4" ht="19.5" customHeight="1" thickBot="1">
      <c r="A9" s="433"/>
      <c r="B9" s="435" t="s">
        <v>771</v>
      </c>
      <c r="C9" s="159">
        <v>284066732</v>
      </c>
      <c r="D9" s="455">
        <v>3.12425900451304E-2</v>
      </c>
    </row>
    <row r="10" spans="1:4" ht="28.5" customHeight="1" thickBot="1">
      <c r="A10" s="433"/>
      <c r="B10" s="435" t="s">
        <v>772</v>
      </c>
      <c r="C10" s="159">
        <v>0</v>
      </c>
      <c r="D10" s="455">
        <v>0</v>
      </c>
    </row>
    <row r="11" spans="1:4" ht="30.75" customHeight="1" thickBot="1">
      <c r="A11" s="433"/>
      <c r="B11" s="435" t="s">
        <v>773</v>
      </c>
      <c r="C11" s="159">
        <v>61709283</v>
      </c>
      <c r="D11" s="455">
        <v>6.7869891598145134E-3</v>
      </c>
    </row>
    <row r="12" spans="1:4" ht="21.75" customHeight="1" thickBot="1">
      <c r="A12" s="433"/>
      <c r="B12" s="141" t="s">
        <v>774</v>
      </c>
      <c r="C12" s="159">
        <v>84927910</v>
      </c>
      <c r="D12" s="455">
        <v>9.3406498425156331E-3</v>
      </c>
    </row>
    <row r="13" spans="1:4" ht="21.75" customHeight="1" thickBot="1">
      <c r="A13" s="439">
        <v>170</v>
      </c>
      <c r="B13" s="435" t="s">
        <v>43</v>
      </c>
      <c r="C13" s="456">
        <v>8636525385</v>
      </c>
      <c r="D13" s="455">
        <v>0.94987336291782665</v>
      </c>
    </row>
    <row r="14" spans="1:4" s="441" customFormat="1" ht="23.25" customHeight="1" thickBot="1">
      <c r="A14" s="433">
        <v>179</v>
      </c>
      <c r="B14" s="141" t="s">
        <v>775</v>
      </c>
      <c r="C14" s="159">
        <v>-409203464</v>
      </c>
      <c r="D14" s="455">
        <v>-4.5005537891706644E-2</v>
      </c>
    </row>
    <row r="15" spans="1:4" s="441" customFormat="1" ht="27.75" customHeight="1" thickBot="1">
      <c r="A15" s="443">
        <v>17</v>
      </c>
      <c r="B15" s="443" t="s">
        <v>777</v>
      </c>
      <c r="C15" s="313">
        <v>8227321920</v>
      </c>
      <c r="D15" s="432">
        <v>0.90486782491613671</v>
      </c>
    </row>
    <row r="16" spans="1:4" ht="24.75" customHeight="1" thickBot="1">
      <c r="A16" s="438">
        <v>18</v>
      </c>
      <c r="B16" s="440" t="s">
        <v>778</v>
      </c>
      <c r="C16" s="159"/>
      <c r="D16" s="455"/>
    </row>
    <row r="17" spans="1:4" ht="16.5" customHeight="1" thickBot="1">
      <c r="A17" s="433">
        <v>180</v>
      </c>
      <c r="B17" s="435" t="s">
        <v>779</v>
      </c>
      <c r="C17" s="159">
        <v>132723435</v>
      </c>
      <c r="D17" s="455">
        <v>1.4597358303423267E-2</v>
      </c>
    </row>
    <row r="18" spans="1:4" ht="22.5" customHeight="1" thickBot="1">
      <c r="A18" s="433"/>
      <c r="B18" s="435" t="s">
        <v>780</v>
      </c>
      <c r="C18" s="159">
        <v>482946885</v>
      </c>
      <c r="D18" s="455">
        <v>5.3116080983491361E-2</v>
      </c>
    </row>
    <row r="19" spans="1:4" ht="18.75" customHeight="1" thickBot="1">
      <c r="A19" s="433"/>
      <c r="B19" s="141" t="s">
        <v>781</v>
      </c>
      <c r="C19" s="159">
        <v>652464984</v>
      </c>
      <c r="D19" s="455">
        <v>7.1760237006262897E-2</v>
      </c>
    </row>
    <row r="20" spans="1:4" ht="18.75" customHeight="1" thickBot="1">
      <c r="A20" s="433">
        <v>180</v>
      </c>
      <c r="B20" s="141" t="s">
        <v>43</v>
      </c>
      <c r="C20" s="159">
        <v>1268135304</v>
      </c>
      <c r="D20" s="455">
        <v>0.13947367629317753</v>
      </c>
    </row>
    <row r="21" spans="1:4" ht="21" customHeight="1" thickBot="1">
      <c r="A21" s="433">
        <v>189</v>
      </c>
      <c r="B21" s="141" t="s">
        <v>870</v>
      </c>
      <c r="C21" s="159">
        <v>-403165849</v>
      </c>
      <c r="D21" s="455">
        <v>-4.4341501209314245E-2</v>
      </c>
    </row>
    <row r="22" spans="1:4" ht="30.75" customHeight="1" thickBot="1">
      <c r="A22" s="443">
        <v>18</v>
      </c>
      <c r="B22" s="443" t="s">
        <v>871</v>
      </c>
      <c r="C22" s="313">
        <v>864969455</v>
      </c>
      <c r="D22" s="432">
        <v>9.5132175083863277E-2</v>
      </c>
    </row>
    <row r="23" spans="1:4" ht="39" customHeight="1" thickBot="1">
      <c r="A23" s="444" t="s">
        <v>872</v>
      </c>
      <c r="B23" s="445" t="s">
        <v>873</v>
      </c>
      <c r="C23" s="161">
        <v>9092291375</v>
      </c>
      <c r="D23" s="446">
        <v>1</v>
      </c>
    </row>
    <row r="24" spans="1:4" ht="19.5" customHeight="1">
      <c r="A24" s="146" t="s">
        <v>596</v>
      </c>
      <c r="B24" s="344"/>
      <c r="C24" s="345"/>
      <c r="D24" s="447"/>
    </row>
    <row r="25" spans="1:4" ht="14.25" customHeight="1">
      <c r="A25" s="4"/>
      <c r="B25" s="448"/>
      <c r="C25" s="449"/>
      <c r="D25" s="450"/>
    </row>
    <row r="26" spans="1:4" ht="14.25" customHeight="1">
      <c r="A26" s="4" t="s">
        <v>782</v>
      </c>
      <c r="B26" s="448"/>
      <c r="C26" s="449"/>
      <c r="D26" s="450"/>
    </row>
    <row r="28" spans="1:4">
      <c r="A28" s="2" t="s">
        <v>783</v>
      </c>
    </row>
    <row r="31" spans="1:4">
      <c r="A31" s="211" t="s">
        <v>128</v>
      </c>
    </row>
  </sheetData>
  <phoneticPr fontId="0" type="noConversion"/>
  <pageMargins left="0.78740157480314965" right="0.83" top="0.92" bottom="0.49" header="0.53" footer="0.4921259845"/>
  <pageSetup paperSize="9" scale="82" orientation="portrait" horizontalDpi="1200" verticalDpi="1200"/>
  <headerFooter alignWithMargins="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91B74-1091-7541-BE1E-750F53997F78}">
  <sheetPr>
    <pageSetUpPr fitToPage="1"/>
  </sheetPr>
  <dimension ref="A1:D27"/>
  <sheetViews>
    <sheetView zoomScale="75" workbookViewId="0">
      <selection activeCell="A3" sqref="A3"/>
    </sheetView>
  </sheetViews>
  <sheetFormatPr baseColWidth="10" defaultColWidth="11.3984375" defaultRowHeight="13"/>
  <cols>
    <col min="1" max="1" width="10.59765625" style="2" customWidth="1"/>
    <col min="2" max="2" width="60.796875" style="21" customWidth="1"/>
    <col min="3" max="3" width="18.59765625" style="9" customWidth="1"/>
    <col min="4" max="4" width="18.3984375" style="451" customWidth="1"/>
    <col min="5" max="16384" width="11.3984375" style="2"/>
  </cols>
  <sheetData>
    <row r="1" spans="1:4" s="1" customFormat="1" ht="14" customHeight="1">
      <c r="B1" s="305"/>
      <c r="C1" s="306"/>
      <c r="D1" s="422"/>
    </row>
    <row r="2" spans="1:4" s="1" customFormat="1" ht="28" customHeight="1">
      <c r="A2" s="19" t="s">
        <v>747</v>
      </c>
      <c r="B2" s="305"/>
      <c r="C2" s="306"/>
      <c r="D2" s="192">
        <v>2005</v>
      </c>
    </row>
    <row r="3" spans="1:4" ht="27.75" customHeight="1">
      <c r="A3" s="125"/>
      <c r="B3" s="329"/>
      <c r="C3" s="423" t="s">
        <v>748</v>
      </c>
      <c r="D3" s="424" t="s">
        <v>748</v>
      </c>
    </row>
    <row r="4" spans="1:4" ht="27.75" customHeight="1">
      <c r="A4" s="308"/>
      <c r="B4" s="244"/>
      <c r="C4" s="425" t="s">
        <v>699</v>
      </c>
      <c r="D4" s="426" t="s">
        <v>699</v>
      </c>
    </row>
    <row r="5" spans="1:4" ht="33" customHeight="1" thickBot="1">
      <c r="A5" s="427"/>
      <c r="B5" s="427" t="s">
        <v>749</v>
      </c>
      <c r="C5" s="431"/>
      <c r="D5" s="432"/>
    </row>
    <row r="6" spans="1:4" ht="21.75" customHeight="1" thickBot="1">
      <c r="A6" s="433">
        <v>800</v>
      </c>
      <c r="B6" s="141" t="s">
        <v>750</v>
      </c>
      <c r="C6" s="159" t="s">
        <v>1646</v>
      </c>
      <c r="D6" s="434">
        <v>275589447.68000001</v>
      </c>
    </row>
    <row r="7" spans="1:4" ht="23.25" customHeight="1" thickBot="1">
      <c r="A7" s="433">
        <v>800</v>
      </c>
      <c r="B7" s="435" t="s">
        <v>751</v>
      </c>
      <c r="C7" s="159">
        <v>26629886.609999999</v>
      </c>
      <c r="D7" s="434" t="s">
        <v>1646</v>
      </c>
    </row>
    <row r="8" spans="1:4" ht="46.5" customHeight="1" thickBot="1">
      <c r="A8" s="433"/>
      <c r="B8" s="141"/>
      <c r="C8" s="436" t="s">
        <v>752</v>
      </c>
      <c r="D8" s="437" t="s">
        <v>753</v>
      </c>
    </row>
    <row r="9" spans="1:4" ht="26.25" customHeight="1" thickBot="1">
      <c r="A9" s="433"/>
      <c r="B9" s="438" t="s">
        <v>754</v>
      </c>
      <c r="C9" s="159"/>
      <c r="D9" s="434"/>
    </row>
    <row r="10" spans="1:4" ht="21.75" customHeight="1" thickBot="1">
      <c r="A10" s="433">
        <v>280</v>
      </c>
      <c r="B10" s="435" t="s">
        <v>755</v>
      </c>
      <c r="C10" s="159">
        <v>952922.72</v>
      </c>
      <c r="D10" s="311">
        <v>11949789.85</v>
      </c>
    </row>
    <row r="11" spans="1:4" ht="24" customHeight="1" thickBot="1">
      <c r="A11" s="433">
        <v>281</v>
      </c>
      <c r="B11" s="435" t="s">
        <v>756</v>
      </c>
      <c r="C11" s="159">
        <v>0</v>
      </c>
      <c r="D11" s="311">
        <v>1672375.4</v>
      </c>
    </row>
    <row r="12" spans="1:4" ht="21.75" customHeight="1" thickBot="1">
      <c r="A12" s="433">
        <v>282</v>
      </c>
      <c r="B12" s="141" t="s">
        <v>757</v>
      </c>
      <c r="C12" s="159">
        <v>0</v>
      </c>
      <c r="D12" s="311">
        <v>1710023.23</v>
      </c>
    </row>
    <row r="13" spans="1:4" ht="28.5" customHeight="1" thickBot="1">
      <c r="A13" s="439"/>
      <c r="B13" s="440" t="s">
        <v>758</v>
      </c>
      <c r="C13" s="159"/>
      <c r="D13" s="311"/>
    </row>
    <row r="14" spans="1:4" s="441" customFormat="1" ht="24.75" customHeight="1" thickBot="1">
      <c r="A14" s="433">
        <v>290</v>
      </c>
      <c r="B14" s="435" t="s">
        <v>759</v>
      </c>
      <c r="C14" s="159">
        <v>218021473.52000001</v>
      </c>
      <c r="D14" s="311">
        <v>29664137.809999999</v>
      </c>
    </row>
    <row r="15" spans="1:4" s="441" customFormat="1" ht="30.75" customHeight="1" thickBot="1">
      <c r="A15" s="433">
        <v>290.5</v>
      </c>
      <c r="B15" s="435" t="s">
        <v>760</v>
      </c>
      <c r="C15" s="159">
        <v>3978577.33</v>
      </c>
      <c r="D15" s="311">
        <v>962722.1</v>
      </c>
    </row>
    <row r="16" spans="1:4" ht="25.5" customHeight="1" thickBot="1">
      <c r="A16" s="433">
        <v>291</v>
      </c>
      <c r="B16" s="435" t="s">
        <v>761</v>
      </c>
      <c r="C16" s="159">
        <v>47981868.869999997</v>
      </c>
      <c r="D16" s="311">
        <v>-1298366.44</v>
      </c>
    </row>
    <row r="17" spans="1:4" ht="24" customHeight="1" thickBot="1">
      <c r="A17" s="433">
        <v>292</v>
      </c>
      <c r="B17" s="435" t="s">
        <v>762</v>
      </c>
      <c r="C17" s="159">
        <v>-1030634.72</v>
      </c>
      <c r="D17" s="311">
        <v>1687189.12</v>
      </c>
    </row>
    <row r="18" spans="1:4" ht="22.5" customHeight="1" thickBot="1">
      <c r="A18" s="433">
        <v>293</v>
      </c>
      <c r="B18" s="435" t="s">
        <v>763</v>
      </c>
      <c r="C18" s="159">
        <v>26234885.649999999</v>
      </c>
      <c r="D18" s="311">
        <v>831661.25</v>
      </c>
    </row>
    <row r="19" spans="1:4" ht="13.5" customHeight="1" thickBot="1">
      <c r="A19" s="433"/>
      <c r="B19" s="141"/>
      <c r="C19" s="159"/>
      <c r="D19" s="311"/>
    </row>
    <row r="20" spans="1:4" s="163" customFormat="1" ht="33" customHeight="1" thickBot="1">
      <c r="A20" s="442"/>
      <c r="B20" s="443" t="s">
        <v>1790</v>
      </c>
      <c r="C20" s="313">
        <v>322768979.97000003</v>
      </c>
      <c r="D20" s="372">
        <v>322768980</v>
      </c>
    </row>
    <row r="21" spans="1:4" ht="2.25" customHeight="1" thickBot="1">
      <c r="A21" s="444"/>
      <c r="B21" s="445"/>
      <c r="C21" s="161"/>
      <c r="D21" s="446"/>
    </row>
    <row r="22" spans="1:4" ht="19.5" customHeight="1">
      <c r="A22" s="146" t="s">
        <v>596</v>
      </c>
      <c r="B22" s="344"/>
      <c r="C22" s="345"/>
      <c r="D22" s="447"/>
    </row>
    <row r="23" spans="1:4" ht="14.25" customHeight="1">
      <c r="A23" s="4"/>
      <c r="B23" s="448"/>
      <c r="C23" s="449"/>
      <c r="D23" s="450"/>
    </row>
    <row r="24" spans="1:4">
      <c r="A24" s="2" t="s">
        <v>764</v>
      </c>
    </row>
    <row r="27" spans="1:4">
      <c r="A27" s="211" t="s">
        <v>128</v>
      </c>
    </row>
  </sheetData>
  <phoneticPr fontId="0" type="noConversion"/>
  <pageMargins left="0.78740157480314965" right="0.78740157480314965" top="1.05" bottom="0.49" header="0.56000000000000005" footer="0.4921259845"/>
  <pageSetup paperSize="9" scale="80" orientation="portrait" horizontalDpi="1200" verticalDpi="1200"/>
  <headerFooter alignWithMargins="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5EFCB-D9C4-364D-9C0E-1D39F30297A0}">
  <sheetPr>
    <pageSetUpPr fitToPage="1"/>
  </sheetPr>
  <dimension ref="A1:B28"/>
  <sheetViews>
    <sheetView topLeftCell="A7" workbookViewId="0">
      <selection activeCell="B26" sqref="B26"/>
    </sheetView>
  </sheetViews>
  <sheetFormatPr baseColWidth="10" defaultColWidth="11.3984375" defaultRowHeight="13"/>
  <cols>
    <col min="1" max="1" width="5.59765625" style="683" customWidth="1"/>
    <col min="2" max="8" width="11.3984375" style="683"/>
    <col min="9" max="9" width="10.796875" style="683" customWidth="1"/>
    <col min="10" max="10" width="7.59765625" style="683" customWidth="1"/>
    <col min="11" max="16384" width="11.3984375" style="683"/>
  </cols>
  <sheetData>
    <row r="1" spans="1:2" ht="16">
      <c r="A1" s="682" t="s">
        <v>370</v>
      </c>
    </row>
    <row r="2" spans="1:2" ht="16">
      <c r="A2" s="684"/>
    </row>
    <row r="3" spans="1:2">
      <c r="A3" s="685">
        <v>9.01</v>
      </c>
      <c r="B3" s="686" t="s">
        <v>371</v>
      </c>
    </row>
    <row r="4" spans="1:2">
      <c r="A4" s="685">
        <v>9.02</v>
      </c>
      <c r="B4" s="686" t="s">
        <v>372</v>
      </c>
    </row>
    <row r="5" spans="1:2">
      <c r="A5" s="685">
        <v>9.0299999999999994</v>
      </c>
      <c r="B5" s="686" t="s">
        <v>373</v>
      </c>
    </row>
    <row r="6" spans="1:2">
      <c r="A6" s="685">
        <v>9.0399999999999991</v>
      </c>
      <c r="B6" s="686" t="s">
        <v>1667</v>
      </c>
    </row>
    <row r="7" spans="1:2">
      <c r="A7" s="685">
        <v>9.0500000000000007</v>
      </c>
      <c r="B7" s="686" t="s">
        <v>1668</v>
      </c>
    </row>
    <row r="8" spans="1:2">
      <c r="A8" s="685">
        <v>9.06</v>
      </c>
      <c r="B8" s="686" t="s">
        <v>1543</v>
      </c>
    </row>
    <row r="9" spans="1:2">
      <c r="A9" s="685">
        <v>9.07</v>
      </c>
      <c r="B9" s="686" t="s">
        <v>1190</v>
      </c>
    </row>
    <row r="10" spans="1:2">
      <c r="A10" s="685">
        <v>9.08</v>
      </c>
      <c r="B10" s="686" t="s">
        <v>1544</v>
      </c>
    </row>
    <row r="11" spans="1:2">
      <c r="A11" s="685">
        <v>9.09</v>
      </c>
      <c r="B11" s="686" t="s">
        <v>1083</v>
      </c>
    </row>
    <row r="12" spans="1:2">
      <c r="A12" s="685">
        <v>9.1</v>
      </c>
      <c r="B12" s="686" t="s">
        <v>1084</v>
      </c>
    </row>
    <row r="13" spans="1:2">
      <c r="A13" s="685">
        <v>9.11</v>
      </c>
      <c r="B13" s="686" t="s">
        <v>1181</v>
      </c>
    </row>
    <row r="14" spans="1:2">
      <c r="A14" s="685">
        <v>9.1199999999999992</v>
      </c>
      <c r="B14" s="686" t="s">
        <v>1182</v>
      </c>
    </row>
    <row r="15" spans="1:2">
      <c r="A15" s="685">
        <v>9.1300000000000008</v>
      </c>
      <c r="B15" s="686" t="s">
        <v>1183</v>
      </c>
    </row>
    <row r="16" spans="1:2">
      <c r="A16" s="685">
        <v>9.14</v>
      </c>
      <c r="B16" s="686" t="s">
        <v>1184</v>
      </c>
    </row>
    <row r="17" spans="1:2">
      <c r="A17" s="685">
        <v>9.15</v>
      </c>
      <c r="B17" s="687" t="s">
        <v>1191</v>
      </c>
    </row>
    <row r="18" spans="1:2">
      <c r="A18" s="685">
        <v>9.16</v>
      </c>
      <c r="B18" s="686" t="s">
        <v>1185</v>
      </c>
    </row>
    <row r="19" spans="1:2">
      <c r="A19" s="685">
        <v>9.17</v>
      </c>
      <c r="B19" s="686" t="s">
        <v>1186</v>
      </c>
    </row>
    <row r="20" spans="1:2">
      <c r="A20" s="685">
        <v>9.18</v>
      </c>
      <c r="B20" s="686" t="s">
        <v>1187</v>
      </c>
    </row>
    <row r="21" spans="1:2">
      <c r="A21" s="685">
        <v>9.19</v>
      </c>
      <c r="B21" s="686" t="s">
        <v>1188</v>
      </c>
    </row>
    <row r="22" spans="1:2">
      <c r="A22" s="685">
        <v>9.1999999999999993</v>
      </c>
      <c r="B22" s="686" t="s">
        <v>1189</v>
      </c>
    </row>
    <row r="23" spans="1:2">
      <c r="A23" s="685">
        <v>9.2100000000000009</v>
      </c>
      <c r="B23" s="687" t="s">
        <v>1193</v>
      </c>
    </row>
    <row r="24" spans="1:2">
      <c r="A24" s="685">
        <v>9.2200000000000006</v>
      </c>
      <c r="B24" s="687" t="s">
        <v>1192</v>
      </c>
    </row>
    <row r="27" spans="1:2">
      <c r="A27" s="688" t="s">
        <v>128</v>
      </c>
    </row>
    <row r="28" spans="1:2">
      <c r="B28" s="689"/>
    </row>
  </sheetData>
  <phoneticPr fontId="37" type="noConversion"/>
  <pageMargins left="0.46" right="0.3" top="0.78" bottom="0.984251969" header="0.34" footer="0.4921259845"/>
  <pageSetup paperSize="9" orientation="portrait"/>
  <headerFooter alignWithMargins="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C25AE-018C-EC46-8BFE-C0BA4F7A96C1}">
  <sheetPr>
    <pageSetUpPr fitToPage="1"/>
  </sheetPr>
  <dimension ref="A1:J40"/>
  <sheetViews>
    <sheetView topLeftCell="A9" zoomScale="75" workbookViewId="0">
      <selection activeCell="A14" sqref="A14:IV14"/>
    </sheetView>
  </sheetViews>
  <sheetFormatPr baseColWidth="10" defaultColWidth="11.3984375" defaultRowHeight="13"/>
  <cols>
    <col min="1" max="1" width="15.796875" style="2" customWidth="1"/>
    <col min="2" max="7" width="15.796875" style="170" customWidth="1"/>
    <col min="8" max="16384" width="11.3984375" style="2"/>
  </cols>
  <sheetData>
    <row r="1" spans="1:7" s="1" customFormat="1" ht="14" customHeight="1">
      <c r="A1" s="404"/>
      <c r="B1" s="690"/>
      <c r="C1" s="690"/>
      <c r="D1" s="690"/>
      <c r="E1" s="690"/>
      <c r="F1" s="690"/>
      <c r="G1" s="690"/>
    </row>
    <row r="2" spans="1:7" s="1" customFormat="1" ht="38.25" customHeight="1">
      <c r="A2" s="1611" t="s">
        <v>2044</v>
      </c>
      <c r="B2" s="1610"/>
      <c r="C2" s="1610"/>
      <c r="D2" s="1610"/>
      <c r="E2" s="1610"/>
      <c r="F2" s="1610"/>
      <c r="G2" s="192">
        <v>2005</v>
      </c>
    </row>
    <row r="3" spans="1:7" ht="27" customHeight="1">
      <c r="A3" s="125" t="s">
        <v>1254</v>
      </c>
      <c r="B3" s="126" t="s">
        <v>512</v>
      </c>
      <c r="C3" s="127" t="s">
        <v>2028</v>
      </c>
      <c r="D3" s="126" t="s">
        <v>2106</v>
      </c>
      <c r="E3" s="127" t="s">
        <v>1811</v>
      </c>
      <c r="F3" s="126" t="s">
        <v>2106</v>
      </c>
      <c r="G3" s="127" t="s">
        <v>539</v>
      </c>
    </row>
    <row r="4" spans="1:7" ht="15" customHeight="1">
      <c r="A4" s="212"/>
      <c r="B4" s="353"/>
      <c r="C4" s="692" t="s">
        <v>1158</v>
      </c>
      <c r="D4" s="129" t="s">
        <v>2045</v>
      </c>
      <c r="E4" s="131" t="s">
        <v>2029</v>
      </c>
      <c r="F4" s="129" t="s">
        <v>2030</v>
      </c>
      <c r="G4" s="131"/>
    </row>
    <row r="5" spans="1:7" ht="15" customHeight="1">
      <c r="A5" s="212"/>
      <c r="B5" s="129"/>
      <c r="C5" s="131" t="s">
        <v>2039</v>
      </c>
      <c r="D5" s="129" t="s">
        <v>2046</v>
      </c>
      <c r="E5" s="692" t="s">
        <v>2040</v>
      </c>
      <c r="F5" s="353" t="s">
        <v>2032</v>
      </c>
      <c r="G5" s="131"/>
    </row>
    <row r="6" spans="1:7" ht="25.5" customHeight="1">
      <c r="A6" s="308"/>
      <c r="B6" s="245"/>
      <c r="C6" s="134"/>
      <c r="D6" s="135" t="s">
        <v>589</v>
      </c>
      <c r="E6" s="134"/>
      <c r="F6" s="135" t="s">
        <v>2042</v>
      </c>
      <c r="G6" s="246"/>
    </row>
    <row r="7" spans="1:7" ht="21.75" customHeight="1" thickBot="1">
      <c r="A7" s="354">
        <v>1996</v>
      </c>
      <c r="B7" s="961">
        <v>6108.1158740877472</v>
      </c>
      <c r="C7" s="633">
        <v>2881.6227466771279</v>
      </c>
      <c r="D7" s="961">
        <v>2760.27</v>
      </c>
      <c r="E7" s="633">
        <v>25779.589166335027</v>
      </c>
      <c r="F7" s="961">
        <v>378.69191084150691</v>
      </c>
      <c r="G7" s="633">
        <v>37908.289697941407</v>
      </c>
    </row>
    <row r="8" spans="1:7" ht="18" customHeight="1" thickBot="1">
      <c r="A8" s="355">
        <v>1997</v>
      </c>
      <c r="B8" s="700">
        <v>6057.9558227212619</v>
      </c>
      <c r="C8" s="701">
        <v>3011.3899942252165</v>
      </c>
      <c r="D8" s="700">
        <v>3024.94</v>
      </c>
      <c r="E8" s="701">
        <v>26188.70940181617</v>
      </c>
      <c r="F8" s="700">
        <v>386.63132230196129</v>
      </c>
      <c r="G8" s="701">
        <v>38669.626541064608</v>
      </c>
    </row>
    <row r="9" spans="1:7" ht="18" customHeight="1" thickBot="1">
      <c r="A9" s="355">
        <v>1998</v>
      </c>
      <c r="B9" s="700">
        <v>6131.7435544855471</v>
      </c>
      <c r="C9" s="701">
        <v>3176.3677925723964</v>
      </c>
      <c r="D9" s="700">
        <v>3270.2</v>
      </c>
      <c r="E9" s="701">
        <v>27318.880597474119</v>
      </c>
      <c r="F9" s="700">
        <v>395.20236445468498</v>
      </c>
      <c r="G9" s="701">
        <v>40292.394308986753</v>
      </c>
    </row>
    <row r="10" spans="1:7" ht="18" customHeight="1" thickBot="1">
      <c r="A10" s="355">
        <v>1999</v>
      </c>
      <c r="B10" s="700">
        <v>6416.6639279999999</v>
      </c>
      <c r="C10" s="701">
        <v>3314.4716839527723</v>
      </c>
      <c r="D10" s="700">
        <v>3620.5</v>
      </c>
      <c r="E10" s="701">
        <v>27825.139583369215</v>
      </c>
      <c r="F10" s="700">
        <v>408.78423901554766</v>
      </c>
      <c r="G10" s="701">
        <v>41585.559434337534</v>
      </c>
    </row>
    <row r="11" spans="1:7" ht="18" customHeight="1" thickBot="1">
      <c r="A11" s="355">
        <v>2000</v>
      </c>
      <c r="B11" s="700">
        <v>6599.5077579999997</v>
      </c>
      <c r="C11" s="701">
        <v>3458.985264289614</v>
      </c>
      <c r="D11" s="700">
        <v>3725.7</v>
      </c>
      <c r="E11" s="701">
        <v>29137.399971696475</v>
      </c>
      <c r="F11" s="700">
        <v>443.72611837314082</v>
      </c>
      <c r="G11" s="701">
        <v>43365.319112359233</v>
      </c>
    </row>
    <row r="12" spans="1:7" ht="18" customHeight="1" thickBot="1">
      <c r="A12" s="355">
        <v>2001</v>
      </c>
      <c r="B12" s="700">
        <v>7802.4641409999995</v>
      </c>
      <c r="C12" s="701">
        <v>3661.4400591827011</v>
      </c>
      <c r="D12" s="700">
        <v>3837.6</v>
      </c>
      <c r="E12" s="701">
        <v>30364.520158769472</v>
      </c>
      <c r="F12" s="700">
        <v>463.46745935715603</v>
      </c>
      <c r="G12" s="701">
        <v>46129.491818309332</v>
      </c>
    </row>
    <row r="13" spans="1:7" ht="18" customHeight="1" thickBot="1">
      <c r="A13" s="355">
        <v>2002</v>
      </c>
      <c r="B13" s="700">
        <v>8596.9415929999996</v>
      </c>
      <c r="C13" s="701">
        <v>3701.6993999861525</v>
      </c>
      <c r="D13" s="700">
        <v>4062.6</v>
      </c>
      <c r="E13" s="701">
        <v>31142.52125110001</v>
      </c>
      <c r="F13" s="700">
        <v>477.70596569061348</v>
      </c>
      <c r="G13" s="701">
        <v>47981.468209776773</v>
      </c>
    </row>
    <row r="14" spans="1:7" ht="18" customHeight="1" thickBot="1">
      <c r="A14" s="355">
        <v>2003</v>
      </c>
      <c r="B14" s="700">
        <v>8949.1301402555946</v>
      </c>
      <c r="C14" s="701">
        <v>3921.4728291844517</v>
      </c>
      <c r="D14" s="700">
        <v>4268.5</v>
      </c>
      <c r="E14" s="701">
        <v>32256.674952744135</v>
      </c>
      <c r="F14" s="700">
        <v>484.77612582398501</v>
      </c>
      <c r="G14" s="701">
        <v>49880.554048008169</v>
      </c>
    </row>
    <row r="15" spans="1:7" ht="18" customHeight="1" thickBot="1">
      <c r="A15" s="970">
        <v>2004</v>
      </c>
      <c r="B15" s="736">
        <v>8811.0582569999988</v>
      </c>
      <c r="C15" s="770">
        <v>4031.6958660596374</v>
      </c>
      <c r="D15" s="736">
        <v>4550.2</v>
      </c>
      <c r="E15" s="770">
        <v>33772.913904363799</v>
      </c>
      <c r="F15" s="736">
        <v>481.39682880277388</v>
      </c>
      <c r="G15" s="770">
        <v>51647.264856226211</v>
      </c>
    </row>
    <row r="16" spans="1:7" ht="23.25" customHeight="1" thickBot="1">
      <c r="A16" s="977" t="s">
        <v>2043</v>
      </c>
      <c r="B16" s="987">
        <v>9212.9602188712288</v>
      </c>
      <c r="C16" s="988" t="s">
        <v>1646</v>
      </c>
      <c r="D16" s="987" t="s">
        <v>1646</v>
      </c>
      <c r="E16" s="988" t="s">
        <v>1646</v>
      </c>
      <c r="F16" s="987">
        <v>496.37171018200144</v>
      </c>
      <c r="G16" s="988">
        <v>53819.977165206961</v>
      </c>
    </row>
    <row r="17" spans="1:8" ht="20" customHeight="1">
      <c r="A17" s="708" t="s">
        <v>590</v>
      </c>
      <c r="B17" s="709"/>
      <c r="C17" s="709"/>
      <c r="D17" s="709"/>
      <c r="E17" s="709"/>
      <c r="F17" s="709"/>
      <c r="G17" s="709"/>
    </row>
    <row r="18" spans="1:8" ht="12.75" customHeight="1">
      <c r="A18" s="717"/>
      <c r="B18" s="718"/>
      <c r="C18" s="718"/>
      <c r="D18" s="718"/>
      <c r="E18" s="718"/>
      <c r="F18" s="718"/>
      <c r="G18" s="718"/>
      <c r="H18" s="5"/>
    </row>
    <row r="19" spans="1:8" ht="12.75" customHeight="1">
      <c r="A19" s="717" t="s">
        <v>2047</v>
      </c>
      <c r="B19" s="718"/>
      <c r="C19" s="718"/>
      <c r="D19" s="718"/>
      <c r="E19" s="718"/>
      <c r="F19" s="718"/>
      <c r="G19" s="718"/>
      <c r="H19" s="5"/>
    </row>
    <row r="20" spans="1:8" ht="12.75" customHeight="1">
      <c r="A20" s="717" t="s">
        <v>2048</v>
      </c>
      <c r="B20" s="718"/>
      <c r="C20" s="718"/>
      <c r="D20" s="718"/>
      <c r="E20" s="718"/>
      <c r="F20" s="718"/>
      <c r="G20" s="718"/>
      <c r="H20" s="5"/>
    </row>
    <row r="21" spans="1:8" ht="12.75" customHeight="1">
      <c r="A21" s="717" t="s">
        <v>2049</v>
      </c>
      <c r="B21" s="718"/>
      <c r="C21" s="718"/>
      <c r="D21" s="718"/>
      <c r="E21" s="718"/>
      <c r="F21" s="718"/>
      <c r="G21" s="718"/>
      <c r="H21" s="5"/>
    </row>
    <row r="22" spans="1:8" ht="12.75" customHeight="1">
      <c r="A22" s="717" t="s">
        <v>2050</v>
      </c>
      <c r="B22" s="718"/>
      <c r="C22" s="718"/>
      <c r="D22" s="718"/>
      <c r="E22" s="718"/>
      <c r="F22" s="718"/>
      <c r="G22" s="718"/>
      <c r="H22" s="5"/>
    </row>
    <row r="23" spans="1:8" ht="12.75" customHeight="1">
      <c r="A23" s="717" t="s">
        <v>586</v>
      </c>
      <c r="B23" s="718"/>
      <c r="C23" s="718"/>
      <c r="D23" s="718"/>
      <c r="E23" s="718"/>
      <c r="F23" s="718"/>
      <c r="G23" s="718"/>
      <c r="H23" s="5"/>
    </row>
    <row r="24" spans="1:8" ht="12.75" customHeight="1">
      <c r="A24" s="717" t="s">
        <v>587</v>
      </c>
      <c r="B24" s="718"/>
      <c r="C24" s="718"/>
      <c r="D24" s="718"/>
      <c r="E24" s="718"/>
      <c r="F24" s="718"/>
      <c r="G24" s="718"/>
      <c r="H24" s="5"/>
    </row>
    <row r="25" spans="1:8" ht="12.75" customHeight="1">
      <c r="A25" s="717" t="s">
        <v>2037</v>
      </c>
      <c r="B25" s="718"/>
      <c r="C25" s="718"/>
      <c r="D25" s="718"/>
      <c r="E25" s="718"/>
      <c r="F25" s="718"/>
      <c r="G25" s="718"/>
      <c r="H25" s="5"/>
    </row>
    <row r="26" spans="1:8" ht="12.75" customHeight="1">
      <c r="A26" s="717" t="s">
        <v>2038</v>
      </c>
      <c r="B26" s="718"/>
      <c r="C26" s="718"/>
      <c r="D26" s="718"/>
      <c r="E26" s="718"/>
      <c r="F26" s="718"/>
      <c r="G26" s="718"/>
      <c r="H26" s="5"/>
    </row>
    <row r="27" spans="1:8" ht="12.75" customHeight="1">
      <c r="A27" s="717"/>
      <c r="B27" s="718"/>
      <c r="C27" s="718"/>
      <c r="D27" s="718"/>
      <c r="E27" s="718"/>
      <c r="F27" s="718"/>
      <c r="G27" s="718"/>
      <c r="H27" s="5"/>
    </row>
    <row r="28" spans="1:8" ht="12.75" customHeight="1">
      <c r="A28" s="717" t="s">
        <v>588</v>
      </c>
      <c r="B28" s="718"/>
      <c r="C28" s="718"/>
      <c r="D28" s="718"/>
      <c r="E28" s="718"/>
      <c r="F28" s="718"/>
      <c r="G28" s="718"/>
      <c r="H28" s="5"/>
    </row>
    <row r="29" spans="1:8" ht="13.5" customHeight="1">
      <c r="A29" s="25"/>
      <c r="B29" s="727"/>
      <c r="C29" s="727"/>
      <c r="D29" s="727"/>
      <c r="E29" s="727"/>
      <c r="F29" s="727"/>
      <c r="G29" s="727"/>
      <c r="H29" s="5"/>
    </row>
    <row r="30" spans="1:8" ht="12.75" customHeight="1">
      <c r="A30" s="728"/>
      <c r="B30" s="727"/>
      <c r="C30" s="727"/>
      <c r="D30" s="727"/>
      <c r="E30" s="727"/>
      <c r="F30" s="727"/>
      <c r="G30" s="727"/>
      <c r="H30" s="5"/>
    </row>
    <row r="31" spans="1:8" ht="13.5" customHeight="1">
      <c r="A31" s="5" t="s">
        <v>128</v>
      </c>
      <c r="B31" s="727"/>
      <c r="C31" s="727"/>
      <c r="D31" s="727"/>
      <c r="E31" s="727"/>
      <c r="F31" s="727"/>
      <c r="G31" s="727"/>
      <c r="H31" s="5"/>
    </row>
    <row r="32" spans="1:8" ht="31" customHeight="1">
      <c r="A32" s="507"/>
      <c r="B32" s="726"/>
      <c r="C32" s="726"/>
      <c r="D32" s="726"/>
      <c r="E32" s="726"/>
      <c r="F32" s="726"/>
      <c r="G32" s="726"/>
    </row>
    <row r="33" spans="1:10" ht="31" customHeight="1">
      <c r="A33" s="507"/>
      <c r="B33" s="726"/>
      <c r="C33" s="726"/>
      <c r="D33" s="726"/>
      <c r="E33" s="726"/>
      <c r="F33" s="726"/>
      <c r="G33" s="726"/>
      <c r="J33" s="1"/>
    </row>
    <row r="34" spans="1:10" ht="31" customHeight="1">
      <c r="A34" s="507"/>
      <c r="B34" s="726"/>
      <c r="C34" s="726"/>
      <c r="D34" s="726"/>
      <c r="E34" s="726"/>
      <c r="F34" s="726"/>
      <c r="G34" s="726"/>
    </row>
    <row r="35" spans="1:10" ht="31" customHeight="1">
      <c r="A35" s="507"/>
      <c r="B35" s="726"/>
      <c r="C35" s="726"/>
      <c r="D35" s="726"/>
      <c r="E35" s="726"/>
      <c r="F35" s="726"/>
      <c r="G35" s="726"/>
    </row>
    <row r="36" spans="1:10" ht="31" customHeight="1">
      <c r="A36" s="507"/>
      <c r="B36" s="726"/>
      <c r="C36" s="726"/>
      <c r="D36" s="726"/>
      <c r="E36" s="726"/>
      <c r="F36" s="726"/>
      <c r="G36" s="726"/>
    </row>
    <row r="37" spans="1:10" ht="31" customHeight="1">
      <c r="A37" s="507"/>
      <c r="B37" s="726"/>
      <c r="C37" s="726"/>
      <c r="D37" s="726"/>
      <c r="E37" s="726"/>
      <c r="F37" s="726"/>
      <c r="G37" s="726"/>
    </row>
    <row r="38" spans="1:10" ht="31" customHeight="1">
      <c r="A38" s="507"/>
      <c r="B38" s="726"/>
      <c r="C38" s="726"/>
      <c r="D38" s="726"/>
      <c r="E38" s="726"/>
      <c r="F38" s="726"/>
      <c r="G38" s="726"/>
    </row>
    <row r="39" spans="1:10">
      <c r="A39" s="507"/>
      <c r="B39" s="726"/>
      <c r="C39" s="726"/>
      <c r="D39" s="726"/>
      <c r="E39" s="726"/>
      <c r="F39" s="726"/>
      <c r="G39" s="726"/>
    </row>
    <row r="40" spans="1:10">
      <c r="A40" s="507"/>
      <c r="B40" s="726"/>
      <c r="C40" s="726"/>
      <c r="D40" s="726"/>
      <c r="E40" s="726"/>
      <c r="F40" s="726"/>
      <c r="G40" s="726"/>
    </row>
  </sheetData>
  <mergeCells count="1">
    <mergeCell ref="A2:F2"/>
  </mergeCells>
  <phoneticPr fontId="0" type="noConversion"/>
  <pageMargins left="0.56000000000000005" right="0.51" top="1.02" bottom="0.49" header="0.68" footer="0.4921259845"/>
  <pageSetup paperSize="9" scale="84" orientation="portrait" horizontalDpi="4294967292" verticalDpi="4294967292"/>
  <headerFooter alignWithMargins="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84EF-0CB3-3D41-A759-81187A9582AD}">
  <sheetPr>
    <pageSetUpPr fitToPage="1"/>
  </sheetPr>
  <dimension ref="A1:J40"/>
  <sheetViews>
    <sheetView zoomScale="75" workbookViewId="0">
      <selection activeCell="A25" sqref="A25"/>
    </sheetView>
  </sheetViews>
  <sheetFormatPr baseColWidth="10" defaultColWidth="11.3984375" defaultRowHeight="13"/>
  <cols>
    <col min="1" max="1" width="14.19921875" style="2" customWidth="1"/>
    <col min="2" max="7" width="14.19921875" style="170" customWidth="1"/>
    <col min="8" max="16384" width="11.3984375" style="2"/>
  </cols>
  <sheetData>
    <row r="1" spans="1:7" s="1" customFormat="1" ht="14" customHeight="1">
      <c r="A1" s="404"/>
      <c r="B1" s="690"/>
      <c r="C1" s="690"/>
      <c r="D1" s="690"/>
      <c r="E1" s="690"/>
      <c r="F1" s="690"/>
      <c r="G1" s="690"/>
    </row>
    <row r="2" spans="1:7" s="1" customFormat="1" ht="38.25" customHeight="1">
      <c r="A2" s="1611" t="s">
        <v>2027</v>
      </c>
      <c r="B2" s="1610"/>
      <c r="C2" s="1610"/>
      <c r="D2" s="1610"/>
      <c r="E2" s="1610"/>
      <c r="F2" s="1610"/>
      <c r="G2" s="192">
        <v>2005</v>
      </c>
    </row>
    <row r="3" spans="1:7" ht="27" customHeight="1">
      <c r="A3" s="125" t="s">
        <v>1254</v>
      </c>
      <c r="B3" s="126" t="s">
        <v>512</v>
      </c>
      <c r="C3" s="127" t="s">
        <v>2028</v>
      </c>
      <c r="D3" s="126" t="s">
        <v>864</v>
      </c>
      <c r="E3" s="127" t="s">
        <v>1811</v>
      </c>
      <c r="F3" s="126" t="s">
        <v>2106</v>
      </c>
      <c r="G3" s="127" t="s">
        <v>539</v>
      </c>
    </row>
    <row r="4" spans="1:7" ht="15" customHeight="1">
      <c r="A4" s="212"/>
      <c r="B4" s="353"/>
      <c r="C4" s="692" t="s">
        <v>1158</v>
      </c>
      <c r="D4" s="129" t="s">
        <v>1158</v>
      </c>
      <c r="E4" s="131" t="s">
        <v>2029</v>
      </c>
      <c r="F4" s="129" t="s">
        <v>2030</v>
      </c>
      <c r="G4" s="131"/>
    </row>
    <row r="5" spans="1:7" ht="15" customHeight="1">
      <c r="A5" s="212"/>
      <c r="B5" s="129"/>
      <c r="C5" s="131" t="s">
        <v>2039</v>
      </c>
      <c r="D5" s="129" t="s">
        <v>2031</v>
      </c>
      <c r="E5" s="692" t="s">
        <v>2040</v>
      </c>
      <c r="F5" s="353" t="s">
        <v>2032</v>
      </c>
      <c r="G5" s="131"/>
    </row>
    <row r="6" spans="1:7" ht="25.5" customHeight="1">
      <c r="A6" s="308"/>
      <c r="B6" s="245"/>
      <c r="C6" s="134"/>
      <c r="D6" s="135" t="s">
        <v>2041</v>
      </c>
      <c r="E6" s="134"/>
      <c r="F6" s="135" t="s">
        <v>2042</v>
      </c>
      <c r="G6" s="246"/>
    </row>
    <row r="7" spans="1:7" ht="21" customHeight="1" thickBot="1">
      <c r="A7" s="354">
        <v>1996</v>
      </c>
      <c r="B7" s="961">
        <v>6108.1</v>
      </c>
      <c r="C7" s="633">
        <v>14621.3</v>
      </c>
      <c r="D7" s="961">
        <v>4896.5</v>
      </c>
      <c r="E7" s="633">
        <v>11903.7</v>
      </c>
      <c r="F7" s="961">
        <v>378.7</v>
      </c>
      <c r="G7" s="633">
        <v>37908.300000000003</v>
      </c>
    </row>
    <row r="8" spans="1:7" ht="18" customHeight="1" thickBot="1">
      <c r="A8" s="355">
        <v>1997</v>
      </c>
      <c r="B8" s="700">
        <v>6058</v>
      </c>
      <c r="C8" s="701">
        <v>15271.7</v>
      </c>
      <c r="D8" s="700">
        <v>4463.3999999999996</v>
      </c>
      <c r="E8" s="701">
        <v>12489.9</v>
      </c>
      <c r="F8" s="700">
        <v>386.6</v>
      </c>
      <c r="G8" s="701">
        <v>38669.599999999999</v>
      </c>
    </row>
    <row r="9" spans="1:7" ht="18" customHeight="1" thickBot="1">
      <c r="A9" s="355">
        <v>1998</v>
      </c>
      <c r="B9" s="700">
        <v>6131.7</v>
      </c>
      <c r="C9" s="701">
        <v>15975.1</v>
      </c>
      <c r="D9" s="700">
        <v>4590.2</v>
      </c>
      <c r="E9" s="701">
        <v>13200.2</v>
      </c>
      <c r="F9" s="700">
        <v>395.2</v>
      </c>
      <c r="G9" s="701">
        <v>40292.400000000001</v>
      </c>
    </row>
    <row r="10" spans="1:7" ht="18" customHeight="1" thickBot="1">
      <c r="A10" s="355">
        <v>1999</v>
      </c>
      <c r="B10" s="700">
        <v>6416.6639269999996</v>
      </c>
      <c r="C10" s="701">
        <v>16596.671683952769</v>
      </c>
      <c r="D10" s="700">
        <v>4331.8999999999996</v>
      </c>
      <c r="E10" s="701">
        <v>13831.539584369208</v>
      </c>
      <c r="F10" s="700">
        <v>408.8</v>
      </c>
      <c r="G10" s="701">
        <v>41585.575195321981</v>
      </c>
    </row>
    <row r="11" spans="1:7" ht="18" customHeight="1" thickBot="1">
      <c r="A11" s="355">
        <v>2000</v>
      </c>
      <c r="B11" s="700">
        <v>6599.5077570000003</v>
      </c>
      <c r="C11" s="701">
        <v>17518.085264289613</v>
      </c>
      <c r="D11" s="700">
        <v>4546.7</v>
      </c>
      <c r="E11" s="701">
        <v>14257.299972696481</v>
      </c>
      <c r="F11" s="700">
        <v>443.72611837314082</v>
      </c>
      <c r="G11" s="701">
        <v>43365.319112359233</v>
      </c>
    </row>
    <row r="12" spans="1:7" ht="18" customHeight="1" thickBot="1">
      <c r="A12" s="355">
        <v>2001</v>
      </c>
      <c r="B12" s="700">
        <v>7802.4641389999997</v>
      </c>
      <c r="C12" s="701">
        <v>18548.1400591827</v>
      </c>
      <c r="D12" s="700">
        <v>4699.8999999999996</v>
      </c>
      <c r="E12" s="701">
        <v>14615.520160769476</v>
      </c>
      <c r="F12" s="700">
        <v>463.46745935715603</v>
      </c>
      <c r="G12" s="701">
        <v>46129.491818309332</v>
      </c>
    </row>
    <row r="13" spans="1:7" ht="18" customHeight="1" thickBot="1">
      <c r="A13" s="355">
        <v>2002</v>
      </c>
      <c r="B13" s="700">
        <v>8596.9415909999989</v>
      </c>
      <c r="C13" s="701">
        <v>19184.999399986154</v>
      </c>
      <c r="D13" s="700">
        <v>4615.5</v>
      </c>
      <c r="E13" s="701">
        <v>15106.321253100015</v>
      </c>
      <c r="F13" s="700">
        <v>477.70596569061348</v>
      </c>
      <c r="G13" s="701">
        <v>47981.46820977678</v>
      </c>
    </row>
    <row r="14" spans="1:7" ht="18" customHeight="1" thickBot="1">
      <c r="A14" s="355">
        <v>2003</v>
      </c>
      <c r="B14" s="700">
        <v>8949.1301402555946</v>
      </c>
      <c r="C14" s="701">
        <v>20225.680829184454</v>
      </c>
      <c r="D14" s="700">
        <v>4477.9040000000005</v>
      </c>
      <c r="E14" s="701">
        <v>15743.069681999736</v>
      </c>
      <c r="F14" s="700">
        <v>484.77612582398501</v>
      </c>
      <c r="G14" s="701">
        <v>49880.560777263767</v>
      </c>
    </row>
    <row r="15" spans="1:7" ht="18" customHeight="1" thickBot="1">
      <c r="A15" s="970">
        <v>2004</v>
      </c>
      <c r="B15" s="736">
        <v>8811.0582559999984</v>
      </c>
      <c r="C15" s="770">
        <v>21411.499866059639</v>
      </c>
      <c r="D15" s="736">
        <v>4511.7479999999996</v>
      </c>
      <c r="E15" s="770">
        <v>16431.561905363804</v>
      </c>
      <c r="F15" s="736">
        <v>481.39682880277394</v>
      </c>
      <c r="G15" s="770">
        <v>51647.264856226211</v>
      </c>
    </row>
    <row r="16" spans="1:7" ht="30" customHeight="1" thickBot="1">
      <c r="A16" s="977" t="s">
        <v>2043</v>
      </c>
      <c r="B16" s="987">
        <v>9212.9602188712288</v>
      </c>
      <c r="C16" s="988">
        <v>22492.977991016207</v>
      </c>
      <c r="D16" s="987">
        <v>4516.8096447390144</v>
      </c>
      <c r="E16" s="988">
        <v>17100.857600398511</v>
      </c>
      <c r="F16" s="987">
        <v>496.37171018200144</v>
      </c>
      <c r="G16" s="988">
        <v>53819.977165206961</v>
      </c>
    </row>
    <row r="17" spans="1:10" ht="20" customHeight="1">
      <c r="A17" s="708" t="s">
        <v>590</v>
      </c>
      <c r="B17" s="709"/>
      <c r="C17" s="709"/>
      <c r="D17" s="709"/>
      <c r="E17" s="709"/>
      <c r="F17" s="709"/>
      <c r="G17" s="709"/>
    </row>
    <row r="18" spans="1:10" ht="12.75" customHeight="1">
      <c r="A18" s="717"/>
      <c r="B18" s="718"/>
      <c r="C18" s="718"/>
      <c r="D18" s="718"/>
      <c r="E18" s="718"/>
      <c r="F18" s="718"/>
      <c r="G18" s="718"/>
      <c r="H18" s="5"/>
    </row>
    <row r="19" spans="1:10" ht="12.75" customHeight="1">
      <c r="A19" s="717" t="s">
        <v>2033</v>
      </c>
      <c r="B19" s="717"/>
      <c r="C19" s="718"/>
      <c r="D19" s="718"/>
      <c r="E19" s="718"/>
      <c r="F19" s="718"/>
      <c r="G19" s="718"/>
      <c r="H19" s="5"/>
    </row>
    <row r="20" spans="1:10" ht="12.75" customHeight="1">
      <c r="A20" s="717" t="s">
        <v>2034</v>
      </c>
      <c r="B20" s="718"/>
      <c r="C20" s="718"/>
      <c r="D20" s="718"/>
      <c r="E20" s="718"/>
      <c r="F20" s="718"/>
      <c r="G20" s="718"/>
      <c r="H20" s="5"/>
    </row>
    <row r="21" spans="1:10" ht="12.75" customHeight="1">
      <c r="A21" s="717" t="s">
        <v>2035</v>
      </c>
      <c r="B21" s="718"/>
      <c r="C21" s="718"/>
      <c r="D21" s="718"/>
      <c r="E21" s="718"/>
      <c r="F21" s="718"/>
      <c r="G21" s="718"/>
      <c r="H21" s="5"/>
    </row>
    <row r="22" spans="1:10" ht="12.75" customHeight="1">
      <c r="A22" s="717" t="s">
        <v>2036</v>
      </c>
      <c r="B22" s="718"/>
      <c r="C22" s="718"/>
      <c r="D22" s="718"/>
      <c r="E22" s="718"/>
      <c r="F22" s="718"/>
      <c r="G22" s="718"/>
      <c r="H22" s="5"/>
    </row>
    <row r="23" spans="1:10" ht="12.75" customHeight="1">
      <c r="A23" s="717" t="s">
        <v>2037</v>
      </c>
      <c r="B23" s="718"/>
      <c r="C23" s="718"/>
      <c r="D23" s="718"/>
      <c r="E23" s="718"/>
      <c r="F23" s="718"/>
      <c r="G23" s="718"/>
      <c r="H23" s="5"/>
    </row>
    <row r="24" spans="1:10" ht="12.75" customHeight="1">
      <c r="A24" s="717" t="s">
        <v>2038</v>
      </c>
      <c r="B24" s="718"/>
      <c r="C24" s="718"/>
      <c r="D24" s="718"/>
      <c r="E24" s="718"/>
      <c r="F24" s="718"/>
      <c r="G24" s="718"/>
      <c r="H24" s="5"/>
    </row>
    <row r="25" spans="1:10" ht="12.75" customHeight="1">
      <c r="A25" s="717"/>
      <c r="B25" s="718"/>
      <c r="C25" s="718"/>
      <c r="D25" s="718"/>
      <c r="E25" s="718"/>
      <c r="F25" s="718"/>
      <c r="G25" s="718"/>
      <c r="H25" s="5"/>
    </row>
    <row r="26" spans="1:10" ht="12.75" customHeight="1">
      <c r="A26" s="717" t="s">
        <v>588</v>
      </c>
      <c r="B26" s="718"/>
      <c r="C26" s="718"/>
      <c r="D26" s="718"/>
      <c r="E26" s="718"/>
      <c r="F26" s="718"/>
      <c r="G26" s="718"/>
      <c r="H26" s="5"/>
    </row>
    <row r="27" spans="1:10" ht="13.5" customHeight="1">
      <c r="A27" s="25"/>
      <c r="B27" s="727"/>
      <c r="C27" s="727"/>
      <c r="D27" s="727"/>
      <c r="E27" s="727"/>
      <c r="F27" s="727"/>
      <c r="G27" s="727"/>
      <c r="H27" s="5"/>
    </row>
    <row r="28" spans="1:10" ht="15.75" customHeight="1">
      <c r="A28" s="728"/>
      <c r="B28" s="727"/>
      <c r="C28" s="727"/>
      <c r="D28" s="727"/>
      <c r="E28" s="727"/>
      <c r="F28" s="727"/>
      <c r="G28" s="727"/>
      <c r="H28" s="5"/>
    </row>
    <row r="29" spans="1:10" ht="13.5" customHeight="1">
      <c r="A29" s="5" t="s">
        <v>128</v>
      </c>
      <c r="B29" s="727"/>
      <c r="C29" s="727"/>
      <c r="D29" s="727"/>
      <c r="E29" s="727"/>
      <c r="F29" s="727"/>
      <c r="G29" s="727"/>
      <c r="H29" s="5"/>
    </row>
    <row r="30" spans="1:10" ht="31" customHeight="1">
      <c r="A30" s="5"/>
      <c r="B30" s="727"/>
      <c r="C30" s="727"/>
      <c r="D30" s="727"/>
      <c r="E30" s="727"/>
      <c r="F30" s="727"/>
      <c r="G30" s="727"/>
      <c r="H30" s="5"/>
    </row>
    <row r="31" spans="1:10" ht="31" customHeight="1">
      <c r="A31" s="5"/>
      <c r="B31" s="727"/>
      <c r="C31" s="727"/>
      <c r="D31" s="727"/>
      <c r="E31" s="727"/>
      <c r="F31" s="727"/>
      <c r="G31" s="727"/>
      <c r="H31" s="5"/>
      <c r="J31" s="1"/>
    </row>
    <row r="32" spans="1:10" ht="31" customHeight="1">
      <c r="A32" s="5"/>
      <c r="B32" s="727"/>
      <c r="C32" s="727"/>
      <c r="D32" s="727"/>
      <c r="E32" s="727"/>
      <c r="F32" s="727"/>
      <c r="G32" s="727"/>
      <c r="H32" s="5"/>
    </row>
    <row r="33" spans="1:8" ht="31" customHeight="1">
      <c r="A33" s="5"/>
      <c r="B33" s="727"/>
      <c r="C33" s="727"/>
      <c r="D33" s="727"/>
      <c r="E33" s="727"/>
      <c r="F33" s="727"/>
      <c r="G33" s="727"/>
      <c r="H33" s="5"/>
    </row>
    <row r="34" spans="1:8" ht="31" customHeight="1">
      <c r="A34" s="5"/>
      <c r="B34" s="727"/>
      <c r="C34" s="727"/>
      <c r="D34" s="727"/>
      <c r="E34" s="727"/>
      <c r="F34" s="727"/>
      <c r="G34" s="727"/>
      <c r="H34" s="5"/>
    </row>
    <row r="35" spans="1:8" ht="31" customHeight="1">
      <c r="A35" s="5"/>
      <c r="B35" s="727"/>
      <c r="C35" s="727"/>
      <c r="D35" s="727"/>
      <c r="E35" s="727"/>
      <c r="F35" s="727"/>
      <c r="G35" s="727"/>
      <c r="H35" s="5"/>
    </row>
    <row r="36" spans="1:8" ht="31" customHeight="1">
      <c r="A36" s="5"/>
      <c r="B36" s="727"/>
      <c r="C36" s="727"/>
      <c r="D36" s="727"/>
      <c r="E36" s="727"/>
      <c r="F36" s="727"/>
      <c r="G36" s="727"/>
      <c r="H36" s="5"/>
    </row>
    <row r="37" spans="1:8">
      <c r="A37" s="5"/>
      <c r="B37" s="727"/>
      <c r="C37" s="727"/>
      <c r="D37" s="727"/>
      <c r="E37" s="727"/>
      <c r="F37" s="727"/>
      <c r="G37" s="727"/>
      <c r="H37" s="5"/>
    </row>
    <row r="38" spans="1:8">
      <c r="A38" s="5"/>
      <c r="B38" s="727"/>
      <c r="C38" s="727"/>
      <c r="D38" s="727"/>
      <c r="E38" s="727"/>
      <c r="F38" s="727"/>
      <c r="G38" s="727"/>
      <c r="H38" s="5"/>
    </row>
    <row r="39" spans="1:8">
      <c r="A39" s="5"/>
      <c r="B39" s="727"/>
      <c r="C39" s="727"/>
      <c r="D39" s="727"/>
      <c r="E39" s="727"/>
      <c r="F39" s="727"/>
      <c r="G39" s="727"/>
      <c r="H39" s="5"/>
    </row>
    <row r="40" spans="1:8">
      <c r="A40" s="5"/>
      <c r="B40" s="727"/>
      <c r="C40" s="727"/>
      <c r="D40" s="727"/>
      <c r="E40" s="727"/>
      <c r="F40" s="727"/>
      <c r="G40" s="727"/>
      <c r="H40" s="5"/>
    </row>
  </sheetData>
  <mergeCells count="1">
    <mergeCell ref="A2:F2"/>
  </mergeCells>
  <phoneticPr fontId="0" type="noConversion"/>
  <pageMargins left="0.56000000000000005" right="0.51" top="1.02" bottom="0.49" header="0.68" footer="0.4921259845"/>
  <pageSetup paperSize="9" scale="84" orientation="portrait" horizontalDpi="4294967292" verticalDpi="4294967292"/>
  <headerFooter alignWithMargins="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F262E-8F6F-A144-8BD0-1D4EFAF774CB}">
  <sheetPr>
    <pageSetUpPr fitToPage="1"/>
  </sheetPr>
  <dimension ref="A1:L39"/>
  <sheetViews>
    <sheetView topLeftCell="A10" zoomScale="75" workbookViewId="0">
      <selection activeCell="A27" sqref="A27"/>
    </sheetView>
  </sheetViews>
  <sheetFormatPr baseColWidth="10" defaultColWidth="11.3984375" defaultRowHeight="13"/>
  <cols>
    <col min="1" max="1" width="10.19921875" style="2" customWidth="1"/>
    <col min="2" max="9" width="13.19921875" style="170" customWidth="1"/>
    <col min="10" max="10" width="8.796875" style="2" customWidth="1"/>
    <col min="11" max="16384" width="11.3984375" style="2"/>
  </cols>
  <sheetData>
    <row r="1" spans="1:9" s="1" customFormat="1" ht="14" customHeight="1">
      <c r="A1" s="404"/>
      <c r="B1" s="690"/>
      <c r="C1" s="690"/>
      <c r="D1" s="690"/>
      <c r="E1" s="690"/>
      <c r="F1" s="690"/>
      <c r="G1" s="690"/>
      <c r="H1" s="690"/>
      <c r="I1" s="690"/>
    </row>
    <row r="2" spans="1:9" s="1" customFormat="1" ht="39" customHeight="1">
      <c r="A2" s="1611" t="s">
        <v>535</v>
      </c>
      <c r="B2" s="1610"/>
      <c r="C2" s="1610"/>
      <c r="D2" s="1610"/>
      <c r="E2" s="1610"/>
      <c r="F2" s="1610"/>
      <c r="G2" s="1610"/>
      <c r="H2" s="1610"/>
      <c r="I2" s="192">
        <v>2005</v>
      </c>
    </row>
    <row r="3" spans="1:9" ht="27" customHeight="1">
      <c r="A3" s="125" t="s">
        <v>1254</v>
      </c>
      <c r="B3" s="126" t="s">
        <v>1010</v>
      </c>
      <c r="C3" s="127" t="s">
        <v>536</v>
      </c>
      <c r="D3" s="126" t="s">
        <v>2129</v>
      </c>
      <c r="E3" s="127" t="s">
        <v>537</v>
      </c>
      <c r="F3" s="126" t="s">
        <v>2020</v>
      </c>
      <c r="G3" s="127" t="s">
        <v>1405</v>
      </c>
      <c r="H3" s="126" t="s">
        <v>538</v>
      </c>
      <c r="I3" s="127" t="s">
        <v>539</v>
      </c>
    </row>
    <row r="4" spans="1:9" ht="18.75" customHeight="1">
      <c r="A4" s="212"/>
      <c r="B4" s="353" t="s">
        <v>2021</v>
      </c>
      <c r="C4" s="692" t="s">
        <v>540</v>
      </c>
      <c r="D4" s="129" t="s">
        <v>541</v>
      </c>
      <c r="E4" s="131" t="s">
        <v>2022</v>
      </c>
      <c r="F4" s="129"/>
      <c r="G4" s="131" t="s">
        <v>2023</v>
      </c>
      <c r="H4" s="129" t="s">
        <v>542</v>
      </c>
      <c r="I4" s="131"/>
    </row>
    <row r="5" spans="1:9" ht="16.5" customHeight="1">
      <c r="A5" s="212"/>
      <c r="B5" s="129"/>
      <c r="C5" s="131" t="s">
        <v>543</v>
      </c>
      <c r="D5" s="129" t="s">
        <v>2024</v>
      </c>
      <c r="E5" s="692"/>
      <c r="F5" s="353"/>
      <c r="G5" s="692"/>
      <c r="H5" s="353" t="s">
        <v>544</v>
      </c>
      <c r="I5" s="131"/>
    </row>
    <row r="6" spans="1:9" ht="23.25" customHeight="1">
      <c r="A6" s="308"/>
      <c r="B6" s="245"/>
      <c r="C6" s="134" t="s">
        <v>2025</v>
      </c>
      <c r="D6" s="135"/>
      <c r="E6" s="134"/>
      <c r="F6" s="135"/>
      <c r="G6" s="134"/>
      <c r="H6" s="135" t="s">
        <v>545</v>
      </c>
      <c r="I6" s="134"/>
    </row>
    <row r="7" spans="1:9" ht="24" customHeight="1" thickBot="1">
      <c r="A7" s="981">
        <v>1996</v>
      </c>
      <c r="B7" s="961">
        <v>13184</v>
      </c>
      <c r="C7" s="633">
        <v>6423.1</v>
      </c>
      <c r="D7" s="961">
        <v>11678.6</v>
      </c>
      <c r="E7" s="633">
        <v>3544.7</v>
      </c>
      <c r="F7" s="961">
        <v>869.1</v>
      </c>
      <c r="G7" s="633">
        <v>1796.9</v>
      </c>
      <c r="H7" s="961">
        <v>412</v>
      </c>
      <c r="I7" s="633">
        <v>37908.400000000001</v>
      </c>
    </row>
    <row r="8" spans="1:9" ht="18" customHeight="1" thickBot="1">
      <c r="A8" s="985">
        <v>1997</v>
      </c>
      <c r="B8" s="700">
        <v>13300.5</v>
      </c>
      <c r="C8" s="701">
        <v>6678.2</v>
      </c>
      <c r="D8" s="700">
        <v>11898.8</v>
      </c>
      <c r="E8" s="701">
        <v>3699.7</v>
      </c>
      <c r="F8" s="700">
        <v>820.1</v>
      </c>
      <c r="G8" s="701">
        <v>1853.8</v>
      </c>
      <c r="H8" s="700">
        <v>418.5</v>
      </c>
      <c r="I8" s="701">
        <v>38669.599999999999</v>
      </c>
    </row>
    <row r="9" spans="1:9" ht="18" customHeight="1" thickBot="1">
      <c r="A9" s="985">
        <v>1998</v>
      </c>
      <c r="B9" s="700">
        <v>13726.9</v>
      </c>
      <c r="C9" s="701">
        <v>6995</v>
      </c>
      <c r="D9" s="700">
        <v>12534.7</v>
      </c>
      <c r="E9" s="701">
        <v>3814.8</v>
      </c>
      <c r="F9" s="700">
        <v>825.8</v>
      </c>
      <c r="G9" s="701">
        <v>1952.6</v>
      </c>
      <c r="H9" s="700">
        <v>442.5</v>
      </c>
      <c r="I9" s="701">
        <v>40292.300000000003</v>
      </c>
    </row>
    <row r="10" spans="1:9" ht="18" customHeight="1" thickBot="1">
      <c r="A10" s="985">
        <v>1999</v>
      </c>
      <c r="B10" s="700">
        <v>14269.859986000003</v>
      </c>
      <c r="C10" s="701">
        <v>7117.1</v>
      </c>
      <c r="D10" s="700">
        <v>12923.16416135502</v>
      </c>
      <c r="E10" s="701">
        <v>3985</v>
      </c>
      <c r="F10" s="700">
        <v>869.4</v>
      </c>
      <c r="G10" s="701">
        <v>1951.2</v>
      </c>
      <c r="H10" s="700">
        <v>469.9</v>
      </c>
      <c r="I10" s="701">
        <v>41585.624147355018</v>
      </c>
    </row>
    <row r="11" spans="1:9" ht="18" customHeight="1" thickBot="1">
      <c r="A11" s="985">
        <v>2000</v>
      </c>
      <c r="B11" s="700">
        <v>14895.513251</v>
      </c>
      <c r="C11" s="701">
        <v>7563.9</v>
      </c>
      <c r="D11" s="700">
        <v>13440.733995653636</v>
      </c>
      <c r="E11" s="701">
        <v>4130.4973544495606</v>
      </c>
      <c r="F11" s="700">
        <v>886.60889900000006</v>
      </c>
      <c r="G11" s="701">
        <v>1968</v>
      </c>
      <c r="H11" s="700">
        <v>480.06561225603991</v>
      </c>
      <c r="I11" s="701">
        <v>43365.319112359233</v>
      </c>
    </row>
    <row r="12" spans="1:9" ht="18" customHeight="1" thickBot="1">
      <c r="A12" s="985">
        <v>2001</v>
      </c>
      <c r="B12" s="700">
        <v>16132.139821000001</v>
      </c>
      <c r="C12" s="701">
        <v>8103.4</v>
      </c>
      <c r="D12" s="700">
        <v>14118.389210237772</v>
      </c>
      <c r="E12" s="701">
        <v>4333.6230316924066</v>
      </c>
      <c r="F12" s="700">
        <v>926.76387199999999</v>
      </c>
      <c r="G12" s="701">
        <v>2014.6</v>
      </c>
      <c r="H12" s="700">
        <v>500.57588337914626</v>
      </c>
      <c r="I12" s="701">
        <v>46129.491818309325</v>
      </c>
    </row>
    <row r="13" spans="1:9" ht="18" customHeight="1" thickBot="1">
      <c r="A13" s="985">
        <v>2002</v>
      </c>
      <c r="B13" s="700">
        <v>16982.807524247681</v>
      </c>
      <c r="C13" s="701">
        <v>8660.4935274329982</v>
      </c>
      <c r="D13" s="700">
        <v>14430.539223398549</v>
      </c>
      <c r="E13" s="701">
        <v>4415.9295005981339</v>
      </c>
      <c r="F13" s="700">
        <v>981.40087700000004</v>
      </c>
      <c r="G13" s="701">
        <v>2000.8014692328545</v>
      </c>
      <c r="H13" s="700">
        <v>509.49608786656427</v>
      </c>
      <c r="I13" s="701">
        <v>47981.468209776787</v>
      </c>
    </row>
    <row r="14" spans="1:9" ht="18" customHeight="1" thickBot="1">
      <c r="A14" s="985">
        <v>2003</v>
      </c>
      <c r="B14" s="700">
        <v>17712.226343618662</v>
      </c>
      <c r="C14" s="701">
        <v>8990.275688150492</v>
      </c>
      <c r="D14" s="700">
        <v>14813.56384014453</v>
      </c>
      <c r="E14" s="701">
        <v>4720.9651053618945</v>
      </c>
      <c r="F14" s="700">
        <v>1036.8831319999999</v>
      </c>
      <c r="G14" s="701">
        <v>2076.4031583018532</v>
      </c>
      <c r="H14" s="700">
        <v>530.23678043074028</v>
      </c>
      <c r="I14" s="701">
        <v>49880.554048008176</v>
      </c>
    </row>
    <row r="15" spans="1:9" ht="18" customHeight="1" thickBot="1">
      <c r="A15" s="986">
        <v>2004</v>
      </c>
      <c r="B15" s="736">
        <v>18211.927869253603</v>
      </c>
      <c r="C15" s="770">
        <v>9269.4815999999992</v>
      </c>
      <c r="D15" s="736">
        <v>15519.799657335181</v>
      </c>
      <c r="E15" s="770">
        <v>4885.7901600000005</v>
      </c>
      <c r="F15" s="736">
        <v>1016.403946</v>
      </c>
      <c r="G15" s="770">
        <v>2188.6177220936333</v>
      </c>
      <c r="H15" s="736">
        <v>555.24390154379591</v>
      </c>
      <c r="I15" s="770">
        <v>51647.264856226218</v>
      </c>
    </row>
    <row r="16" spans="1:9" s="163" customFormat="1" ht="30" customHeight="1" thickBot="1">
      <c r="A16" s="977" t="s">
        <v>2026</v>
      </c>
      <c r="B16" s="987">
        <v>19015.187143182211</v>
      </c>
      <c r="C16" s="988">
        <v>9721.7409676965999</v>
      </c>
      <c r="D16" s="987">
        <v>16115.694934651643</v>
      </c>
      <c r="E16" s="988">
        <v>5085.5634302387225</v>
      </c>
      <c r="F16" s="987">
        <v>1037.7323390279857</v>
      </c>
      <c r="G16" s="988">
        <v>2268.1837004277754</v>
      </c>
      <c r="H16" s="987">
        <v>575.87464998202654</v>
      </c>
      <c r="I16" s="988">
        <v>53819.977165206961</v>
      </c>
    </row>
    <row r="17" spans="1:12" ht="20" customHeight="1">
      <c r="A17" s="989" t="s">
        <v>590</v>
      </c>
      <c r="B17" s="990"/>
      <c r="C17" s="990"/>
      <c r="D17" s="990"/>
      <c r="E17" s="990"/>
      <c r="F17" s="990"/>
      <c r="G17" s="990"/>
      <c r="H17" s="990"/>
      <c r="I17" s="990"/>
    </row>
    <row r="18" spans="1:12" ht="12.75" customHeight="1">
      <c r="A18" s="717"/>
      <c r="B18" s="718"/>
      <c r="C18" s="718"/>
      <c r="D18" s="718"/>
      <c r="E18" s="718"/>
      <c r="F18" s="718"/>
      <c r="G18" s="718"/>
      <c r="H18" s="718"/>
      <c r="I18" s="718"/>
    </row>
    <row r="19" spans="1:12" ht="12.75" customHeight="1">
      <c r="A19" s="717" t="s">
        <v>546</v>
      </c>
      <c r="B19" s="718"/>
      <c r="C19" s="718"/>
      <c r="D19" s="718"/>
      <c r="E19" s="718"/>
      <c r="F19" s="718"/>
      <c r="G19" s="718"/>
      <c r="H19" s="718"/>
      <c r="I19" s="718"/>
    </row>
    <row r="20" spans="1:12" ht="12.75" customHeight="1">
      <c r="A20" s="717" t="s">
        <v>547</v>
      </c>
      <c r="B20" s="718"/>
      <c r="C20" s="718"/>
      <c r="D20" s="718"/>
      <c r="E20" s="718"/>
      <c r="F20" s="718"/>
      <c r="G20" s="718"/>
      <c r="H20" s="718"/>
      <c r="I20" s="718"/>
    </row>
    <row r="21" spans="1:12" ht="12.75" customHeight="1">
      <c r="A21" s="717" t="s">
        <v>2015</v>
      </c>
      <c r="B21" s="718"/>
      <c r="C21" s="718"/>
      <c r="D21" s="718"/>
      <c r="E21" s="718"/>
      <c r="F21" s="718"/>
      <c r="G21" s="718"/>
      <c r="H21" s="718"/>
      <c r="I21" s="718"/>
    </row>
    <row r="22" spans="1:12" ht="12.75" customHeight="1">
      <c r="A22" s="717" t="s">
        <v>2016</v>
      </c>
      <c r="B22" s="718"/>
      <c r="C22" s="718"/>
      <c r="D22" s="718"/>
      <c r="E22" s="718"/>
      <c r="F22" s="718"/>
      <c r="G22" s="718"/>
      <c r="H22" s="718"/>
      <c r="I22" s="718"/>
    </row>
    <row r="23" spans="1:12" ht="12.75" customHeight="1">
      <c r="A23" s="717" t="s">
        <v>2017</v>
      </c>
      <c r="B23" s="718"/>
      <c r="C23" s="718"/>
      <c r="D23" s="718"/>
      <c r="E23" s="718"/>
      <c r="F23" s="718"/>
      <c r="G23" s="718"/>
      <c r="H23" s="718"/>
      <c r="I23" s="718"/>
    </row>
    <row r="24" spans="1:12" ht="12.75" customHeight="1">
      <c r="A24" s="717" t="s">
        <v>2018</v>
      </c>
      <c r="B24" s="718"/>
      <c r="C24" s="718"/>
      <c r="D24" s="718"/>
      <c r="E24" s="718"/>
      <c r="F24" s="718"/>
      <c r="G24" s="718"/>
      <c r="H24" s="718"/>
      <c r="I24" s="718"/>
    </row>
    <row r="25" spans="1:12" ht="12.75" customHeight="1">
      <c r="A25" s="717" t="s">
        <v>2019</v>
      </c>
      <c r="B25" s="718"/>
      <c r="C25" s="718"/>
      <c r="D25" s="718"/>
      <c r="E25" s="718"/>
      <c r="F25" s="718"/>
      <c r="G25" s="718"/>
      <c r="H25" s="718"/>
      <c r="I25" s="718"/>
    </row>
    <row r="26" spans="1:12" ht="12.75" customHeight="1">
      <c r="A26" s="717"/>
      <c r="B26" s="718"/>
      <c r="C26" s="718"/>
      <c r="D26" s="718"/>
      <c r="E26" s="718"/>
      <c r="F26" s="718"/>
      <c r="G26" s="718"/>
      <c r="H26" s="718"/>
      <c r="I26" s="718"/>
    </row>
    <row r="27" spans="1:12" ht="12.75" customHeight="1">
      <c r="A27" s="717" t="s">
        <v>588</v>
      </c>
      <c r="B27" s="718"/>
      <c r="C27" s="718"/>
      <c r="D27" s="718"/>
      <c r="E27" s="718"/>
      <c r="F27" s="718"/>
      <c r="G27" s="718"/>
      <c r="H27" s="718"/>
      <c r="I27" s="718"/>
    </row>
    <row r="28" spans="1:12" ht="15" customHeight="1">
      <c r="A28" s="25"/>
      <c r="B28" s="727"/>
      <c r="C28" s="727"/>
      <c r="D28" s="727"/>
      <c r="E28" s="727"/>
      <c r="F28" s="727"/>
      <c r="G28" s="727"/>
      <c r="H28" s="727"/>
      <c r="I28" s="727"/>
    </row>
    <row r="29" spans="1:12" ht="15" customHeight="1">
      <c r="A29" s="728"/>
      <c r="B29" s="727"/>
      <c r="C29" s="727"/>
      <c r="D29" s="727"/>
      <c r="E29" s="727"/>
      <c r="F29" s="727"/>
      <c r="G29" s="727"/>
      <c r="H29" s="727"/>
      <c r="I29" s="727"/>
    </row>
    <row r="30" spans="1:12" ht="18" customHeight="1">
      <c r="A30" s="5" t="s">
        <v>128</v>
      </c>
      <c r="B30" s="727"/>
      <c r="C30" s="727"/>
      <c r="D30" s="727"/>
      <c r="E30" s="727"/>
      <c r="F30" s="727"/>
      <c r="G30" s="727"/>
      <c r="H30" s="727"/>
      <c r="I30" s="727"/>
    </row>
    <row r="31" spans="1:12" ht="31" customHeight="1">
      <c r="A31" s="5"/>
      <c r="B31" s="727"/>
      <c r="C31" s="727"/>
      <c r="D31" s="727"/>
      <c r="E31" s="727"/>
      <c r="F31" s="727"/>
      <c r="G31" s="727"/>
      <c r="H31" s="727"/>
      <c r="I31" s="727"/>
    </row>
    <row r="32" spans="1:12" ht="31" customHeight="1">
      <c r="A32" s="507"/>
      <c r="B32" s="726"/>
      <c r="C32" s="726"/>
      <c r="D32" s="726"/>
      <c r="E32" s="726"/>
      <c r="F32" s="726"/>
      <c r="G32" s="726"/>
      <c r="H32" s="726"/>
      <c r="I32" s="726"/>
      <c r="L32" s="171"/>
    </row>
    <row r="33" spans="1:9" ht="31" customHeight="1">
      <c r="A33" s="507"/>
      <c r="B33" s="726"/>
      <c r="C33" s="726"/>
      <c r="D33" s="726"/>
      <c r="E33" s="726"/>
      <c r="F33" s="726"/>
      <c r="G33" s="726"/>
      <c r="H33" s="726"/>
      <c r="I33" s="726"/>
    </row>
    <row r="34" spans="1:9" ht="31" customHeight="1">
      <c r="A34" s="507"/>
      <c r="B34" s="726"/>
      <c r="C34" s="726"/>
      <c r="D34" s="726"/>
      <c r="E34" s="726"/>
      <c r="F34" s="726"/>
      <c r="G34" s="726"/>
      <c r="H34" s="726"/>
      <c r="I34" s="726"/>
    </row>
    <row r="35" spans="1:9" ht="31" customHeight="1">
      <c r="A35" s="507"/>
      <c r="B35" s="726"/>
      <c r="C35" s="726"/>
      <c r="D35" s="726"/>
      <c r="E35" s="726"/>
      <c r="F35" s="726"/>
      <c r="G35" s="726"/>
      <c r="H35" s="726"/>
      <c r="I35" s="726"/>
    </row>
    <row r="36" spans="1:9" ht="31" customHeight="1">
      <c r="A36" s="507"/>
      <c r="B36" s="726"/>
      <c r="C36" s="726"/>
      <c r="D36" s="726"/>
      <c r="E36" s="726"/>
      <c r="F36" s="726"/>
      <c r="G36" s="726"/>
      <c r="H36" s="726"/>
      <c r="I36" s="726"/>
    </row>
    <row r="37" spans="1:9" ht="31" customHeight="1">
      <c r="A37" s="507"/>
      <c r="B37" s="726"/>
      <c r="C37" s="726"/>
      <c r="D37" s="726"/>
      <c r="E37" s="726"/>
      <c r="F37" s="726"/>
      <c r="G37" s="726"/>
      <c r="H37" s="726"/>
      <c r="I37" s="726"/>
    </row>
    <row r="38" spans="1:9">
      <c r="A38" s="507"/>
      <c r="B38" s="726"/>
      <c r="C38" s="726"/>
      <c r="D38" s="726"/>
      <c r="E38" s="726"/>
      <c r="F38" s="726"/>
      <c r="G38" s="726"/>
      <c r="H38" s="726"/>
      <c r="I38" s="726"/>
    </row>
    <row r="39" spans="1:9">
      <c r="A39" s="507"/>
      <c r="B39" s="726"/>
      <c r="C39" s="726"/>
      <c r="D39" s="726"/>
      <c r="E39" s="726"/>
      <c r="F39" s="726"/>
      <c r="G39" s="726"/>
      <c r="H39" s="726"/>
      <c r="I39" s="726"/>
    </row>
  </sheetData>
  <mergeCells count="1">
    <mergeCell ref="A2:H2"/>
  </mergeCells>
  <phoneticPr fontId="0" type="noConversion"/>
  <pageMargins left="0.59" right="0.51" top="0.97" bottom="0.49" header="0.56999999999999995" footer="0.4921259845"/>
  <pageSetup paperSize="9" scale="80" orientation="portrait" horizontalDpi="4294967292" verticalDpi="4294967292"/>
  <headerFooter alignWithMargins="0"/>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32069-FC8D-1741-8F83-FBFB534A1955}">
  <sheetPr>
    <pageSetUpPr fitToPage="1"/>
  </sheetPr>
  <dimension ref="A1:K37"/>
  <sheetViews>
    <sheetView topLeftCell="A11" zoomScale="75" workbookViewId="0">
      <selection activeCell="A25" sqref="A25"/>
    </sheetView>
  </sheetViews>
  <sheetFormatPr baseColWidth="10" defaultColWidth="11.3984375" defaultRowHeight="13"/>
  <cols>
    <col min="1" max="1" width="10.59765625" style="2" customWidth="1"/>
    <col min="2" max="8" width="13.59765625" style="170" customWidth="1"/>
    <col min="9" max="9" width="8.796875" style="2" customWidth="1"/>
    <col min="10" max="16384" width="11.3984375" style="2"/>
  </cols>
  <sheetData>
    <row r="1" spans="1:10" s="1" customFormat="1" ht="14" customHeight="1">
      <c r="A1" s="404"/>
      <c r="B1" s="690"/>
      <c r="C1" s="690"/>
      <c r="D1" s="690"/>
      <c r="E1" s="690"/>
      <c r="F1" s="690"/>
      <c r="G1" s="690"/>
      <c r="H1" s="690"/>
    </row>
    <row r="2" spans="1:10" s="1" customFormat="1" ht="36" customHeight="1">
      <c r="A2" s="1611" t="s">
        <v>518</v>
      </c>
      <c r="B2" s="1610"/>
      <c r="C2" s="1610"/>
      <c r="D2" s="1610"/>
      <c r="E2" s="1610"/>
      <c r="F2" s="1610"/>
      <c r="G2" s="1610"/>
      <c r="H2" s="192">
        <v>2005</v>
      </c>
    </row>
    <row r="3" spans="1:10" ht="27" customHeight="1">
      <c r="A3" s="125" t="s">
        <v>1254</v>
      </c>
      <c r="B3" s="126" t="s">
        <v>519</v>
      </c>
      <c r="C3" s="127" t="s">
        <v>2129</v>
      </c>
      <c r="D3" s="126" t="s">
        <v>2106</v>
      </c>
      <c r="E3" s="127" t="s">
        <v>520</v>
      </c>
      <c r="F3" s="126" t="s">
        <v>530</v>
      </c>
      <c r="G3" s="127" t="s">
        <v>521</v>
      </c>
      <c r="H3" s="126" t="s">
        <v>43</v>
      </c>
    </row>
    <row r="4" spans="1:10" ht="15" customHeight="1">
      <c r="A4" s="212"/>
      <c r="B4" s="353" t="s">
        <v>522</v>
      </c>
      <c r="C4" s="692" t="s">
        <v>2152</v>
      </c>
      <c r="D4" s="129" t="s">
        <v>531</v>
      </c>
      <c r="E4" s="131" t="s">
        <v>523</v>
      </c>
      <c r="F4" s="129"/>
      <c r="G4" s="131"/>
      <c r="H4" s="129"/>
    </row>
    <row r="5" spans="1:10" ht="15" customHeight="1">
      <c r="A5" s="212"/>
      <c r="B5" s="129" t="s">
        <v>524</v>
      </c>
      <c r="C5" s="131"/>
      <c r="D5" s="129"/>
      <c r="E5" s="692" t="s">
        <v>532</v>
      </c>
      <c r="F5" s="353"/>
      <c r="G5" s="692"/>
      <c r="H5" s="353"/>
      <c r="J5" s="976"/>
    </row>
    <row r="6" spans="1:10" ht="21.75" customHeight="1">
      <c r="A6" s="308"/>
      <c r="B6" s="135" t="s">
        <v>533</v>
      </c>
      <c r="C6" s="134"/>
      <c r="D6" s="135"/>
      <c r="E6" s="134"/>
      <c r="F6" s="135"/>
      <c r="G6" s="134"/>
      <c r="H6" s="135"/>
    </row>
    <row r="7" spans="1:10" ht="21" customHeight="1" thickBot="1">
      <c r="A7" s="354">
        <v>1996</v>
      </c>
      <c r="B7" s="961">
        <v>18184.040445464139</v>
      </c>
      <c r="C7" s="633">
        <v>10932.716294797674</v>
      </c>
      <c r="D7" s="961">
        <v>1268.9714576684796</v>
      </c>
      <c r="E7" s="633">
        <v>4540.3470588235296</v>
      </c>
      <c r="F7" s="961">
        <v>966.86547804090924</v>
      </c>
      <c r="G7" s="633">
        <v>2015.3489631466664</v>
      </c>
      <c r="H7" s="961">
        <v>37908.2896979414</v>
      </c>
    </row>
    <row r="8" spans="1:10" ht="20.25" customHeight="1" thickBot="1">
      <c r="A8" s="355">
        <v>1997</v>
      </c>
      <c r="B8" s="700">
        <v>18483.938030623332</v>
      </c>
      <c r="C8" s="701">
        <v>11172.859777209607</v>
      </c>
      <c r="D8" s="700">
        <v>1237.2489177234406</v>
      </c>
      <c r="E8" s="701">
        <v>4778.8981705882352</v>
      </c>
      <c r="F8" s="700">
        <v>938.77448458000003</v>
      </c>
      <c r="G8" s="701">
        <v>2057.9071603399998</v>
      </c>
      <c r="H8" s="700">
        <v>38669.626541064616</v>
      </c>
    </row>
    <row r="9" spans="1:10" ht="20.25" customHeight="1" thickBot="1">
      <c r="A9" s="355">
        <v>1998</v>
      </c>
      <c r="B9" s="700">
        <v>19029.318450073679</v>
      </c>
      <c r="C9" s="701">
        <v>11874.35810787395</v>
      </c>
      <c r="D9" s="700">
        <v>1356.5677703307178</v>
      </c>
      <c r="E9" s="701">
        <v>4913.3724305941168</v>
      </c>
      <c r="F9" s="700">
        <v>983.21470195428628</v>
      </c>
      <c r="G9" s="701">
        <v>2135.5628481599997</v>
      </c>
      <c r="H9" s="700">
        <v>40292.394308986753</v>
      </c>
    </row>
    <row r="10" spans="1:10" ht="20.25" customHeight="1" thickBot="1">
      <c r="A10" s="355">
        <v>1999</v>
      </c>
      <c r="B10" s="700">
        <v>19459.674308298851</v>
      </c>
      <c r="C10" s="701">
        <v>12357.690062899601</v>
      </c>
      <c r="D10" s="700">
        <v>1393.9774232153918</v>
      </c>
      <c r="E10" s="701">
        <v>5198.8475422014762</v>
      </c>
      <c r="F10" s="700">
        <v>1015.086034722207</v>
      </c>
      <c r="G10" s="701">
        <v>2160.2840630000001</v>
      </c>
      <c r="H10" s="700">
        <v>41585.55943433752</v>
      </c>
    </row>
    <row r="11" spans="1:10" ht="20.25" customHeight="1" thickBot="1">
      <c r="A11" s="355">
        <v>2000</v>
      </c>
      <c r="B11" s="700">
        <v>20309.111119965513</v>
      </c>
      <c r="C11" s="701">
        <v>12926.336575347925</v>
      </c>
      <c r="D11" s="700">
        <v>1430.1583748696057</v>
      </c>
      <c r="E11" s="701">
        <v>5475.438530920148</v>
      </c>
      <c r="F11" s="700">
        <v>1014.11623525604</v>
      </c>
      <c r="G11" s="701">
        <v>2210.1582759999997</v>
      </c>
      <c r="H11" s="700">
        <v>43365.319112359233</v>
      </c>
    </row>
    <row r="12" spans="1:10" ht="20.25" customHeight="1" thickBot="1">
      <c r="A12" s="355">
        <v>2001</v>
      </c>
      <c r="B12" s="700">
        <v>21805.054371000002</v>
      </c>
      <c r="C12" s="701">
        <v>13690.949264204983</v>
      </c>
      <c r="D12" s="700">
        <v>1471.1430430916139</v>
      </c>
      <c r="E12" s="701">
        <v>5829.5053846335832</v>
      </c>
      <c r="F12" s="700">
        <v>1062.7870063791461</v>
      </c>
      <c r="G12" s="701">
        <v>2270.0527489999999</v>
      </c>
      <c r="H12" s="700">
        <v>46129.491818309332</v>
      </c>
    </row>
    <row r="13" spans="1:10" ht="20.25" customHeight="1" thickBot="1">
      <c r="A13" s="355">
        <v>2002</v>
      </c>
      <c r="B13" s="700">
        <v>23011.654589862497</v>
      </c>
      <c r="C13" s="701">
        <v>14164.252550727681</v>
      </c>
      <c r="D13" s="700">
        <v>1526.2390168419893</v>
      </c>
      <c r="E13" s="701">
        <v>5899.2236182451925</v>
      </c>
      <c r="F13" s="700">
        <v>1052.5616069842113</v>
      </c>
      <c r="G13" s="701">
        <v>2327.5368271152074</v>
      </c>
      <c r="H13" s="700">
        <v>47981.46820977678</v>
      </c>
    </row>
    <row r="14" spans="1:10" ht="20.25" customHeight="1" thickBot="1">
      <c r="A14" s="355">
        <v>2003</v>
      </c>
      <c r="B14" s="700">
        <v>23857.767016314607</v>
      </c>
      <c r="C14" s="701">
        <v>14647.207027090521</v>
      </c>
      <c r="D14" s="700">
        <v>1546.5271226262025</v>
      </c>
      <c r="E14" s="701">
        <v>6306.7298112442477</v>
      </c>
      <c r="F14" s="700">
        <v>1122.7699346072109</v>
      </c>
      <c r="G14" s="701">
        <v>2399.5531361253825</v>
      </c>
      <c r="H14" s="700">
        <v>49880.554048008176</v>
      </c>
    </row>
    <row r="15" spans="1:10" ht="20.25" customHeight="1" thickBot="1">
      <c r="A15" s="970">
        <v>2004</v>
      </c>
      <c r="B15" s="736">
        <v>24584.753408516975</v>
      </c>
      <c r="C15" s="770">
        <v>15193.377809727141</v>
      </c>
      <c r="D15" s="736">
        <v>1704.7484965799663</v>
      </c>
      <c r="E15" s="770">
        <v>6531.3195717647059</v>
      </c>
      <c r="F15" s="736">
        <v>1122.7977613085018</v>
      </c>
      <c r="G15" s="770">
        <v>2510.2678083289275</v>
      </c>
      <c r="H15" s="736">
        <v>51647.264856226218</v>
      </c>
    </row>
    <row r="16" spans="1:10" s="980" customFormat="1" ht="30" customHeight="1" thickBot="1">
      <c r="A16" s="977" t="s">
        <v>534</v>
      </c>
      <c r="B16" s="978">
        <v>25602.25934957376</v>
      </c>
      <c r="C16" s="979">
        <v>15872.288148500807</v>
      </c>
      <c r="D16" s="978">
        <v>1754.8166823217605</v>
      </c>
      <c r="E16" s="979">
        <v>6840.077472339126</v>
      </c>
      <c r="F16" s="978">
        <v>1148.210983457978</v>
      </c>
      <c r="G16" s="979">
        <v>2602.3245290135328</v>
      </c>
      <c r="H16" s="978">
        <v>53819.977165206961</v>
      </c>
    </row>
    <row r="17" spans="1:11" ht="20" customHeight="1">
      <c r="A17" s="708" t="s">
        <v>590</v>
      </c>
      <c r="B17" s="709"/>
      <c r="C17" s="709"/>
      <c r="D17" s="709"/>
      <c r="E17" s="709"/>
      <c r="F17" s="709"/>
      <c r="G17" s="709"/>
      <c r="H17" s="709"/>
    </row>
    <row r="18" spans="1:11" ht="12.75" customHeight="1">
      <c r="A18" s="713"/>
      <c r="B18" s="714"/>
      <c r="C18" s="714"/>
      <c r="D18" s="714"/>
      <c r="E18" s="714"/>
      <c r="F18" s="714"/>
      <c r="G18" s="714"/>
      <c r="H18" s="714"/>
    </row>
    <row r="19" spans="1:11" ht="12.75" customHeight="1">
      <c r="A19" s="713" t="s">
        <v>525</v>
      </c>
      <c r="B19" s="714"/>
      <c r="C19" s="714"/>
      <c r="D19" s="714"/>
      <c r="E19" s="714"/>
      <c r="F19" s="714"/>
      <c r="G19" s="714"/>
      <c r="H19" s="714"/>
    </row>
    <row r="20" spans="1:11" ht="12.75" customHeight="1">
      <c r="A20" s="713" t="s">
        <v>526</v>
      </c>
      <c r="B20" s="714"/>
      <c r="C20" s="714"/>
      <c r="D20" s="714"/>
      <c r="E20" s="714"/>
      <c r="F20" s="714"/>
      <c r="G20" s="714"/>
      <c r="H20" s="714"/>
    </row>
    <row r="21" spans="1:11" ht="12.75" customHeight="1">
      <c r="A21" s="713" t="s">
        <v>527</v>
      </c>
      <c r="B21" s="714"/>
      <c r="C21" s="714"/>
      <c r="D21" s="714"/>
      <c r="E21" s="714"/>
      <c r="F21" s="714"/>
      <c r="G21" s="714"/>
      <c r="H21" s="714"/>
    </row>
    <row r="22" spans="1:11" ht="12.75" customHeight="1">
      <c r="A22" s="713" t="s">
        <v>528</v>
      </c>
      <c r="B22" s="714"/>
      <c r="C22" s="714"/>
      <c r="D22" s="714"/>
      <c r="E22" s="714"/>
      <c r="F22" s="714"/>
      <c r="G22" s="714"/>
      <c r="H22" s="714"/>
    </row>
    <row r="23" spans="1:11" ht="12.75" customHeight="1">
      <c r="A23" s="717" t="s">
        <v>529</v>
      </c>
      <c r="B23" s="714"/>
      <c r="C23" s="714"/>
      <c r="D23" s="714"/>
      <c r="E23" s="714"/>
      <c r="F23" s="714"/>
      <c r="G23" s="714"/>
      <c r="H23" s="714"/>
    </row>
    <row r="24" spans="1:11" ht="12.75" customHeight="1">
      <c r="A24" s="713"/>
      <c r="B24" s="714"/>
      <c r="C24" s="714"/>
      <c r="D24" s="714"/>
      <c r="E24" s="714"/>
      <c r="F24" s="714"/>
      <c r="G24" s="714"/>
      <c r="H24" s="714"/>
    </row>
    <row r="25" spans="1:11" ht="12.75" customHeight="1">
      <c r="A25" s="713" t="s">
        <v>588</v>
      </c>
      <c r="B25" s="714"/>
      <c r="C25" s="714"/>
      <c r="D25" s="714"/>
      <c r="E25" s="714"/>
      <c r="F25" s="714"/>
      <c r="G25" s="714"/>
      <c r="H25" s="714"/>
    </row>
    <row r="26" spans="1:11" ht="14.25" customHeight="1">
      <c r="A26" s="404"/>
      <c r="B26" s="726"/>
      <c r="C26" s="726"/>
      <c r="D26" s="726"/>
      <c r="E26" s="726"/>
      <c r="F26" s="726"/>
      <c r="G26" s="726"/>
      <c r="H26" s="726"/>
    </row>
    <row r="27" spans="1:11" ht="14.25" customHeight="1">
      <c r="A27" s="171"/>
      <c r="B27" s="726"/>
      <c r="C27" s="726"/>
      <c r="D27" s="726"/>
      <c r="E27" s="726"/>
      <c r="F27" s="726"/>
      <c r="G27" s="726"/>
      <c r="H27" s="726"/>
    </row>
    <row r="28" spans="1:11" ht="14.25" customHeight="1">
      <c r="A28" s="507" t="s">
        <v>128</v>
      </c>
      <c r="B28" s="726"/>
      <c r="C28" s="726"/>
      <c r="D28" s="726"/>
      <c r="E28" s="726"/>
      <c r="F28" s="726"/>
      <c r="G28" s="726"/>
      <c r="H28" s="726"/>
    </row>
    <row r="29" spans="1:11" ht="18" customHeight="1">
      <c r="A29" s="507"/>
      <c r="B29" s="726"/>
      <c r="C29" s="726"/>
      <c r="D29" s="726"/>
      <c r="E29" s="726"/>
      <c r="F29" s="726"/>
      <c r="G29" s="726"/>
      <c r="H29" s="726"/>
    </row>
    <row r="30" spans="1:11" ht="18" customHeight="1">
      <c r="A30" s="507"/>
      <c r="B30" s="726"/>
      <c r="C30" s="726"/>
      <c r="D30" s="726"/>
      <c r="E30" s="726"/>
      <c r="F30" s="726"/>
      <c r="G30" s="726"/>
      <c r="H30" s="726"/>
      <c r="K30" s="171"/>
    </row>
    <row r="31" spans="1:11" ht="31" customHeight="1">
      <c r="A31" s="507"/>
      <c r="B31" s="726"/>
      <c r="C31" s="726"/>
      <c r="D31" s="726"/>
      <c r="E31" s="726"/>
      <c r="F31" s="726"/>
      <c r="G31" s="726"/>
      <c r="H31" s="726"/>
    </row>
    <row r="32" spans="1:11" ht="31" customHeight="1">
      <c r="A32" s="507"/>
      <c r="B32" s="726"/>
      <c r="C32" s="726"/>
      <c r="D32" s="726"/>
      <c r="E32" s="726"/>
      <c r="F32" s="726"/>
      <c r="G32" s="726"/>
      <c r="H32" s="726"/>
    </row>
    <row r="33" spans="1:8" ht="31" customHeight="1">
      <c r="A33" s="507"/>
      <c r="B33" s="726"/>
      <c r="C33" s="726"/>
      <c r="D33" s="726"/>
      <c r="E33" s="726"/>
      <c r="F33" s="726"/>
      <c r="G33" s="726"/>
      <c r="H33" s="726"/>
    </row>
    <row r="34" spans="1:8" ht="31" customHeight="1">
      <c r="A34" s="507"/>
      <c r="B34" s="726"/>
      <c r="C34" s="726"/>
      <c r="D34" s="726"/>
      <c r="E34" s="726"/>
      <c r="F34" s="726"/>
      <c r="G34" s="726"/>
      <c r="H34" s="726"/>
    </row>
    <row r="35" spans="1:8" ht="31" customHeight="1">
      <c r="A35" s="507"/>
      <c r="B35" s="726"/>
      <c r="C35" s="726"/>
      <c r="D35" s="726"/>
      <c r="E35" s="726"/>
      <c r="F35" s="726"/>
      <c r="G35" s="726"/>
      <c r="H35" s="726"/>
    </row>
    <row r="36" spans="1:8">
      <c r="A36" s="507"/>
      <c r="B36" s="726"/>
      <c r="C36" s="726"/>
      <c r="D36" s="726"/>
      <c r="E36" s="726"/>
      <c r="F36" s="726"/>
      <c r="G36" s="726"/>
      <c r="H36" s="726"/>
    </row>
    <row r="37" spans="1:8">
      <c r="A37" s="507"/>
      <c r="B37" s="726"/>
      <c r="C37" s="726"/>
      <c r="D37" s="726"/>
      <c r="E37" s="726"/>
      <c r="F37" s="726"/>
      <c r="G37" s="726"/>
      <c r="H37" s="726"/>
    </row>
  </sheetData>
  <mergeCells count="1">
    <mergeCell ref="A2:G2"/>
  </mergeCells>
  <phoneticPr fontId="0" type="noConversion"/>
  <pageMargins left="0.59" right="0.51" top="1.05" bottom="0.49" header="0.6" footer="0.4921259845"/>
  <pageSetup paperSize="9" scale="88" orientation="portrait" horizontalDpi="4294967292" verticalDpi="4294967292"/>
  <headerFooter alignWithMargins="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DB0B8-2BCB-B34E-9C86-43C379F3F415}">
  <sheetPr>
    <pageSetUpPr fitToPage="1"/>
  </sheetPr>
  <dimension ref="A1:H39"/>
  <sheetViews>
    <sheetView topLeftCell="A8" zoomScale="75" workbookViewId="0">
      <selection activeCell="E23" sqref="E23"/>
    </sheetView>
  </sheetViews>
  <sheetFormatPr baseColWidth="10" defaultColWidth="11.3984375" defaultRowHeight="13"/>
  <cols>
    <col min="1" max="1" width="11.796875" style="2" customWidth="1"/>
    <col min="2" max="5" width="16.19921875" style="170" customWidth="1"/>
    <col min="6" max="6" width="13.3984375" style="2" customWidth="1"/>
    <col min="7" max="7" width="15.59765625" style="2" customWidth="1"/>
    <col min="8" max="8" width="12.59765625" style="2" customWidth="1"/>
    <col min="9" max="16384" width="11.3984375" style="2"/>
  </cols>
  <sheetData>
    <row r="1" spans="1:8" s="1" customFormat="1" ht="14" customHeight="1">
      <c r="A1" s="404"/>
      <c r="B1" s="690"/>
      <c r="C1" s="690"/>
      <c r="D1" s="690"/>
      <c r="E1" s="690"/>
    </row>
    <row r="2" spans="1:8" s="1" customFormat="1" ht="39" customHeight="1">
      <c r="A2" s="1622" t="s">
        <v>1809</v>
      </c>
      <c r="B2" s="1609"/>
      <c r="C2" s="1609"/>
      <c r="D2" s="1609"/>
      <c r="E2" s="1609"/>
      <c r="F2" s="1609"/>
      <c r="G2" s="1609"/>
      <c r="H2" s="192">
        <v>2005</v>
      </c>
    </row>
    <row r="3" spans="1:8" ht="27" customHeight="1">
      <c r="A3" s="125" t="s">
        <v>1254</v>
      </c>
      <c r="B3" s="126" t="s">
        <v>512</v>
      </c>
      <c r="C3" s="127" t="s">
        <v>1810</v>
      </c>
      <c r="D3" s="126" t="s">
        <v>1811</v>
      </c>
      <c r="E3" s="127" t="s">
        <v>43</v>
      </c>
      <c r="F3" s="126" t="s">
        <v>265</v>
      </c>
      <c r="G3" s="127" t="s">
        <v>1812</v>
      </c>
      <c r="H3" s="126" t="s">
        <v>265</v>
      </c>
    </row>
    <row r="4" spans="1:8" ht="18" customHeight="1">
      <c r="A4" s="212"/>
      <c r="B4" s="353"/>
      <c r="C4" s="692" t="s">
        <v>513</v>
      </c>
      <c r="D4" s="129" t="s">
        <v>514</v>
      </c>
      <c r="E4" s="131"/>
      <c r="F4" s="129" t="s">
        <v>267</v>
      </c>
      <c r="G4" s="131" t="s">
        <v>1813</v>
      </c>
      <c r="H4" s="129" t="s">
        <v>267</v>
      </c>
    </row>
    <row r="5" spans="1:8" ht="15" customHeight="1">
      <c r="A5" s="212"/>
      <c r="B5" s="129"/>
      <c r="C5" s="131"/>
      <c r="D5" s="129"/>
      <c r="E5" s="692"/>
      <c r="F5" s="129" t="s">
        <v>268</v>
      </c>
      <c r="G5" s="692"/>
      <c r="H5" s="129" t="s">
        <v>268</v>
      </c>
    </row>
    <row r="6" spans="1:8" ht="21.75" customHeight="1">
      <c r="A6" s="308"/>
      <c r="B6" s="135"/>
      <c r="C6" s="134"/>
      <c r="D6" s="135"/>
      <c r="E6" s="134"/>
      <c r="F6" s="135"/>
      <c r="G6" s="134"/>
      <c r="H6" s="135"/>
    </row>
    <row r="7" spans="1:8" ht="23.25" customHeight="1" thickBot="1">
      <c r="A7" s="354">
        <v>1996</v>
      </c>
      <c r="B7" s="961">
        <v>9402.673347426311</v>
      </c>
      <c r="C7" s="633">
        <v>2347.3352733385641</v>
      </c>
      <c r="D7" s="961">
        <v>26158.281077176533</v>
      </c>
      <c r="E7" s="633">
        <v>37908.289697941407</v>
      </c>
      <c r="F7" s="300">
        <v>4.8323025860493536E-2</v>
      </c>
      <c r="G7" s="633">
        <v>5335.1034823065866</v>
      </c>
      <c r="H7" s="300">
        <v>4.4699999999999997E-2</v>
      </c>
    </row>
    <row r="8" spans="1:8" ht="21" customHeight="1" thickBot="1">
      <c r="A8" s="355">
        <v>1997</v>
      </c>
      <c r="B8" s="700">
        <v>9654.0910198338697</v>
      </c>
      <c r="C8" s="701">
        <v>2440.1947971126083</v>
      </c>
      <c r="D8" s="700">
        <v>26575.34072411813</v>
      </c>
      <c r="E8" s="701">
        <v>38669.626541064608</v>
      </c>
      <c r="F8" s="301">
        <v>2.0083650546876167E-2</v>
      </c>
      <c r="G8" s="701">
        <v>5436.040373717623</v>
      </c>
      <c r="H8" s="301">
        <v>1.8919387739297834E-2</v>
      </c>
    </row>
    <row r="9" spans="1:8" ht="21" customHeight="1" thickBot="1">
      <c r="A9" s="355">
        <v>1998</v>
      </c>
      <c r="B9" s="700">
        <v>9984.746050771746</v>
      </c>
      <c r="C9" s="701">
        <v>2593.5652962861982</v>
      </c>
      <c r="D9" s="700">
        <v>27714.082961928805</v>
      </c>
      <c r="E9" s="701">
        <v>40292.394308986753</v>
      </c>
      <c r="F9" s="301">
        <v>4.1964919578389825E-2</v>
      </c>
      <c r="G9" s="701">
        <v>5649.6111981829717</v>
      </c>
      <c r="H9" s="301">
        <v>3.9287939342380389E-2</v>
      </c>
    </row>
    <row r="10" spans="1:8" ht="21" customHeight="1" thickBot="1">
      <c r="A10" s="355">
        <v>1999</v>
      </c>
      <c r="B10" s="700">
        <v>10656.904469976387</v>
      </c>
      <c r="C10" s="701">
        <v>2694.7311419763864</v>
      </c>
      <c r="D10" s="700">
        <v>28233.923822384764</v>
      </c>
      <c r="E10" s="701">
        <v>41585.559434337541</v>
      </c>
      <c r="F10" s="301">
        <v>3.2094521746064676E-2</v>
      </c>
      <c r="G10" s="701">
        <v>5802.5784442430486</v>
      </c>
      <c r="H10" s="301">
        <v>2.7075712061260811E-2</v>
      </c>
    </row>
    <row r="11" spans="1:8" ht="21" customHeight="1" thickBot="1">
      <c r="A11" s="355">
        <v>2000</v>
      </c>
      <c r="B11" s="700">
        <v>10991.927290144806</v>
      </c>
      <c r="C11" s="701">
        <v>2792.2657321448069</v>
      </c>
      <c r="D11" s="700">
        <v>29581.126090069618</v>
      </c>
      <c r="E11" s="701">
        <v>43365.319112359226</v>
      </c>
      <c r="F11" s="301">
        <v>4.2797540834622561E-2</v>
      </c>
      <c r="G11" s="701">
        <v>6015.4066396560347</v>
      </c>
      <c r="H11" s="301">
        <v>3.6678210808875976E-2</v>
      </c>
    </row>
    <row r="12" spans="1:8" ht="21" customHeight="1" thickBot="1">
      <c r="A12" s="355">
        <v>2001</v>
      </c>
      <c r="B12" s="700">
        <v>12353.64977059135</v>
      </c>
      <c r="C12" s="701">
        <v>2947.8544295913507</v>
      </c>
      <c r="D12" s="700">
        <v>30827.987618126626</v>
      </c>
      <c r="E12" s="701">
        <v>46129.491818309325</v>
      </c>
      <c r="F12" s="301">
        <v>6.3741551141089217E-2</v>
      </c>
      <c r="G12" s="701">
        <v>6353.6278152176264</v>
      </c>
      <c r="H12" s="301">
        <v>5.62258207669451E-2</v>
      </c>
    </row>
    <row r="13" spans="1:8" ht="21" customHeight="1" thickBot="1">
      <c r="A13" s="355">
        <v>2002</v>
      </c>
      <c r="B13" s="700">
        <v>13414.018758376647</v>
      </c>
      <c r="C13" s="701">
        <v>2947.2222346095036</v>
      </c>
      <c r="D13" s="700">
        <v>31620.227216790623</v>
      </c>
      <c r="E13" s="701">
        <v>47981.468209776773</v>
      </c>
      <c r="F13" s="301">
        <v>4.0147339987222162E-2</v>
      </c>
      <c r="G13" s="701">
        <v>6530.0721456682468</v>
      </c>
      <c r="H13" s="301">
        <v>2.7770643100626238E-2</v>
      </c>
    </row>
    <row r="14" spans="1:8" ht="21" customHeight="1" thickBot="1">
      <c r="A14" s="355">
        <v>2003</v>
      </c>
      <c r="B14" s="700">
        <v>14022.881426830974</v>
      </c>
      <c r="C14" s="701">
        <v>3116.2215426090725</v>
      </c>
      <c r="D14" s="700">
        <v>32741.45107856812</v>
      </c>
      <c r="E14" s="701">
        <v>49880.554048008169</v>
      </c>
      <c r="F14" s="301">
        <v>3.9579569135494604E-2</v>
      </c>
      <c r="G14" s="701">
        <v>6736.0176247277932</v>
      </c>
      <c r="H14" s="301">
        <v>3.1538009759380883E-2</v>
      </c>
    </row>
    <row r="15" spans="1:8" ht="21" customHeight="1" thickBot="1">
      <c r="A15" s="970">
        <v>2004</v>
      </c>
      <c r="B15" s="736">
        <v>14090.924532270164</v>
      </c>
      <c r="C15" s="770">
        <v>3302.0295907894733</v>
      </c>
      <c r="D15" s="736">
        <v>34254.310733166574</v>
      </c>
      <c r="E15" s="770">
        <v>51647.264856226211</v>
      </c>
      <c r="F15" s="769">
        <v>3.5418828879038695E-2</v>
      </c>
      <c r="G15" s="770">
        <v>6928.6945052913361</v>
      </c>
      <c r="H15" s="769">
        <v>2.8603975122664424E-2</v>
      </c>
    </row>
    <row r="16" spans="1:8" ht="26.25" customHeight="1" thickBot="1">
      <c r="A16" s="971" t="s">
        <v>515</v>
      </c>
      <c r="B16" s="972" t="s">
        <v>1646</v>
      </c>
      <c r="C16" s="911" t="s">
        <v>1646</v>
      </c>
      <c r="D16" s="972" t="s">
        <v>1646</v>
      </c>
      <c r="E16" s="911">
        <v>53819.977165206961</v>
      </c>
      <c r="F16" s="973">
        <v>4.206829374273871E-2</v>
      </c>
      <c r="G16" s="911">
        <v>7174.7963727678853</v>
      </c>
      <c r="H16" s="973">
        <v>3.5519226210450609E-2</v>
      </c>
    </row>
    <row r="17" spans="1:8" ht="26.25" customHeight="1" thickBot="1">
      <c r="A17" s="971" t="s">
        <v>516</v>
      </c>
      <c r="B17" s="972" t="s">
        <v>1646</v>
      </c>
      <c r="C17" s="911" t="s">
        <v>1646</v>
      </c>
      <c r="D17" s="972" t="s">
        <v>1646</v>
      </c>
      <c r="E17" s="911">
        <v>56005.209938169188</v>
      </c>
      <c r="F17" s="973">
        <v>4.0602632852377266E-2</v>
      </c>
      <c r="G17" s="911" t="s">
        <v>1646</v>
      </c>
      <c r="H17" s="973" t="s">
        <v>1646</v>
      </c>
    </row>
    <row r="18" spans="1:8" ht="26.25" customHeight="1" thickBot="1">
      <c r="A18" s="971" t="s">
        <v>517</v>
      </c>
      <c r="B18" s="972" t="s">
        <v>1646</v>
      </c>
      <c r="C18" s="911" t="s">
        <v>1646</v>
      </c>
      <c r="D18" s="972" t="s">
        <v>1646</v>
      </c>
      <c r="E18" s="911">
        <v>58279.168915109076</v>
      </c>
      <c r="F18" s="973">
        <v>4.0602632852378945E-2</v>
      </c>
      <c r="G18" s="974" t="s">
        <v>1646</v>
      </c>
      <c r="H18" s="975" t="s">
        <v>1646</v>
      </c>
    </row>
    <row r="19" spans="1:8" ht="20" customHeight="1">
      <c r="A19" s="708" t="s">
        <v>590</v>
      </c>
      <c r="B19" s="709"/>
      <c r="C19" s="709"/>
      <c r="D19" s="709"/>
      <c r="E19" s="709"/>
      <c r="F19" s="709"/>
    </row>
    <row r="20" spans="1:8" ht="10.5" customHeight="1">
      <c r="A20" s="713"/>
      <c r="B20" s="714"/>
      <c r="C20" s="714"/>
      <c r="D20" s="714"/>
      <c r="E20" s="714"/>
    </row>
    <row r="21" spans="1:8" ht="12.75" customHeight="1">
      <c r="A21" s="713" t="s">
        <v>1814</v>
      </c>
      <c r="B21" s="714"/>
      <c r="C21" s="714"/>
      <c r="D21" s="714"/>
      <c r="E21" s="714"/>
    </row>
    <row r="22" spans="1:8" ht="12.75" customHeight="1">
      <c r="A22" s="713" t="s">
        <v>1815</v>
      </c>
      <c r="B22" s="714"/>
      <c r="C22" s="714"/>
      <c r="D22" s="714"/>
      <c r="E22" s="714"/>
      <c r="F22" s="714"/>
      <c r="G22" s="714"/>
    </row>
    <row r="23" spans="1:8" ht="12.75" customHeight="1">
      <c r="A23" s="713" t="s">
        <v>1816</v>
      </c>
      <c r="B23" s="714"/>
      <c r="C23" s="714"/>
      <c r="D23" s="714"/>
      <c r="E23" s="714"/>
      <c r="F23" s="714"/>
      <c r="G23" s="714"/>
    </row>
    <row r="24" spans="1:8" ht="12.75" customHeight="1">
      <c r="A24" s="713" t="s">
        <v>510</v>
      </c>
      <c r="B24" s="714"/>
      <c r="C24" s="714"/>
      <c r="D24" s="714"/>
      <c r="E24" s="714"/>
      <c r="F24" s="714"/>
      <c r="G24" s="714"/>
    </row>
    <row r="25" spans="1:8" ht="12.75" customHeight="1">
      <c r="A25" s="717" t="s">
        <v>511</v>
      </c>
      <c r="B25" s="714"/>
      <c r="C25" s="714"/>
      <c r="D25" s="714"/>
      <c r="E25" s="714"/>
      <c r="F25" s="714"/>
      <c r="G25" s="714"/>
    </row>
    <row r="26" spans="1:8" ht="12.75" customHeight="1">
      <c r="A26" s="713"/>
      <c r="B26" s="714"/>
      <c r="C26" s="714"/>
      <c r="D26" s="714"/>
      <c r="E26" s="714"/>
      <c r="F26" s="714"/>
      <c r="G26" s="714"/>
    </row>
    <row r="27" spans="1:8" ht="12.75" customHeight="1">
      <c r="A27" s="713" t="s">
        <v>591</v>
      </c>
      <c r="B27" s="714"/>
      <c r="C27" s="714"/>
      <c r="D27" s="714"/>
      <c r="E27" s="714"/>
    </row>
    <row r="28" spans="1:8" ht="15.75" customHeight="1">
      <c r="A28" s="404"/>
      <c r="B28" s="726"/>
      <c r="C28" s="726"/>
      <c r="D28" s="726"/>
      <c r="E28" s="726"/>
    </row>
    <row r="29" spans="1:8" ht="12" customHeight="1">
      <c r="A29" s="171"/>
      <c r="B29" s="726"/>
      <c r="C29" s="726"/>
      <c r="D29" s="726"/>
      <c r="E29" s="726"/>
    </row>
    <row r="30" spans="1:8" ht="15.75" customHeight="1">
      <c r="A30" s="507" t="s">
        <v>128</v>
      </c>
      <c r="B30" s="726"/>
      <c r="C30" s="726"/>
      <c r="D30" s="726"/>
      <c r="E30" s="726"/>
    </row>
    <row r="31" spans="1:8" ht="31" customHeight="1">
      <c r="A31" s="507"/>
      <c r="B31" s="726"/>
      <c r="C31" s="726"/>
      <c r="D31" s="726"/>
      <c r="E31" s="726"/>
    </row>
    <row r="32" spans="1:8" ht="31" customHeight="1">
      <c r="A32" s="507"/>
      <c r="B32" s="726"/>
      <c r="C32" s="726"/>
      <c r="D32" s="726"/>
      <c r="E32" s="726"/>
      <c r="H32" s="171"/>
    </row>
    <row r="33" spans="1:5" ht="31" customHeight="1">
      <c r="A33" s="507"/>
      <c r="B33" s="726"/>
      <c r="C33" s="726"/>
      <c r="D33" s="726"/>
      <c r="E33" s="726"/>
    </row>
    <row r="34" spans="1:5" ht="31" customHeight="1">
      <c r="A34" s="507"/>
      <c r="B34" s="726"/>
      <c r="C34" s="726"/>
      <c r="D34" s="726"/>
      <c r="E34" s="726"/>
    </row>
    <row r="35" spans="1:5" ht="31" customHeight="1">
      <c r="A35" s="507"/>
      <c r="B35" s="726"/>
      <c r="C35" s="726"/>
      <c r="D35" s="726"/>
      <c r="E35" s="726"/>
    </row>
    <row r="36" spans="1:5" ht="31" customHeight="1">
      <c r="A36" s="507"/>
      <c r="B36" s="726"/>
      <c r="C36" s="726"/>
      <c r="D36" s="726"/>
      <c r="E36" s="726"/>
    </row>
    <row r="37" spans="1:5" ht="31" customHeight="1">
      <c r="A37" s="507"/>
      <c r="B37" s="726"/>
      <c r="C37" s="726"/>
      <c r="D37" s="726"/>
      <c r="E37" s="726"/>
    </row>
    <row r="38" spans="1:5">
      <c r="A38" s="507"/>
      <c r="B38" s="726"/>
      <c r="C38" s="726"/>
      <c r="D38" s="726"/>
      <c r="E38" s="726"/>
    </row>
    <row r="39" spans="1:5">
      <c r="A39" s="507"/>
      <c r="B39" s="726"/>
      <c r="C39" s="726"/>
      <c r="D39" s="726"/>
      <c r="E39" s="726"/>
    </row>
  </sheetData>
  <mergeCells count="1">
    <mergeCell ref="A2:G2"/>
  </mergeCells>
  <phoneticPr fontId="0" type="noConversion"/>
  <pageMargins left="0.59" right="0.61" top="0.98" bottom="0.49" header="0.55000000000000004" footer="0.4921259845"/>
  <pageSetup paperSize="9" scale="78" orientation="portrait" horizontalDpi="4294967292" verticalDpi="4294967292"/>
  <headerFooter alignWithMargins="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C70A-B3C2-4E41-B4D1-2F077019EE40}">
  <sheetPr>
    <pageSetUpPr fitToPage="1"/>
  </sheetPr>
  <dimension ref="A1:AF114"/>
  <sheetViews>
    <sheetView topLeftCell="L1" zoomScale="75" workbookViewId="0">
      <selection activeCell="U17" sqref="U17"/>
    </sheetView>
  </sheetViews>
  <sheetFormatPr baseColWidth="10" defaultColWidth="10.19921875" defaultRowHeight="13"/>
  <cols>
    <col min="1" max="1" width="3.796875" style="1377" customWidth="1"/>
    <col min="2" max="2" width="47.19921875" style="1377" customWidth="1"/>
    <col min="3" max="10" width="10.19921875" style="1377" customWidth="1"/>
    <col min="11" max="11" width="11.59765625" style="1377" customWidth="1"/>
    <col min="12" max="12" width="2.796875" style="1377" customWidth="1"/>
    <col min="13" max="13" width="10.19921875" style="1377" customWidth="1"/>
    <col min="14" max="14" width="9.796875" style="1377" customWidth="1"/>
    <col min="15" max="15" width="2.3984375" style="1377" customWidth="1"/>
    <col min="16" max="16" width="11" style="1377" customWidth="1"/>
    <col min="17" max="16384" width="10.19921875" style="1377"/>
  </cols>
  <sheetData>
    <row r="1" spans="1:32" ht="16">
      <c r="A1" s="1375" t="s">
        <v>1505</v>
      </c>
      <c r="B1" s="1376"/>
      <c r="C1" s="1376"/>
      <c r="D1" s="1376"/>
      <c r="E1" s="1376"/>
      <c r="F1" s="1376"/>
      <c r="G1" s="1376"/>
      <c r="H1" s="1376"/>
      <c r="I1" s="1376"/>
      <c r="J1" s="1376"/>
      <c r="K1" s="1376"/>
      <c r="L1" s="1376"/>
      <c r="M1" s="1376"/>
      <c r="N1" s="1376"/>
      <c r="O1" s="1376"/>
      <c r="P1" s="1376"/>
      <c r="U1" s="1378"/>
      <c r="AA1" s="1378"/>
    </row>
    <row r="2" spans="1:32" ht="14" thickBot="1">
      <c r="A2" s="1379"/>
      <c r="B2" s="1379"/>
      <c r="C2" s="1379"/>
      <c r="D2" s="1379"/>
      <c r="E2" s="1379"/>
      <c r="F2" s="1379"/>
      <c r="G2" s="1379"/>
      <c r="H2" s="1379"/>
      <c r="I2" s="1379"/>
      <c r="J2" s="1379"/>
      <c r="K2" s="1379"/>
      <c r="L2" s="1379"/>
      <c r="M2" s="1379"/>
      <c r="N2" s="1379"/>
      <c r="O2" s="1379"/>
      <c r="P2" s="1379"/>
    </row>
    <row r="3" spans="1:32" s="1386" customFormat="1" ht="10.5" customHeight="1">
      <c r="A3" s="1380"/>
      <c r="B3" s="1380"/>
      <c r="C3" s="1381"/>
      <c r="D3" s="1380"/>
      <c r="E3" s="1381"/>
      <c r="F3" s="1380"/>
      <c r="G3" s="1381"/>
      <c r="H3" s="1380"/>
      <c r="I3" s="1381"/>
      <c r="J3" s="1380"/>
      <c r="K3" s="1381"/>
      <c r="L3" s="1382"/>
      <c r="M3" s="1383"/>
      <c r="N3" s="1384"/>
      <c r="O3" s="1385"/>
      <c r="P3" s="1381"/>
      <c r="R3" s="1377"/>
      <c r="S3" s="1387"/>
      <c r="T3" s="1387"/>
      <c r="U3" s="1387"/>
      <c r="V3" s="1387"/>
      <c r="W3" s="1388"/>
      <c r="X3" s="1388"/>
      <c r="Y3" s="1388"/>
      <c r="Z3" s="1388"/>
      <c r="AC3" s="1389"/>
      <c r="AD3" s="1389"/>
      <c r="AE3" s="1389"/>
      <c r="AF3" s="1389"/>
    </row>
    <row r="4" spans="1:32" ht="13.5" customHeight="1">
      <c r="A4" s="1390" t="s">
        <v>1482</v>
      </c>
      <c r="B4" s="1391"/>
      <c r="C4" s="1392">
        <v>1996</v>
      </c>
      <c r="D4" s="1393">
        <v>1997</v>
      </c>
      <c r="E4" s="1392">
        <v>1998</v>
      </c>
      <c r="F4" s="1393">
        <v>1999</v>
      </c>
      <c r="G4" s="1392">
        <v>2000</v>
      </c>
      <c r="H4" s="1393">
        <v>2001</v>
      </c>
      <c r="I4" s="1392">
        <v>2002</v>
      </c>
      <c r="J4" s="1393">
        <v>2003</v>
      </c>
      <c r="K4" s="1392">
        <v>2004</v>
      </c>
      <c r="L4" s="1394"/>
      <c r="M4" s="1383" t="s">
        <v>265</v>
      </c>
      <c r="N4" s="1384" t="s">
        <v>1483</v>
      </c>
      <c r="O4" s="1385"/>
      <c r="P4" s="1395" t="s">
        <v>1358</v>
      </c>
      <c r="S4" s="1387"/>
      <c r="T4" s="1387"/>
      <c r="U4" s="1387"/>
      <c r="V4" s="1387"/>
      <c r="W4" s="1396"/>
      <c r="X4" s="1396"/>
      <c r="Y4" s="1396"/>
      <c r="Z4" s="1396"/>
      <c r="AC4" s="1389"/>
      <c r="AD4" s="1389"/>
      <c r="AE4" s="1389"/>
      <c r="AF4" s="1389"/>
    </row>
    <row r="5" spans="1:32" ht="15" customHeight="1">
      <c r="A5" s="1390" t="s">
        <v>1484</v>
      </c>
      <c r="B5" s="1397"/>
      <c r="C5" s="1398"/>
      <c r="D5" s="1399"/>
      <c r="E5" s="1398"/>
      <c r="F5" s="1399"/>
      <c r="G5" s="1398"/>
      <c r="H5" s="1399"/>
      <c r="I5" s="1398"/>
      <c r="J5" s="1399"/>
      <c r="K5" s="1398"/>
      <c r="L5" s="1400"/>
      <c r="M5" s="1383" t="s">
        <v>1359</v>
      </c>
      <c r="N5" s="1384" t="s">
        <v>1360</v>
      </c>
      <c r="O5" s="1385"/>
      <c r="P5" s="1395" t="s">
        <v>1513</v>
      </c>
      <c r="S5" s="1387"/>
      <c r="T5" s="1387"/>
      <c r="U5" s="1387"/>
      <c r="V5" s="1387"/>
      <c r="W5" s="1396"/>
      <c r="X5" s="1396"/>
      <c r="Y5" s="1396"/>
      <c r="Z5" s="1396"/>
      <c r="AC5" s="1389"/>
      <c r="AD5" s="1389"/>
      <c r="AE5" s="1389"/>
      <c r="AF5" s="1389"/>
    </row>
    <row r="6" spans="1:32" ht="14.25" customHeight="1">
      <c r="A6" s="1401"/>
      <c r="B6" s="1401"/>
      <c r="C6" s="1402"/>
      <c r="D6" s="1403"/>
      <c r="E6" s="1402"/>
      <c r="F6" s="1403"/>
      <c r="G6" s="1402"/>
      <c r="H6" s="1403"/>
      <c r="I6" s="1402"/>
      <c r="J6" s="1403"/>
      <c r="K6" s="1402"/>
      <c r="L6" s="1404"/>
      <c r="M6" s="1405"/>
      <c r="N6" s="1406" t="s">
        <v>457</v>
      </c>
      <c r="O6" s="1407"/>
      <c r="P6" s="1402"/>
      <c r="S6" s="1387"/>
      <c r="T6" s="1387"/>
      <c r="U6" s="1387"/>
      <c r="V6" s="1387"/>
      <c r="W6" s="1408"/>
      <c r="X6" s="1408"/>
      <c r="Y6" s="1408"/>
      <c r="Z6" s="1408"/>
      <c r="AC6" s="1408"/>
      <c r="AD6" s="1408"/>
      <c r="AE6" s="1408"/>
      <c r="AF6" s="1408"/>
    </row>
    <row r="7" spans="1:32">
      <c r="A7" s="1409"/>
      <c r="B7" s="1410"/>
      <c r="C7" s="1411"/>
      <c r="D7" s="1410"/>
      <c r="E7" s="1411"/>
      <c r="F7" s="1410"/>
      <c r="G7" s="1411"/>
      <c r="H7" s="1410"/>
      <c r="I7" s="1411"/>
      <c r="J7" s="1410"/>
      <c r="K7" s="1411"/>
      <c r="L7" s="1412"/>
      <c r="M7" s="1411"/>
      <c r="N7" s="1413" t="s">
        <v>1361</v>
      </c>
      <c r="O7" s="1414"/>
      <c r="P7" s="1411"/>
      <c r="S7" s="1387"/>
      <c r="T7" s="1387"/>
      <c r="U7" s="1387"/>
      <c r="V7" s="1387"/>
      <c r="W7" s="1396"/>
      <c r="X7" s="1396"/>
      <c r="Y7" s="1396"/>
      <c r="Z7" s="1396"/>
      <c r="AC7" s="1389"/>
      <c r="AD7" s="1389"/>
      <c r="AE7" s="1389"/>
      <c r="AF7" s="1389"/>
    </row>
    <row r="8" spans="1:32" ht="18" customHeight="1" thickBot="1">
      <c r="A8" s="1415" t="s">
        <v>1490</v>
      </c>
      <c r="B8" s="1416"/>
      <c r="C8" s="1417">
        <v>6108.1158740877472</v>
      </c>
      <c r="D8" s="1418">
        <v>6057.9558227212619</v>
      </c>
      <c r="E8" s="1417">
        <v>6131.7435544855471</v>
      </c>
      <c r="F8" s="1418">
        <v>6416.6639279999999</v>
      </c>
      <c r="G8" s="1417">
        <v>6599.5077579999997</v>
      </c>
      <c r="H8" s="1418">
        <v>7802.4641389999997</v>
      </c>
      <c r="I8" s="1417">
        <v>8596.9416789999996</v>
      </c>
      <c r="J8" s="1418">
        <v>8949.1301402555946</v>
      </c>
      <c r="K8" s="1417">
        <v>8811.0582559999984</v>
      </c>
      <c r="L8" s="1419"/>
      <c r="M8" s="1420">
        <v>-1.5428525688157335E-2</v>
      </c>
      <c r="N8" s="1421">
        <v>4.6863603034760448E-2</v>
      </c>
      <c r="O8" s="1422"/>
      <c r="P8" s="1423">
        <v>9212.9602188712288</v>
      </c>
      <c r="S8" s="1387"/>
      <c r="T8" s="1387"/>
      <c r="U8" s="1387"/>
      <c r="V8" s="1387"/>
      <c r="AC8" s="1389"/>
      <c r="AD8" s="1389"/>
      <c r="AE8" s="1389"/>
      <c r="AF8" s="1389"/>
    </row>
    <row r="9" spans="1:32" ht="14" thickBot="1">
      <c r="A9" s="1424"/>
      <c r="B9" s="1425" t="s">
        <v>1506</v>
      </c>
      <c r="C9" s="1426">
        <v>129.23078991</v>
      </c>
      <c r="D9" s="1427">
        <v>117.49672023999999</v>
      </c>
      <c r="E9" s="1426">
        <v>116.89201141000001</v>
      </c>
      <c r="F9" s="1427">
        <v>126.03114400000001</v>
      </c>
      <c r="G9" s="1426">
        <v>145.00575000000003</v>
      </c>
      <c r="H9" s="1427">
        <v>164.3904</v>
      </c>
      <c r="I9" s="1426">
        <v>177.72408200000001</v>
      </c>
      <c r="J9" s="1427">
        <v>155.57770199999999</v>
      </c>
      <c r="K9" s="1426">
        <v>137.73953900000001</v>
      </c>
      <c r="L9" s="1428"/>
      <c r="M9" s="1429">
        <v>-0.11465758120016445</v>
      </c>
      <c r="N9" s="1430">
        <v>8.0024281588140234E-3</v>
      </c>
      <c r="O9" s="1431"/>
      <c r="P9" s="1432" t="s">
        <v>1646</v>
      </c>
      <c r="S9" s="1387"/>
      <c r="T9" s="1387"/>
      <c r="U9" s="1387"/>
      <c r="V9" s="1387"/>
      <c r="W9" s="1396"/>
      <c r="X9" s="1396"/>
      <c r="Y9" s="1396"/>
      <c r="Z9" s="1396"/>
      <c r="AC9" s="1389"/>
      <c r="AD9" s="1389"/>
      <c r="AE9" s="1389"/>
      <c r="AF9" s="1389"/>
    </row>
    <row r="10" spans="1:32" ht="14" thickBot="1">
      <c r="A10" s="1425"/>
      <c r="B10" s="1425" t="s">
        <v>1507</v>
      </c>
      <c r="C10" s="1426">
        <v>4895.0076659724309</v>
      </c>
      <c r="D10" s="1427">
        <v>4830.7426606407189</v>
      </c>
      <c r="E10" s="1426">
        <v>4825.5195288525429</v>
      </c>
      <c r="F10" s="1427">
        <v>5091.7478220000003</v>
      </c>
      <c r="G10" s="1426">
        <v>5233.1441749999994</v>
      </c>
      <c r="H10" s="1427">
        <v>6202.5944609999997</v>
      </c>
      <c r="I10" s="1426">
        <v>6968.3599750000003</v>
      </c>
      <c r="J10" s="1427">
        <v>7403.9584928390786</v>
      </c>
      <c r="K10" s="1426">
        <v>7269.9361889999982</v>
      </c>
      <c r="L10" s="1428"/>
      <c r="M10" s="1429">
        <v>-1.8101439111078643E-2</v>
      </c>
      <c r="N10" s="1430">
        <v>5.0684082335869185E-2</v>
      </c>
      <c r="O10" s="1431"/>
      <c r="P10" s="1432" t="s">
        <v>1646</v>
      </c>
      <c r="S10" s="1387"/>
      <c r="T10" s="1387"/>
      <c r="U10" s="1387"/>
      <c r="V10" s="1387"/>
      <c r="W10" s="1396"/>
      <c r="X10" s="1396"/>
      <c r="Y10" s="1396"/>
      <c r="Z10" s="1396"/>
      <c r="AC10" s="1389"/>
      <c r="AD10" s="1389"/>
      <c r="AE10" s="1389"/>
      <c r="AF10" s="1389"/>
    </row>
    <row r="11" spans="1:32" ht="14" thickBot="1">
      <c r="A11" s="1425"/>
      <c r="B11" s="1425" t="s">
        <v>1508</v>
      </c>
      <c r="C11" s="1426">
        <v>1083.8774182053171</v>
      </c>
      <c r="D11" s="1427">
        <v>1109.716441840543</v>
      </c>
      <c r="E11" s="1426">
        <v>1189.3320142230043</v>
      </c>
      <c r="F11" s="1427">
        <v>1198.8849619999999</v>
      </c>
      <c r="G11" s="1426">
        <v>1221.3578329999998</v>
      </c>
      <c r="H11" s="1427">
        <v>1435.4792780000002</v>
      </c>
      <c r="I11" s="1426">
        <v>1450.8576219999998</v>
      </c>
      <c r="J11" s="1427">
        <v>1389.5939454165157</v>
      </c>
      <c r="K11" s="1426">
        <v>1403.3825280000001</v>
      </c>
      <c r="L11" s="1428"/>
      <c r="M11" s="1429">
        <v>9.9227422722767411E-3</v>
      </c>
      <c r="N11" s="1430">
        <v>3.2819638337085344E-2</v>
      </c>
      <c r="O11" s="1431"/>
      <c r="P11" s="1432" t="s">
        <v>1646</v>
      </c>
      <c r="S11" s="1387"/>
      <c r="T11" s="1387"/>
      <c r="U11" s="1387"/>
      <c r="V11" s="1387"/>
      <c r="W11" s="1396"/>
      <c r="X11" s="1396"/>
      <c r="Y11" s="1396"/>
      <c r="Z11" s="1396"/>
      <c r="AC11" s="1389"/>
      <c r="AD11" s="1389"/>
      <c r="AE11" s="1389"/>
      <c r="AF11" s="1389"/>
    </row>
    <row r="12" spans="1:32" s="1442" customFormat="1" ht="14" thickBot="1">
      <c r="A12" s="1425"/>
      <c r="B12" s="1433"/>
      <c r="C12" s="1434"/>
      <c r="D12" s="1435"/>
      <c r="E12" s="1434"/>
      <c r="F12" s="1435"/>
      <c r="G12" s="1434"/>
      <c r="H12" s="1435"/>
      <c r="I12" s="1434"/>
      <c r="J12" s="1435"/>
      <c r="K12" s="1434"/>
      <c r="L12" s="1436"/>
      <c r="M12" s="1437"/>
      <c r="N12" s="1438"/>
      <c r="O12" s="1439"/>
      <c r="P12" s="1440"/>
      <c r="Q12" s="1441"/>
    </row>
    <row r="13" spans="1:32" s="1442" customFormat="1" ht="15.75" customHeight="1" thickBot="1">
      <c r="A13" s="1424" t="s">
        <v>1491</v>
      </c>
      <c r="B13" s="1425"/>
      <c r="C13" s="1443">
        <v>2881.6</v>
      </c>
      <c r="D13" s="1444">
        <v>3011.4</v>
      </c>
      <c r="E13" s="1443">
        <v>3176.3677925723964</v>
      </c>
      <c r="F13" s="1444">
        <v>3314.4716839527723</v>
      </c>
      <c r="G13" s="1443">
        <v>3458.985264289614</v>
      </c>
      <c r="H13" s="1444">
        <v>3661.4400591827007</v>
      </c>
      <c r="I13" s="1443">
        <v>3701.6993999861515</v>
      </c>
      <c r="J13" s="1444">
        <v>3921.4728291844517</v>
      </c>
      <c r="K13" s="1443">
        <v>4031.6958660596374</v>
      </c>
      <c r="L13" s="1445"/>
      <c r="M13" s="1446">
        <v>2.8107561030356276E-2</v>
      </c>
      <c r="N13" s="1447">
        <v>4.2873803890714601E-2</v>
      </c>
      <c r="O13" s="1448"/>
      <c r="P13" s="1449">
        <v>4145.0170036707441</v>
      </c>
    </row>
    <row r="14" spans="1:32" ht="14" thickBot="1">
      <c r="A14" s="1425"/>
      <c r="B14" s="1425" t="s">
        <v>1509</v>
      </c>
      <c r="C14" s="1426">
        <v>1132.4000000000001</v>
      </c>
      <c r="D14" s="1427">
        <v>1151.5</v>
      </c>
      <c r="E14" s="1426">
        <v>1283.9227999999998</v>
      </c>
      <c r="F14" s="1427">
        <v>1378.5406000000003</v>
      </c>
      <c r="G14" s="1426">
        <v>1422.4462000000001</v>
      </c>
      <c r="H14" s="1427">
        <v>1475.3187999999998</v>
      </c>
      <c r="I14" s="1426">
        <v>1413.5950692328543</v>
      </c>
      <c r="J14" s="1427">
        <v>1512.470256033693</v>
      </c>
      <c r="K14" s="1426">
        <v>1537.8133155193091</v>
      </c>
      <c r="L14" s="1428"/>
      <c r="M14" s="1429">
        <v>1.6756071324057542E-2</v>
      </c>
      <c r="N14" s="1430">
        <v>3.8993832410011642E-2</v>
      </c>
      <c r="O14" s="1431"/>
      <c r="P14" s="1432" t="s">
        <v>1646</v>
      </c>
    </row>
    <row r="15" spans="1:32" ht="15" customHeight="1" thickBot="1">
      <c r="A15" s="1425"/>
      <c r="B15" s="1425" t="s">
        <v>1514</v>
      </c>
      <c r="C15" s="1426">
        <v>1712.7</v>
      </c>
      <c r="D15" s="1427">
        <v>1822.7</v>
      </c>
      <c r="E15" s="1426">
        <v>1857.0449925723965</v>
      </c>
      <c r="F15" s="1427">
        <v>1894.8310839527724</v>
      </c>
      <c r="G15" s="1426">
        <v>1993.5390642896139</v>
      </c>
      <c r="H15" s="1427">
        <v>2140.9212591827013</v>
      </c>
      <c r="I15" s="1426">
        <v>2241.2043307532972</v>
      </c>
      <c r="J15" s="1427">
        <v>2360.6025731507589</v>
      </c>
      <c r="K15" s="1426">
        <v>2445.7325505403282</v>
      </c>
      <c r="L15" s="1428"/>
      <c r="M15" s="1429">
        <v>3.606281648500631E-2</v>
      </c>
      <c r="N15" s="1430">
        <v>4.5540735822886313E-2</v>
      </c>
      <c r="O15" s="1431"/>
      <c r="P15" s="1432" t="s">
        <v>1646</v>
      </c>
    </row>
    <row r="16" spans="1:32" ht="14" thickBot="1">
      <c r="A16" s="1425"/>
      <c r="B16" s="1425" t="s">
        <v>1510</v>
      </c>
      <c r="C16" s="1426">
        <v>36.5</v>
      </c>
      <c r="D16" s="1427">
        <v>37.200000000000003</v>
      </c>
      <c r="E16" s="1426">
        <v>35.4</v>
      </c>
      <c r="F16" s="1427">
        <v>41.1</v>
      </c>
      <c r="G16" s="1426">
        <v>43</v>
      </c>
      <c r="H16" s="1427">
        <v>45.2</v>
      </c>
      <c r="I16" s="1426">
        <v>46.9</v>
      </c>
      <c r="J16" s="1427">
        <v>48.4</v>
      </c>
      <c r="K16" s="1426">
        <v>48.15</v>
      </c>
      <c r="L16" s="1428"/>
      <c r="M16" s="1429">
        <v>-5.1652892561983021E-3</v>
      </c>
      <c r="N16" s="1430">
        <v>3.5232573020888003E-2</v>
      </c>
      <c r="O16" s="1431"/>
      <c r="P16" s="1432" t="s">
        <v>1646</v>
      </c>
    </row>
    <row r="17" spans="1:21" ht="14" thickBot="1">
      <c r="A17" s="1425"/>
      <c r="B17" s="1425"/>
      <c r="C17" s="1434"/>
      <c r="D17" s="1435"/>
      <c r="E17" s="1434"/>
      <c r="F17" s="1435"/>
      <c r="G17" s="1434"/>
      <c r="H17" s="1435"/>
      <c r="I17" s="1434"/>
      <c r="J17" s="1435"/>
      <c r="K17" s="1434"/>
      <c r="L17" s="1436"/>
      <c r="M17" s="1437"/>
      <c r="N17" s="1438"/>
      <c r="O17" s="1439"/>
      <c r="P17" s="1440"/>
    </row>
    <row r="18" spans="1:21" ht="16" thickBot="1">
      <c r="A18" s="1424" t="s">
        <v>1515</v>
      </c>
      <c r="B18" s="1425"/>
      <c r="C18" s="1443">
        <v>623.1</v>
      </c>
      <c r="D18" s="1444">
        <v>-213.6</v>
      </c>
      <c r="E18" s="1443">
        <v>-306.39999999999998</v>
      </c>
      <c r="F18" s="1444">
        <v>-200.29999999999927</v>
      </c>
      <c r="G18" s="1443">
        <v>98.828987000000325</v>
      </c>
      <c r="H18" s="1444">
        <v>454.38000000000136</v>
      </c>
      <c r="I18" s="1443">
        <v>-588.16000000000054</v>
      </c>
      <c r="J18" s="1444">
        <v>-1266.4017009999975</v>
      </c>
      <c r="K18" s="1443">
        <v>-1468.84478399</v>
      </c>
      <c r="L18" s="1445"/>
      <c r="M18" s="1446">
        <v>-0.15985692598971246</v>
      </c>
      <c r="N18" s="1447" t="s">
        <v>1646</v>
      </c>
      <c r="O18" s="1448"/>
      <c r="P18" s="1449">
        <v>-670.3708837555605</v>
      </c>
    </row>
    <row r="19" spans="1:21" ht="14" thickBot="1">
      <c r="A19" s="1425"/>
      <c r="B19" s="1450"/>
      <c r="C19" s="1434"/>
      <c r="D19" s="1435"/>
      <c r="E19" s="1451"/>
      <c r="F19" s="1452"/>
      <c r="G19" s="1451"/>
      <c r="H19" s="1452"/>
      <c r="I19" s="1451"/>
      <c r="J19" s="1452"/>
      <c r="K19" s="1451"/>
      <c r="L19" s="1453"/>
      <c r="M19" s="1454"/>
      <c r="N19" s="1455"/>
      <c r="O19" s="1456"/>
      <c r="P19" s="1440"/>
    </row>
    <row r="20" spans="1:21" s="1442" customFormat="1" ht="14" thickBot="1">
      <c r="A20" s="1424" t="s">
        <v>1485</v>
      </c>
      <c r="B20" s="1425"/>
      <c r="C20" s="1443">
        <v>2760.27</v>
      </c>
      <c r="D20" s="1444">
        <v>3024.94</v>
      </c>
      <c r="E20" s="1443">
        <v>3270.2</v>
      </c>
      <c r="F20" s="1444">
        <v>3620.5</v>
      </c>
      <c r="G20" s="1443">
        <v>3725.7</v>
      </c>
      <c r="H20" s="1444">
        <v>3837.6</v>
      </c>
      <c r="I20" s="1449">
        <v>4062.6</v>
      </c>
      <c r="J20" s="1444">
        <v>4268.5</v>
      </c>
      <c r="K20" s="1449">
        <v>4550.2</v>
      </c>
      <c r="L20" s="1445"/>
      <c r="M20" s="1446">
        <v>6.5995080238959725E-2</v>
      </c>
      <c r="N20" s="1447">
        <v>6.4473526772817813E-2</v>
      </c>
      <c r="O20" s="1448"/>
      <c r="P20" s="1449">
        <v>4739.6292108497591</v>
      </c>
    </row>
    <row r="21" spans="1:21" s="1442" customFormat="1" ht="15.75" customHeight="1" thickBot="1">
      <c r="A21" s="1425" t="s">
        <v>1516</v>
      </c>
      <c r="B21" s="1425"/>
      <c r="C21" s="1457">
        <v>1815.57</v>
      </c>
      <c r="D21" s="1458">
        <v>2087.14</v>
      </c>
      <c r="E21" s="1457">
        <v>2263.1999999999998</v>
      </c>
      <c r="F21" s="1458">
        <v>2476.6</v>
      </c>
      <c r="G21" s="1457">
        <v>2532.8000000000002</v>
      </c>
      <c r="H21" s="1458">
        <v>2671.6</v>
      </c>
      <c r="I21" s="1457">
        <v>2848.4</v>
      </c>
      <c r="J21" s="1458">
        <v>2961.1</v>
      </c>
      <c r="K21" s="1457">
        <v>3025.3</v>
      </c>
      <c r="L21" s="1459"/>
      <c r="M21" s="1460">
        <v>2.168113201175248E-2</v>
      </c>
      <c r="N21" s="1461">
        <v>6.5907286839099744E-2</v>
      </c>
      <c r="O21" s="1462"/>
      <c r="P21" s="1457">
        <v>3119.6250399999999</v>
      </c>
    </row>
    <row r="22" spans="1:21" s="1442" customFormat="1" ht="15.75" customHeight="1" thickBot="1">
      <c r="A22" s="1425" t="s">
        <v>1517</v>
      </c>
      <c r="B22" s="1425"/>
      <c r="C22" s="1457">
        <v>293</v>
      </c>
      <c r="D22" s="1458">
        <v>237.5</v>
      </c>
      <c r="E22" s="1457">
        <v>264.39999999999998</v>
      </c>
      <c r="F22" s="1458">
        <v>277.10000000000002</v>
      </c>
      <c r="G22" s="1457">
        <v>317</v>
      </c>
      <c r="H22" s="1458">
        <v>315</v>
      </c>
      <c r="I22" s="1457">
        <v>343.8</v>
      </c>
      <c r="J22" s="1458">
        <v>375.1</v>
      </c>
      <c r="K22" s="1457">
        <v>421.4</v>
      </c>
      <c r="L22" s="1459"/>
      <c r="M22" s="1460">
        <v>0.12343375099973319</v>
      </c>
      <c r="N22" s="1461">
        <v>4.6473810242198654E-2</v>
      </c>
      <c r="O22" s="1462"/>
      <c r="P22" s="1463">
        <v>440.9840636360625</v>
      </c>
    </row>
    <row r="23" spans="1:21" ht="15.75" customHeight="1" thickBot="1">
      <c r="A23" s="1425" t="s">
        <v>1518</v>
      </c>
      <c r="B23" s="1425"/>
      <c r="C23" s="1457">
        <v>203.5</v>
      </c>
      <c r="D23" s="1458">
        <v>228.6</v>
      </c>
      <c r="E23" s="1457">
        <v>266.2</v>
      </c>
      <c r="F23" s="1458">
        <v>375.1</v>
      </c>
      <c r="G23" s="1457">
        <v>378.5</v>
      </c>
      <c r="H23" s="1458">
        <v>314.89999999999998</v>
      </c>
      <c r="I23" s="1457">
        <v>319.7</v>
      </c>
      <c r="J23" s="1458">
        <v>367.7</v>
      </c>
      <c r="K23" s="1457">
        <v>381.7</v>
      </c>
      <c r="L23" s="1459"/>
      <c r="M23" s="1460">
        <v>3.8074517269513164E-2</v>
      </c>
      <c r="N23" s="1461">
        <v>8.1794373468305537E-2</v>
      </c>
      <c r="O23" s="1462"/>
      <c r="P23" s="1463">
        <v>412.92091235285221</v>
      </c>
    </row>
    <row r="24" spans="1:21" ht="17.25" customHeight="1" thickBot="1">
      <c r="A24" s="1425" t="s">
        <v>1519</v>
      </c>
      <c r="B24" s="1425"/>
      <c r="C24" s="1457">
        <v>448.2</v>
      </c>
      <c r="D24" s="1458">
        <v>471.7</v>
      </c>
      <c r="E24" s="1457">
        <v>476.4</v>
      </c>
      <c r="F24" s="1458">
        <v>491.7</v>
      </c>
      <c r="G24" s="1457">
        <v>497.4</v>
      </c>
      <c r="H24" s="1458">
        <v>536.1</v>
      </c>
      <c r="I24" s="1457">
        <v>550.70000000000005</v>
      </c>
      <c r="J24" s="1458">
        <v>564.6</v>
      </c>
      <c r="K24" s="1457">
        <v>721.8</v>
      </c>
      <c r="L24" s="1459"/>
      <c r="M24" s="1460">
        <v>0.2784272051009562</v>
      </c>
      <c r="N24" s="1461">
        <v>6.1373226462794195E-2</v>
      </c>
      <c r="O24" s="1462"/>
      <c r="P24" s="1463">
        <v>766.09919486084482</v>
      </c>
    </row>
    <row r="25" spans="1:21" s="1442" customFormat="1" ht="14" thickBot="1">
      <c r="A25" s="1464"/>
      <c r="B25" s="1464"/>
      <c r="C25" s="1465"/>
      <c r="D25" s="1466"/>
      <c r="E25" s="1465"/>
      <c r="F25" s="1466"/>
      <c r="G25" s="1465"/>
      <c r="H25" s="1466"/>
      <c r="I25" s="1465"/>
      <c r="J25" s="1466"/>
      <c r="K25" s="1465"/>
      <c r="L25" s="1467"/>
      <c r="M25" s="1468"/>
      <c r="N25" s="1469"/>
      <c r="O25" s="1470"/>
      <c r="P25" s="1471"/>
    </row>
    <row r="26" spans="1:21" ht="13.5" customHeight="1" thickBot="1">
      <c r="A26" s="1424" t="s">
        <v>1106</v>
      </c>
      <c r="B26" s="1425"/>
      <c r="C26" s="1443">
        <v>25156.514125912257</v>
      </c>
      <c r="D26" s="1444">
        <v>26402.30417727874</v>
      </c>
      <c r="E26" s="1443">
        <v>27625.288652942058</v>
      </c>
      <c r="F26" s="1444">
        <v>28025.464388047221</v>
      </c>
      <c r="G26" s="1443">
        <v>29038.570984696478</v>
      </c>
      <c r="H26" s="1444">
        <v>29910.140160769479</v>
      </c>
      <c r="I26" s="1443">
        <v>31730.681165100021</v>
      </c>
      <c r="J26" s="1444">
        <v>33523.07665374413</v>
      </c>
      <c r="K26" s="1443">
        <v>35241.758689353803</v>
      </c>
      <c r="L26" s="1445"/>
      <c r="M26" s="1446">
        <v>5.1268624695809839E-2</v>
      </c>
      <c r="N26" s="1447">
        <v>4.3039820381411298E-2</v>
      </c>
      <c r="O26" s="1448"/>
      <c r="P26" s="1449">
        <v>35896.36990538879</v>
      </c>
    </row>
    <row r="27" spans="1:21" ht="16.5" customHeight="1" thickBot="1">
      <c r="A27" s="1425" t="s">
        <v>1511</v>
      </c>
      <c r="B27" s="1425"/>
      <c r="C27" s="1457">
        <v>14197.53</v>
      </c>
      <c r="D27" s="1458">
        <v>14850.16</v>
      </c>
      <c r="E27" s="1457">
        <v>15432.1</v>
      </c>
      <c r="F27" s="1458">
        <v>15337.8</v>
      </c>
      <c r="G27" s="1457">
        <v>15974.171012999999</v>
      </c>
      <c r="H27" s="1458">
        <v>16460.62</v>
      </c>
      <c r="I27" s="1457">
        <v>17838.560000000001</v>
      </c>
      <c r="J27" s="1458">
        <v>19087.413701000001</v>
      </c>
      <c r="K27" s="1457">
        <v>20335.09678399</v>
      </c>
      <c r="L27" s="1459"/>
      <c r="M27" s="1460">
        <v>6.5366796284434869E-2</v>
      </c>
      <c r="N27" s="1461">
        <v>4.593375994634763E-2</v>
      </c>
      <c r="O27" s="1462"/>
      <c r="P27" s="1457">
        <v>20746.024557220004</v>
      </c>
    </row>
    <row r="28" spans="1:21" ht="15" customHeight="1" thickBot="1">
      <c r="A28" s="1425"/>
      <c r="B28" s="1450" t="s">
        <v>1520</v>
      </c>
      <c r="C28" s="1451">
        <v>9219.6299999999992</v>
      </c>
      <c r="D28" s="1452">
        <v>9837.66</v>
      </c>
      <c r="E28" s="1451">
        <v>10341</v>
      </c>
      <c r="F28" s="1452">
        <v>10472.9</v>
      </c>
      <c r="G28" s="1451">
        <v>10813.888999999999</v>
      </c>
      <c r="H28" s="1452">
        <v>11283.12</v>
      </c>
      <c r="I28" s="1451">
        <v>12447.76</v>
      </c>
      <c r="J28" s="1452">
        <v>13798.607467</v>
      </c>
      <c r="K28" s="1451">
        <v>14954.286842000001</v>
      </c>
      <c r="L28" s="1453"/>
      <c r="M28" s="1454">
        <v>8.3753333643547867E-2</v>
      </c>
      <c r="N28" s="1455">
        <v>6.232285921243319E-2</v>
      </c>
      <c r="O28" s="1456"/>
      <c r="P28" s="1451">
        <v>15323.051681830002</v>
      </c>
    </row>
    <row r="29" spans="1:21" ht="15" customHeight="1" thickBot="1">
      <c r="A29" s="1425"/>
      <c r="B29" s="1450" t="s">
        <v>1521</v>
      </c>
      <c r="C29" s="1451">
        <v>4337.5</v>
      </c>
      <c r="D29" s="1452">
        <v>4410.6000000000004</v>
      </c>
      <c r="E29" s="1451">
        <v>4453.3</v>
      </c>
      <c r="F29" s="1452">
        <v>3766.7</v>
      </c>
      <c r="G29" s="1451">
        <v>2917.3519609999998</v>
      </c>
      <c r="H29" s="1452">
        <v>1987</v>
      </c>
      <c r="I29" s="1451">
        <v>1958.4</v>
      </c>
      <c r="J29" s="1452">
        <v>1882.6076640000001</v>
      </c>
      <c r="K29" s="1451">
        <v>1358.7895999899999</v>
      </c>
      <c r="L29" s="1453"/>
      <c r="M29" s="1454">
        <v>-0.27824069455716405</v>
      </c>
      <c r="N29" s="1455">
        <v>-0.1350538083993682</v>
      </c>
      <c r="O29" s="1456"/>
      <c r="P29" s="1451">
        <v>1397.6693543900001</v>
      </c>
    </row>
    <row r="30" spans="1:21" ht="15" customHeight="1" thickBot="1">
      <c r="A30" s="1425"/>
      <c r="B30" s="1450" t="s">
        <v>1522</v>
      </c>
      <c r="C30" s="1451">
        <v>640.4</v>
      </c>
      <c r="D30" s="1452">
        <v>601.9</v>
      </c>
      <c r="E30" s="1451">
        <v>637.79999999999995</v>
      </c>
      <c r="F30" s="1452">
        <v>1098.2</v>
      </c>
      <c r="G30" s="1451">
        <v>2242.9300519999997</v>
      </c>
      <c r="H30" s="1452">
        <v>3190.5</v>
      </c>
      <c r="I30" s="1451">
        <v>3432.4</v>
      </c>
      <c r="J30" s="1452">
        <v>3406.1985699999996</v>
      </c>
      <c r="K30" s="1451">
        <v>4022.0203419999989</v>
      </c>
      <c r="L30" s="1453"/>
      <c r="M30" s="1454">
        <v>0.18079444264460465</v>
      </c>
      <c r="N30" s="1455">
        <v>0.25819836774600824</v>
      </c>
      <c r="O30" s="1456"/>
      <c r="P30" s="1451">
        <v>4025.3035210000007</v>
      </c>
    </row>
    <row r="31" spans="1:21" ht="15.75" customHeight="1" thickBot="1">
      <c r="A31" s="1425" t="s">
        <v>1523</v>
      </c>
      <c r="B31" s="1425"/>
      <c r="C31" s="1457">
        <v>1770.8</v>
      </c>
      <c r="D31" s="1458">
        <v>1884.4</v>
      </c>
      <c r="E31" s="1457">
        <v>2155</v>
      </c>
      <c r="F31" s="1458">
        <v>2249.6</v>
      </c>
      <c r="G31" s="1457">
        <v>2343.1</v>
      </c>
      <c r="H31" s="1458">
        <v>2428.3000000000002</v>
      </c>
      <c r="I31" s="1457">
        <v>2541</v>
      </c>
      <c r="J31" s="1458">
        <v>2627.5</v>
      </c>
      <c r="K31" s="1457">
        <v>2868.2</v>
      </c>
      <c r="L31" s="1459"/>
      <c r="M31" s="1460">
        <v>9.1607992388201831E-2</v>
      </c>
      <c r="N31" s="1461">
        <v>6.2135659368000473E-2</v>
      </c>
      <c r="O31" s="1462"/>
      <c r="P31" s="1457">
        <v>3031.6779155400004</v>
      </c>
      <c r="R31" s="1396"/>
      <c r="S31" s="1396"/>
      <c r="T31" s="1396"/>
      <c r="U31" s="1396"/>
    </row>
    <row r="32" spans="1:21" ht="13.5" customHeight="1" thickBot="1">
      <c r="A32" s="1425"/>
      <c r="B32" s="1450" t="s">
        <v>1363</v>
      </c>
      <c r="C32" s="1472">
        <v>1678.5</v>
      </c>
      <c r="D32" s="1473">
        <v>1778</v>
      </c>
      <c r="E32" s="1472">
        <v>2097.1999999999998</v>
      </c>
      <c r="F32" s="1473">
        <v>2189.9</v>
      </c>
      <c r="G32" s="1472">
        <v>2288</v>
      </c>
      <c r="H32" s="1473">
        <v>2400.1999999999998</v>
      </c>
      <c r="I32" s="1472">
        <v>2502.83</v>
      </c>
      <c r="J32" s="1473">
        <v>2588.5</v>
      </c>
      <c r="K32" s="1472">
        <v>2832.3</v>
      </c>
      <c r="L32" s="1474"/>
      <c r="M32" s="1475">
        <v>9.4185821904577915E-2</v>
      </c>
      <c r="N32" s="1476">
        <v>6.7584447396639602E-2</v>
      </c>
      <c r="O32" s="1477"/>
      <c r="P32" s="1472">
        <v>2994.9866096700002</v>
      </c>
    </row>
    <row r="33" spans="1:28" ht="13.5" customHeight="1" thickBot="1">
      <c r="A33" s="1425"/>
      <c r="B33" s="1450" t="s">
        <v>1364</v>
      </c>
      <c r="C33" s="1472">
        <v>92.3</v>
      </c>
      <c r="D33" s="1473">
        <v>106.4</v>
      </c>
      <c r="E33" s="1472">
        <v>57.8</v>
      </c>
      <c r="F33" s="1473">
        <v>59.7</v>
      </c>
      <c r="G33" s="1472">
        <v>55.1</v>
      </c>
      <c r="H33" s="1473">
        <v>28.1</v>
      </c>
      <c r="I33" s="1472">
        <v>38.17</v>
      </c>
      <c r="J33" s="1473">
        <v>39</v>
      </c>
      <c r="K33" s="1472">
        <v>35.9</v>
      </c>
      <c r="L33" s="1474"/>
      <c r="M33" s="1475">
        <v>-7.9487179487179538E-2</v>
      </c>
      <c r="N33" s="1476">
        <v>-0.11133803333692127</v>
      </c>
      <c r="O33" s="1477"/>
      <c r="P33" s="1472">
        <v>36.691305870000001</v>
      </c>
    </row>
    <row r="34" spans="1:28" ht="16.5" customHeight="1" thickBot="1">
      <c r="A34" s="1425" t="s">
        <v>1524</v>
      </c>
      <c r="B34" s="1425"/>
      <c r="C34" s="1457">
        <v>9188.1841259122575</v>
      </c>
      <c r="D34" s="1458">
        <v>9667.7441772787388</v>
      </c>
      <c r="E34" s="1457">
        <v>10038.188652942059</v>
      </c>
      <c r="F34" s="1458">
        <v>10438.064388047225</v>
      </c>
      <c r="G34" s="1457">
        <v>10721.29997169648</v>
      </c>
      <c r="H34" s="1458">
        <v>11021.220160769482</v>
      </c>
      <c r="I34" s="1457">
        <v>11351.121165100019</v>
      </c>
      <c r="J34" s="1458">
        <v>11808.162952744129</v>
      </c>
      <c r="K34" s="1457">
        <v>12038.461905363803</v>
      </c>
      <c r="L34" s="1459"/>
      <c r="M34" s="1460">
        <v>1.9503368435998203E-2</v>
      </c>
      <c r="N34" s="1461">
        <v>3.4350346208604554E-2</v>
      </c>
      <c r="O34" s="1462"/>
      <c r="P34" s="1463">
        <v>12118.667432628785</v>
      </c>
      <c r="Q34" s="1478"/>
    </row>
    <row r="35" spans="1:28" ht="12.75" customHeight="1" thickBot="1">
      <c r="A35" s="1425"/>
      <c r="B35" s="1425"/>
      <c r="C35" s="1434"/>
      <c r="D35" s="1435"/>
      <c r="E35" s="1434"/>
      <c r="F35" s="1435"/>
      <c r="G35" s="1434"/>
      <c r="H35" s="1435"/>
      <c r="I35" s="1434"/>
      <c r="J35" s="1435"/>
      <c r="K35" s="1434"/>
      <c r="L35" s="1436"/>
      <c r="M35" s="1437"/>
      <c r="N35" s="1438"/>
      <c r="O35" s="1439"/>
      <c r="P35" s="1440"/>
    </row>
    <row r="36" spans="1:28" ht="16.5" customHeight="1" thickBot="1">
      <c r="A36" s="1424" t="s">
        <v>1503</v>
      </c>
      <c r="B36" s="1425"/>
      <c r="C36" s="1443">
        <v>378.7</v>
      </c>
      <c r="D36" s="1444">
        <v>386.6</v>
      </c>
      <c r="E36" s="1443">
        <v>395.2</v>
      </c>
      <c r="F36" s="1444">
        <v>408.8</v>
      </c>
      <c r="G36" s="1443">
        <v>443.72611837314082</v>
      </c>
      <c r="H36" s="1444">
        <v>463.46745935715603</v>
      </c>
      <c r="I36" s="1443">
        <v>477.70596569061348</v>
      </c>
      <c r="J36" s="1444">
        <v>484.77612582398501</v>
      </c>
      <c r="K36" s="1443">
        <v>481.39682880277388</v>
      </c>
      <c r="L36" s="1445"/>
      <c r="M36" s="1446">
        <v>-6.9708404378768796E-3</v>
      </c>
      <c r="N36" s="1447">
        <v>3.044778488123856E-2</v>
      </c>
      <c r="O36" s="1448"/>
      <c r="P36" s="1449">
        <v>496.37171018200144</v>
      </c>
    </row>
    <row r="37" spans="1:28" ht="12.75" customHeight="1" thickBot="1">
      <c r="A37" s="1424"/>
      <c r="B37" s="1450"/>
      <c r="C37" s="1479"/>
      <c r="D37" s="1480"/>
      <c r="E37" s="1434"/>
      <c r="F37" s="1435"/>
      <c r="G37" s="1434"/>
      <c r="H37" s="1435"/>
      <c r="I37" s="1440"/>
      <c r="J37" s="1435"/>
      <c r="K37" s="1440"/>
      <c r="L37" s="1436"/>
      <c r="M37" s="1437"/>
      <c r="N37" s="1438"/>
      <c r="O37" s="1439"/>
      <c r="P37" s="1481"/>
    </row>
    <row r="38" spans="1:28" ht="17.25" customHeight="1" thickBot="1">
      <c r="A38" s="1482" t="s">
        <v>1504</v>
      </c>
      <c r="B38" s="1483"/>
      <c r="C38" s="1484">
        <v>37908.300000000003</v>
      </c>
      <c r="D38" s="1485">
        <v>38669.599999999999</v>
      </c>
      <c r="E38" s="1484">
        <v>40292.400000000001</v>
      </c>
      <c r="F38" s="1485">
        <v>41585.599999999999</v>
      </c>
      <c r="G38" s="1484">
        <v>43365.319112359233</v>
      </c>
      <c r="H38" s="1485">
        <v>46129.491818309332</v>
      </c>
      <c r="I38" s="1484">
        <v>47981.46820977678</v>
      </c>
      <c r="J38" s="1485">
        <v>49880.554048008169</v>
      </c>
      <c r="K38" s="1484">
        <v>51647.264856226211</v>
      </c>
      <c r="L38" s="1486"/>
      <c r="M38" s="1487">
        <v>3.5418828879038688E-2</v>
      </c>
      <c r="N38" s="1488">
        <v>3.9415352649484259E-2</v>
      </c>
      <c r="O38" s="1489"/>
      <c r="P38" s="1490">
        <v>53819.977165206961</v>
      </c>
    </row>
    <row r="39" spans="1:28" ht="14.25" customHeight="1">
      <c r="A39" s="1491" t="s">
        <v>590</v>
      </c>
      <c r="B39" s="1491"/>
      <c r="C39" s="1492"/>
      <c r="D39" s="1492"/>
      <c r="E39" s="1492"/>
      <c r="F39" s="1492"/>
      <c r="G39" s="1492"/>
      <c r="H39" s="1492"/>
      <c r="I39" s="1492"/>
      <c r="J39" s="1492"/>
      <c r="K39" s="1376"/>
      <c r="L39" s="1376"/>
      <c r="M39" s="1376"/>
      <c r="N39" s="1492"/>
      <c r="O39" s="1492"/>
      <c r="P39" s="1492"/>
    </row>
    <row r="40" spans="1:28">
      <c r="A40" s="1376"/>
      <c r="B40" s="1492"/>
      <c r="C40" s="1376"/>
      <c r="D40" s="1492"/>
      <c r="E40" s="1376"/>
      <c r="F40" s="1376"/>
      <c r="G40" s="1376"/>
      <c r="H40" s="1376"/>
      <c r="I40" s="1376"/>
      <c r="J40" s="1376"/>
      <c r="K40" s="1376"/>
      <c r="L40" s="1376"/>
      <c r="M40" s="1376"/>
      <c r="N40" s="1492"/>
      <c r="O40" s="1376"/>
      <c r="P40" s="1376"/>
      <c r="Q40" s="1396"/>
      <c r="R40" s="1396"/>
      <c r="S40" s="1396"/>
      <c r="T40" s="1396"/>
      <c r="W40" s="1396"/>
      <c r="X40" s="1396"/>
      <c r="Y40" s="1396"/>
      <c r="Z40" s="1396"/>
      <c r="AA40" s="1387"/>
      <c r="AB40" s="1493"/>
    </row>
    <row r="41" spans="1:28">
      <c r="A41" s="1376" t="s">
        <v>1512</v>
      </c>
      <c r="B41" s="1492"/>
      <c r="C41" s="1376"/>
      <c r="D41" s="1492"/>
      <c r="E41" s="1376"/>
      <c r="F41" s="1376"/>
      <c r="G41" s="1376"/>
      <c r="H41" s="1376"/>
      <c r="I41" s="1376"/>
      <c r="J41" s="1376"/>
      <c r="K41" s="1376"/>
      <c r="L41" s="1376"/>
      <c r="M41" s="1376"/>
      <c r="N41" s="1492"/>
      <c r="O41" s="1376"/>
      <c r="P41" s="1376"/>
      <c r="Q41" s="1396"/>
      <c r="R41" s="1396"/>
      <c r="S41" s="1396"/>
      <c r="T41" s="1396"/>
      <c r="W41" s="1396"/>
      <c r="X41" s="1396"/>
      <c r="Y41" s="1396"/>
      <c r="Z41" s="1396"/>
      <c r="AA41" s="1387"/>
      <c r="AB41" s="1493"/>
    </row>
    <row r="42" spans="1:28">
      <c r="A42" s="1376"/>
      <c r="B42" s="1492"/>
      <c r="C42" s="1376"/>
      <c r="D42" s="1376"/>
      <c r="E42" s="1376"/>
      <c r="F42" s="1376"/>
      <c r="G42" s="1376"/>
      <c r="H42" s="1376"/>
      <c r="I42" s="1376"/>
      <c r="J42" s="1376"/>
      <c r="K42" s="1376"/>
      <c r="L42" s="1376"/>
      <c r="M42" s="1376"/>
      <c r="N42" s="1376"/>
      <c r="O42" s="1376"/>
      <c r="P42" s="1376"/>
    </row>
    <row r="43" spans="1:28">
      <c r="A43" s="1492"/>
      <c r="B43" s="1492"/>
      <c r="C43" s="1376"/>
      <c r="D43" s="1376"/>
      <c r="E43" s="1494"/>
      <c r="F43" s="1376"/>
      <c r="G43" s="1376"/>
      <c r="H43" s="1376"/>
      <c r="I43" s="1376"/>
      <c r="J43" s="1376"/>
      <c r="K43" s="1376"/>
      <c r="L43" s="1376"/>
      <c r="M43" s="1376"/>
      <c r="N43" s="1376"/>
      <c r="O43" s="1494"/>
      <c r="P43" s="1376"/>
    </row>
    <row r="44" spans="1:28">
      <c r="A44" s="1492" t="s">
        <v>128</v>
      </c>
      <c r="B44" s="1492"/>
      <c r="C44" s="1376"/>
      <c r="D44" s="1376"/>
      <c r="E44" s="1376"/>
      <c r="F44" s="1376"/>
      <c r="G44" s="1376"/>
      <c r="H44" s="1376"/>
      <c r="I44" s="1376"/>
      <c r="J44" s="1376"/>
      <c r="K44" s="1376"/>
      <c r="L44" s="1376"/>
      <c r="M44" s="1376"/>
      <c r="N44" s="1376"/>
      <c r="O44" s="1376"/>
      <c r="P44" s="1376"/>
    </row>
    <row r="45" spans="1:28">
      <c r="A45" s="1492"/>
      <c r="B45" s="1492"/>
      <c r="C45" s="1376"/>
      <c r="D45" s="1376"/>
      <c r="E45" s="1376"/>
      <c r="F45" s="1376"/>
      <c r="G45" s="1376"/>
      <c r="H45" s="1376"/>
      <c r="I45" s="1376"/>
      <c r="J45" s="1376"/>
      <c r="K45" s="1376"/>
      <c r="L45" s="1376"/>
      <c r="M45" s="1376"/>
      <c r="N45" s="1376"/>
      <c r="O45" s="1376"/>
      <c r="P45" s="1376"/>
    </row>
    <row r="46" spans="1:28">
      <c r="A46" s="1492"/>
      <c r="B46" s="1492"/>
      <c r="C46" s="1376"/>
      <c r="D46" s="1376"/>
      <c r="E46" s="1376"/>
      <c r="F46" s="1376"/>
      <c r="G46" s="1376"/>
      <c r="H46" s="1376"/>
      <c r="I46" s="1376"/>
      <c r="J46" s="1376"/>
      <c r="K46" s="1376"/>
      <c r="L46" s="1376"/>
      <c r="M46" s="1376"/>
      <c r="N46" s="1376"/>
      <c r="O46" s="1376"/>
      <c r="P46" s="1376"/>
    </row>
    <row r="47" spans="1:28">
      <c r="A47" s="1492"/>
      <c r="B47" s="1492"/>
      <c r="C47" s="1376"/>
      <c r="D47" s="1376"/>
      <c r="E47" s="1376"/>
      <c r="F47" s="1376"/>
      <c r="G47" s="1376"/>
      <c r="H47" s="1376"/>
      <c r="I47" s="1376"/>
      <c r="J47" s="1376"/>
      <c r="K47" s="1376"/>
      <c r="L47" s="1376"/>
      <c r="M47" s="1376"/>
      <c r="N47" s="1376"/>
      <c r="O47" s="1376"/>
      <c r="P47" s="1376"/>
    </row>
    <row r="48" spans="1:28">
      <c r="A48" s="1492"/>
      <c r="B48" s="1492"/>
      <c r="C48" s="1376"/>
      <c r="D48" s="1376"/>
      <c r="E48" s="1376"/>
      <c r="F48" s="1376"/>
      <c r="G48" s="1376"/>
      <c r="H48" s="1376"/>
      <c r="I48" s="1376"/>
      <c r="J48" s="1376"/>
      <c r="K48" s="1376"/>
      <c r="L48" s="1376"/>
      <c r="M48" s="1376"/>
      <c r="N48" s="1376"/>
      <c r="O48" s="1376"/>
      <c r="P48" s="1376"/>
    </row>
    <row r="49" spans="1:16">
      <c r="A49" s="1492"/>
      <c r="B49" s="1376"/>
      <c r="C49" s="1376"/>
      <c r="D49" s="1376"/>
      <c r="E49" s="1376"/>
      <c r="F49" s="1376"/>
      <c r="G49" s="1376"/>
      <c r="H49" s="1376"/>
      <c r="I49" s="1376"/>
      <c r="J49" s="1376"/>
      <c r="K49" s="1376"/>
      <c r="L49" s="1376"/>
      <c r="M49" s="1376"/>
      <c r="N49" s="1376"/>
      <c r="O49" s="1376"/>
      <c r="P49" s="1376"/>
    </row>
    <row r="50" spans="1:16">
      <c r="A50" s="1492"/>
      <c r="B50" s="1376"/>
      <c r="C50" s="1376"/>
      <c r="D50" s="1376"/>
      <c r="E50" s="1376"/>
      <c r="F50" s="1376"/>
      <c r="G50" s="1376"/>
      <c r="H50" s="1376"/>
      <c r="I50" s="1376"/>
      <c r="J50" s="1376"/>
      <c r="K50" s="1376"/>
      <c r="L50" s="1376"/>
      <c r="M50" s="1376"/>
      <c r="N50" s="1376"/>
      <c r="O50" s="1376"/>
      <c r="P50" s="1376"/>
    </row>
    <row r="51" spans="1:16">
      <c r="A51" s="1376"/>
      <c r="B51" s="1376"/>
      <c r="C51" s="1376"/>
      <c r="D51" s="1376"/>
      <c r="E51" s="1376"/>
      <c r="F51" s="1376"/>
      <c r="G51" s="1376"/>
      <c r="H51" s="1376"/>
      <c r="I51" s="1376"/>
      <c r="J51" s="1376"/>
      <c r="K51" s="1376"/>
      <c r="L51" s="1376"/>
      <c r="M51" s="1376"/>
      <c r="N51" s="1376"/>
      <c r="O51" s="1376"/>
      <c r="P51" s="1376"/>
    </row>
    <row r="52" spans="1:16">
      <c r="A52" s="1376"/>
      <c r="B52" s="1376"/>
      <c r="C52" s="1376"/>
      <c r="D52" s="1376"/>
      <c r="E52" s="1376"/>
      <c r="F52" s="1376"/>
      <c r="G52" s="1376"/>
      <c r="H52" s="1376"/>
      <c r="I52" s="1376"/>
      <c r="J52" s="1376"/>
      <c r="K52" s="1376"/>
      <c r="L52" s="1376"/>
      <c r="M52" s="1376"/>
      <c r="N52" s="1376"/>
      <c r="O52" s="1376"/>
      <c r="P52" s="1376"/>
    </row>
    <row r="53" spans="1:16">
      <c r="A53" s="1376"/>
      <c r="B53" s="1492"/>
      <c r="C53" s="1376"/>
      <c r="D53" s="1376"/>
      <c r="E53" s="1376"/>
      <c r="F53" s="1376"/>
      <c r="G53" s="1376"/>
      <c r="H53" s="1376"/>
      <c r="I53" s="1376"/>
      <c r="J53" s="1376"/>
      <c r="K53" s="1376"/>
      <c r="L53" s="1376"/>
      <c r="M53" s="1376"/>
      <c r="N53" s="1376"/>
      <c r="O53" s="1376"/>
      <c r="P53" s="1376"/>
    </row>
    <row r="54" spans="1:16">
      <c r="A54" s="1376"/>
      <c r="B54" s="1492"/>
      <c r="C54" s="1376"/>
      <c r="D54" s="1376"/>
      <c r="E54" s="1376"/>
      <c r="F54" s="1376"/>
      <c r="G54" s="1376"/>
      <c r="H54" s="1376"/>
      <c r="I54" s="1376"/>
      <c r="J54" s="1376"/>
      <c r="K54" s="1376"/>
      <c r="L54" s="1376"/>
      <c r="M54" s="1376"/>
      <c r="N54" s="1376"/>
      <c r="O54" s="1376"/>
      <c r="P54" s="1376"/>
    </row>
    <row r="55" spans="1:16" ht="16">
      <c r="A55" s="1375"/>
      <c r="B55" s="1492"/>
      <c r="C55" s="1376"/>
      <c r="D55" s="1376"/>
      <c r="E55" s="1376"/>
      <c r="F55" s="1376"/>
      <c r="G55" s="1376"/>
      <c r="H55" s="1376"/>
      <c r="I55" s="1376"/>
      <c r="J55" s="1376"/>
      <c r="K55" s="1376"/>
      <c r="L55" s="1376"/>
      <c r="M55" s="1376"/>
      <c r="N55" s="1376"/>
      <c r="O55" s="1376"/>
      <c r="P55" s="1376"/>
    </row>
    <row r="56" spans="1:16">
      <c r="A56" s="1492"/>
      <c r="B56" s="1492"/>
      <c r="C56" s="1376"/>
      <c r="D56" s="1376"/>
      <c r="E56" s="1376"/>
      <c r="F56" s="1376"/>
      <c r="G56" s="1376"/>
      <c r="H56" s="1376"/>
      <c r="I56" s="1376"/>
      <c r="J56" s="1376"/>
      <c r="K56" s="1376"/>
      <c r="L56" s="1376"/>
      <c r="M56" s="1376"/>
      <c r="N56" s="1376"/>
      <c r="O56" s="1376"/>
      <c r="P56" s="1376"/>
    </row>
    <row r="57" spans="1:16">
      <c r="A57" s="1492"/>
      <c r="B57" s="1492"/>
      <c r="C57" s="1376"/>
      <c r="D57" s="1376"/>
      <c r="E57" s="1376"/>
      <c r="F57" s="1376"/>
      <c r="G57" s="1376"/>
      <c r="H57" s="1376"/>
      <c r="I57" s="1376"/>
      <c r="J57" s="1376"/>
      <c r="K57" s="1376"/>
      <c r="L57" s="1376"/>
      <c r="M57" s="1376"/>
      <c r="N57" s="1376"/>
      <c r="O57" s="1376"/>
      <c r="P57" s="1376"/>
    </row>
    <row r="58" spans="1:16">
      <c r="A58" s="1492"/>
      <c r="B58" s="1492"/>
      <c r="C58" s="1376"/>
      <c r="D58" s="1376"/>
      <c r="E58" s="1376"/>
      <c r="F58" s="1376"/>
      <c r="G58" s="1376"/>
      <c r="H58" s="1376"/>
      <c r="I58" s="1376"/>
      <c r="J58" s="1376"/>
      <c r="K58" s="1376"/>
      <c r="L58" s="1376"/>
      <c r="M58" s="1376"/>
      <c r="N58" s="1376"/>
      <c r="O58" s="1376"/>
      <c r="P58" s="1376"/>
    </row>
    <row r="59" spans="1:16">
      <c r="A59" s="1492"/>
      <c r="B59" s="1492"/>
      <c r="C59" s="1376"/>
      <c r="D59" s="1376"/>
      <c r="E59" s="1376"/>
      <c r="F59" s="1376"/>
      <c r="G59" s="1376"/>
      <c r="H59" s="1376"/>
      <c r="I59" s="1376"/>
      <c r="J59" s="1376"/>
      <c r="K59" s="1376"/>
      <c r="L59" s="1376"/>
      <c r="M59" s="1376"/>
      <c r="N59" s="1376"/>
      <c r="O59" s="1376"/>
      <c r="P59" s="1376"/>
    </row>
    <row r="60" spans="1:16">
      <c r="A60" s="1492"/>
      <c r="B60" s="1492"/>
      <c r="C60" s="1376"/>
      <c r="D60" s="1376"/>
      <c r="E60" s="1376"/>
      <c r="F60" s="1376"/>
      <c r="G60" s="1376"/>
      <c r="H60" s="1376"/>
      <c r="I60" s="1376"/>
      <c r="J60" s="1376"/>
      <c r="K60" s="1376"/>
      <c r="L60" s="1376"/>
      <c r="M60" s="1376"/>
      <c r="N60" s="1376"/>
      <c r="O60" s="1376"/>
      <c r="P60" s="1376"/>
    </row>
    <row r="61" spans="1:16">
      <c r="A61" s="1492"/>
      <c r="B61" s="1492"/>
      <c r="C61" s="1376"/>
      <c r="D61" s="1376"/>
      <c r="E61" s="1376"/>
      <c r="F61" s="1376"/>
      <c r="G61" s="1376"/>
      <c r="H61" s="1376"/>
      <c r="I61" s="1376"/>
      <c r="J61" s="1376"/>
      <c r="K61" s="1376"/>
      <c r="L61" s="1376"/>
      <c r="M61" s="1376"/>
      <c r="N61" s="1376"/>
      <c r="O61" s="1376"/>
      <c r="P61" s="1376"/>
    </row>
    <row r="62" spans="1:16">
      <c r="A62" s="1492"/>
      <c r="B62" s="1492"/>
      <c r="C62" s="1376"/>
      <c r="D62" s="1376"/>
      <c r="E62" s="1376"/>
      <c r="F62" s="1376"/>
      <c r="G62" s="1376"/>
      <c r="H62" s="1376"/>
      <c r="I62" s="1376"/>
      <c r="J62" s="1376"/>
      <c r="K62" s="1376"/>
      <c r="L62" s="1376"/>
      <c r="M62" s="1376"/>
      <c r="N62" s="1376"/>
      <c r="O62" s="1376"/>
      <c r="P62" s="1376"/>
    </row>
    <row r="63" spans="1:16">
      <c r="A63" s="1492"/>
      <c r="B63" s="1492"/>
      <c r="C63" s="1376"/>
      <c r="D63" s="1376"/>
      <c r="E63" s="1376"/>
      <c r="F63" s="1376"/>
      <c r="G63" s="1376"/>
      <c r="H63" s="1376"/>
      <c r="I63" s="1376"/>
      <c r="J63" s="1376"/>
      <c r="K63" s="1376"/>
      <c r="L63" s="1376"/>
      <c r="M63" s="1376"/>
      <c r="N63" s="1376"/>
      <c r="O63" s="1376"/>
      <c r="P63" s="1376"/>
    </row>
    <row r="64" spans="1:16">
      <c r="A64" s="1492"/>
      <c r="B64" s="1492"/>
      <c r="C64" s="1376"/>
      <c r="D64" s="1376"/>
      <c r="E64" s="1376"/>
      <c r="F64" s="1376"/>
      <c r="G64" s="1376"/>
      <c r="H64" s="1376"/>
      <c r="I64" s="1376"/>
      <c r="J64" s="1376"/>
      <c r="K64" s="1376"/>
      <c r="L64" s="1376"/>
      <c r="M64" s="1376"/>
      <c r="N64" s="1376"/>
      <c r="O64" s="1376"/>
      <c r="P64" s="1376"/>
    </row>
    <row r="65" spans="1:16">
      <c r="A65" s="1376"/>
      <c r="B65" s="1492"/>
      <c r="C65" s="1376"/>
      <c r="D65" s="1376"/>
      <c r="E65" s="1376"/>
      <c r="F65" s="1376"/>
      <c r="G65" s="1376"/>
      <c r="H65" s="1376"/>
      <c r="I65" s="1376"/>
      <c r="J65" s="1376"/>
      <c r="K65" s="1376"/>
      <c r="L65" s="1376"/>
      <c r="M65" s="1376"/>
      <c r="N65" s="1376"/>
      <c r="O65" s="1376"/>
      <c r="P65" s="1376"/>
    </row>
    <row r="66" spans="1:16">
      <c r="A66" s="1492"/>
      <c r="B66" s="1492"/>
      <c r="C66" s="1376"/>
      <c r="D66" s="1376"/>
      <c r="E66" s="1376"/>
      <c r="F66" s="1376"/>
      <c r="G66" s="1376"/>
      <c r="H66" s="1376"/>
      <c r="I66" s="1376"/>
      <c r="J66" s="1376"/>
      <c r="K66" s="1376"/>
      <c r="L66" s="1376"/>
      <c r="M66" s="1376"/>
      <c r="N66" s="1376"/>
      <c r="O66" s="1376"/>
      <c r="P66" s="1376"/>
    </row>
    <row r="67" spans="1:16">
      <c r="A67" s="1492"/>
      <c r="B67" s="1492"/>
      <c r="C67" s="1376"/>
      <c r="D67" s="1376"/>
      <c r="E67" s="1376"/>
      <c r="F67" s="1376"/>
      <c r="G67" s="1376"/>
      <c r="H67" s="1376"/>
      <c r="I67" s="1376"/>
      <c r="J67" s="1376"/>
      <c r="K67" s="1376"/>
      <c r="L67" s="1376"/>
      <c r="M67" s="1376"/>
      <c r="N67" s="1376"/>
      <c r="O67" s="1376"/>
      <c r="P67" s="1376"/>
    </row>
    <row r="68" spans="1:16">
      <c r="A68" s="1492"/>
      <c r="B68" s="1492"/>
      <c r="C68" s="1376"/>
      <c r="D68" s="1376"/>
      <c r="E68" s="1376"/>
      <c r="F68" s="1376"/>
      <c r="G68" s="1376"/>
      <c r="H68" s="1376"/>
      <c r="I68" s="1376"/>
      <c r="J68" s="1376"/>
      <c r="K68" s="1376"/>
      <c r="L68" s="1376"/>
      <c r="M68" s="1376"/>
      <c r="N68" s="1376"/>
      <c r="O68" s="1376"/>
      <c r="P68" s="1376"/>
    </row>
    <row r="69" spans="1:16">
      <c r="A69" s="1492"/>
      <c r="B69" s="1492"/>
      <c r="C69" s="1376"/>
      <c r="D69" s="1376"/>
      <c r="E69" s="1376"/>
      <c r="F69" s="1376"/>
      <c r="G69" s="1376"/>
      <c r="H69" s="1376"/>
      <c r="I69" s="1376"/>
      <c r="J69" s="1376"/>
      <c r="K69" s="1376"/>
      <c r="L69" s="1376"/>
      <c r="M69" s="1376"/>
      <c r="N69" s="1376"/>
      <c r="O69" s="1376"/>
      <c r="P69" s="1376"/>
    </row>
    <row r="70" spans="1:16">
      <c r="A70" s="1492"/>
      <c r="B70" s="1492"/>
      <c r="C70" s="1376"/>
      <c r="D70" s="1376"/>
      <c r="E70" s="1376"/>
      <c r="F70" s="1376"/>
      <c r="G70" s="1376"/>
      <c r="H70" s="1376"/>
      <c r="I70" s="1376"/>
      <c r="J70" s="1376"/>
      <c r="K70" s="1376"/>
      <c r="L70" s="1376"/>
      <c r="M70" s="1376"/>
      <c r="N70" s="1376"/>
      <c r="O70" s="1376"/>
      <c r="P70" s="1376"/>
    </row>
    <row r="71" spans="1:16">
      <c r="A71" s="1492"/>
      <c r="B71" s="1492"/>
      <c r="C71" s="1376"/>
      <c r="D71" s="1376"/>
      <c r="E71" s="1376"/>
      <c r="F71" s="1376"/>
      <c r="G71" s="1376"/>
      <c r="H71" s="1376"/>
      <c r="I71" s="1376"/>
      <c r="J71" s="1376"/>
      <c r="K71" s="1376"/>
      <c r="L71" s="1376"/>
      <c r="M71" s="1376"/>
      <c r="N71" s="1376"/>
      <c r="O71" s="1376"/>
      <c r="P71" s="1376"/>
    </row>
    <row r="72" spans="1:16">
      <c r="A72" s="1492"/>
      <c r="B72" s="1376"/>
      <c r="C72" s="1376"/>
      <c r="D72" s="1376"/>
      <c r="E72" s="1376"/>
      <c r="F72" s="1376"/>
      <c r="G72" s="1376"/>
      <c r="H72" s="1376"/>
      <c r="I72" s="1376"/>
      <c r="J72" s="1376"/>
      <c r="K72" s="1376"/>
      <c r="L72" s="1376"/>
      <c r="M72" s="1376"/>
      <c r="N72" s="1376"/>
      <c r="O72" s="1376"/>
      <c r="P72" s="1376"/>
    </row>
    <row r="73" spans="1:16">
      <c r="A73" s="1376"/>
      <c r="B73" s="1376"/>
      <c r="C73" s="1376"/>
      <c r="D73" s="1376"/>
      <c r="E73" s="1376"/>
      <c r="F73" s="1376"/>
      <c r="G73" s="1376"/>
      <c r="H73" s="1376"/>
      <c r="I73" s="1376"/>
      <c r="J73" s="1376"/>
      <c r="K73" s="1376"/>
      <c r="L73" s="1376"/>
      <c r="M73" s="1376"/>
      <c r="N73" s="1376"/>
      <c r="O73" s="1376"/>
      <c r="P73" s="1376"/>
    </row>
    <row r="74" spans="1:16">
      <c r="A74" s="1376"/>
      <c r="B74" s="1376"/>
      <c r="C74" s="1376"/>
      <c r="D74" s="1376"/>
      <c r="E74" s="1376"/>
      <c r="F74" s="1376"/>
      <c r="G74" s="1376"/>
      <c r="H74" s="1376"/>
      <c r="I74" s="1376"/>
      <c r="J74" s="1376"/>
      <c r="K74" s="1376"/>
      <c r="L74" s="1376"/>
      <c r="M74" s="1376"/>
      <c r="N74" s="1376"/>
      <c r="O74" s="1376"/>
      <c r="P74" s="1376"/>
    </row>
    <row r="75" spans="1:16">
      <c r="A75" s="1376"/>
      <c r="B75" s="1376"/>
      <c r="C75" s="1376"/>
      <c r="D75" s="1376"/>
      <c r="E75" s="1376"/>
      <c r="F75" s="1376"/>
      <c r="G75" s="1376"/>
      <c r="H75" s="1376"/>
      <c r="I75" s="1376"/>
      <c r="J75" s="1376"/>
      <c r="K75" s="1376"/>
      <c r="L75" s="1376"/>
      <c r="M75" s="1376"/>
      <c r="N75" s="1376"/>
      <c r="O75" s="1376"/>
      <c r="P75" s="1376"/>
    </row>
    <row r="76" spans="1:16">
      <c r="A76" s="1376"/>
      <c r="B76" s="1492"/>
      <c r="C76" s="1376"/>
      <c r="D76" s="1376"/>
      <c r="E76" s="1376"/>
      <c r="F76" s="1376"/>
      <c r="G76" s="1376"/>
      <c r="H76" s="1376"/>
      <c r="I76" s="1376"/>
      <c r="J76" s="1376"/>
      <c r="K76" s="1376"/>
      <c r="L76" s="1376"/>
      <c r="M76" s="1376"/>
      <c r="N76" s="1376"/>
      <c r="O76" s="1376"/>
      <c r="P76" s="1376"/>
    </row>
    <row r="77" spans="1:16">
      <c r="A77" s="1376"/>
      <c r="B77" s="1492"/>
      <c r="C77" s="1376"/>
      <c r="D77" s="1376"/>
      <c r="E77" s="1376"/>
      <c r="F77" s="1376"/>
      <c r="G77" s="1376"/>
      <c r="H77" s="1376"/>
      <c r="I77" s="1376"/>
      <c r="J77" s="1376"/>
      <c r="K77" s="1376"/>
      <c r="L77" s="1376"/>
      <c r="M77" s="1376"/>
      <c r="N77" s="1376"/>
      <c r="O77" s="1376"/>
      <c r="P77" s="1376"/>
    </row>
    <row r="78" spans="1:16">
      <c r="A78" s="1376"/>
      <c r="B78" s="1492"/>
      <c r="C78" s="1376"/>
      <c r="D78" s="1376"/>
      <c r="E78" s="1376"/>
      <c r="F78" s="1376"/>
      <c r="G78" s="1376"/>
      <c r="H78" s="1376"/>
      <c r="I78" s="1376"/>
      <c r="J78" s="1376"/>
      <c r="K78" s="1376"/>
      <c r="L78" s="1376"/>
      <c r="M78" s="1376"/>
      <c r="N78" s="1376"/>
      <c r="O78" s="1376"/>
      <c r="P78" s="1376"/>
    </row>
    <row r="79" spans="1:16">
      <c r="A79" s="1492"/>
      <c r="B79" s="1492"/>
      <c r="C79" s="1376"/>
      <c r="D79" s="1376"/>
      <c r="E79" s="1376"/>
      <c r="F79" s="1376"/>
      <c r="G79" s="1376"/>
      <c r="H79" s="1376"/>
      <c r="I79" s="1376"/>
      <c r="J79" s="1376"/>
      <c r="K79" s="1376"/>
      <c r="L79" s="1376"/>
      <c r="M79" s="1376"/>
      <c r="N79" s="1376"/>
      <c r="O79" s="1376"/>
      <c r="P79" s="1376"/>
    </row>
    <row r="80" spans="1:16">
      <c r="A80" s="1492"/>
      <c r="B80" s="1492"/>
      <c r="C80" s="1376"/>
      <c r="D80" s="1376"/>
      <c r="E80" s="1376"/>
      <c r="F80" s="1376"/>
      <c r="G80" s="1376"/>
      <c r="H80" s="1376"/>
      <c r="I80" s="1376"/>
      <c r="J80" s="1376"/>
      <c r="K80" s="1376"/>
      <c r="L80" s="1376"/>
      <c r="M80" s="1376"/>
      <c r="N80" s="1376"/>
      <c r="O80" s="1376"/>
      <c r="P80" s="1376"/>
    </row>
    <row r="81" spans="1:16">
      <c r="A81" s="1492"/>
      <c r="B81" s="1492"/>
      <c r="C81" s="1376"/>
      <c r="D81" s="1376"/>
      <c r="E81" s="1376"/>
      <c r="F81" s="1376"/>
      <c r="G81" s="1376"/>
      <c r="H81" s="1376"/>
      <c r="I81" s="1376"/>
      <c r="J81" s="1376"/>
      <c r="K81" s="1376"/>
      <c r="L81" s="1376"/>
      <c r="M81" s="1376"/>
      <c r="N81" s="1376"/>
      <c r="O81" s="1376"/>
      <c r="P81" s="1376"/>
    </row>
    <row r="82" spans="1:16">
      <c r="A82" s="1492"/>
      <c r="B82" s="1492"/>
      <c r="C82" s="1376"/>
      <c r="D82" s="1376"/>
      <c r="E82" s="1376"/>
      <c r="F82" s="1376"/>
      <c r="G82" s="1376"/>
      <c r="H82" s="1376"/>
      <c r="I82" s="1376"/>
      <c r="J82" s="1376"/>
      <c r="K82" s="1376"/>
      <c r="L82" s="1376"/>
      <c r="M82" s="1376"/>
      <c r="N82" s="1376"/>
      <c r="O82" s="1376"/>
      <c r="P82" s="1376"/>
    </row>
    <row r="83" spans="1:16">
      <c r="A83" s="1492"/>
      <c r="B83" s="1492"/>
      <c r="C83" s="1376"/>
      <c r="D83" s="1376"/>
      <c r="E83" s="1376"/>
      <c r="F83" s="1376"/>
      <c r="G83" s="1376"/>
      <c r="H83" s="1376"/>
      <c r="I83" s="1376"/>
      <c r="J83" s="1376"/>
      <c r="K83" s="1376"/>
      <c r="L83" s="1376"/>
      <c r="M83" s="1376"/>
      <c r="N83" s="1376"/>
      <c r="O83" s="1376"/>
      <c r="P83" s="1376"/>
    </row>
    <row r="84" spans="1:16">
      <c r="A84" s="1492"/>
      <c r="B84" s="1492"/>
      <c r="C84" s="1376"/>
      <c r="D84" s="1376"/>
      <c r="E84" s="1376"/>
      <c r="F84" s="1376"/>
      <c r="G84" s="1376"/>
      <c r="H84" s="1376"/>
      <c r="I84" s="1376"/>
      <c r="J84" s="1376"/>
      <c r="K84" s="1376"/>
      <c r="L84" s="1376"/>
      <c r="M84" s="1376"/>
      <c r="N84" s="1376"/>
      <c r="O84" s="1376"/>
      <c r="P84" s="1376"/>
    </row>
    <row r="85" spans="1:16" ht="16">
      <c r="A85" s="1375"/>
      <c r="B85" s="1492"/>
      <c r="C85" s="1376"/>
      <c r="D85" s="1376"/>
      <c r="E85" s="1376"/>
      <c r="F85" s="1376"/>
      <c r="G85" s="1376"/>
      <c r="H85" s="1376"/>
      <c r="I85" s="1376"/>
      <c r="J85" s="1376"/>
      <c r="K85" s="1376"/>
      <c r="L85" s="1376"/>
      <c r="M85" s="1376"/>
      <c r="N85" s="1376"/>
      <c r="O85" s="1376"/>
      <c r="P85" s="1376"/>
    </row>
    <row r="86" spans="1:16">
      <c r="A86" s="1492"/>
      <c r="B86" s="1492"/>
      <c r="C86" s="1376"/>
      <c r="D86" s="1376"/>
      <c r="E86" s="1376"/>
      <c r="F86" s="1376"/>
      <c r="G86" s="1376"/>
      <c r="H86" s="1376"/>
      <c r="I86" s="1376"/>
      <c r="J86" s="1376"/>
      <c r="K86" s="1376"/>
      <c r="L86" s="1376"/>
      <c r="M86" s="1376"/>
      <c r="N86" s="1376"/>
      <c r="O86" s="1376"/>
      <c r="P86" s="1376"/>
    </row>
    <row r="87" spans="1:16">
      <c r="A87" s="1376"/>
      <c r="B87" s="1492"/>
      <c r="C87" s="1376"/>
      <c r="D87" s="1376"/>
      <c r="E87" s="1376"/>
      <c r="F87" s="1376"/>
      <c r="G87" s="1376"/>
      <c r="H87" s="1376"/>
      <c r="I87" s="1376"/>
      <c r="J87" s="1376"/>
      <c r="K87" s="1376"/>
      <c r="L87" s="1376"/>
      <c r="M87" s="1376"/>
      <c r="N87" s="1376"/>
      <c r="O87" s="1376"/>
      <c r="P87" s="1376"/>
    </row>
    <row r="88" spans="1:16">
      <c r="A88" s="1492"/>
      <c r="B88" s="1492"/>
      <c r="C88" s="1376"/>
      <c r="D88" s="1376"/>
      <c r="E88" s="1376"/>
      <c r="F88" s="1376"/>
      <c r="G88" s="1376"/>
      <c r="H88" s="1376"/>
      <c r="I88" s="1376"/>
      <c r="J88" s="1376"/>
      <c r="K88" s="1376"/>
      <c r="L88" s="1376"/>
      <c r="M88" s="1376"/>
      <c r="N88" s="1376"/>
      <c r="O88" s="1376"/>
      <c r="P88" s="1376"/>
    </row>
    <row r="89" spans="1:16">
      <c r="A89" s="1492"/>
      <c r="B89" s="1492"/>
      <c r="C89" s="1376"/>
      <c r="D89" s="1376"/>
      <c r="E89" s="1376"/>
      <c r="F89" s="1376"/>
      <c r="G89" s="1376"/>
      <c r="H89" s="1376"/>
      <c r="I89" s="1376"/>
      <c r="J89" s="1376"/>
      <c r="K89" s="1376"/>
      <c r="L89" s="1376"/>
      <c r="M89" s="1376"/>
      <c r="N89" s="1376"/>
      <c r="O89" s="1376"/>
      <c r="P89" s="1376"/>
    </row>
    <row r="90" spans="1:16">
      <c r="A90" s="1492"/>
      <c r="B90" s="1492"/>
      <c r="C90" s="1376"/>
      <c r="D90" s="1376"/>
      <c r="E90" s="1376"/>
      <c r="F90" s="1376"/>
      <c r="G90" s="1376"/>
      <c r="H90" s="1376"/>
      <c r="I90" s="1376"/>
      <c r="J90" s="1376"/>
      <c r="K90" s="1376"/>
      <c r="L90" s="1376"/>
      <c r="M90" s="1376"/>
      <c r="N90" s="1376"/>
      <c r="O90" s="1376"/>
      <c r="P90" s="1376"/>
    </row>
    <row r="91" spans="1:16">
      <c r="A91" s="1492"/>
      <c r="B91" s="1492"/>
      <c r="C91" s="1376"/>
      <c r="D91" s="1376"/>
      <c r="E91" s="1376"/>
      <c r="F91" s="1376"/>
      <c r="G91" s="1376"/>
      <c r="H91" s="1376"/>
      <c r="I91" s="1376"/>
      <c r="J91" s="1376"/>
      <c r="K91" s="1376"/>
      <c r="L91" s="1376"/>
      <c r="M91" s="1376"/>
      <c r="N91" s="1376"/>
      <c r="O91" s="1376"/>
      <c r="P91" s="1376"/>
    </row>
    <row r="92" spans="1:16">
      <c r="A92" s="1376"/>
      <c r="B92" s="1376"/>
      <c r="C92" s="1376"/>
      <c r="D92" s="1376"/>
      <c r="E92" s="1376"/>
      <c r="F92" s="1376"/>
      <c r="G92" s="1376"/>
      <c r="H92" s="1376"/>
      <c r="I92" s="1376"/>
      <c r="J92" s="1376"/>
      <c r="K92" s="1376"/>
      <c r="L92" s="1376"/>
      <c r="M92" s="1376"/>
      <c r="N92" s="1376"/>
      <c r="O92" s="1376"/>
      <c r="P92" s="1376"/>
    </row>
    <row r="93" spans="1:16">
      <c r="A93" s="1376"/>
      <c r="B93" s="1376"/>
      <c r="C93" s="1376"/>
      <c r="D93" s="1376"/>
      <c r="E93" s="1376"/>
      <c r="F93" s="1376"/>
      <c r="G93" s="1376"/>
      <c r="H93" s="1376"/>
      <c r="I93" s="1376"/>
      <c r="J93" s="1376"/>
      <c r="K93" s="1376"/>
      <c r="L93" s="1376"/>
      <c r="M93" s="1376"/>
      <c r="N93" s="1376"/>
      <c r="O93" s="1376"/>
      <c r="P93" s="1376"/>
    </row>
    <row r="94" spans="1:16">
      <c r="A94" s="1376"/>
      <c r="B94" s="1376"/>
      <c r="C94" s="1376"/>
      <c r="D94" s="1376"/>
      <c r="E94" s="1376"/>
      <c r="F94" s="1376"/>
      <c r="G94" s="1376"/>
      <c r="H94" s="1376"/>
      <c r="I94" s="1376"/>
      <c r="J94" s="1376"/>
      <c r="K94" s="1376"/>
      <c r="L94" s="1376"/>
      <c r="M94" s="1376"/>
      <c r="N94" s="1376"/>
      <c r="O94" s="1376"/>
      <c r="P94" s="1376"/>
    </row>
    <row r="95" spans="1:16">
      <c r="A95" s="1376"/>
      <c r="B95" s="1376"/>
      <c r="C95" s="1376"/>
      <c r="D95" s="1376"/>
      <c r="E95" s="1376"/>
      <c r="F95" s="1376"/>
      <c r="G95" s="1376"/>
      <c r="H95" s="1376"/>
      <c r="I95" s="1376"/>
      <c r="J95" s="1376"/>
      <c r="K95" s="1376"/>
      <c r="L95" s="1376"/>
      <c r="M95" s="1376"/>
      <c r="N95" s="1376"/>
      <c r="O95" s="1376"/>
      <c r="P95" s="1376"/>
    </row>
    <row r="96" spans="1:16">
      <c r="A96" s="1376"/>
      <c r="B96" s="1376"/>
      <c r="C96" s="1376"/>
      <c r="D96" s="1376"/>
      <c r="E96" s="1376"/>
      <c r="F96" s="1376"/>
      <c r="G96" s="1376"/>
      <c r="H96" s="1376"/>
      <c r="I96" s="1376"/>
      <c r="J96" s="1376"/>
      <c r="K96" s="1376"/>
      <c r="L96" s="1376"/>
      <c r="M96" s="1376"/>
      <c r="N96" s="1376"/>
      <c r="O96" s="1376"/>
      <c r="P96" s="1376"/>
    </row>
    <row r="97" spans="1:16">
      <c r="A97" s="1376"/>
      <c r="B97" s="1376"/>
      <c r="C97" s="1376"/>
      <c r="D97" s="1376"/>
      <c r="E97" s="1376"/>
      <c r="F97" s="1376"/>
      <c r="G97" s="1376"/>
      <c r="H97" s="1376"/>
      <c r="I97" s="1376"/>
      <c r="J97" s="1376"/>
      <c r="K97" s="1376"/>
      <c r="L97" s="1376"/>
      <c r="M97" s="1376"/>
      <c r="N97" s="1376"/>
      <c r="O97" s="1376"/>
      <c r="P97" s="1376"/>
    </row>
    <row r="98" spans="1:16">
      <c r="A98" s="1376"/>
      <c r="B98" s="1376"/>
      <c r="C98" s="1376"/>
      <c r="D98" s="1376"/>
      <c r="E98" s="1376"/>
      <c r="F98" s="1376"/>
      <c r="G98" s="1376"/>
      <c r="H98" s="1376"/>
      <c r="I98" s="1376"/>
      <c r="J98" s="1376"/>
      <c r="K98" s="1376"/>
      <c r="L98" s="1376"/>
      <c r="M98" s="1376"/>
      <c r="N98" s="1376"/>
      <c r="O98" s="1376"/>
      <c r="P98" s="1376"/>
    </row>
    <row r="99" spans="1:16">
      <c r="A99" s="1376"/>
      <c r="B99" s="1376"/>
      <c r="C99" s="1376"/>
      <c r="D99" s="1376"/>
      <c r="E99" s="1376"/>
      <c r="F99" s="1376"/>
      <c r="G99" s="1376"/>
      <c r="H99" s="1376"/>
      <c r="I99" s="1376"/>
      <c r="J99" s="1376"/>
      <c r="K99" s="1376"/>
      <c r="L99" s="1376"/>
      <c r="M99" s="1376"/>
      <c r="N99" s="1376"/>
      <c r="O99" s="1376"/>
      <c r="P99" s="1376"/>
    </row>
    <row r="100" spans="1:16">
      <c r="A100" s="1376"/>
      <c r="B100" s="1376"/>
      <c r="C100" s="1376"/>
      <c r="D100" s="1376"/>
      <c r="E100" s="1376"/>
      <c r="F100" s="1376"/>
      <c r="G100" s="1376"/>
      <c r="H100" s="1376"/>
      <c r="I100" s="1376"/>
      <c r="J100" s="1376"/>
      <c r="K100" s="1376"/>
      <c r="L100" s="1376"/>
      <c r="M100" s="1376"/>
      <c r="N100" s="1376"/>
      <c r="O100" s="1376"/>
      <c r="P100" s="1376"/>
    </row>
    <row r="101" spans="1:16">
      <c r="A101" s="1376"/>
      <c r="B101" s="1376"/>
      <c r="C101" s="1376"/>
      <c r="D101" s="1376"/>
      <c r="E101" s="1376"/>
      <c r="F101" s="1376"/>
      <c r="G101" s="1376"/>
      <c r="H101" s="1376"/>
      <c r="I101" s="1376"/>
      <c r="J101" s="1376"/>
      <c r="K101" s="1376"/>
      <c r="L101" s="1376"/>
      <c r="M101" s="1376"/>
      <c r="N101" s="1376"/>
      <c r="O101" s="1376"/>
      <c r="P101" s="1376"/>
    </row>
    <row r="102" spans="1:16">
      <c r="A102" s="1376"/>
      <c r="B102" s="1376"/>
      <c r="C102" s="1376"/>
      <c r="D102" s="1376"/>
      <c r="E102" s="1376"/>
      <c r="F102" s="1376"/>
      <c r="G102" s="1376"/>
      <c r="H102" s="1376"/>
      <c r="I102" s="1376"/>
      <c r="J102" s="1376"/>
      <c r="K102" s="1376"/>
      <c r="L102" s="1376"/>
      <c r="M102" s="1376"/>
      <c r="N102" s="1376"/>
      <c r="O102" s="1376"/>
      <c r="P102" s="1376"/>
    </row>
    <row r="103" spans="1:16">
      <c r="A103" s="1376"/>
      <c r="B103" s="1376"/>
      <c r="C103" s="1376"/>
      <c r="D103" s="1376"/>
      <c r="E103" s="1376"/>
      <c r="F103" s="1376"/>
      <c r="G103" s="1376"/>
      <c r="H103" s="1376"/>
      <c r="I103" s="1376"/>
      <c r="J103" s="1376"/>
      <c r="K103" s="1376"/>
      <c r="L103" s="1376"/>
      <c r="M103" s="1376"/>
      <c r="N103" s="1376"/>
      <c r="O103" s="1376"/>
      <c r="P103" s="1376"/>
    </row>
    <row r="104" spans="1:16">
      <c r="A104" s="1376"/>
      <c r="B104" s="1376"/>
      <c r="C104" s="1376"/>
      <c r="D104" s="1376"/>
      <c r="E104" s="1376"/>
      <c r="F104" s="1376"/>
      <c r="G104" s="1376"/>
      <c r="H104" s="1376"/>
      <c r="I104" s="1376"/>
      <c r="J104" s="1376"/>
      <c r="K104" s="1376"/>
      <c r="L104" s="1376"/>
      <c r="M104" s="1376"/>
      <c r="N104" s="1376"/>
      <c r="O104" s="1376"/>
      <c r="P104" s="1376"/>
    </row>
    <row r="105" spans="1:16">
      <c r="A105" s="1376"/>
      <c r="B105" s="1376"/>
      <c r="C105" s="1376"/>
      <c r="D105" s="1376"/>
      <c r="E105" s="1376"/>
      <c r="F105" s="1376"/>
      <c r="G105" s="1376"/>
      <c r="H105" s="1376"/>
      <c r="I105" s="1376"/>
      <c r="J105" s="1376"/>
      <c r="K105" s="1376"/>
      <c r="L105" s="1376"/>
      <c r="M105" s="1376"/>
      <c r="N105" s="1376"/>
      <c r="O105" s="1376"/>
      <c r="P105" s="1376"/>
    </row>
    <row r="106" spans="1:16">
      <c r="A106" s="1376"/>
      <c r="B106" s="1376"/>
      <c r="C106" s="1376"/>
      <c r="D106" s="1376"/>
      <c r="E106" s="1376"/>
      <c r="F106" s="1376"/>
      <c r="G106" s="1376"/>
      <c r="H106" s="1376"/>
      <c r="I106" s="1376"/>
      <c r="J106" s="1376"/>
      <c r="K106" s="1376"/>
      <c r="L106" s="1376"/>
      <c r="M106" s="1376"/>
      <c r="N106" s="1376"/>
      <c r="O106" s="1376"/>
      <c r="P106" s="1376"/>
    </row>
    <row r="107" spans="1:16">
      <c r="A107" s="1376"/>
      <c r="B107" s="1376"/>
      <c r="C107" s="1376"/>
      <c r="D107" s="1376"/>
      <c r="E107" s="1376"/>
      <c r="F107" s="1376"/>
      <c r="G107" s="1376"/>
      <c r="H107" s="1376"/>
      <c r="I107" s="1376"/>
      <c r="J107" s="1376"/>
      <c r="K107" s="1376"/>
      <c r="L107" s="1376"/>
      <c r="M107" s="1376"/>
      <c r="N107" s="1376"/>
      <c r="O107" s="1376"/>
      <c r="P107" s="1376"/>
    </row>
    <row r="108" spans="1:16">
      <c r="A108" s="1376"/>
      <c r="B108" s="1376"/>
      <c r="C108" s="1376"/>
      <c r="D108" s="1376"/>
      <c r="E108" s="1376"/>
      <c r="F108" s="1376"/>
      <c r="G108" s="1376"/>
      <c r="H108" s="1376"/>
      <c r="I108" s="1376"/>
      <c r="J108" s="1376"/>
      <c r="K108" s="1376"/>
      <c r="L108" s="1376"/>
      <c r="M108" s="1376"/>
      <c r="N108" s="1376"/>
      <c r="O108" s="1376"/>
      <c r="P108" s="1376"/>
    </row>
    <row r="109" spans="1:16">
      <c r="A109" s="1376"/>
      <c r="B109" s="1376"/>
      <c r="C109" s="1376"/>
      <c r="D109" s="1376"/>
      <c r="E109" s="1376"/>
      <c r="F109" s="1376"/>
      <c r="G109" s="1376"/>
      <c r="H109" s="1376"/>
      <c r="I109" s="1376"/>
      <c r="J109" s="1376"/>
      <c r="K109" s="1376"/>
      <c r="L109" s="1376"/>
      <c r="M109" s="1376"/>
      <c r="N109" s="1376"/>
      <c r="O109" s="1376"/>
      <c r="P109" s="1376"/>
    </row>
    <row r="110" spans="1:16">
      <c r="A110" s="1376"/>
      <c r="B110" s="1376"/>
      <c r="C110" s="1376"/>
      <c r="D110" s="1376"/>
      <c r="E110" s="1376"/>
      <c r="F110" s="1376"/>
      <c r="G110" s="1376"/>
      <c r="H110" s="1376"/>
      <c r="I110" s="1376"/>
      <c r="J110" s="1376"/>
      <c r="K110" s="1376"/>
      <c r="L110" s="1376"/>
      <c r="M110" s="1376"/>
      <c r="N110" s="1376"/>
      <c r="O110" s="1376"/>
      <c r="P110" s="1376"/>
    </row>
    <row r="111" spans="1:16">
      <c r="A111" s="1376"/>
      <c r="B111" s="1376"/>
      <c r="C111" s="1376"/>
      <c r="D111" s="1376"/>
      <c r="E111" s="1376"/>
      <c r="F111" s="1376"/>
      <c r="G111" s="1376"/>
      <c r="H111" s="1376"/>
      <c r="I111" s="1376"/>
      <c r="J111" s="1376"/>
      <c r="K111" s="1376"/>
      <c r="L111" s="1376"/>
      <c r="M111" s="1376"/>
      <c r="N111" s="1376"/>
      <c r="O111" s="1376"/>
      <c r="P111" s="1376"/>
    </row>
    <row r="112" spans="1:16">
      <c r="A112" s="1376"/>
      <c r="B112" s="1376"/>
      <c r="C112" s="1376"/>
      <c r="D112" s="1376"/>
      <c r="E112" s="1376"/>
      <c r="F112" s="1376"/>
      <c r="G112" s="1376"/>
      <c r="H112" s="1376"/>
      <c r="I112" s="1376"/>
      <c r="J112" s="1376"/>
      <c r="K112" s="1376"/>
      <c r="L112" s="1376"/>
      <c r="M112" s="1376"/>
      <c r="N112" s="1376"/>
      <c r="O112" s="1376"/>
      <c r="P112" s="1376"/>
    </row>
    <row r="113" spans="1:16">
      <c r="A113" s="1376"/>
      <c r="B113" s="1376"/>
      <c r="C113" s="1376"/>
      <c r="D113" s="1376"/>
      <c r="E113" s="1376"/>
      <c r="F113" s="1376"/>
      <c r="G113" s="1376"/>
      <c r="H113" s="1376"/>
      <c r="I113" s="1376"/>
      <c r="J113" s="1376"/>
      <c r="K113" s="1376"/>
      <c r="L113" s="1376"/>
      <c r="M113" s="1376"/>
      <c r="N113" s="1376"/>
      <c r="O113" s="1376"/>
      <c r="P113" s="1376"/>
    </row>
    <row r="114" spans="1:16">
      <c r="A114" s="1376"/>
      <c r="B114" s="1376"/>
      <c r="C114" s="1376"/>
      <c r="D114" s="1376"/>
      <c r="E114" s="1376"/>
      <c r="F114" s="1376"/>
      <c r="G114" s="1376"/>
      <c r="H114" s="1376"/>
      <c r="I114" s="1376"/>
      <c r="J114" s="1376"/>
      <c r="K114" s="1376"/>
      <c r="L114" s="1376"/>
      <c r="M114" s="1376"/>
      <c r="N114" s="1376"/>
      <c r="O114" s="1376"/>
      <c r="P114" s="1376"/>
    </row>
  </sheetData>
  <phoneticPr fontId="77" type="noConversion"/>
  <pageMargins left="0.35" right="0.23" top="0.59055118110236227" bottom="0.35433070866141736" header="0.23622047244094491" footer="0.19685039370078741"/>
  <pageSetup paperSize="9" scale="79" orientation="landscape" cellComments="asDisplayed"/>
  <headerFooter alignWithMargins="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D03CE-0CDC-CD4B-B623-6F038CD21026}">
  <sheetPr>
    <pageSetUpPr fitToPage="1"/>
  </sheetPr>
  <dimension ref="A1:AG86"/>
  <sheetViews>
    <sheetView topLeftCell="M1" zoomScale="75" workbookViewId="0">
      <selection activeCell="B24" sqref="B24"/>
    </sheetView>
  </sheetViews>
  <sheetFormatPr baseColWidth="10" defaultColWidth="10.19921875" defaultRowHeight="13"/>
  <cols>
    <col min="1" max="1" width="3.796875" style="1254" customWidth="1"/>
    <col min="2" max="2" width="45" style="1254" customWidth="1"/>
    <col min="3" max="11" width="9.796875" style="1254" customWidth="1"/>
    <col min="12" max="12" width="3.19921875" style="1254" customWidth="1"/>
    <col min="13" max="13" width="10.3984375" style="1254" bestFit="1" customWidth="1"/>
    <col min="14" max="14" width="11" style="1254" customWidth="1"/>
    <col min="15" max="15" width="3.19921875" style="1254" customWidth="1"/>
    <col min="16" max="16" width="11.3984375" style="1254" customWidth="1"/>
    <col min="17" max="16384" width="10.19921875" style="1254"/>
  </cols>
  <sheetData>
    <row r="1" spans="1:33" ht="16">
      <c r="A1" s="1252" t="s">
        <v>1481</v>
      </c>
      <c r="B1" s="1253"/>
      <c r="C1" s="1253"/>
      <c r="D1" s="1253"/>
      <c r="E1" s="1253"/>
      <c r="F1" s="1253"/>
      <c r="G1" s="1253"/>
      <c r="H1" s="1253"/>
      <c r="I1" s="1253"/>
      <c r="J1" s="1253"/>
      <c r="K1" s="1253"/>
      <c r="L1" s="1253"/>
      <c r="M1" s="1253"/>
      <c r="N1" s="1253"/>
      <c r="O1" s="1253"/>
      <c r="P1" s="1253"/>
      <c r="U1" s="1255"/>
      <c r="AA1" s="1255"/>
    </row>
    <row r="2" spans="1:33" ht="14" thickBot="1">
      <c r="A2" s="1256"/>
      <c r="B2" s="1256"/>
      <c r="C2" s="1256"/>
      <c r="D2" s="1256"/>
      <c r="E2" s="1256"/>
      <c r="F2" s="1256"/>
      <c r="G2" s="1256"/>
      <c r="H2" s="1256"/>
      <c r="I2" s="1256"/>
      <c r="J2" s="1256"/>
      <c r="K2" s="1256"/>
      <c r="L2" s="1256"/>
      <c r="M2" s="1256"/>
      <c r="N2" s="1256"/>
      <c r="O2" s="1256"/>
      <c r="P2" s="1256"/>
    </row>
    <row r="3" spans="1:33" s="1265" customFormat="1" ht="10.5" customHeight="1">
      <c r="A3" s="1257"/>
      <c r="B3" s="1257"/>
      <c r="C3" s="1258"/>
      <c r="D3" s="1257"/>
      <c r="E3" s="1258"/>
      <c r="F3" s="1257"/>
      <c r="G3" s="1258"/>
      <c r="H3" s="1257"/>
      <c r="I3" s="1258"/>
      <c r="J3" s="1257"/>
      <c r="K3" s="1258"/>
      <c r="L3" s="1259"/>
      <c r="M3" s="1260"/>
      <c r="N3" s="1261"/>
      <c r="O3" s="1262"/>
      <c r="P3" s="1258"/>
      <c r="Q3" s="1254"/>
      <c r="R3" s="1263"/>
      <c r="S3" s="1263"/>
      <c r="T3" s="1263"/>
      <c r="U3" s="1263"/>
      <c r="V3" s="1264"/>
      <c r="W3" s="1264"/>
      <c r="X3" s="1264"/>
      <c r="Y3" s="1264"/>
      <c r="AB3" s="1266"/>
      <c r="AC3" s="1266"/>
      <c r="AD3" s="1266"/>
      <c r="AE3" s="1266"/>
    </row>
    <row r="4" spans="1:33" ht="13.5" customHeight="1">
      <c r="A4" s="1267" t="s">
        <v>1482</v>
      </c>
      <c r="B4" s="1268"/>
      <c r="C4" s="1269">
        <v>1996</v>
      </c>
      <c r="D4" s="1270">
        <v>1997</v>
      </c>
      <c r="E4" s="1269">
        <v>1998</v>
      </c>
      <c r="F4" s="1270">
        <v>1999</v>
      </c>
      <c r="G4" s="1269">
        <v>2000</v>
      </c>
      <c r="H4" s="1270">
        <v>2001</v>
      </c>
      <c r="I4" s="1269">
        <v>2002</v>
      </c>
      <c r="J4" s="1270">
        <v>2003</v>
      </c>
      <c r="K4" s="1269">
        <v>2004</v>
      </c>
      <c r="L4" s="1271"/>
      <c r="M4" s="1260" t="s">
        <v>265</v>
      </c>
      <c r="N4" s="1261" t="s">
        <v>1483</v>
      </c>
      <c r="O4" s="1262"/>
      <c r="P4" s="1272" t="s">
        <v>1358</v>
      </c>
      <c r="R4" s="1263"/>
      <c r="S4" s="1263"/>
      <c r="T4" s="1263"/>
      <c r="U4" s="1263"/>
      <c r="V4" s="1273"/>
      <c r="W4" s="1273"/>
      <c r="X4" s="1273"/>
      <c r="Y4" s="1273"/>
      <c r="AB4" s="1266"/>
      <c r="AC4" s="1266"/>
      <c r="AD4" s="1266"/>
      <c r="AE4" s="1266"/>
    </row>
    <row r="5" spans="1:33" ht="15.75" customHeight="1">
      <c r="A5" s="1267" t="s">
        <v>1484</v>
      </c>
      <c r="B5" s="1274"/>
      <c r="C5" s="1275"/>
      <c r="D5" s="1276"/>
      <c r="E5" s="1275"/>
      <c r="F5" s="1276"/>
      <c r="G5" s="1275"/>
      <c r="H5" s="1276"/>
      <c r="I5" s="1275"/>
      <c r="J5" s="1276"/>
      <c r="K5" s="1275"/>
      <c r="L5" s="1277"/>
      <c r="M5" s="1260" t="s">
        <v>1359</v>
      </c>
      <c r="N5" s="1261" t="s">
        <v>1360</v>
      </c>
      <c r="O5" s="1262"/>
      <c r="P5" s="1272" t="s">
        <v>1489</v>
      </c>
      <c r="R5" s="1263"/>
      <c r="S5" s="1263"/>
      <c r="T5" s="1263"/>
      <c r="U5" s="1263"/>
      <c r="V5" s="1273"/>
      <c r="W5" s="1273"/>
      <c r="X5" s="1273"/>
      <c r="Y5" s="1273"/>
      <c r="AB5" s="1266"/>
      <c r="AC5" s="1266"/>
      <c r="AD5" s="1266"/>
      <c r="AE5" s="1266"/>
    </row>
    <row r="6" spans="1:33" ht="14.25" customHeight="1">
      <c r="A6" s="1278"/>
      <c r="B6" s="1278"/>
      <c r="C6" s="1279"/>
      <c r="D6" s="1280"/>
      <c r="E6" s="1279"/>
      <c r="F6" s="1280"/>
      <c r="G6" s="1279"/>
      <c r="H6" s="1280"/>
      <c r="I6" s="1279"/>
      <c r="J6" s="1280"/>
      <c r="K6" s="1279"/>
      <c r="L6" s="1281"/>
      <c r="M6" s="1282"/>
      <c r="N6" s="1283" t="s">
        <v>457</v>
      </c>
      <c r="O6" s="1284"/>
      <c r="P6" s="1279"/>
      <c r="R6" s="1263"/>
      <c r="S6" s="1263"/>
      <c r="T6" s="1263"/>
      <c r="U6" s="1263"/>
      <c r="V6" s="1285"/>
      <c r="W6" s="1285"/>
      <c r="X6" s="1285"/>
      <c r="Y6" s="1285"/>
      <c r="AB6" s="1285"/>
      <c r="AC6" s="1285"/>
      <c r="AD6" s="1285"/>
      <c r="AE6" s="1285"/>
    </row>
    <row r="7" spans="1:33">
      <c r="A7" s="1286"/>
      <c r="B7" s="1287"/>
      <c r="C7" s="1288"/>
      <c r="D7" s="1287"/>
      <c r="E7" s="1288"/>
      <c r="F7" s="1287"/>
      <c r="G7" s="1288"/>
      <c r="H7" s="1287"/>
      <c r="I7" s="1288"/>
      <c r="J7" s="1287"/>
      <c r="K7" s="1288"/>
      <c r="L7" s="1289"/>
      <c r="M7" s="1288"/>
      <c r="N7" s="1290" t="s">
        <v>1361</v>
      </c>
      <c r="O7" s="1291"/>
      <c r="P7" s="1288"/>
      <c r="R7" s="1263"/>
      <c r="S7" s="1263"/>
      <c r="T7" s="1263"/>
      <c r="U7" s="1263"/>
      <c r="V7" s="1273"/>
      <c r="W7" s="1273"/>
      <c r="X7" s="1273"/>
      <c r="Y7" s="1273"/>
      <c r="AB7" s="1266"/>
      <c r="AC7" s="1266"/>
      <c r="AD7" s="1266"/>
      <c r="AE7" s="1266"/>
    </row>
    <row r="8" spans="1:33" ht="18" customHeight="1" thickBot="1">
      <c r="A8" s="1292" t="s">
        <v>1490</v>
      </c>
      <c r="B8" s="1293"/>
      <c r="C8" s="1294">
        <v>6108.1158740877472</v>
      </c>
      <c r="D8" s="1295">
        <v>6057.9558227212619</v>
      </c>
      <c r="E8" s="1294">
        <v>6131.7435544855471</v>
      </c>
      <c r="F8" s="1295">
        <v>6416.6639279999999</v>
      </c>
      <c r="G8" s="1294">
        <v>6599.5077579999997</v>
      </c>
      <c r="H8" s="1295">
        <v>7802.4641389999997</v>
      </c>
      <c r="I8" s="1294">
        <v>8596.9416789999996</v>
      </c>
      <c r="J8" s="1295">
        <v>8949.1301402555946</v>
      </c>
      <c r="K8" s="1294">
        <v>8811.0582559999984</v>
      </c>
      <c r="L8" s="1296"/>
      <c r="M8" s="1297">
        <v>-1.5428525688157335E-2</v>
      </c>
      <c r="N8" s="1298">
        <v>4.6863603034760448E-2</v>
      </c>
      <c r="O8" s="1299"/>
      <c r="P8" s="1300">
        <v>9212.9602188712288</v>
      </c>
      <c r="R8" s="1263"/>
      <c r="S8" s="1263"/>
      <c r="T8" s="1263"/>
      <c r="U8" s="1263"/>
      <c r="AB8" s="1266"/>
      <c r="AC8" s="1266"/>
      <c r="AD8" s="1266"/>
      <c r="AE8" s="1266"/>
    </row>
    <row r="9" spans="1:33" s="1310" customFormat="1" ht="14" thickBot="1">
      <c r="A9" s="1301"/>
      <c r="B9" s="1302"/>
      <c r="C9" s="1303"/>
      <c r="D9" s="1304"/>
      <c r="E9" s="1303"/>
      <c r="F9" s="1304"/>
      <c r="G9" s="1303"/>
      <c r="H9" s="1304"/>
      <c r="I9" s="1303"/>
      <c r="J9" s="1304"/>
      <c r="K9" s="1303"/>
      <c r="L9" s="1305"/>
      <c r="M9" s="1306"/>
      <c r="N9" s="1307"/>
      <c r="O9" s="1308"/>
      <c r="P9" s="1309"/>
    </row>
    <row r="10" spans="1:33" s="1310" customFormat="1" ht="16.5" customHeight="1" thickBot="1">
      <c r="A10" s="1311" t="s">
        <v>1491</v>
      </c>
      <c r="B10" s="1301"/>
      <c r="C10" s="1312">
        <v>2881.6</v>
      </c>
      <c r="D10" s="1313">
        <v>3011.4</v>
      </c>
      <c r="E10" s="1312">
        <v>3176.3677925723964</v>
      </c>
      <c r="F10" s="1313">
        <v>3314.4716839527723</v>
      </c>
      <c r="G10" s="1312">
        <v>3458.985264289614</v>
      </c>
      <c r="H10" s="1313">
        <v>3661.4400591827007</v>
      </c>
      <c r="I10" s="1312">
        <v>3701.6993999861515</v>
      </c>
      <c r="J10" s="1313">
        <v>3921.4728291844517</v>
      </c>
      <c r="K10" s="1312">
        <v>4031.6958660596374</v>
      </c>
      <c r="L10" s="1314"/>
      <c r="M10" s="1315">
        <v>2.8107561030356276E-2</v>
      </c>
      <c r="N10" s="1316">
        <v>4.2873803890714601E-2</v>
      </c>
      <c r="O10" s="1317"/>
      <c r="P10" s="1318">
        <v>4145.0170036707441</v>
      </c>
    </row>
    <row r="11" spans="1:33" ht="14" thickBot="1">
      <c r="A11" s="1301"/>
      <c r="B11" s="1319"/>
      <c r="C11" s="1303"/>
      <c r="D11" s="1304"/>
      <c r="E11" s="1303"/>
      <c r="F11" s="1304"/>
      <c r="G11" s="1303"/>
      <c r="H11" s="1304"/>
      <c r="I11" s="1303"/>
      <c r="J11" s="1304"/>
      <c r="K11" s="1303"/>
      <c r="L11" s="1305"/>
      <c r="M11" s="1306"/>
      <c r="N11" s="1307"/>
      <c r="O11" s="1308"/>
      <c r="P11" s="1309"/>
    </row>
    <row r="12" spans="1:33" s="1310" customFormat="1" ht="14" thickBot="1">
      <c r="A12" s="1311" t="s">
        <v>1485</v>
      </c>
      <c r="B12" s="1301"/>
      <c r="C12" s="1312">
        <v>944.7</v>
      </c>
      <c r="D12" s="1313">
        <v>937.8</v>
      </c>
      <c r="E12" s="1312">
        <v>1007</v>
      </c>
      <c r="F12" s="1313">
        <v>1143.9000000000001</v>
      </c>
      <c r="G12" s="1312">
        <v>1192.9000000000001</v>
      </c>
      <c r="H12" s="1313">
        <v>1166</v>
      </c>
      <c r="I12" s="1312">
        <v>1214.2</v>
      </c>
      <c r="J12" s="1313">
        <v>1307.4000000000001</v>
      </c>
      <c r="K12" s="1312">
        <v>1524.9</v>
      </c>
      <c r="L12" s="1314"/>
      <c r="M12" s="1315">
        <v>0.166360715924736</v>
      </c>
      <c r="N12" s="1316">
        <v>6.1679498777144959E-2</v>
      </c>
      <c r="O12" s="1317"/>
      <c r="P12" s="1318">
        <v>1620.0041708497595</v>
      </c>
    </row>
    <row r="13" spans="1:33" s="1310" customFormat="1" ht="15.75" customHeight="1" thickBot="1">
      <c r="A13" s="1320" t="s">
        <v>1492</v>
      </c>
      <c r="B13" s="1301"/>
      <c r="C13" s="1321">
        <v>293</v>
      </c>
      <c r="D13" s="1322">
        <v>237.5</v>
      </c>
      <c r="E13" s="1321">
        <v>264.39999999999998</v>
      </c>
      <c r="F13" s="1322">
        <v>277.10000000000002</v>
      </c>
      <c r="G13" s="1321">
        <v>317</v>
      </c>
      <c r="H13" s="1322">
        <v>315</v>
      </c>
      <c r="I13" s="1321">
        <v>343.8</v>
      </c>
      <c r="J13" s="1322">
        <v>375.1</v>
      </c>
      <c r="K13" s="1321">
        <v>421.4</v>
      </c>
      <c r="L13" s="1323"/>
      <c r="M13" s="1324">
        <v>0.12343375099973319</v>
      </c>
      <c r="N13" s="1325">
        <v>4.6473810242198654E-2</v>
      </c>
      <c r="O13" s="1326"/>
      <c r="P13" s="1327">
        <v>440.9840636360625</v>
      </c>
      <c r="Q13" s="1328"/>
      <c r="R13" s="1328"/>
      <c r="S13" s="1328"/>
      <c r="T13" s="1328"/>
      <c r="U13" s="1328"/>
      <c r="V13" s="1328"/>
      <c r="W13" s="1328"/>
      <c r="X13" s="1328"/>
      <c r="Y13" s="1328"/>
      <c r="Z13" s="1328"/>
      <c r="AA13" s="1328"/>
      <c r="AB13" s="1328"/>
      <c r="AC13" s="1328"/>
      <c r="AD13" s="1328"/>
      <c r="AE13" s="1328"/>
      <c r="AF13" s="1328"/>
      <c r="AG13" s="1328"/>
    </row>
    <row r="14" spans="1:33" ht="15" customHeight="1" thickBot="1">
      <c r="A14" s="1320" t="s">
        <v>1493</v>
      </c>
      <c r="B14" s="1301"/>
      <c r="C14" s="1321">
        <v>203.5</v>
      </c>
      <c r="D14" s="1322">
        <v>228.6</v>
      </c>
      <c r="E14" s="1321">
        <v>266.2</v>
      </c>
      <c r="F14" s="1322">
        <v>375.1</v>
      </c>
      <c r="G14" s="1321">
        <v>378.5</v>
      </c>
      <c r="H14" s="1322">
        <v>314.89999999999998</v>
      </c>
      <c r="I14" s="1321">
        <v>319.7</v>
      </c>
      <c r="J14" s="1322">
        <v>367.7</v>
      </c>
      <c r="K14" s="1321">
        <v>381.7</v>
      </c>
      <c r="L14" s="1323"/>
      <c r="M14" s="1324">
        <v>3.8074517269513164E-2</v>
      </c>
      <c r="N14" s="1325">
        <v>8.1794373468305537E-2</v>
      </c>
      <c r="O14" s="1326"/>
      <c r="P14" s="1327">
        <v>412.92091235285221</v>
      </c>
      <c r="Q14" s="1328"/>
      <c r="R14" s="1328"/>
      <c r="S14" s="1328"/>
      <c r="T14" s="1328"/>
      <c r="U14" s="1328"/>
      <c r="V14" s="1328"/>
      <c r="W14" s="1328"/>
      <c r="X14" s="1328"/>
      <c r="Y14" s="1328"/>
      <c r="Z14" s="1328"/>
      <c r="AA14" s="1328"/>
      <c r="AB14" s="1328"/>
      <c r="AC14" s="1328"/>
      <c r="AD14" s="1328"/>
      <c r="AE14" s="1328"/>
      <c r="AF14" s="1328"/>
      <c r="AG14" s="1328"/>
    </row>
    <row r="15" spans="1:33" ht="15" customHeight="1" thickBot="1">
      <c r="A15" s="1320" t="s">
        <v>1494</v>
      </c>
      <c r="B15" s="1301"/>
      <c r="C15" s="1321">
        <v>448.2</v>
      </c>
      <c r="D15" s="1322">
        <v>471.7</v>
      </c>
      <c r="E15" s="1321">
        <v>476.4</v>
      </c>
      <c r="F15" s="1322">
        <v>491.7</v>
      </c>
      <c r="G15" s="1321">
        <v>497.4</v>
      </c>
      <c r="H15" s="1322">
        <v>536.1</v>
      </c>
      <c r="I15" s="1321">
        <v>550.70000000000005</v>
      </c>
      <c r="J15" s="1322">
        <v>564.6</v>
      </c>
      <c r="K15" s="1321">
        <v>721.8</v>
      </c>
      <c r="L15" s="1323"/>
      <c r="M15" s="1324">
        <v>0.2784272051009562</v>
      </c>
      <c r="N15" s="1325">
        <v>6.1373226462794195E-2</v>
      </c>
      <c r="O15" s="1326"/>
      <c r="P15" s="1327">
        <v>766.09919486084482</v>
      </c>
      <c r="Q15" s="1328"/>
      <c r="R15" s="1328"/>
      <c r="S15" s="1328"/>
      <c r="T15" s="1328"/>
      <c r="U15" s="1328"/>
      <c r="V15" s="1328"/>
      <c r="W15" s="1328"/>
      <c r="X15" s="1328"/>
      <c r="Y15" s="1328"/>
      <c r="Z15" s="1328"/>
      <c r="AA15" s="1328"/>
      <c r="AB15" s="1328"/>
      <c r="AC15" s="1328"/>
      <c r="AD15" s="1328"/>
      <c r="AE15" s="1328"/>
      <c r="AF15" s="1328"/>
      <c r="AG15" s="1328"/>
    </row>
    <row r="16" spans="1:33" s="1310" customFormat="1" ht="14" thickBot="1">
      <c r="A16" s="1329"/>
      <c r="B16" s="1329"/>
      <c r="C16" s="1330"/>
      <c r="D16" s="1331"/>
      <c r="E16" s="1330"/>
      <c r="F16" s="1331"/>
      <c r="G16" s="1330"/>
      <c r="H16" s="1331"/>
      <c r="I16" s="1330"/>
      <c r="J16" s="1331"/>
      <c r="K16" s="1330"/>
      <c r="L16" s="1332"/>
      <c r="M16" s="1333"/>
      <c r="N16" s="1334"/>
      <c r="O16" s="1335"/>
      <c r="P16" s="1336"/>
    </row>
    <row r="17" spans="1:16" s="1338" customFormat="1" ht="16.5" customHeight="1" thickBot="1">
      <c r="A17" s="1337" t="s">
        <v>1495</v>
      </c>
      <c r="B17" s="1337"/>
      <c r="C17" s="1312">
        <v>16873.599999999999</v>
      </c>
      <c r="D17" s="1313">
        <v>17009.099999999999</v>
      </c>
      <c r="E17" s="1312">
        <v>17841.5</v>
      </c>
      <c r="F17" s="1313">
        <v>18231.2</v>
      </c>
      <c r="G17" s="1312">
        <v>19316.223118000002</v>
      </c>
      <c r="H17" s="1313">
        <v>20344.518999999997</v>
      </c>
      <c r="I17" s="1312">
        <v>20951.55</v>
      </c>
      <c r="J17" s="1313">
        <v>21678.133227000002</v>
      </c>
      <c r="K17" s="1312">
        <v>22971.142229620003</v>
      </c>
      <c r="L17" s="1314"/>
      <c r="M17" s="1315">
        <v>5.9645772497124661E-2</v>
      </c>
      <c r="N17" s="1316">
        <v>3.9314185922320943E-2</v>
      </c>
      <c r="O17" s="1317"/>
      <c r="P17" s="1312">
        <v>24341.551358520002</v>
      </c>
    </row>
    <row r="18" spans="1:16" ht="14" thickBot="1">
      <c r="A18" s="1301"/>
      <c r="B18" s="1320" t="s">
        <v>1363</v>
      </c>
      <c r="C18" s="1321">
        <v>12459</v>
      </c>
      <c r="D18" s="1322">
        <v>13138.5</v>
      </c>
      <c r="E18" s="1321">
        <v>14024.1</v>
      </c>
      <c r="F18" s="1322">
        <v>14620.5</v>
      </c>
      <c r="G18" s="1321">
        <v>15478.308999999999</v>
      </c>
      <c r="H18" s="1322">
        <v>16386.458999999999</v>
      </c>
      <c r="I18" s="1321">
        <v>17095.580000000002</v>
      </c>
      <c r="J18" s="1322">
        <v>17924.119704000001</v>
      </c>
      <c r="K18" s="1321">
        <v>19139.808546</v>
      </c>
      <c r="L18" s="1323"/>
      <c r="M18" s="1324">
        <v>6.7824186742554637E-2</v>
      </c>
      <c r="N18" s="1325">
        <v>5.5132014397080598E-2</v>
      </c>
      <c r="O18" s="1326"/>
      <c r="P18" s="1321">
        <v>20347.706646750001</v>
      </c>
    </row>
    <row r="19" spans="1:16" ht="15" customHeight="1" thickBot="1">
      <c r="A19" s="1301"/>
      <c r="B19" s="1319" t="s">
        <v>1496</v>
      </c>
      <c r="C19" s="1339">
        <v>1678.5</v>
      </c>
      <c r="D19" s="1340">
        <v>1778</v>
      </c>
      <c r="E19" s="1339">
        <v>2097.1999999999998</v>
      </c>
      <c r="F19" s="1340">
        <v>2189.9</v>
      </c>
      <c r="G19" s="1339">
        <v>2288</v>
      </c>
      <c r="H19" s="1340">
        <v>2400.1999999999998</v>
      </c>
      <c r="I19" s="1339">
        <v>2502.83</v>
      </c>
      <c r="J19" s="1340">
        <v>2588.5</v>
      </c>
      <c r="K19" s="1339">
        <v>2832.3</v>
      </c>
      <c r="L19" s="1341"/>
      <c r="M19" s="1342">
        <v>9.4185821904577915E-2</v>
      </c>
      <c r="N19" s="1343">
        <v>6.7584447396639602E-2</v>
      </c>
      <c r="O19" s="1344"/>
      <c r="P19" s="1339">
        <v>2994.9866096700002</v>
      </c>
    </row>
    <row r="20" spans="1:16" s="1310" customFormat="1" ht="16.5" customHeight="1" thickBot="1">
      <c r="A20" s="1301"/>
      <c r="B20" s="1319" t="s">
        <v>1497</v>
      </c>
      <c r="C20" s="1345">
        <v>1815.57</v>
      </c>
      <c r="D20" s="1346">
        <v>2087.14</v>
      </c>
      <c r="E20" s="1345">
        <v>2263.1999999999998</v>
      </c>
      <c r="F20" s="1346">
        <v>2476.6</v>
      </c>
      <c r="G20" s="1345">
        <v>2532.8000000000002</v>
      </c>
      <c r="H20" s="1346">
        <v>2671.6</v>
      </c>
      <c r="I20" s="1345">
        <v>2848.4</v>
      </c>
      <c r="J20" s="1346">
        <v>2961.1</v>
      </c>
      <c r="K20" s="1345">
        <v>3025.3</v>
      </c>
      <c r="L20" s="1347"/>
      <c r="M20" s="1348">
        <v>2.168113201175248E-2</v>
      </c>
      <c r="N20" s="1349">
        <v>6.5907286839099744E-2</v>
      </c>
      <c r="O20" s="1350"/>
      <c r="P20" s="1345">
        <v>3119.6250399999999</v>
      </c>
    </row>
    <row r="21" spans="1:16" ht="17.25" customHeight="1" thickBot="1">
      <c r="A21" s="1301"/>
      <c r="B21" s="1320" t="s">
        <v>1498</v>
      </c>
      <c r="C21" s="1321">
        <v>3901.9</v>
      </c>
      <c r="D21" s="1322">
        <v>3394.7</v>
      </c>
      <c r="E21" s="1321">
        <v>3357.3</v>
      </c>
      <c r="F21" s="1322">
        <v>2846.8</v>
      </c>
      <c r="G21" s="1321">
        <v>2254.1563019999999</v>
      </c>
      <c r="H21" s="1322">
        <v>1604.76</v>
      </c>
      <c r="I21" s="1321">
        <v>1460.47</v>
      </c>
      <c r="J21" s="1322">
        <v>1393.5729260000001</v>
      </c>
      <c r="K21" s="1321">
        <v>1076.3591796200001</v>
      </c>
      <c r="L21" s="1323"/>
      <c r="M21" s="1324">
        <v>-0.2276262264153659</v>
      </c>
      <c r="N21" s="1325">
        <v>-0.14869509534427505</v>
      </c>
      <c r="O21" s="1326"/>
      <c r="P21" s="1321">
        <v>1181.10792477</v>
      </c>
    </row>
    <row r="22" spans="1:16" ht="15" customHeight="1" thickBot="1">
      <c r="A22" s="1301"/>
      <c r="B22" s="1319" t="s">
        <v>1499</v>
      </c>
      <c r="C22" s="1339">
        <v>92.3</v>
      </c>
      <c r="D22" s="1340">
        <v>106.4</v>
      </c>
      <c r="E22" s="1339">
        <v>57.8</v>
      </c>
      <c r="F22" s="1340">
        <v>59.7</v>
      </c>
      <c r="G22" s="1339">
        <v>55.1</v>
      </c>
      <c r="H22" s="1340">
        <v>28.1</v>
      </c>
      <c r="I22" s="1339">
        <v>38.17</v>
      </c>
      <c r="J22" s="1340">
        <v>39</v>
      </c>
      <c r="K22" s="1339">
        <v>35.9</v>
      </c>
      <c r="L22" s="1341"/>
      <c r="M22" s="1342">
        <v>-7.9487179487179538E-2</v>
      </c>
      <c r="N22" s="1343">
        <v>-0.11133803333692127</v>
      </c>
      <c r="O22" s="1344"/>
      <c r="P22" s="1339">
        <v>36.691305870000001</v>
      </c>
    </row>
    <row r="23" spans="1:16" ht="16.5" customHeight="1" thickBot="1">
      <c r="A23" s="1301"/>
      <c r="B23" s="1320" t="s">
        <v>1500</v>
      </c>
      <c r="C23" s="1321">
        <v>512.70000000000005</v>
      </c>
      <c r="D23" s="1322">
        <v>475.9</v>
      </c>
      <c r="E23" s="1321">
        <v>460.1</v>
      </c>
      <c r="F23" s="1322">
        <v>763.9</v>
      </c>
      <c r="G23" s="1321">
        <v>1583.757816</v>
      </c>
      <c r="H23" s="1322">
        <v>2353.3000000000002</v>
      </c>
      <c r="I23" s="1321">
        <v>2395.5</v>
      </c>
      <c r="J23" s="1322">
        <v>2360.4405969999998</v>
      </c>
      <c r="K23" s="1321">
        <v>2754.9745040000003</v>
      </c>
      <c r="L23" s="1351"/>
      <c r="M23" s="1352">
        <v>0.1671441795660662</v>
      </c>
      <c r="N23" s="1353">
        <v>0.23390516834430208</v>
      </c>
      <c r="O23" s="1354"/>
      <c r="P23" s="1321">
        <v>2812.7367870000003</v>
      </c>
    </row>
    <row r="24" spans="1:16" ht="13.5" customHeight="1" thickBot="1">
      <c r="A24" s="1301"/>
      <c r="B24" s="1319"/>
      <c r="C24" s="1345"/>
      <c r="D24" s="1346"/>
      <c r="E24" s="1345"/>
      <c r="F24" s="1346"/>
      <c r="G24" s="1345"/>
      <c r="H24" s="1346"/>
      <c r="I24" s="1345"/>
      <c r="J24" s="1346"/>
      <c r="K24" s="1345"/>
      <c r="L24" s="1347"/>
      <c r="M24" s="1348"/>
      <c r="N24" s="1349"/>
      <c r="O24" s="1350"/>
      <c r="P24" s="1345"/>
    </row>
    <row r="25" spans="1:16" ht="17.25" customHeight="1" thickBot="1">
      <c r="A25" s="1311" t="s">
        <v>1501</v>
      </c>
      <c r="B25" s="1319"/>
      <c r="C25" s="1312">
        <v>1533.4</v>
      </c>
      <c r="D25" s="1313">
        <v>1599</v>
      </c>
      <c r="E25" s="1312">
        <v>1702.4</v>
      </c>
      <c r="F25" s="1313">
        <v>1632.5</v>
      </c>
      <c r="G25" s="1312">
        <v>1632.6768820000002</v>
      </c>
      <c r="H25" s="1313">
        <v>1670.33</v>
      </c>
      <c r="I25" s="1312">
        <v>1688.25</v>
      </c>
      <c r="J25" s="1313">
        <v>1731.4787729999994</v>
      </c>
      <c r="K25" s="1312">
        <v>1788.6097703800008</v>
      </c>
      <c r="L25" s="1347"/>
      <c r="M25" s="1315">
        <v>3.2995493950535026E-2</v>
      </c>
      <c r="N25" s="1316">
        <v>1.9430252413956683E-2</v>
      </c>
      <c r="O25" s="1350"/>
      <c r="P25" s="1318">
        <v>1885.4052704844405</v>
      </c>
    </row>
    <row r="26" spans="1:16" ht="13.5" customHeight="1" thickBot="1">
      <c r="A26" s="1301"/>
      <c r="B26" s="1320" t="s">
        <v>1486</v>
      </c>
      <c r="C26" s="1321">
        <v>72.599999999999739</v>
      </c>
      <c r="D26" s="1322">
        <v>80.999999999998636</v>
      </c>
      <c r="E26" s="1321">
        <v>106.80000000000098</v>
      </c>
      <c r="F26" s="1322">
        <v>50.400000000001</v>
      </c>
      <c r="G26" s="1321">
        <v>32.676882000000205</v>
      </c>
      <c r="H26" s="1322">
        <v>42.130000000000337</v>
      </c>
      <c r="I26" s="1321">
        <v>72.150000000000091</v>
      </c>
      <c r="J26" s="1322">
        <v>58.37477299999955</v>
      </c>
      <c r="K26" s="1321">
        <v>57.557770380000875</v>
      </c>
      <c r="L26" s="1323"/>
      <c r="M26" s="1324">
        <v>-1.3995816651804049E-2</v>
      </c>
      <c r="N26" s="1325">
        <v>-2.8604879278720241E-2</v>
      </c>
      <c r="O26" s="1326"/>
      <c r="P26" s="1327">
        <v>50.425165489396022</v>
      </c>
    </row>
    <row r="27" spans="1:16" ht="13.5" customHeight="1" thickBot="1">
      <c r="A27" s="1301"/>
      <c r="B27" s="1320" t="s">
        <v>1487</v>
      </c>
      <c r="C27" s="1321">
        <v>1460.8</v>
      </c>
      <c r="D27" s="1322">
        <v>1518</v>
      </c>
      <c r="E27" s="1321">
        <v>1595.6</v>
      </c>
      <c r="F27" s="1322">
        <v>1582.1</v>
      </c>
      <c r="G27" s="1321">
        <v>1600</v>
      </c>
      <c r="H27" s="1322">
        <v>1628.2</v>
      </c>
      <c r="I27" s="1321">
        <v>1616.1</v>
      </c>
      <c r="J27" s="1322">
        <v>1673.1039999999998</v>
      </c>
      <c r="K27" s="1321">
        <v>1731.0519999999999</v>
      </c>
      <c r="L27" s="1323"/>
      <c r="M27" s="1324">
        <v>3.463502567682597E-2</v>
      </c>
      <c r="N27" s="1325">
        <v>2.144484088756049E-2</v>
      </c>
      <c r="O27" s="1326"/>
      <c r="P27" s="1327">
        <v>1834.9801049950445</v>
      </c>
    </row>
    <row r="28" spans="1:16" ht="13.5" customHeight="1" thickBot="1">
      <c r="A28" s="1301"/>
      <c r="B28" s="1319"/>
      <c r="C28" s="1345"/>
      <c r="D28" s="1346"/>
      <c r="E28" s="1345"/>
      <c r="F28" s="1346"/>
      <c r="G28" s="1345"/>
      <c r="H28" s="1346"/>
      <c r="I28" s="1345"/>
      <c r="J28" s="1346"/>
      <c r="K28" s="1345"/>
      <c r="L28" s="1347"/>
      <c r="M28" s="1348"/>
      <c r="N28" s="1349"/>
      <c r="O28" s="1350"/>
      <c r="P28" s="1345"/>
    </row>
    <row r="29" spans="1:16" ht="16.5" customHeight="1" thickBot="1">
      <c r="A29" s="1311" t="s">
        <v>1502</v>
      </c>
      <c r="B29" s="1301"/>
      <c r="C29" s="1312">
        <v>9188.1841259122539</v>
      </c>
      <c r="D29" s="1313">
        <v>9667.7441772787352</v>
      </c>
      <c r="E29" s="1312">
        <v>10038.188652942059</v>
      </c>
      <c r="F29" s="1313">
        <v>10438.064388047223</v>
      </c>
      <c r="G29" s="1312">
        <v>10721.299971696475</v>
      </c>
      <c r="H29" s="1313">
        <v>11021.271160769484</v>
      </c>
      <c r="I29" s="1312">
        <v>11351.121165100019</v>
      </c>
      <c r="J29" s="1313">
        <v>11808.162952744133</v>
      </c>
      <c r="K29" s="1312">
        <v>12038.4619053638</v>
      </c>
      <c r="L29" s="1355"/>
      <c r="M29" s="1315">
        <v>1.9503368435997759E-2</v>
      </c>
      <c r="N29" s="1316">
        <v>3.4350346208604554E-2</v>
      </c>
      <c r="O29" s="1356"/>
      <c r="P29" s="1318">
        <v>12118.667432628785</v>
      </c>
    </row>
    <row r="30" spans="1:16" ht="12.75" customHeight="1" thickBot="1">
      <c r="A30" s="1301"/>
      <c r="B30" s="1301"/>
      <c r="C30" s="1303"/>
      <c r="D30" s="1304"/>
      <c r="E30" s="1303"/>
      <c r="F30" s="1304"/>
      <c r="G30" s="1303"/>
      <c r="H30" s="1304"/>
      <c r="I30" s="1303"/>
      <c r="J30" s="1304"/>
      <c r="K30" s="1303"/>
      <c r="L30" s="1305"/>
      <c r="M30" s="1306"/>
      <c r="N30" s="1307"/>
      <c r="O30" s="1308"/>
      <c r="P30" s="1303"/>
    </row>
    <row r="31" spans="1:16" ht="16.5" customHeight="1" thickBot="1">
      <c r="A31" s="1311" t="s">
        <v>1503</v>
      </c>
      <c r="B31" s="1301"/>
      <c r="C31" s="1312">
        <v>378.7</v>
      </c>
      <c r="D31" s="1313">
        <v>386.6</v>
      </c>
      <c r="E31" s="1312">
        <v>395.2</v>
      </c>
      <c r="F31" s="1313">
        <v>408.8</v>
      </c>
      <c r="G31" s="1312">
        <v>443.72611837314082</v>
      </c>
      <c r="H31" s="1313">
        <v>463.46745935715603</v>
      </c>
      <c r="I31" s="1312">
        <v>477.70596569061348</v>
      </c>
      <c r="J31" s="1313">
        <v>484.77612582398501</v>
      </c>
      <c r="K31" s="1312">
        <v>481.39682880277388</v>
      </c>
      <c r="L31" s="1314"/>
      <c r="M31" s="1315">
        <v>-6.9708404378768796E-3</v>
      </c>
      <c r="N31" s="1316">
        <v>3.044778488123856E-2</v>
      </c>
      <c r="O31" s="1317"/>
      <c r="P31" s="1318">
        <v>496.37171018200144</v>
      </c>
    </row>
    <row r="32" spans="1:16" ht="12.75" customHeight="1" thickBot="1">
      <c r="A32" s="1311"/>
      <c r="B32" s="1319"/>
      <c r="C32" s="1357"/>
      <c r="D32" s="1358"/>
      <c r="E32" s="1303"/>
      <c r="F32" s="1304"/>
      <c r="G32" s="1303"/>
      <c r="H32" s="1304"/>
      <c r="I32" s="1303"/>
      <c r="J32" s="1304"/>
      <c r="K32" s="1303"/>
      <c r="L32" s="1305"/>
      <c r="M32" s="1306"/>
      <c r="N32" s="1307"/>
      <c r="O32" s="1308"/>
      <c r="P32" s="1359"/>
    </row>
    <row r="33" spans="1:28" ht="17.25" customHeight="1" thickBot="1">
      <c r="A33" s="1360" t="s">
        <v>1504</v>
      </c>
      <c r="B33" s="1361"/>
      <c r="C33" s="1362">
        <v>37908.300000000003</v>
      </c>
      <c r="D33" s="1363">
        <v>38669.599999999999</v>
      </c>
      <c r="E33" s="1362">
        <v>40292.400000000001</v>
      </c>
      <c r="F33" s="1363">
        <v>41585.599999999999</v>
      </c>
      <c r="G33" s="1362">
        <v>43365.319112359233</v>
      </c>
      <c r="H33" s="1363">
        <v>46129.491818309332</v>
      </c>
      <c r="I33" s="1362">
        <v>47981.46820977678</v>
      </c>
      <c r="J33" s="1363">
        <v>49880.554048008169</v>
      </c>
      <c r="K33" s="1362">
        <v>51647.264856226211</v>
      </c>
      <c r="L33" s="1364"/>
      <c r="M33" s="1365">
        <v>3.5418828879038688E-2</v>
      </c>
      <c r="N33" s="1366">
        <v>3.9415352649484259E-2</v>
      </c>
      <c r="O33" s="1367"/>
      <c r="P33" s="1368">
        <v>53819.977165206961</v>
      </c>
    </row>
    <row r="34" spans="1:28" ht="14.25" customHeight="1">
      <c r="A34" s="1369" t="s">
        <v>590</v>
      </c>
      <c r="B34" s="1369"/>
      <c r="C34" s="1370"/>
      <c r="D34" s="1370"/>
      <c r="E34" s="1370"/>
      <c r="F34" s="1370"/>
      <c r="G34" s="1370"/>
      <c r="H34" s="1370"/>
      <c r="I34" s="1370"/>
      <c r="J34" s="1370"/>
      <c r="K34" s="1370"/>
      <c r="L34" s="1253"/>
      <c r="M34" s="1253"/>
      <c r="N34" s="1253"/>
      <c r="O34" s="1370"/>
      <c r="P34" s="1370"/>
    </row>
    <row r="35" spans="1:28">
      <c r="A35" s="1371"/>
      <c r="B35" s="1369"/>
      <c r="C35" s="1253"/>
      <c r="D35" s="1370"/>
      <c r="E35" s="1253"/>
      <c r="F35" s="1253"/>
      <c r="G35" s="1253"/>
      <c r="H35" s="1253"/>
      <c r="I35" s="1253"/>
      <c r="J35" s="1253"/>
      <c r="K35" s="1253"/>
      <c r="L35" s="1253"/>
      <c r="M35" s="1253"/>
      <c r="N35" s="1253"/>
      <c r="O35" s="1370"/>
      <c r="P35" s="1253"/>
      <c r="Q35" s="1273"/>
      <c r="R35" s="1273"/>
      <c r="S35" s="1273"/>
      <c r="T35" s="1273"/>
      <c r="W35" s="1273"/>
      <c r="X35" s="1273"/>
      <c r="Y35" s="1273"/>
      <c r="Z35" s="1273"/>
      <c r="AA35" s="1263"/>
      <c r="AB35" s="1372"/>
    </row>
    <row r="36" spans="1:28">
      <c r="A36" s="1369" t="s">
        <v>1488</v>
      </c>
      <c r="B36" s="1369"/>
      <c r="Q36" s="1273"/>
      <c r="R36" s="1273"/>
      <c r="S36" s="1273"/>
      <c r="T36" s="1273"/>
    </row>
    <row r="37" spans="1:28">
      <c r="A37" s="1369"/>
      <c r="B37" s="1369"/>
    </row>
    <row r="38" spans="1:28">
      <c r="A38" s="1369"/>
      <c r="B38" s="1369"/>
      <c r="E38" s="1273"/>
      <c r="P38" s="1273"/>
    </row>
    <row r="39" spans="1:28">
      <c r="A39" s="1369" t="s">
        <v>128</v>
      </c>
      <c r="B39" s="1369"/>
    </row>
    <row r="40" spans="1:28">
      <c r="A40" s="1373"/>
      <c r="B40" s="1373"/>
    </row>
    <row r="41" spans="1:28">
      <c r="A41" s="1373"/>
      <c r="B41" s="1373"/>
    </row>
    <row r="42" spans="1:28">
      <c r="A42" s="1373"/>
      <c r="B42" s="1373"/>
    </row>
    <row r="43" spans="1:28">
      <c r="A43" s="1373"/>
      <c r="B43" s="1373"/>
    </row>
    <row r="44" spans="1:28">
      <c r="A44" s="1373"/>
    </row>
    <row r="45" spans="1:28">
      <c r="A45" s="1373"/>
    </row>
    <row r="48" spans="1:28">
      <c r="B48" s="1373"/>
    </row>
    <row r="49" spans="1:2">
      <c r="B49" s="1373"/>
    </row>
    <row r="50" spans="1:2" ht="16">
      <c r="A50" s="1374"/>
      <c r="B50" s="1373"/>
    </row>
    <row r="51" spans="1:2">
      <c r="A51" s="1373"/>
      <c r="B51" s="1373"/>
    </row>
    <row r="52" spans="1:2">
      <c r="A52" s="1373"/>
      <c r="B52" s="1373"/>
    </row>
    <row r="53" spans="1:2">
      <c r="A53" s="1373"/>
      <c r="B53" s="1373"/>
    </row>
    <row r="54" spans="1:2">
      <c r="A54" s="1373"/>
      <c r="B54" s="1373"/>
    </row>
    <row r="55" spans="1:2">
      <c r="A55" s="1373"/>
      <c r="B55" s="1373"/>
    </row>
    <row r="56" spans="1:2">
      <c r="A56" s="1373"/>
      <c r="B56" s="1373"/>
    </row>
    <row r="57" spans="1:2">
      <c r="A57" s="1373"/>
      <c r="B57" s="1373"/>
    </row>
    <row r="58" spans="1:2">
      <c r="A58" s="1373"/>
      <c r="B58" s="1373"/>
    </row>
    <row r="59" spans="1:2">
      <c r="A59" s="1373"/>
      <c r="B59" s="1373"/>
    </row>
    <row r="60" spans="1:2">
      <c r="B60" s="1373"/>
    </row>
    <row r="61" spans="1:2">
      <c r="A61" s="1373"/>
      <c r="B61" s="1373"/>
    </row>
    <row r="62" spans="1:2">
      <c r="A62" s="1373"/>
      <c r="B62" s="1373"/>
    </row>
    <row r="63" spans="1:2">
      <c r="A63" s="1373"/>
      <c r="B63" s="1373"/>
    </row>
    <row r="64" spans="1:2">
      <c r="A64" s="1373"/>
      <c r="B64" s="1373"/>
    </row>
    <row r="65" spans="1:2">
      <c r="A65" s="1373"/>
      <c r="B65" s="1373"/>
    </row>
    <row r="66" spans="1:2">
      <c r="A66" s="1373"/>
      <c r="B66" s="1373"/>
    </row>
    <row r="67" spans="1:2">
      <c r="A67" s="1373"/>
    </row>
    <row r="71" spans="1:2">
      <c r="B71" s="1373"/>
    </row>
    <row r="72" spans="1:2">
      <c r="B72" s="1373"/>
    </row>
    <row r="73" spans="1:2">
      <c r="B73" s="1373"/>
    </row>
    <row r="74" spans="1:2">
      <c r="A74" s="1373"/>
      <c r="B74" s="1373"/>
    </row>
    <row r="75" spans="1:2">
      <c r="A75" s="1373"/>
      <c r="B75" s="1373"/>
    </row>
    <row r="76" spans="1:2">
      <c r="A76" s="1373"/>
      <c r="B76" s="1373"/>
    </row>
    <row r="77" spans="1:2">
      <c r="A77" s="1373"/>
      <c r="B77" s="1373"/>
    </row>
    <row r="78" spans="1:2">
      <c r="A78" s="1373"/>
      <c r="B78" s="1373"/>
    </row>
    <row r="79" spans="1:2">
      <c r="A79" s="1373"/>
      <c r="B79" s="1373"/>
    </row>
    <row r="80" spans="1:2" ht="16">
      <c r="A80" s="1374"/>
      <c r="B80" s="1373"/>
    </row>
    <row r="81" spans="1:2">
      <c r="A81" s="1373"/>
      <c r="B81" s="1373"/>
    </row>
    <row r="82" spans="1:2">
      <c r="B82" s="1373"/>
    </row>
    <row r="83" spans="1:2">
      <c r="A83" s="1373"/>
      <c r="B83" s="1373"/>
    </row>
    <row r="84" spans="1:2">
      <c r="A84" s="1373"/>
      <c r="B84" s="1373"/>
    </row>
    <row r="85" spans="1:2">
      <c r="A85" s="1373"/>
      <c r="B85" s="1373"/>
    </row>
    <row r="86" spans="1:2">
      <c r="A86" s="1373"/>
      <c r="B86" s="1373"/>
    </row>
  </sheetData>
  <phoneticPr fontId="77" type="noConversion"/>
  <pageMargins left="0.28000000000000003" right="0.35433070866141736" top="0.59055118110236227" bottom="0.35433070866141736" header="0.23622047244094491" footer="0.19685039370078741"/>
  <pageSetup paperSize="9" scale="82" orientation="landscape" cellComments="asDisplayed"/>
  <headerFooter alignWithMargins="0"/>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9D930-0483-B14D-BE8B-4E7C470BA49E}">
  <dimension ref="A1:R108"/>
  <sheetViews>
    <sheetView workbookViewId="0"/>
  </sheetViews>
  <sheetFormatPr baseColWidth="10" defaultColWidth="10.19921875" defaultRowHeight="13"/>
  <cols>
    <col min="1" max="1" width="3.796875" style="1103" customWidth="1"/>
    <col min="2" max="2" width="3" style="1103" customWidth="1"/>
    <col min="3" max="3" width="49.3984375" style="1103" customWidth="1"/>
    <col min="4" max="12" width="10.19921875" style="1103" customWidth="1"/>
    <col min="13" max="13" width="3.3984375" style="1103" customWidth="1"/>
    <col min="14" max="14" width="10.19921875" style="1103" customWidth="1"/>
    <col min="15" max="15" width="10.796875" style="1103" customWidth="1"/>
    <col min="16" max="16" width="3.19921875" style="1103" customWidth="1"/>
    <col min="17" max="17" width="10.19921875" style="1103" customWidth="1"/>
    <col min="18" max="16384" width="10.19921875" style="1103"/>
  </cols>
  <sheetData>
    <row r="1" spans="1:18" ht="16">
      <c r="A1" s="1101"/>
      <c r="B1" s="1102" t="s">
        <v>1356</v>
      </c>
      <c r="C1" s="1101"/>
      <c r="D1" s="1101"/>
      <c r="E1" s="1101"/>
      <c r="F1" s="1101"/>
      <c r="G1" s="1101"/>
      <c r="H1" s="1101"/>
      <c r="I1" s="1101"/>
      <c r="J1" s="1101"/>
      <c r="K1" s="1101"/>
      <c r="L1" s="1101"/>
      <c r="M1" s="1101"/>
      <c r="N1" s="1101"/>
      <c r="O1" s="1101"/>
      <c r="P1" s="1101"/>
      <c r="Q1" s="1101"/>
    </row>
    <row r="2" spans="1:18" ht="14.25" customHeight="1" thickBot="1">
      <c r="A2" s="1101"/>
      <c r="B2" s="1104"/>
      <c r="C2" s="1104"/>
      <c r="D2" s="1104"/>
      <c r="E2" s="1104"/>
      <c r="F2" s="1104"/>
      <c r="G2" s="1104"/>
      <c r="H2" s="1104"/>
      <c r="I2" s="1104"/>
      <c r="J2" s="1104"/>
      <c r="K2" s="1104"/>
      <c r="L2" s="1104"/>
      <c r="M2" s="1104"/>
      <c r="N2" s="1104"/>
      <c r="O2" s="1104"/>
      <c r="P2" s="1104"/>
      <c r="Q2" s="1104"/>
    </row>
    <row r="3" spans="1:18" ht="13.5" customHeight="1">
      <c r="A3" s="1101"/>
      <c r="B3" s="1105"/>
      <c r="C3" s="1105"/>
      <c r="D3" s="1106"/>
      <c r="E3" s="1105"/>
      <c r="F3" s="1106"/>
      <c r="G3" s="1105"/>
      <c r="H3" s="1106"/>
      <c r="I3" s="1107"/>
      <c r="J3" s="1108"/>
      <c r="K3" s="1107"/>
      <c r="L3" s="1108"/>
      <c r="M3" s="1109"/>
      <c r="N3" s="1108" t="s">
        <v>265</v>
      </c>
      <c r="O3" s="1110" t="s">
        <v>1357</v>
      </c>
      <c r="P3" s="1111"/>
      <c r="Q3" s="1112" t="s">
        <v>1358</v>
      </c>
    </row>
    <row r="4" spans="1:18" ht="15.75" customHeight="1">
      <c r="A4" s="1101"/>
      <c r="B4" s="1113" t="s">
        <v>1464</v>
      </c>
      <c r="C4" s="1114"/>
      <c r="D4" s="1115">
        <v>1996</v>
      </c>
      <c r="E4" s="1116">
        <v>1997</v>
      </c>
      <c r="F4" s="1115">
        <v>1998</v>
      </c>
      <c r="G4" s="1116">
        <v>1999</v>
      </c>
      <c r="H4" s="1115">
        <v>2000</v>
      </c>
      <c r="I4" s="1116">
        <v>2001</v>
      </c>
      <c r="J4" s="1115">
        <v>2002</v>
      </c>
      <c r="K4" s="1116">
        <v>2003</v>
      </c>
      <c r="L4" s="1115">
        <v>2004</v>
      </c>
      <c r="M4" s="1117"/>
      <c r="N4" s="1108" t="s">
        <v>1359</v>
      </c>
      <c r="O4" s="1118" t="s">
        <v>1360</v>
      </c>
      <c r="P4" s="1119"/>
      <c r="Q4" s="1120" t="s">
        <v>1465</v>
      </c>
    </row>
    <row r="5" spans="1:18" ht="9.75" customHeight="1">
      <c r="A5" s="1101"/>
      <c r="B5" s="1113"/>
      <c r="C5" s="1114"/>
      <c r="D5" s="1121"/>
      <c r="E5" s="1122"/>
      <c r="F5" s="1121"/>
      <c r="G5" s="1122"/>
      <c r="H5" s="1121"/>
      <c r="I5" s="1123"/>
      <c r="J5" s="1124"/>
      <c r="K5" s="1123"/>
      <c r="L5" s="1124"/>
      <c r="M5" s="1125"/>
      <c r="N5" s="1124"/>
      <c r="O5" s="1118" t="s">
        <v>457</v>
      </c>
      <c r="P5" s="1119"/>
      <c r="Q5" s="1121"/>
    </row>
    <row r="6" spans="1:18" ht="9.75" customHeight="1">
      <c r="A6" s="1101"/>
      <c r="B6" s="1126"/>
      <c r="C6" s="1127"/>
      <c r="D6" s="1128"/>
      <c r="E6" s="1129"/>
      <c r="F6" s="1128"/>
      <c r="G6" s="1129"/>
      <c r="H6" s="1128"/>
      <c r="I6" s="1130"/>
      <c r="J6" s="1131"/>
      <c r="K6" s="1130"/>
      <c r="L6" s="1131"/>
      <c r="M6" s="1132"/>
      <c r="N6" s="1131"/>
      <c r="O6" s="1133" t="s">
        <v>1361</v>
      </c>
      <c r="P6" s="1134"/>
      <c r="Q6" s="1128"/>
    </row>
    <row r="7" spans="1:18" ht="17.25" customHeight="1" thickBot="1">
      <c r="A7" s="1625" t="s">
        <v>1362</v>
      </c>
      <c r="B7" s="1135" t="s">
        <v>1466</v>
      </c>
      <c r="C7" s="1136"/>
      <c r="D7" s="1137">
        <v>15102.8</v>
      </c>
      <c r="E7" s="1138">
        <v>15124.7</v>
      </c>
      <c r="F7" s="1137">
        <v>15686.5</v>
      </c>
      <c r="G7" s="1138">
        <v>15981.6</v>
      </c>
      <c r="H7" s="1137">
        <v>16973.123118</v>
      </c>
      <c r="I7" s="1138">
        <v>17916.27</v>
      </c>
      <c r="J7" s="1137">
        <v>18410.55</v>
      </c>
      <c r="K7" s="1138">
        <v>19050.633227000002</v>
      </c>
      <c r="L7" s="1137">
        <v>20102.942229619999</v>
      </c>
      <c r="M7" s="1139"/>
      <c r="N7" s="1140">
        <v>5.5237481614447637E-2</v>
      </c>
      <c r="O7" s="1141">
        <v>3.6394904706708253E-2</v>
      </c>
      <c r="P7" s="1142"/>
      <c r="Q7" s="1137">
        <v>21309.873442980002</v>
      </c>
    </row>
    <row r="8" spans="1:18" ht="14" thickBot="1">
      <c r="A8" s="1626"/>
      <c r="B8" s="1143"/>
      <c r="C8" s="1144" t="s">
        <v>1363</v>
      </c>
      <c r="D8" s="1145">
        <v>10780.5</v>
      </c>
      <c r="E8" s="1146">
        <v>11360.5</v>
      </c>
      <c r="F8" s="1145">
        <v>11926.9</v>
      </c>
      <c r="G8" s="1146">
        <v>12430.6</v>
      </c>
      <c r="H8" s="1145">
        <v>13190.308999999999</v>
      </c>
      <c r="I8" s="1146">
        <v>13986.27</v>
      </c>
      <c r="J8" s="1145">
        <v>14592.75</v>
      </c>
      <c r="K8" s="1146">
        <v>15335.619704000001</v>
      </c>
      <c r="L8" s="1145">
        <v>16307.508545999999</v>
      </c>
      <c r="M8" s="1147"/>
      <c r="N8" s="1148">
        <v>6.337460505404291E-2</v>
      </c>
      <c r="O8" s="1149">
        <v>5.3097517176394771E-2</v>
      </c>
      <c r="P8" s="1150"/>
      <c r="Q8" s="1145">
        <v>17352.720037080002</v>
      </c>
    </row>
    <row r="9" spans="1:18" ht="14" thickBot="1">
      <c r="A9" s="1626"/>
      <c r="B9" s="1143"/>
      <c r="C9" s="1144" t="s">
        <v>1364</v>
      </c>
      <c r="D9" s="1145">
        <v>3809.6</v>
      </c>
      <c r="E9" s="1146">
        <v>3288.3</v>
      </c>
      <c r="F9" s="1145">
        <v>3299.5</v>
      </c>
      <c r="G9" s="1146">
        <v>2787.1</v>
      </c>
      <c r="H9" s="1145">
        <v>2199.056302</v>
      </c>
      <c r="I9" s="1146">
        <v>1576.7</v>
      </c>
      <c r="J9" s="1145">
        <v>1422.3</v>
      </c>
      <c r="K9" s="1146">
        <v>1354.5729260000001</v>
      </c>
      <c r="L9" s="1145">
        <v>1040.45917962</v>
      </c>
      <c r="M9" s="1147"/>
      <c r="N9" s="1148">
        <v>-0.23189135140000583</v>
      </c>
      <c r="O9" s="1149">
        <v>-0.1497567192243473</v>
      </c>
      <c r="P9" s="1150"/>
      <c r="Q9" s="1145">
        <v>1144.4166189</v>
      </c>
    </row>
    <row r="10" spans="1:18" ht="14" thickBot="1">
      <c r="A10" s="1626"/>
      <c r="B10" s="1143"/>
      <c r="C10" s="1144" t="s">
        <v>1365</v>
      </c>
      <c r="D10" s="1145">
        <v>512.70000000000005</v>
      </c>
      <c r="E10" s="1146">
        <v>475.9</v>
      </c>
      <c r="F10" s="1145">
        <v>460.1</v>
      </c>
      <c r="G10" s="1146">
        <v>763.9</v>
      </c>
      <c r="H10" s="1145">
        <v>1583.757816</v>
      </c>
      <c r="I10" s="1146">
        <v>2353.3000000000002</v>
      </c>
      <c r="J10" s="1145">
        <v>2395.5</v>
      </c>
      <c r="K10" s="1146">
        <v>2360.4405969999998</v>
      </c>
      <c r="L10" s="1145">
        <v>2754.9745040000003</v>
      </c>
      <c r="M10" s="1147"/>
      <c r="N10" s="1148">
        <v>0.1671441795660662</v>
      </c>
      <c r="O10" s="1149">
        <v>0.23390516834430208</v>
      </c>
      <c r="P10" s="1150"/>
      <c r="Q10" s="1145">
        <v>2812.7367870000003</v>
      </c>
    </row>
    <row r="11" spans="1:18" ht="7.5" customHeight="1" thickBot="1">
      <c r="A11" s="1626"/>
      <c r="B11" s="1143"/>
      <c r="C11" s="1143"/>
      <c r="D11" s="1151"/>
      <c r="E11" s="1152"/>
      <c r="F11" s="1151"/>
      <c r="G11" s="1152"/>
      <c r="H11" s="1151"/>
      <c r="I11" s="1152"/>
      <c r="J11" s="1151"/>
      <c r="K11" s="1152"/>
      <c r="L11" s="1151"/>
      <c r="M11" s="1153"/>
      <c r="N11" s="1154"/>
      <c r="O11" s="1155"/>
      <c r="P11" s="1156"/>
      <c r="Q11" s="1157"/>
    </row>
    <row r="12" spans="1:18" ht="16.5" customHeight="1" thickBot="1">
      <c r="A12" s="1626"/>
      <c r="B12" s="1158" t="s">
        <v>1467</v>
      </c>
      <c r="C12" s="1143"/>
      <c r="D12" s="1159">
        <v>72.599999999999739</v>
      </c>
      <c r="E12" s="1160">
        <v>80.999999999998636</v>
      </c>
      <c r="F12" s="1159">
        <v>106.80000000000098</v>
      </c>
      <c r="G12" s="1160">
        <v>50.400000000001</v>
      </c>
      <c r="H12" s="1159">
        <v>32.676882000000205</v>
      </c>
      <c r="I12" s="1160">
        <v>42.130000000000337</v>
      </c>
      <c r="J12" s="1159">
        <v>72.150000000000091</v>
      </c>
      <c r="K12" s="1160">
        <v>58.37477299999955</v>
      </c>
      <c r="L12" s="1159">
        <v>57.557770380000875</v>
      </c>
      <c r="M12" s="1161"/>
      <c r="N12" s="1162">
        <v>-1.3995816651804049E-2</v>
      </c>
      <c r="O12" s="1163">
        <v>-2.8604879278720241E-2</v>
      </c>
      <c r="P12" s="1164"/>
      <c r="Q12" s="1159">
        <v>50.425165489396022</v>
      </c>
      <c r="R12" s="1164"/>
    </row>
    <row r="13" spans="1:18" ht="9" customHeight="1" thickBot="1">
      <c r="A13" s="1626"/>
      <c r="B13" s="1143"/>
      <c r="C13" s="1143"/>
      <c r="D13" s="1151"/>
      <c r="E13" s="1152"/>
      <c r="F13" s="1151"/>
      <c r="G13" s="1152"/>
      <c r="H13" s="1151"/>
      <c r="I13" s="1152"/>
      <c r="J13" s="1151"/>
      <c r="K13" s="1152"/>
      <c r="L13" s="1151"/>
      <c r="M13" s="1153"/>
      <c r="N13" s="1154"/>
      <c r="O13" s="1155"/>
      <c r="P13" s="1156"/>
      <c r="Q13" s="1157"/>
      <c r="R13" s="1165"/>
    </row>
    <row r="14" spans="1:18" ht="16.5" customHeight="1" thickBot="1">
      <c r="A14" s="1626"/>
      <c r="B14" s="1158" t="s">
        <v>1468</v>
      </c>
      <c r="C14" s="1143"/>
      <c r="D14" s="1159">
        <v>15175.4</v>
      </c>
      <c r="E14" s="1160">
        <v>15205.7</v>
      </c>
      <c r="F14" s="1159">
        <v>15793.3</v>
      </c>
      <c r="G14" s="1160">
        <v>16032</v>
      </c>
      <c r="H14" s="1159">
        <v>17005.8</v>
      </c>
      <c r="I14" s="1160">
        <v>17958.400000000001</v>
      </c>
      <c r="J14" s="1159">
        <v>18482.7</v>
      </c>
      <c r="K14" s="1160">
        <v>19109.008000000002</v>
      </c>
      <c r="L14" s="1159">
        <v>20160.5</v>
      </c>
      <c r="M14" s="1161"/>
      <c r="N14" s="1162">
        <v>5.502598565032768E-2</v>
      </c>
      <c r="O14" s="1163">
        <v>3.6144065562488725E-2</v>
      </c>
      <c r="P14" s="1164"/>
      <c r="Q14" s="1159">
        <v>21360.298608469398</v>
      </c>
      <c r="R14" s="1164"/>
    </row>
    <row r="15" spans="1:18" ht="8.25" customHeight="1" thickBot="1">
      <c r="A15" s="1626"/>
      <c r="B15" s="1143"/>
      <c r="C15" s="1143"/>
      <c r="D15" s="1151"/>
      <c r="E15" s="1152"/>
      <c r="F15" s="1151"/>
      <c r="G15" s="1152"/>
      <c r="H15" s="1151"/>
      <c r="I15" s="1152"/>
      <c r="J15" s="1151"/>
      <c r="K15" s="1152"/>
      <c r="L15" s="1151"/>
      <c r="M15" s="1153"/>
      <c r="N15" s="1154"/>
      <c r="O15" s="1155"/>
      <c r="P15" s="1156"/>
      <c r="Q15" s="1157"/>
      <c r="R15" s="1165"/>
    </row>
    <row r="16" spans="1:18" ht="16.5" customHeight="1" thickBot="1">
      <c r="A16" s="1626"/>
      <c r="B16" s="1158" t="s">
        <v>1469</v>
      </c>
      <c r="C16" s="1143"/>
      <c r="D16" s="1159">
        <v>1460.8</v>
      </c>
      <c r="E16" s="1160">
        <v>1518</v>
      </c>
      <c r="F16" s="1159">
        <v>1595.6</v>
      </c>
      <c r="G16" s="1160">
        <v>1582.1</v>
      </c>
      <c r="H16" s="1159">
        <v>1600</v>
      </c>
      <c r="I16" s="1160">
        <v>1628.2</v>
      </c>
      <c r="J16" s="1159">
        <v>1616.1</v>
      </c>
      <c r="K16" s="1160">
        <v>1673.1039999999998</v>
      </c>
      <c r="L16" s="1159">
        <v>1731.0519999999999</v>
      </c>
      <c r="M16" s="1161"/>
      <c r="N16" s="1162">
        <v>3.463502567682597E-2</v>
      </c>
      <c r="O16" s="1163">
        <v>2.144484088756049E-2</v>
      </c>
      <c r="P16" s="1164"/>
      <c r="Q16" s="1159">
        <v>1834.9801049950445</v>
      </c>
      <c r="R16" s="1164"/>
    </row>
    <row r="17" spans="1:17" ht="8.25" customHeight="1" thickBot="1">
      <c r="A17" s="1626"/>
      <c r="B17" s="1143"/>
      <c r="C17" s="1143"/>
      <c r="D17" s="1166"/>
      <c r="E17" s="1143"/>
      <c r="F17" s="1166"/>
      <c r="G17" s="1143"/>
      <c r="H17" s="1166"/>
      <c r="I17" s="1143"/>
      <c r="J17" s="1166"/>
      <c r="K17" s="1143"/>
      <c r="L17" s="1166"/>
      <c r="M17" s="1167"/>
      <c r="N17" s="1154"/>
      <c r="O17" s="1155"/>
      <c r="P17" s="1156"/>
      <c r="Q17" s="1157"/>
    </row>
    <row r="18" spans="1:17" ht="16.5" customHeight="1" thickBot="1">
      <c r="A18" s="1626"/>
      <c r="B18" s="1158" t="s">
        <v>1470</v>
      </c>
      <c r="C18" s="1143"/>
      <c r="D18" s="1159">
        <v>16636.2</v>
      </c>
      <c r="E18" s="1160">
        <v>16723.7</v>
      </c>
      <c r="F18" s="1159">
        <v>17388.900000000001</v>
      </c>
      <c r="G18" s="1160">
        <v>17614.099999999999</v>
      </c>
      <c r="H18" s="1159">
        <v>18605.8</v>
      </c>
      <c r="I18" s="1160">
        <v>19586.599999999999</v>
      </c>
      <c r="J18" s="1159">
        <v>20098.8</v>
      </c>
      <c r="K18" s="1160">
        <v>20782.112000000001</v>
      </c>
      <c r="L18" s="1159">
        <v>21891.552</v>
      </c>
      <c r="M18" s="1168"/>
      <c r="N18" s="1162">
        <v>5.3384372098466137E-2</v>
      </c>
      <c r="O18" s="1163">
        <v>3.4910521818500628E-2</v>
      </c>
      <c r="P18" s="1161"/>
      <c r="Q18" s="1169">
        <v>23195.278713464442</v>
      </c>
    </row>
    <row r="19" spans="1:17" ht="14" thickBot="1">
      <c r="A19" s="1626"/>
      <c r="B19" s="1143"/>
      <c r="C19" s="1144" t="s">
        <v>1363</v>
      </c>
      <c r="D19" s="1145">
        <v>11739.7</v>
      </c>
      <c r="E19" s="1146">
        <v>12260.3</v>
      </c>
      <c r="F19" s="1145">
        <v>12798.7</v>
      </c>
      <c r="G19" s="1146">
        <v>13282.2</v>
      </c>
      <c r="H19" s="1145">
        <v>14059.1</v>
      </c>
      <c r="I19" s="1146">
        <v>14886.7</v>
      </c>
      <c r="J19" s="1145">
        <v>15483.3</v>
      </c>
      <c r="K19" s="1146">
        <v>16304.208000000002</v>
      </c>
      <c r="L19" s="1145">
        <v>17379.804</v>
      </c>
      <c r="M19" s="1147"/>
      <c r="N19" s="1148">
        <v>6.5970453762611347E-2</v>
      </c>
      <c r="O19" s="1149">
        <v>5.0264012199955577E-2</v>
      </c>
      <c r="P19" s="1150"/>
      <c r="Q19" s="1170">
        <v>18493.743066919818</v>
      </c>
    </row>
    <row r="20" spans="1:17" ht="14" thickBot="1">
      <c r="A20" s="1626"/>
      <c r="B20" s="1143"/>
      <c r="C20" s="1144" t="s">
        <v>1364</v>
      </c>
      <c r="D20" s="1145">
        <v>4375.2</v>
      </c>
      <c r="E20" s="1146">
        <v>3892.3</v>
      </c>
      <c r="F20" s="1145">
        <v>4038.2</v>
      </c>
      <c r="G20" s="1146">
        <v>3415.2</v>
      </c>
      <c r="H20" s="1145">
        <v>2646.1</v>
      </c>
      <c r="I20" s="1146">
        <v>1875.9</v>
      </c>
      <c r="J20" s="1145">
        <v>1740.9</v>
      </c>
      <c r="K20" s="1146">
        <v>1645.404</v>
      </c>
      <c r="L20" s="1145">
        <v>1205.748</v>
      </c>
      <c r="M20" s="1147"/>
      <c r="N20" s="1148">
        <v>-0.26720246213088095</v>
      </c>
      <c r="O20" s="1149">
        <v>-0.14879859856672117</v>
      </c>
      <c r="P20" s="1150"/>
      <c r="Q20" s="1170">
        <v>1326.2202654691373</v>
      </c>
    </row>
    <row r="21" spans="1:17" ht="14" thickBot="1">
      <c r="A21" s="1626"/>
      <c r="B21" s="1143"/>
      <c r="C21" s="1144" t="s">
        <v>1365</v>
      </c>
      <c r="D21" s="1145">
        <v>521.29999999999995</v>
      </c>
      <c r="E21" s="1146">
        <v>571.1</v>
      </c>
      <c r="F21" s="1145">
        <v>552</v>
      </c>
      <c r="G21" s="1146">
        <v>916.7</v>
      </c>
      <c r="H21" s="1145">
        <v>1900.6</v>
      </c>
      <c r="I21" s="1146">
        <v>2824</v>
      </c>
      <c r="J21" s="1145">
        <v>2874.6</v>
      </c>
      <c r="K21" s="1146">
        <v>2832.5</v>
      </c>
      <c r="L21" s="1145">
        <v>3306</v>
      </c>
      <c r="M21" s="1147"/>
      <c r="N21" s="1148">
        <v>0.16716681376875542</v>
      </c>
      <c r="O21" s="1149">
        <v>0.25972831327207446</v>
      </c>
      <c r="P21" s="1150"/>
      <c r="Q21" s="1170">
        <v>3375.3153810754834</v>
      </c>
    </row>
    <row r="22" spans="1:17" ht="14" thickBot="1">
      <c r="A22" s="1626"/>
      <c r="B22" s="1143"/>
      <c r="C22" s="1144"/>
      <c r="D22" s="1171"/>
      <c r="E22" s="1172"/>
      <c r="F22" s="1171"/>
      <c r="G22" s="1172"/>
      <c r="H22" s="1171"/>
      <c r="I22" s="1172"/>
      <c r="J22" s="1171"/>
      <c r="K22" s="1172"/>
      <c r="L22" s="1171"/>
      <c r="M22" s="1173"/>
      <c r="N22" s="1174"/>
      <c r="O22" s="1175"/>
      <c r="P22" s="1176"/>
      <c r="Q22" s="1177"/>
    </row>
    <row r="23" spans="1:17" ht="17.25" customHeight="1" thickBot="1">
      <c r="A23" s="1626"/>
      <c r="B23" s="1158" t="s">
        <v>1471</v>
      </c>
      <c r="C23" s="1143"/>
      <c r="D23" s="1159">
        <v>1770.8</v>
      </c>
      <c r="E23" s="1160">
        <v>1884.4</v>
      </c>
      <c r="F23" s="1159">
        <v>2155</v>
      </c>
      <c r="G23" s="1160">
        <v>2249.6</v>
      </c>
      <c r="H23" s="1159">
        <v>2343.1</v>
      </c>
      <c r="I23" s="1160">
        <v>2428.2489999999998</v>
      </c>
      <c r="J23" s="1159">
        <v>2541</v>
      </c>
      <c r="K23" s="1160">
        <v>2627.5</v>
      </c>
      <c r="L23" s="1159">
        <v>2868.2</v>
      </c>
      <c r="M23" s="1168"/>
      <c r="N23" s="1162">
        <v>9.1607992388201831E-2</v>
      </c>
      <c r="O23" s="1163">
        <v>6.2135659368000473E-2</v>
      </c>
      <c r="P23" s="1161"/>
      <c r="Q23" s="1159">
        <v>3031.6779155400004</v>
      </c>
    </row>
    <row r="24" spans="1:17" ht="14" thickBot="1">
      <c r="A24" s="1626"/>
      <c r="B24" s="1143"/>
      <c r="C24" s="1144" t="s">
        <v>1363</v>
      </c>
      <c r="D24" s="1145">
        <v>1678.5</v>
      </c>
      <c r="E24" s="1146">
        <v>1778</v>
      </c>
      <c r="F24" s="1145">
        <v>2097.1999999999998</v>
      </c>
      <c r="G24" s="1146">
        <v>2189.9</v>
      </c>
      <c r="H24" s="1145">
        <v>2288</v>
      </c>
      <c r="I24" s="1146">
        <v>2400.1889999999999</v>
      </c>
      <c r="J24" s="1145">
        <v>2502.83</v>
      </c>
      <c r="K24" s="1146">
        <v>2588.5</v>
      </c>
      <c r="L24" s="1145">
        <v>2832.3</v>
      </c>
      <c r="M24" s="1147"/>
      <c r="N24" s="1148">
        <v>9.4185821904577915E-2</v>
      </c>
      <c r="O24" s="1149">
        <v>6.7584447396639602E-2</v>
      </c>
      <c r="P24" s="1150"/>
      <c r="Q24" s="1145">
        <v>2994.9866096700002</v>
      </c>
    </row>
    <row r="25" spans="1:17" ht="14" thickBot="1">
      <c r="A25" s="1626"/>
      <c r="B25" s="1143"/>
      <c r="C25" s="1144" t="s">
        <v>1364</v>
      </c>
      <c r="D25" s="1145">
        <v>92.3</v>
      </c>
      <c r="E25" s="1146">
        <v>106.4</v>
      </c>
      <c r="F25" s="1145">
        <v>57.8</v>
      </c>
      <c r="G25" s="1146">
        <v>59.7</v>
      </c>
      <c r="H25" s="1145">
        <v>55.1</v>
      </c>
      <c r="I25" s="1146">
        <v>28.06</v>
      </c>
      <c r="J25" s="1145">
        <v>38.17</v>
      </c>
      <c r="K25" s="1146">
        <v>39</v>
      </c>
      <c r="L25" s="1145">
        <v>35.9</v>
      </c>
      <c r="M25" s="1147"/>
      <c r="N25" s="1148">
        <v>-7.9487179487179538E-2</v>
      </c>
      <c r="O25" s="1149">
        <v>-0.11133803333692127</v>
      </c>
      <c r="P25" s="1150"/>
      <c r="Q25" s="1145">
        <v>36.691305870000001</v>
      </c>
    </row>
    <row r="26" spans="1:17" ht="14" thickBot="1">
      <c r="A26" s="1626"/>
      <c r="B26" s="1143"/>
      <c r="C26" s="1144" t="s">
        <v>1365</v>
      </c>
      <c r="D26" s="1145">
        <v>0</v>
      </c>
      <c r="E26" s="1146">
        <v>0</v>
      </c>
      <c r="F26" s="1145">
        <v>0</v>
      </c>
      <c r="G26" s="1146">
        <v>0</v>
      </c>
      <c r="H26" s="1145">
        <v>0</v>
      </c>
      <c r="I26" s="1146">
        <v>0</v>
      </c>
      <c r="J26" s="1145">
        <v>0</v>
      </c>
      <c r="K26" s="1146">
        <v>0</v>
      </c>
      <c r="L26" s="1145">
        <v>0</v>
      </c>
      <c r="M26" s="1147"/>
      <c r="N26" s="1148" t="s">
        <v>1646</v>
      </c>
      <c r="O26" s="1149" t="s">
        <v>1646</v>
      </c>
      <c r="P26" s="1150"/>
      <c r="Q26" s="1145">
        <v>0</v>
      </c>
    </row>
    <row r="27" spans="1:17" ht="14" thickBot="1">
      <c r="A27" s="1626"/>
      <c r="B27" s="1143"/>
      <c r="C27" s="1144"/>
      <c r="D27" s="1171"/>
      <c r="E27" s="1172"/>
      <c r="F27" s="1171"/>
      <c r="G27" s="1172"/>
      <c r="H27" s="1171"/>
      <c r="I27" s="1172"/>
      <c r="J27" s="1171"/>
      <c r="K27" s="1172"/>
      <c r="L27" s="1171"/>
      <c r="M27" s="1173"/>
      <c r="N27" s="1174"/>
      <c r="O27" s="1175"/>
      <c r="P27" s="1176"/>
      <c r="Q27" s="1177"/>
    </row>
    <row r="28" spans="1:17" ht="17.25" customHeight="1" thickBot="1">
      <c r="A28" s="1626"/>
      <c r="B28" s="1158" t="s">
        <v>1472</v>
      </c>
      <c r="C28" s="1143"/>
      <c r="D28" s="1178">
        <v>18407</v>
      </c>
      <c r="E28" s="1179">
        <v>18608.099999999999</v>
      </c>
      <c r="F28" s="1178">
        <v>19543.900000000001</v>
      </c>
      <c r="G28" s="1179">
        <v>19863.7</v>
      </c>
      <c r="H28" s="1178">
        <v>20948.900000000001</v>
      </c>
      <c r="I28" s="1179">
        <v>22014.849000000002</v>
      </c>
      <c r="J28" s="1178">
        <v>22639.8</v>
      </c>
      <c r="K28" s="1179">
        <v>23409.612000000001</v>
      </c>
      <c r="L28" s="1178">
        <v>24759.752</v>
      </c>
      <c r="M28" s="1180"/>
      <c r="N28" s="1181">
        <v>5.7674599647358438E-2</v>
      </c>
      <c r="O28" s="1182">
        <v>3.7756374522506464E-2</v>
      </c>
      <c r="P28" s="1183"/>
      <c r="Q28" s="1184">
        <v>26226.956629004442</v>
      </c>
    </row>
    <row r="29" spans="1:17" ht="14" thickBot="1">
      <c r="A29" s="1626"/>
      <c r="B29" s="1143"/>
      <c r="C29" s="1144" t="s">
        <v>1363</v>
      </c>
      <c r="D29" s="1185">
        <v>13418.2</v>
      </c>
      <c r="E29" s="1186">
        <v>14038.3</v>
      </c>
      <c r="F29" s="1185">
        <v>14895.9</v>
      </c>
      <c r="G29" s="1186">
        <v>15472.1</v>
      </c>
      <c r="H29" s="1185">
        <v>16347.1</v>
      </c>
      <c r="I29" s="1186">
        <v>17286.888999999999</v>
      </c>
      <c r="J29" s="1185">
        <v>17986.13</v>
      </c>
      <c r="K29" s="1186">
        <v>18892.708000000002</v>
      </c>
      <c r="L29" s="1185">
        <v>20212.103999999999</v>
      </c>
      <c r="M29" s="1187"/>
      <c r="N29" s="1188">
        <v>6.9836256401146768E-2</v>
      </c>
      <c r="O29" s="1189">
        <v>5.2542541054514169E-2</v>
      </c>
      <c r="P29" s="1190"/>
      <c r="Q29" s="1191">
        <v>21488.729676589817</v>
      </c>
    </row>
    <row r="30" spans="1:17" ht="14" thickBot="1">
      <c r="A30" s="1626"/>
      <c r="B30" s="1143"/>
      <c r="C30" s="1144" t="s">
        <v>1364</v>
      </c>
      <c r="D30" s="1185">
        <v>4467.5</v>
      </c>
      <c r="E30" s="1186">
        <v>3998.7</v>
      </c>
      <c r="F30" s="1185">
        <v>4096</v>
      </c>
      <c r="G30" s="1186">
        <v>3474.9</v>
      </c>
      <c r="H30" s="1185">
        <v>2701.2</v>
      </c>
      <c r="I30" s="1186">
        <v>1903.96</v>
      </c>
      <c r="J30" s="1185">
        <v>1779.07</v>
      </c>
      <c r="K30" s="1186">
        <v>1684.404</v>
      </c>
      <c r="L30" s="1185">
        <v>1241.6480000000001</v>
      </c>
      <c r="M30" s="1187"/>
      <c r="N30" s="1188">
        <v>-0.26285617939639172</v>
      </c>
      <c r="O30" s="1189">
        <v>-0.14789769223018889</v>
      </c>
      <c r="P30" s="1190"/>
      <c r="Q30" s="1191">
        <v>1362.9115713391373</v>
      </c>
    </row>
    <row r="31" spans="1:17">
      <c r="A31" s="1626"/>
      <c r="B31" s="1192"/>
      <c r="C31" s="1193" t="s">
        <v>1365</v>
      </c>
      <c r="D31" s="1194">
        <v>521.29999999999995</v>
      </c>
      <c r="E31" s="1195">
        <v>571.1</v>
      </c>
      <c r="F31" s="1194">
        <v>552</v>
      </c>
      <c r="G31" s="1195">
        <v>916.7</v>
      </c>
      <c r="H31" s="1194">
        <v>1900.6</v>
      </c>
      <c r="I31" s="1195">
        <v>2824</v>
      </c>
      <c r="J31" s="1194">
        <v>2874.6</v>
      </c>
      <c r="K31" s="1195">
        <v>2832.5</v>
      </c>
      <c r="L31" s="1194">
        <v>3306</v>
      </c>
      <c r="M31" s="1196"/>
      <c r="N31" s="1197">
        <v>0.16716681376875542</v>
      </c>
      <c r="O31" s="1198">
        <v>0.25972831327207446</v>
      </c>
      <c r="P31" s="1199"/>
      <c r="Q31" s="1200">
        <v>3375.3153810754834</v>
      </c>
    </row>
    <row r="32" spans="1:17" ht="8.25" customHeight="1">
      <c r="A32" s="1101"/>
      <c r="B32" s="1201"/>
      <c r="C32" s="1202"/>
      <c r="D32" s="1203"/>
      <c r="E32" s="1203"/>
      <c r="F32" s="1203"/>
      <c r="G32" s="1203"/>
      <c r="H32" s="1203"/>
      <c r="I32" s="1204"/>
      <c r="J32" s="1204"/>
      <c r="K32" s="1204"/>
      <c r="L32" s="1204"/>
      <c r="M32" s="1204"/>
      <c r="N32" s="1205"/>
      <c r="O32" s="1206"/>
      <c r="P32" s="1205"/>
      <c r="Q32" s="1207"/>
    </row>
    <row r="33" spans="1:17" ht="8.25" customHeight="1">
      <c r="A33" s="1101"/>
      <c r="B33" s="1208"/>
      <c r="C33" s="1209"/>
      <c r="D33" s="1210"/>
      <c r="E33" s="1210"/>
      <c r="F33" s="1210"/>
      <c r="G33" s="1210"/>
      <c r="H33" s="1210"/>
      <c r="I33" s="1211"/>
      <c r="J33" s="1211"/>
      <c r="K33" s="1211"/>
      <c r="L33" s="1211"/>
      <c r="M33" s="1211"/>
      <c r="N33" s="1212"/>
      <c r="O33" s="1213"/>
      <c r="P33" s="1212"/>
      <c r="Q33" s="1214"/>
    </row>
    <row r="34" spans="1:17" ht="15.75" customHeight="1" thickBot="1">
      <c r="A34" s="1623" t="s">
        <v>1106</v>
      </c>
      <c r="B34" s="1135" t="s">
        <v>1473</v>
      </c>
      <c r="C34" s="1136"/>
      <c r="D34" s="1137">
        <v>16013.1</v>
      </c>
      <c r="E34" s="1138">
        <v>16937.3</v>
      </c>
      <c r="F34" s="1137">
        <v>17695.3</v>
      </c>
      <c r="G34" s="1138">
        <v>17814.400000000001</v>
      </c>
      <c r="H34" s="1137">
        <v>18506.971013000002</v>
      </c>
      <c r="I34" s="1138">
        <v>19132.22</v>
      </c>
      <c r="J34" s="1137">
        <v>20686.96</v>
      </c>
      <c r="K34" s="1138">
        <v>22048.513701</v>
      </c>
      <c r="L34" s="1137">
        <v>23360.39678399</v>
      </c>
      <c r="M34" s="1139"/>
      <c r="N34" s="1140">
        <v>5.9499842065567465E-2</v>
      </c>
      <c r="O34" s="1141">
        <v>4.8336241716818051E-2</v>
      </c>
      <c r="P34" s="1142"/>
      <c r="Q34" s="1137">
        <v>23865.649597220003</v>
      </c>
    </row>
    <row r="35" spans="1:17" ht="15.75" customHeight="1" thickBot="1">
      <c r="A35" s="1624"/>
      <c r="B35" s="1143"/>
      <c r="C35" s="1144" t="s">
        <v>1474</v>
      </c>
      <c r="D35" s="1145">
        <v>11035.2</v>
      </c>
      <c r="E35" s="1146">
        <v>11924.8</v>
      </c>
      <c r="F35" s="1145">
        <v>12604.2</v>
      </c>
      <c r="G35" s="1146">
        <v>12949.5</v>
      </c>
      <c r="H35" s="1145">
        <v>13346.689</v>
      </c>
      <c r="I35" s="1146">
        <v>13954.72</v>
      </c>
      <c r="J35" s="1145">
        <v>15296.16</v>
      </c>
      <c r="K35" s="1146">
        <v>16759.707467</v>
      </c>
      <c r="L35" s="1145">
        <v>17979.586842000001</v>
      </c>
      <c r="M35" s="1147"/>
      <c r="N35" s="1148">
        <v>7.2786436004444122E-2</v>
      </c>
      <c r="O35" s="1149">
        <v>6.2918430031493999E-2</v>
      </c>
      <c r="P35" s="1150"/>
      <c r="Q35" s="1145">
        <v>18442.676721830001</v>
      </c>
    </row>
    <row r="36" spans="1:17" ht="14" thickBot="1">
      <c r="A36" s="1624"/>
      <c r="B36" s="1143"/>
      <c r="C36" s="1144" t="s">
        <v>1364</v>
      </c>
      <c r="D36" s="1145">
        <v>4337.5</v>
      </c>
      <c r="E36" s="1146">
        <v>4410.6000000000004</v>
      </c>
      <c r="F36" s="1145">
        <v>4453.3</v>
      </c>
      <c r="G36" s="1146">
        <v>3766.7</v>
      </c>
      <c r="H36" s="1145">
        <v>2917.3519609999998</v>
      </c>
      <c r="I36" s="1146">
        <v>1987</v>
      </c>
      <c r="J36" s="1145">
        <v>1958.4</v>
      </c>
      <c r="K36" s="1146">
        <v>1882.6076640000001</v>
      </c>
      <c r="L36" s="1145">
        <v>1358.7895999899999</v>
      </c>
      <c r="M36" s="1147"/>
      <c r="N36" s="1148">
        <v>-0.27824069455716405</v>
      </c>
      <c r="O36" s="1149">
        <v>-0.1350538083993682</v>
      </c>
      <c r="P36" s="1150"/>
      <c r="Q36" s="1145">
        <v>1397.6693543900001</v>
      </c>
    </row>
    <row r="37" spans="1:17" ht="14" thickBot="1">
      <c r="A37" s="1624"/>
      <c r="B37" s="1143"/>
      <c r="C37" s="1144" t="s">
        <v>1365</v>
      </c>
      <c r="D37" s="1145">
        <v>640.4</v>
      </c>
      <c r="E37" s="1146">
        <v>601.9</v>
      </c>
      <c r="F37" s="1145">
        <v>637.79999999999995</v>
      </c>
      <c r="G37" s="1146">
        <v>1098.2</v>
      </c>
      <c r="H37" s="1145">
        <v>2242.9300519999997</v>
      </c>
      <c r="I37" s="1146">
        <v>3190.5</v>
      </c>
      <c r="J37" s="1145">
        <v>3432.4</v>
      </c>
      <c r="K37" s="1146">
        <v>3406.1985699999996</v>
      </c>
      <c r="L37" s="1145">
        <v>4022.0203419999989</v>
      </c>
      <c r="M37" s="1147"/>
      <c r="N37" s="1148">
        <v>0.18079444264460465</v>
      </c>
      <c r="O37" s="1149">
        <v>0.25819836774600824</v>
      </c>
      <c r="P37" s="1150"/>
      <c r="Q37" s="1145">
        <v>4025.3035210000007</v>
      </c>
    </row>
    <row r="38" spans="1:17" ht="9.75" customHeight="1" thickBot="1">
      <c r="A38" s="1624"/>
      <c r="B38" s="1143"/>
      <c r="C38" s="1144"/>
      <c r="D38" s="1145"/>
      <c r="E38" s="1146"/>
      <c r="F38" s="1145"/>
      <c r="G38" s="1146"/>
      <c r="H38" s="1145"/>
      <c r="I38" s="1146"/>
      <c r="J38" s="1145"/>
      <c r="K38" s="1146"/>
      <c r="L38" s="1145"/>
      <c r="M38" s="1147"/>
      <c r="N38" s="1148"/>
      <c r="O38" s="1149"/>
      <c r="P38" s="1150"/>
      <c r="Q38" s="1215"/>
    </row>
    <row r="39" spans="1:17" ht="17.25" customHeight="1" thickBot="1">
      <c r="A39" s="1624"/>
      <c r="B39" s="1158" t="s">
        <v>1471</v>
      </c>
      <c r="C39" s="1143"/>
      <c r="D39" s="1159">
        <v>1770.8</v>
      </c>
      <c r="E39" s="1160">
        <v>1884.4</v>
      </c>
      <c r="F39" s="1159">
        <v>2155</v>
      </c>
      <c r="G39" s="1160">
        <v>2249.6</v>
      </c>
      <c r="H39" s="1159">
        <v>2343.1</v>
      </c>
      <c r="I39" s="1160">
        <v>2428.2489999999998</v>
      </c>
      <c r="J39" s="1159">
        <v>2541</v>
      </c>
      <c r="K39" s="1160">
        <v>2627.5</v>
      </c>
      <c r="L39" s="1159">
        <v>2868.2</v>
      </c>
      <c r="M39" s="1168"/>
      <c r="N39" s="1162">
        <v>9.1607992388201831E-2</v>
      </c>
      <c r="O39" s="1163">
        <v>6.2135659368000473E-2</v>
      </c>
      <c r="P39" s="1161"/>
      <c r="Q39" s="1159">
        <v>3031.6779155400004</v>
      </c>
    </row>
    <row r="40" spans="1:17" ht="14" thickBot="1">
      <c r="A40" s="1624"/>
      <c r="B40" s="1143"/>
      <c r="C40" s="1144" t="s">
        <v>1363</v>
      </c>
      <c r="D40" s="1145">
        <v>1678.5</v>
      </c>
      <c r="E40" s="1146">
        <v>1778</v>
      </c>
      <c r="F40" s="1145">
        <v>2097.1999999999998</v>
      </c>
      <c r="G40" s="1146">
        <v>2189.9</v>
      </c>
      <c r="H40" s="1145">
        <v>2288</v>
      </c>
      <c r="I40" s="1146">
        <v>2400.1889999999999</v>
      </c>
      <c r="J40" s="1145">
        <v>2502.83</v>
      </c>
      <c r="K40" s="1146">
        <v>2588.5</v>
      </c>
      <c r="L40" s="1145">
        <v>2832.3</v>
      </c>
      <c r="M40" s="1147"/>
      <c r="N40" s="1148">
        <v>9.4185821904577915E-2</v>
      </c>
      <c r="O40" s="1149">
        <v>6.7584447396639602E-2</v>
      </c>
      <c r="P40" s="1150"/>
      <c r="Q40" s="1145">
        <v>2994.9866096700002</v>
      </c>
    </row>
    <row r="41" spans="1:17" ht="14" thickBot="1">
      <c r="A41" s="1624"/>
      <c r="B41" s="1143"/>
      <c r="C41" s="1144" t="s">
        <v>1364</v>
      </c>
      <c r="D41" s="1145">
        <v>92.3</v>
      </c>
      <c r="E41" s="1146">
        <v>106.4</v>
      </c>
      <c r="F41" s="1145">
        <v>57.8</v>
      </c>
      <c r="G41" s="1146">
        <v>59.7</v>
      </c>
      <c r="H41" s="1145">
        <v>55.1</v>
      </c>
      <c r="I41" s="1146">
        <v>28.06</v>
      </c>
      <c r="J41" s="1145">
        <v>38.17</v>
      </c>
      <c r="K41" s="1146">
        <v>39</v>
      </c>
      <c r="L41" s="1145">
        <v>35.9</v>
      </c>
      <c r="M41" s="1147"/>
      <c r="N41" s="1148">
        <v>-7.9487179487179538E-2</v>
      </c>
      <c r="O41" s="1149">
        <v>-0.11133803333692127</v>
      </c>
      <c r="P41" s="1150"/>
      <c r="Q41" s="1145">
        <v>36.691305870000001</v>
      </c>
    </row>
    <row r="42" spans="1:17" ht="14" thickBot="1">
      <c r="A42" s="1624"/>
      <c r="B42" s="1143"/>
      <c r="C42" s="1144" t="s">
        <v>1365</v>
      </c>
      <c r="D42" s="1145">
        <v>0</v>
      </c>
      <c r="E42" s="1146">
        <v>0</v>
      </c>
      <c r="F42" s="1145">
        <v>0</v>
      </c>
      <c r="G42" s="1146">
        <v>0</v>
      </c>
      <c r="H42" s="1145">
        <v>0</v>
      </c>
      <c r="I42" s="1146">
        <v>0</v>
      </c>
      <c r="J42" s="1145">
        <v>0</v>
      </c>
      <c r="K42" s="1146">
        <v>0</v>
      </c>
      <c r="L42" s="1145">
        <v>0</v>
      </c>
      <c r="M42" s="1147"/>
      <c r="N42" s="1148" t="s">
        <v>1646</v>
      </c>
      <c r="O42" s="1149" t="s">
        <v>1646</v>
      </c>
      <c r="P42" s="1150"/>
      <c r="Q42" s="1145">
        <v>0</v>
      </c>
    </row>
    <row r="43" spans="1:17" ht="14" thickBot="1">
      <c r="A43" s="1216"/>
      <c r="B43" s="1143"/>
      <c r="C43" s="1143"/>
      <c r="D43" s="1151"/>
      <c r="E43" s="1152"/>
      <c r="F43" s="1151"/>
      <c r="G43" s="1152"/>
      <c r="H43" s="1151"/>
      <c r="I43" s="1152"/>
      <c r="J43" s="1151"/>
      <c r="K43" s="1152"/>
      <c r="L43" s="1151"/>
      <c r="M43" s="1153"/>
      <c r="N43" s="1154"/>
      <c r="O43" s="1155"/>
      <c r="P43" s="1156"/>
      <c r="Q43" s="1217"/>
    </row>
    <row r="44" spans="1:17" ht="17.25" customHeight="1" thickBot="1">
      <c r="A44" s="1216"/>
      <c r="B44" s="1158" t="s">
        <v>1475</v>
      </c>
      <c r="C44" s="1143"/>
      <c r="D44" s="1178">
        <v>17783.900000000001</v>
      </c>
      <c r="E44" s="1179">
        <v>18821.7</v>
      </c>
      <c r="F44" s="1178">
        <v>19850.3</v>
      </c>
      <c r="G44" s="1179">
        <v>20064</v>
      </c>
      <c r="H44" s="1178">
        <v>20850.071013000001</v>
      </c>
      <c r="I44" s="1179">
        <v>21560.469000000001</v>
      </c>
      <c r="J44" s="1178">
        <v>23227.96</v>
      </c>
      <c r="K44" s="1179">
        <v>24676.013701</v>
      </c>
      <c r="L44" s="1178">
        <v>26228.59678399</v>
      </c>
      <c r="M44" s="1180"/>
      <c r="N44" s="1181">
        <v>6.2918715389069568E-2</v>
      </c>
      <c r="O44" s="1182">
        <v>4.9768425579585829E-2</v>
      </c>
      <c r="P44" s="1183"/>
      <c r="Q44" s="1218">
        <v>26897.327512760003</v>
      </c>
    </row>
    <row r="45" spans="1:17" ht="14" thickBot="1">
      <c r="A45" s="1216"/>
      <c r="B45" s="1143"/>
      <c r="C45" s="1144" t="s">
        <v>1363</v>
      </c>
      <c r="D45" s="1185">
        <v>12713.7</v>
      </c>
      <c r="E45" s="1186">
        <v>13702.8</v>
      </c>
      <c r="F45" s="1185">
        <v>14701.4</v>
      </c>
      <c r="G45" s="1186">
        <v>15139.4</v>
      </c>
      <c r="H45" s="1185">
        <v>15634.689</v>
      </c>
      <c r="I45" s="1186">
        <v>16354.909</v>
      </c>
      <c r="J45" s="1185">
        <v>17798.990000000002</v>
      </c>
      <c r="K45" s="1186">
        <v>19348.207467</v>
      </c>
      <c r="L45" s="1185">
        <v>20811.886842</v>
      </c>
      <c r="M45" s="1187"/>
      <c r="N45" s="1188">
        <v>7.5649352917908752E-2</v>
      </c>
      <c r="O45" s="1189">
        <v>6.3542714845911119E-2</v>
      </c>
      <c r="P45" s="1190"/>
      <c r="Q45" s="1219">
        <v>21437.6633315</v>
      </c>
    </row>
    <row r="46" spans="1:17" ht="14" thickBot="1">
      <c r="A46" s="1216"/>
      <c r="B46" s="1143"/>
      <c r="C46" s="1144" t="s">
        <v>1364</v>
      </c>
      <c r="D46" s="1185">
        <v>4429.8</v>
      </c>
      <c r="E46" s="1186">
        <v>4517</v>
      </c>
      <c r="F46" s="1185">
        <v>4511.1000000000004</v>
      </c>
      <c r="G46" s="1186">
        <v>3826.4</v>
      </c>
      <c r="H46" s="1185">
        <v>2972.4519609999998</v>
      </c>
      <c r="I46" s="1186">
        <v>2015.06</v>
      </c>
      <c r="J46" s="1185">
        <v>1996.57</v>
      </c>
      <c r="K46" s="1186">
        <v>1921.6076640000001</v>
      </c>
      <c r="L46" s="1185">
        <v>1394.68959999</v>
      </c>
      <c r="M46" s="1187"/>
      <c r="N46" s="1188">
        <v>-0.27420689138654475</v>
      </c>
      <c r="O46" s="1189">
        <v>-0.13451074509819327</v>
      </c>
      <c r="P46" s="1190"/>
      <c r="Q46" s="1219">
        <v>1434.36066026</v>
      </c>
    </row>
    <row r="47" spans="1:17">
      <c r="A47" s="1216"/>
      <c r="B47" s="1192"/>
      <c r="C47" s="1193" t="s">
        <v>1365</v>
      </c>
      <c r="D47" s="1194">
        <v>640.4</v>
      </c>
      <c r="E47" s="1195">
        <v>601.9</v>
      </c>
      <c r="F47" s="1194">
        <v>637.79999999999995</v>
      </c>
      <c r="G47" s="1195">
        <v>1098.2</v>
      </c>
      <c r="H47" s="1194">
        <v>2242.9300519999997</v>
      </c>
      <c r="I47" s="1195">
        <v>3190.5</v>
      </c>
      <c r="J47" s="1194">
        <v>3432.4</v>
      </c>
      <c r="K47" s="1195">
        <v>3406.1985699999996</v>
      </c>
      <c r="L47" s="1194">
        <v>4022.0203419999989</v>
      </c>
      <c r="M47" s="1196"/>
      <c r="N47" s="1197">
        <v>0.18079444264460465</v>
      </c>
      <c r="O47" s="1198">
        <v>0.25819836774600824</v>
      </c>
      <c r="P47" s="1199"/>
      <c r="Q47" s="1220">
        <v>4025.3035210000007</v>
      </c>
    </row>
    <row r="48" spans="1:17" ht="8.25" customHeight="1">
      <c r="A48" s="1221"/>
      <c r="B48" s="1201"/>
      <c r="C48" s="1202"/>
      <c r="D48" s="1204"/>
      <c r="E48" s="1204"/>
      <c r="F48" s="1204"/>
      <c r="G48" s="1204"/>
      <c r="H48" s="1204"/>
      <c r="I48" s="1204"/>
      <c r="J48" s="1204"/>
      <c r="K48" s="1204"/>
      <c r="L48" s="1204"/>
      <c r="M48" s="1204"/>
      <c r="N48" s="1205"/>
      <c r="O48" s="1205"/>
      <c r="P48" s="1205"/>
      <c r="Q48" s="1222"/>
    </row>
    <row r="49" spans="1:17" ht="8.25" customHeight="1">
      <c r="A49" s="1101"/>
      <c r="B49" s="1208"/>
      <c r="C49" s="1208"/>
      <c r="D49" s="1223"/>
      <c r="E49" s="1223"/>
      <c r="F49" s="1223"/>
      <c r="G49" s="1223"/>
      <c r="H49" s="1223"/>
      <c r="I49" s="1224"/>
      <c r="J49" s="1224"/>
      <c r="K49" s="1224"/>
      <c r="L49" s="1224"/>
      <c r="M49" s="1224"/>
      <c r="N49" s="1225"/>
      <c r="O49" s="1226"/>
      <c r="P49" s="1225"/>
      <c r="Q49" s="1227"/>
    </row>
    <row r="50" spans="1:17" ht="17.25" customHeight="1" thickBot="1">
      <c r="A50" s="1101"/>
      <c r="B50" s="1135" t="s">
        <v>1476</v>
      </c>
      <c r="C50" s="1136"/>
      <c r="D50" s="1228">
        <v>623.1</v>
      </c>
      <c r="E50" s="1229">
        <v>-213.60000000000218</v>
      </c>
      <c r="F50" s="1228">
        <v>-306.39999999999782</v>
      </c>
      <c r="G50" s="1229">
        <v>-200.29999999999927</v>
      </c>
      <c r="H50" s="1228">
        <v>98.828986999997142</v>
      </c>
      <c r="I50" s="1229">
        <v>454.38000000000102</v>
      </c>
      <c r="J50" s="1228">
        <v>-588.16000000000349</v>
      </c>
      <c r="K50" s="1229">
        <v>-1266.4017009999989</v>
      </c>
      <c r="L50" s="1228">
        <v>-1468.84478399</v>
      </c>
      <c r="M50" s="1230"/>
      <c r="N50" s="1231">
        <v>0.15985692598971113</v>
      </c>
      <c r="O50" s="1232" t="s">
        <v>1646</v>
      </c>
      <c r="P50" s="1233"/>
      <c r="Q50" s="1234">
        <v>-670.3708837555605</v>
      </c>
    </row>
    <row r="51" spans="1:17" ht="14" thickBot="1">
      <c r="A51" s="1101"/>
      <c r="B51" s="1143"/>
      <c r="C51" s="1144" t="s">
        <v>1363</v>
      </c>
      <c r="D51" s="1159">
        <v>704.5</v>
      </c>
      <c r="E51" s="1160">
        <v>335.5</v>
      </c>
      <c r="F51" s="1159">
        <v>194.5</v>
      </c>
      <c r="G51" s="1160">
        <v>332.70000000000073</v>
      </c>
      <c r="H51" s="1159">
        <v>712.41100000000006</v>
      </c>
      <c r="I51" s="1160">
        <v>931.98000000000138</v>
      </c>
      <c r="J51" s="1159">
        <v>187.13999999999942</v>
      </c>
      <c r="K51" s="1160">
        <v>-455.49946699999782</v>
      </c>
      <c r="L51" s="1159">
        <v>-599.78284200000053</v>
      </c>
      <c r="M51" s="1168"/>
      <c r="N51" s="1162">
        <v>0.31675860336408124</v>
      </c>
      <c r="O51" s="1163" t="s">
        <v>1646</v>
      </c>
      <c r="P51" s="1161"/>
      <c r="Q51" s="1169">
        <v>51.066345089817332</v>
      </c>
    </row>
    <row r="52" spans="1:17" ht="14" thickBot="1">
      <c r="A52" s="1101"/>
      <c r="B52" s="1143"/>
      <c r="C52" s="1144" t="s">
        <v>1364</v>
      </c>
      <c r="D52" s="1159">
        <v>37.699999999999818</v>
      </c>
      <c r="E52" s="1160">
        <v>-518.29999999999995</v>
      </c>
      <c r="F52" s="1159">
        <v>-415.1</v>
      </c>
      <c r="G52" s="1160">
        <v>-351.5</v>
      </c>
      <c r="H52" s="1159">
        <v>-271.25196099999994</v>
      </c>
      <c r="I52" s="1160">
        <v>-111.1</v>
      </c>
      <c r="J52" s="1159">
        <v>-217.5</v>
      </c>
      <c r="K52" s="1160">
        <v>-237.20366400000012</v>
      </c>
      <c r="L52" s="1159">
        <v>-153.0415999899999</v>
      </c>
      <c r="M52" s="1168"/>
      <c r="N52" s="1162">
        <v>-0.35480929168952546</v>
      </c>
      <c r="O52" s="1163" t="s">
        <v>1646</v>
      </c>
      <c r="P52" s="1161"/>
      <c r="Q52" s="1169">
        <v>-71.449088920862778</v>
      </c>
    </row>
    <row r="53" spans="1:17">
      <c r="A53" s="1101"/>
      <c r="B53" s="1192"/>
      <c r="C53" s="1193" t="s">
        <v>1365</v>
      </c>
      <c r="D53" s="1235">
        <v>-119.1</v>
      </c>
      <c r="E53" s="1236">
        <v>-30.8</v>
      </c>
      <c r="F53" s="1235">
        <v>-85.8</v>
      </c>
      <c r="G53" s="1236">
        <v>-181.5</v>
      </c>
      <c r="H53" s="1235">
        <v>-342.3300519999998</v>
      </c>
      <c r="I53" s="1236">
        <v>-366.5</v>
      </c>
      <c r="J53" s="1235">
        <v>-557.79999999999995</v>
      </c>
      <c r="K53" s="1236">
        <v>-573.69856999999956</v>
      </c>
      <c r="L53" s="1235">
        <v>-716.02034199999889</v>
      </c>
      <c r="M53" s="1237"/>
      <c r="N53" s="1238">
        <v>0.24807761330135336</v>
      </c>
      <c r="O53" s="1239" t="s">
        <v>1646</v>
      </c>
      <c r="P53" s="1240"/>
      <c r="Q53" s="1241">
        <v>-649.98813992451733</v>
      </c>
    </row>
    <row r="54" spans="1:17" ht="11.25" customHeight="1" thickBot="1">
      <c r="A54" s="1101"/>
      <c r="B54" s="1104"/>
      <c r="C54" s="1104"/>
      <c r="D54" s="1242"/>
      <c r="E54" s="1242"/>
      <c r="F54" s="1242"/>
      <c r="G54" s="1242"/>
      <c r="H54" s="1242"/>
      <c r="I54" s="1243"/>
      <c r="J54" s="1243"/>
      <c r="K54" s="1243"/>
      <c r="L54" s="1243"/>
      <c r="M54" s="1243"/>
      <c r="N54" s="1104"/>
      <c r="O54" s="1242"/>
      <c r="P54" s="1242"/>
      <c r="Q54" s="1242"/>
    </row>
    <row r="55" spans="1:17" ht="13.5" customHeight="1">
      <c r="A55" s="1101"/>
      <c r="B55" s="1244" t="s">
        <v>590</v>
      </c>
      <c r="C55" s="1101"/>
      <c r="D55" s="1101"/>
      <c r="E55" s="1101"/>
      <c r="F55" s="1101"/>
      <c r="G55" s="1101"/>
      <c r="H55" s="1101"/>
      <c r="I55" s="1101"/>
      <c r="J55" s="1101"/>
      <c r="K55" s="1101"/>
      <c r="L55" s="1101"/>
      <c r="M55" s="1101"/>
      <c r="N55" s="1101"/>
      <c r="O55" s="1101"/>
      <c r="P55" s="1101"/>
      <c r="Q55" s="1101"/>
    </row>
    <row r="56" spans="1:17" ht="14.25" customHeight="1">
      <c r="A56" s="1101"/>
      <c r="B56" s="1101"/>
      <c r="C56" s="1101"/>
      <c r="D56" s="1101"/>
      <c r="E56" s="1101"/>
      <c r="F56" s="1101"/>
      <c r="G56" s="1101"/>
      <c r="H56" s="1101"/>
      <c r="I56" s="1101"/>
      <c r="J56" s="1101"/>
      <c r="K56" s="1101"/>
      <c r="L56" s="1101"/>
      <c r="M56" s="1101"/>
      <c r="N56" s="1101"/>
      <c r="O56" s="1101"/>
      <c r="P56" s="1101"/>
      <c r="Q56" s="1101"/>
    </row>
    <row r="57" spans="1:17" ht="12.75" customHeight="1">
      <c r="A57" s="1101"/>
      <c r="B57" s="1101"/>
      <c r="C57" s="1101"/>
      <c r="D57" s="1101"/>
      <c r="E57" s="1101"/>
      <c r="F57" s="1101"/>
      <c r="G57" s="1101"/>
      <c r="H57" s="1101"/>
      <c r="I57" s="1101"/>
      <c r="J57" s="1101"/>
      <c r="K57" s="1101"/>
      <c r="L57" s="1101"/>
      <c r="M57" s="1101"/>
      <c r="N57" s="1101"/>
      <c r="O57" s="1101"/>
      <c r="P57" s="1101"/>
      <c r="Q57" s="1101"/>
    </row>
    <row r="58" spans="1:17">
      <c r="A58" s="1101"/>
      <c r="B58" s="1101"/>
      <c r="C58" s="1101"/>
      <c r="D58" s="1101"/>
      <c r="E58" s="1101"/>
      <c r="F58" s="1101"/>
      <c r="G58" s="1101"/>
      <c r="H58" s="1101"/>
      <c r="I58" s="1101"/>
      <c r="J58" s="1101"/>
      <c r="K58" s="1101"/>
      <c r="L58" s="1101"/>
      <c r="M58" s="1101"/>
      <c r="N58" s="1101"/>
      <c r="O58" s="1101"/>
      <c r="P58" s="1101"/>
      <c r="Q58" s="1101"/>
    </row>
    <row r="59" spans="1:17">
      <c r="A59" s="1101"/>
      <c r="B59" s="1245" t="s">
        <v>1366</v>
      </c>
      <c r="C59" s="1246"/>
      <c r="D59" s="1101"/>
      <c r="E59" s="1101"/>
      <c r="F59" s="1101"/>
      <c r="G59" s="1101"/>
      <c r="H59" s="1101"/>
      <c r="I59" s="1101"/>
      <c r="J59" s="1101"/>
      <c r="K59" s="1101"/>
      <c r="L59" s="1101"/>
      <c r="M59" s="1101"/>
      <c r="N59" s="1101"/>
      <c r="O59" s="1101"/>
      <c r="P59" s="1101"/>
      <c r="Q59" s="1101"/>
    </row>
    <row r="60" spans="1:17">
      <c r="A60" s="1101"/>
      <c r="B60" s="1208" t="s">
        <v>1367</v>
      </c>
      <c r="C60" s="1208"/>
      <c r="D60" s="1101"/>
      <c r="E60" s="1101"/>
      <c r="F60" s="1101"/>
      <c r="G60" s="1101"/>
      <c r="H60" s="1101"/>
      <c r="I60" s="1101"/>
      <c r="J60" s="1101"/>
      <c r="K60" s="1101"/>
      <c r="L60" s="1101"/>
      <c r="M60" s="1101"/>
      <c r="N60" s="1101"/>
      <c r="O60" s="1101"/>
      <c r="P60" s="1101"/>
      <c r="Q60" s="1101"/>
    </row>
    <row r="61" spans="1:17">
      <c r="A61" s="1101"/>
      <c r="B61" s="1208" t="s">
        <v>1368</v>
      </c>
      <c r="C61" s="1208"/>
      <c r="D61" s="1101"/>
      <c r="E61" s="1101"/>
      <c r="F61" s="1101"/>
      <c r="G61" s="1101"/>
      <c r="H61" s="1101"/>
      <c r="I61" s="1101"/>
      <c r="J61" s="1101"/>
      <c r="K61" s="1101"/>
      <c r="L61" s="1101"/>
      <c r="M61" s="1101"/>
      <c r="N61" s="1101"/>
      <c r="O61" s="1101"/>
      <c r="P61" s="1101"/>
      <c r="Q61" s="1101"/>
    </row>
    <row r="62" spans="1:17">
      <c r="A62" s="1101"/>
      <c r="B62" s="1208" t="s">
        <v>1369</v>
      </c>
      <c r="C62" s="1208"/>
      <c r="D62" s="1101"/>
      <c r="E62" s="1101"/>
      <c r="F62" s="1101"/>
      <c r="G62" s="1101"/>
      <c r="H62" s="1101"/>
      <c r="I62" s="1101"/>
      <c r="J62" s="1101"/>
      <c r="K62" s="1101"/>
      <c r="L62" s="1101"/>
      <c r="M62" s="1101"/>
      <c r="N62" s="1101"/>
      <c r="O62" s="1101"/>
      <c r="P62" s="1101"/>
      <c r="Q62" s="1101"/>
    </row>
    <row r="63" spans="1:17">
      <c r="A63" s="1101"/>
      <c r="B63" s="1208" t="s">
        <v>1370</v>
      </c>
      <c r="C63" s="1101"/>
      <c r="D63" s="1101"/>
      <c r="E63" s="1101"/>
      <c r="F63" s="1101"/>
      <c r="G63" s="1101"/>
      <c r="H63" s="1101"/>
      <c r="I63" s="1101"/>
      <c r="J63" s="1101"/>
      <c r="K63" s="1101"/>
      <c r="L63" s="1101"/>
      <c r="M63" s="1101"/>
      <c r="N63" s="1101"/>
      <c r="O63" s="1101"/>
      <c r="P63" s="1101"/>
      <c r="Q63" s="1101"/>
    </row>
    <row r="64" spans="1:17">
      <c r="A64" s="1101"/>
      <c r="B64" s="1208" t="s">
        <v>1371</v>
      </c>
      <c r="C64" s="1101"/>
      <c r="D64" s="1101"/>
      <c r="E64" s="1101"/>
      <c r="F64" s="1101"/>
      <c r="G64" s="1101"/>
      <c r="H64" s="1101"/>
      <c r="I64" s="1101"/>
      <c r="J64" s="1101"/>
      <c r="K64" s="1101"/>
      <c r="L64" s="1101"/>
      <c r="M64" s="1101"/>
      <c r="N64" s="1101"/>
      <c r="O64" s="1101"/>
      <c r="P64" s="1101"/>
      <c r="Q64" s="1101"/>
    </row>
    <row r="65" spans="1:17">
      <c r="A65" s="1101"/>
      <c r="B65" s="1208" t="s">
        <v>1372</v>
      </c>
      <c r="C65" s="1208"/>
      <c r="D65" s="1101"/>
      <c r="E65" s="1101"/>
      <c r="F65" s="1101"/>
      <c r="G65" s="1101"/>
      <c r="H65" s="1101"/>
      <c r="I65" s="1101"/>
      <c r="J65" s="1101"/>
      <c r="K65" s="1101"/>
      <c r="L65" s="1101"/>
      <c r="M65" s="1101"/>
      <c r="N65" s="1101"/>
      <c r="O65" s="1101"/>
      <c r="P65" s="1101"/>
      <c r="Q65" s="1101"/>
    </row>
    <row r="66" spans="1:17">
      <c r="A66" s="1101"/>
      <c r="B66" s="1247" t="s">
        <v>1373</v>
      </c>
      <c r="C66" s="1208"/>
      <c r="D66" s="1101"/>
      <c r="E66" s="1101"/>
      <c r="F66" s="1101"/>
      <c r="G66" s="1101"/>
      <c r="H66" s="1101"/>
      <c r="I66" s="1101"/>
      <c r="J66" s="1101"/>
      <c r="K66" s="1101"/>
      <c r="L66" s="1101"/>
      <c r="M66" s="1101"/>
      <c r="N66" s="1101"/>
      <c r="O66" s="1101"/>
      <c r="P66" s="1101"/>
      <c r="Q66" s="1101"/>
    </row>
    <row r="67" spans="1:17">
      <c r="A67" s="1101"/>
      <c r="B67" s="1247" t="s">
        <v>1374</v>
      </c>
      <c r="C67" s="1208"/>
      <c r="D67" s="1101"/>
      <c r="E67" s="1101"/>
      <c r="F67" s="1101"/>
      <c r="G67" s="1101"/>
      <c r="H67" s="1101"/>
      <c r="I67" s="1101"/>
      <c r="J67" s="1101"/>
      <c r="K67" s="1101"/>
      <c r="L67" s="1101"/>
      <c r="M67" s="1101"/>
      <c r="N67" s="1101"/>
      <c r="O67" s="1101"/>
      <c r="P67" s="1101"/>
      <c r="Q67" s="1101"/>
    </row>
    <row r="68" spans="1:17">
      <c r="A68" s="1101"/>
      <c r="B68" s="1247" t="s">
        <v>1375</v>
      </c>
      <c r="C68" s="1248"/>
      <c r="D68" s="1101"/>
      <c r="E68" s="1101"/>
      <c r="F68" s="1101"/>
      <c r="G68" s="1101"/>
      <c r="H68" s="1101"/>
      <c r="I68" s="1101"/>
      <c r="J68" s="1101"/>
      <c r="K68" s="1101"/>
      <c r="L68" s="1101"/>
      <c r="M68" s="1101"/>
      <c r="N68" s="1101"/>
      <c r="O68" s="1101"/>
      <c r="P68" s="1101"/>
      <c r="Q68" s="1101"/>
    </row>
    <row r="69" spans="1:17">
      <c r="A69" s="1101"/>
      <c r="B69" s="1208" t="s">
        <v>1435</v>
      </c>
      <c r="C69" s="1208"/>
      <c r="D69" s="1101"/>
      <c r="E69" s="1101"/>
      <c r="F69" s="1101"/>
      <c r="G69" s="1101"/>
      <c r="H69" s="1101"/>
      <c r="I69" s="1101"/>
      <c r="J69" s="1101"/>
      <c r="K69" s="1101"/>
      <c r="L69" s="1101"/>
      <c r="M69" s="1101"/>
      <c r="N69" s="1101"/>
      <c r="O69" s="1101"/>
      <c r="P69" s="1101"/>
      <c r="Q69" s="1101"/>
    </row>
    <row r="70" spans="1:17">
      <c r="A70" s="1101"/>
      <c r="B70" s="1208" t="s">
        <v>1436</v>
      </c>
      <c r="C70" s="1208"/>
      <c r="D70" s="1101"/>
      <c r="E70" s="1101"/>
      <c r="F70" s="1101"/>
      <c r="G70" s="1101"/>
      <c r="H70" s="1101"/>
      <c r="I70" s="1101"/>
      <c r="J70" s="1101"/>
      <c r="K70" s="1101"/>
      <c r="L70" s="1101"/>
      <c r="M70" s="1101"/>
      <c r="N70" s="1101"/>
      <c r="O70" s="1101"/>
      <c r="P70" s="1101"/>
      <c r="Q70" s="1101"/>
    </row>
    <row r="71" spans="1:17">
      <c r="A71" s="1101"/>
      <c r="B71" s="1208" t="s">
        <v>1437</v>
      </c>
      <c r="C71" s="1248"/>
      <c r="D71" s="1101"/>
      <c r="E71" s="1101"/>
      <c r="F71" s="1101"/>
      <c r="G71" s="1101"/>
      <c r="H71" s="1101"/>
      <c r="I71" s="1101"/>
      <c r="J71" s="1101"/>
      <c r="K71" s="1101"/>
      <c r="L71" s="1101"/>
      <c r="M71" s="1101"/>
      <c r="N71" s="1101"/>
      <c r="O71" s="1101"/>
      <c r="P71" s="1101"/>
      <c r="Q71" s="1101"/>
    </row>
    <row r="72" spans="1:17">
      <c r="A72" s="1101"/>
      <c r="B72" s="1101" t="s">
        <v>1438</v>
      </c>
      <c r="C72" s="1249"/>
      <c r="D72" s="1101"/>
      <c r="E72" s="1101"/>
      <c r="F72" s="1101"/>
      <c r="G72" s="1101"/>
      <c r="H72" s="1101"/>
      <c r="I72" s="1101"/>
      <c r="J72" s="1101"/>
      <c r="K72" s="1101"/>
      <c r="L72" s="1101"/>
      <c r="M72" s="1101"/>
      <c r="N72" s="1101"/>
      <c r="O72" s="1101"/>
      <c r="P72" s="1101"/>
      <c r="Q72" s="1101"/>
    </row>
    <row r="73" spans="1:17">
      <c r="A73" s="1101"/>
      <c r="B73" s="1101" t="s">
        <v>1439</v>
      </c>
      <c r="C73" s="1249"/>
      <c r="D73" s="1101"/>
      <c r="E73" s="1101"/>
      <c r="F73" s="1101"/>
      <c r="G73" s="1101"/>
      <c r="H73" s="1101"/>
      <c r="I73" s="1101"/>
      <c r="J73" s="1101"/>
      <c r="K73" s="1101"/>
      <c r="L73" s="1101"/>
      <c r="M73" s="1101"/>
      <c r="N73" s="1101"/>
      <c r="O73" s="1101"/>
      <c r="P73" s="1101"/>
      <c r="Q73" s="1101"/>
    </row>
    <row r="74" spans="1:17">
      <c r="A74" s="1101"/>
      <c r="B74" s="1101" t="s">
        <v>1440</v>
      </c>
      <c r="C74" s="1208"/>
      <c r="D74" s="1101"/>
      <c r="E74" s="1101"/>
      <c r="F74" s="1101"/>
      <c r="G74" s="1101"/>
      <c r="H74" s="1101"/>
      <c r="I74" s="1101"/>
      <c r="J74" s="1101"/>
      <c r="K74" s="1101"/>
      <c r="L74" s="1101"/>
      <c r="M74" s="1101"/>
      <c r="N74" s="1101"/>
      <c r="O74" s="1101"/>
      <c r="P74" s="1101"/>
      <c r="Q74" s="1101"/>
    </row>
    <row r="75" spans="1:17">
      <c r="A75" s="1101"/>
      <c r="B75" s="1101" t="s">
        <v>1441</v>
      </c>
      <c r="C75" s="1208"/>
      <c r="D75" s="1101"/>
      <c r="E75" s="1101"/>
      <c r="F75" s="1101"/>
      <c r="G75" s="1101"/>
      <c r="H75" s="1101"/>
      <c r="I75" s="1101"/>
      <c r="J75" s="1101"/>
      <c r="K75" s="1101"/>
      <c r="L75" s="1101"/>
      <c r="M75" s="1101"/>
      <c r="N75" s="1101"/>
      <c r="O75" s="1101"/>
      <c r="P75" s="1101"/>
      <c r="Q75" s="1101"/>
    </row>
    <row r="76" spans="1:17" ht="15">
      <c r="A76" s="1101"/>
      <c r="B76" s="1247" t="s">
        <v>1477</v>
      </c>
      <c r="C76" s="1101"/>
      <c r="D76" s="1101"/>
      <c r="E76" s="1101"/>
      <c r="F76" s="1101"/>
      <c r="G76" s="1101"/>
      <c r="H76" s="1101"/>
      <c r="I76" s="1101"/>
      <c r="J76" s="1101"/>
      <c r="K76" s="1101"/>
      <c r="L76" s="1101"/>
      <c r="M76" s="1101"/>
      <c r="N76" s="1101"/>
      <c r="O76" s="1101"/>
      <c r="P76" s="1101"/>
      <c r="Q76" s="1101"/>
    </row>
    <row r="77" spans="1:17">
      <c r="A77" s="1101"/>
      <c r="B77" s="1247" t="s">
        <v>1442</v>
      </c>
      <c r="C77" s="1208"/>
      <c r="D77" s="1101"/>
      <c r="E77" s="1101"/>
      <c r="F77" s="1101"/>
      <c r="G77" s="1101"/>
      <c r="H77" s="1101"/>
      <c r="I77" s="1101"/>
      <c r="J77" s="1101"/>
      <c r="K77" s="1101"/>
      <c r="L77" s="1101"/>
      <c r="M77" s="1101"/>
      <c r="N77" s="1101"/>
      <c r="O77" s="1101"/>
      <c r="P77" s="1101"/>
      <c r="Q77" s="1101"/>
    </row>
    <row r="78" spans="1:17">
      <c r="A78" s="1101"/>
      <c r="B78" s="1208" t="s">
        <v>1443</v>
      </c>
      <c r="C78" s="1208"/>
      <c r="D78" s="1101"/>
      <c r="E78" s="1101"/>
      <c r="F78" s="1101"/>
      <c r="G78" s="1101"/>
      <c r="H78" s="1101"/>
      <c r="I78" s="1101"/>
      <c r="J78" s="1101"/>
      <c r="K78" s="1101"/>
      <c r="L78" s="1101"/>
      <c r="M78" s="1101"/>
      <c r="N78" s="1101"/>
      <c r="O78" s="1101"/>
      <c r="P78" s="1101"/>
      <c r="Q78" s="1101"/>
    </row>
    <row r="79" spans="1:17">
      <c r="A79" s="1101"/>
      <c r="B79" s="1247" t="s">
        <v>1444</v>
      </c>
      <c r="C79" s="1208"/>
      <c r="D79" s="1101"/>
      <c r="E79" s="1101"/>
      <c r="F79" s="1101"/>
      <c r="G79" s="1101"/>
      <c r="H79" s="1101"/>
      <c r="I79" s="1101"/>
      <c r="J79" s="1101"/>
      <c r="K79" s="1101"/>
      <c r="L79" s="1101"/>
      <c r="M79" s="1101"/>
      <c r="N79" s="1101"/>
      <c r="O79" s="1101"/>
      <c r="P79" s="1101"/>
      <c r="Q79" s="1101"/>
    </row>
    <row r="80" spans="1:17">
      <c r="A80" s="1101"/>
      <c r="B80" s="1247" t="s">
        <v>1478</v>
      </c>
      <c r="C80" s="1208"/>
      <c r="D80" s="1101"/>
      <c r="E80" s="1101"/>
      <c r="F80" s="1101"/>
      <c r="G80" s="1101"/>
      <c r="H80" s="1101"/>
      <c r="I80" s="1101"/>
      <c r="J80" s="1101"/>
      <c r="K80" s="1101"/>
      <c r="L80" s="1101"/>
      <c r="M80" s="1101"/>
      <c r="N80" s="1101"/>
      <c r="O80" s="1101"/>
      <c r="P80" s="1101"/>
      <c r="Q80" s="1101"/>
    </row>
    <row r="81" spans="1:17">
      <c r="A81" s="1101"/>
      <c r="B81" s="1101"/>
      <c r="C81" s="1101"/>
      <c r="D81" s="1101"/>
      <c r="E81" s="1101"/>
      <c r="F81" s="1101"/>
      <c r="G81" s="1101"/>
      <c r="H81" s="1101"/>
      <c r="I81" s="1101"/>
      <c r="J81" s="1101"/>
      <c r="K81" s="1101"/>
      <c r="L81" s="1101"/>
      <c r="M81" s="1101"/>
      <c r="N81" s="1101"/>
      <c r="O81" s="1101"/>
      <c r="P81" s="1101"/>
      <c r="Q81" s="1101"/>
    </row>
    <row r="82" spans="1:17">
      <c r="A82" s="1101"/>
      <c r="B82" s="1101"/>
      <c r="C82" s="1101"/>
      <c r="D82" s="1101"/>
      <c r="E82" s="1101"/>
      <c r="F82" s="1101"/>
      <c r="G82" s="1101"/>
      <c r="H82" s="1101"/>
      <c r="I82" s="1101"/>
      <c r="J82" s="1101"/>
      <c r="K82" s="1101"/>
      <c r="L82" s="1101"/>
      <c r="M82" s="1101"/>
      <c r="N82" s="1101"/>
      <c r="O82" s="1101"/>
      <c r="P82" s="1101"/>
      <c r="Q82" s="1101"/>
    </row>
    <row r="83" spans="1:17">
      <c r="A83" s="1101"/>
      <c r="B83" s="1245" t="s">
        <v>1445</v>
      </c>
      <c r="C83" s="1101"/>
      <c r="D83" s="1101"/>
      <c r="E83" s="1101"/>
      <c r="F83" s="1101"/>
      <c r="G83" s="1101"/>
      <c r="H83" s="1101"/>
      <c r="I83" s="1101"/>
      <c r="J83" s="1101"/>
      <c r="K83" s="1101"/>
      <c r="L83" s="1101"/>
      <c r="M83" s="1101"/>
      <c r="N83" s="1101"/>
      <c r="O83" s="1101"/>
      <c r="P83" s="1101"/>
      <c r="Q83" s="1101"/>
    </row>
    <row r="84" spans="1:17">
      <c r="A84" s="1101"/>
      <c r="B84" s="1101" t="s">
        <v>1446</v>
      </c>
      <c r="C84" s="1101"/>
      <c r="D84" s="1101"/>
      <c r="E84" s="1101"/>
      <c r="F84" s="1101"/>
      <c r="G84" s="1101"/>
      <c r="H84" s="1101"/>
      <c r="I84" s="1101"/>
      <c r="J84" s="1101"/>
      <c r="K84" s="1101"/>
      <c r="L84" s="1101"/>
      <c r="M84" s="1101"/>
      <c r="N84" s="1101"/>
      <c r="O84" s="1101"/>
      <c r="P84" s="1101"/>
      <c r="Q84" s="1101"/>
    </row>
    <row r="85" spans="1:17">
      <c r="A85" s="1101"/>
      <c r="B85" s="1101" t="s">
        <v>1447</v>
      </c>
      <c r="C85" s="1101"/>
      <c r="D85" s="1101"/>
      <c r="E85" s="1101"/>
      <c r="F85" s="1101"/>
      <c r="G85" s="1101"/>
      <c r="H85" s="1101"/>
      <c r="I85" s="1101"/>
      <c r="J85" s="1101"/>
      <c r="K85" s="1101"/>
      <c r="L85" s="1101"/>
      <c r="M85" s="1101"/>
      <c r="N85" s="1101"/>
      <c r="O85" s="1101"/>
      <c r="P85" s="1101"/>
      <c r="Q85" s="1101"/>
    </row>
    <row r="86" spans="1:17">
      <c r="A86" s="1101"/>
      <c r="B86" s="1208" t="s">
        <v>1448</v>
      </c>
      <c r="C86" s="1101"/>
      <c r="D86" s="1101"/>
      <c r="E86" s="1101"/>
      <c r="F86" s="1101"/>
      <c r="G86" s="1101"/>
      <c r="H86" s="1101"/>
      <c r="I86" s="1101"/>
      <c r="J86" s="1101"/>
      <c r="K86" s="1101"/>
      <c r="L86" s="1101"/>
      <c r="M86" s="1101"/>
      <c r="N86" s="1101"/>
      <c r="O86" s="1101"/>
      <c r="P86" s="1101"/>
      <c r="Q86" s="1101"/>
    </row>
    <row r="87" spans="1:17">
      <c r="B87" s="1208" t="s">
        <v>1449</v>
      </c>
    </row>
    <row r="88" spans="1:17">
      <c r="B88" s="1247" t="s">
        <v>1479</v>
      </c>
    </row>
    <row r="91" spans="1:17" ht="16.5" customHeight="1">
      <c r="A91" s="1101"/>
      <c r="B91" s="1250" t="s">
        <v>1450</v>
      </c>
      <c r="C91" s="1221"/>
      <c r="D91" s="1101"/>
      <c r="E91" s="1101"/>
      <c r="F91" s="1101"/>
      <c r="G91" s="1101"/>
      <c r="H91" s="1101"/>
      <c r="I91" s="1101"/>
      <c r="J91" s="1101"/>
      <c r="K91" s="1101"/>
      <c r="L91" s="1101"/>
      <c r="M91" s="1101"/>
      <c r="N91" s="1101"/>
      <c r="O91" s="1101"/>
      <c r="P91" s="1101"/>
      <c r="Q91" s="1101"/>
    </row>
    <row r="92" spans="1:17">
      <c r="A92" s="1101"/>
      <c r="B92" s="1247" t="s">
        <v>1451</v>
      </c>
      <c r="C92" s="1101"/>
      <c r="D92" s="1101"/>
      <c r="E92" s="1101"/>
      <c r="F92" s="1101"/>
      <c r="G92" s="1101"/>
      <c r="H92" s="1101"/>
      <c r="I92" s="1101"/>
      <c r="J92" s="1101"/>
      <c r="K92" s="1101"/>
      <c r="L92" s="1101"/>
      <c r="M92" s="1101"/>
      <c r="N92" s="1101"/>
      <c r="O92" s="1101"/>
      <c r="P92" s="1101"/>
      <c r="Q92" s="1101"/>
    </row>
    <row r="93" spans="1:17">
      <c r="A93" s="1101"/>
      <c r="B93" s="1101" t="s">
        <v>1452</v>
      </c>
      <c r="C93" s="1101"/>
      <c r="D93" s="1101"/>
      <c r="E93" s="1101"/>
      <c r="F93" s="1101"/>
      <c r="G93" s="1101"/>
      <c r="H93" s="1101"/>
      <c r="I93" s="1101"/>
      <c r="J93" s="1101"/>
      <c r="K93" s="1101"/>
      <c r="L93" s="1101"/>
      <c r="M93" s="1101"/>
      <c r="N93" s="1101"/>
      <c r="O93" s="1101"/>
      <c r="P93" s="1101"/>
      <c r="Q93" s="1101"/>
    </row>
    <row r="94" spans="1:17">
      <c r="A94" s="1101"/>
      <c r="B94" s="1101" t="s">
        <v>1453</v>
      </c>
      <c r="C94" s="1101"/>
      <c r="D94" s="1101"/>
      <c r="E94" s="1101"/>
      <c r="F94" s="1101"/>
      <c r="G94" s="1101"/>
      <c r="H94" s="1101"/>
      <c r="I94" s="1101"/>
      <c r="J94" s="1101"/>
      <c r="K94" s="1101"/>
      <c r="L94" s="1101"/>
      <c r="M94" s="1101"/>
      <c r="N94" s="1101"/>
      <c r="O94" s="1101"/>
      <c r="P94" s="1101"/>
      <c r="Q94" s="1101"/>
    </row>
    <row r="95" spans="1:17">
      <c r="A95" s="1101"/>
      <c r="B95" s="1101" t="s">
        <v>1454</v>
      </c>
      <c r="C95" s="1101"/>
      <c r="D95" s="1101"/>
      <c r="E95" s="1101"/>
      <c r="F95" s="1101"/>
      <c r="G95" s="1101"/>
      <c r="H95" s="1101"/>
      <c r="I95" s="1101"/>
      <c r="J95" s="1101"/>
      <c r="K95" s="1101"/>
      <c r="L95" s="1101"/>
      <c r="M95" s="1101"/>
      <c r="N95" s="1101"/>
      <c r="O95" s="1101"/>
      <c r="P95" s="1101"/>
      <c r="Q95" s="1101"/>
    </row>
    <row r="96" spans="1:17">
      <c r="A96" s="1101"/>
      <c r="B96" s="1101" t="s">
        <v>1455</v>
      </c>
      <c r="C96" s="1101"/>
      <c r="D96" s="1101"/>
      <c r="E96" s="1101"/>
      <c r="F96" s="1101"/>
      <c r="G96" s="1101"/>
      <c r="H96" s="1101"/>
      <c r="I96" s="1101"/>
      <c r="J96" s="1101"/>
      <c r="K96" s="1101"/>
      <c r="L96" s="1101"/>
      <c r="M96" s="1101"/>
      <c r="N96" s="1101"/>
      <c r="O96" s="1101"/>
      <c r="P96" s="1101"/>
      <c r="Q96" s="1101"/>
    </row>
    <row r="97" spans="1:17">
      <c r="A97" s="1101"/>
      <c r="B97" s="1101" t="s">
        <v>1456</v>
      </c>
      <c r="C97" s="1101"/>
      <c r="D97" s="1101"/>
      <c r="E97" s="1101"/>
      <c r="F97" s="1101"/>
      <c r="G97" s="1101"/>
      <c r="H97" s="1101"/>
      <c r="I97" s="1101"/>
      <c r="J97" s="1101"/>
      <c r="K97" s="1101"/>
      <c r="L97" s="1101"/>
      <c r="M97" s="1101"/>
      <c r="N97" s="1101"/>
      <c r="O97" s="1101"/>
      <c r="P97" s="1101"/>
      <c r="Q97" s="1101"/>
    </row>
    <row r="98" spans="1:17">
      <c r="A98" s="1101"/>
      <c r="B98" s="1101" t="s">
        <v>1457</v>
      </c>
      <c r="C98" s="1101"/>
      <c r="D98" s="1101"/>
      <c r="E98" s="1101"/>
      <c r="F98" s="1101"/>
      <c r="G98" s="1101"/>
      <c r="H98" s="1101"/>
      <c r="I98" s="1101"/>
      <c r="J98" s="1101"/>
      <c r="K98" s="1101"/>
      <c r="L98" s="1101"/>
      <c r="M98" s="1101"/>
      <c r="N98" s="1101"/>
      <c r="O98" s="1101"/>
      <c r="P98" s="1101"/>
      <c r="Q98" s="1101"/>
    </row>
    <row r="99" spans="1:17">
      <c r="A99" s="1101"/>
      <c r="B99" s="1101" t="s">
        <v>1458</v>
      </c>
      <c r="C99" s="1101"/>
      <c r="D99" s="1101"/>
      <c r="E99" s="1101"/>
      <c r="F99" s="1101"/>
      <c r="G99" s="1101"/>
      <c r="H99" s="1101"/>
      <c r="I99" s="1101"/>
      <c r="J99" s="1101"/>
      <c r="K99" s="1101"/>
      <c r="L99" s="1101"/>
      <c r="M99" s="1101"/>
      <c r="N99" s="1101"/>
      <c r="O99" s="1101"/>
      <c r="P99" s="1101"/>
      <c r="Q99" s="1101"/>
    </row>
    <row r="100" spans="1:17">
      <c r="A100" s="1101"/>
      <c r="B100" s="1101" t="s">
        <v>1459</v>
      </c>
      <c r="C100" s="1101"/>
      <c r="D100" s="1101"/>
      <c r="E100" s="1101"/>
      <c r="F100" s="1101"/>
      <c r="G100" s="1101"/>
      <c r="H100" s="1101"/>
      <c r="I100" s="1101"/>
      <c r="J100" s="1101"/>
      <c r="K100" s="1101"/>
      <c r="L100" s="1101"/>
      <c r="M100" s="1101"/>
      <c r="N100" s="1101"/>
      <c r="O100" s="1101"/>
      <c r="P100" s="1101"/>
      <c r="Q100" s="1101"/>
    </row>
    <row r="101" spans="1:17">
      <c r="A101" s="1101"/>
      <c r="B101" s="1101" t="s">
        <v>1460</v>
      </c>
      <c r="C101" s="1101"/>
      <c r="D101" s="1101"/>
      <c r="E101" s="1101"/>
      <c r="F101" s="1101"/>
      <c r="G101" s="1101"/>
      <c r="H101" s="1101"/>
      <c r="I101" s="1101"/>
      <c r="J101" s="1101"/>
      <c r="K101" s="1101"/>
      <c r="L101" s="1101"/>
      <c r="M101" s="1101"/>
      <c r="N101" s="1101"/>
      <c r="O101" s="1101"/>
      <c r="P101" s="1101"/>
      <c r="Q101" s="1101"/>
    </row>
    <row r="102" spans="1:17">
      <c r="A102" s="1101"/>
      <c r="B102" s="1247" t="s">
        <v>1461</v>
      </c>
      <c r="C102" s="1101"/>
      <c r="D102" s="1101"/>
      <c r="E102" s="1101"/>
      <c r="F102" s="1101"/>
      <c r="G102" s="1101"/>
      <c r="H102" s="1101"/>
      <c r="I102" s="1101"/>
      <c r="J102" s="1101"/>
      <c r="K102" s="1101"/>
      <c r="L102" s="1101"/>
      <c r="M102" s="1101"/>
      <c r="N102" s="1101"/>
      <c r="O102" s="1101"/>
      <c r="P102" s="1101"/>
      <c r="Q102" s="1101"/>
    </row>
    <row r="103" spans="1:17">
      <c r="A103" s="1101"/>
      <c r="B103" s="1247" t="s">
        <v>1462</v>
      </c>
      <c r="C103" s="1101"/>
      <c r="D103" s="1101"/>
      <c r="E103" s="1101"/>
      <c r="F103" s="1101"/>
      <c r="G103" s="1101"/>
      <c r="H103" s="1101"/>
      <c r="I103" s="1101"/>
      <c r="J103" s="1101"/>
      <c r="K103" s="1101"/>
      <c r="L103" s="1101"/>
      <c r="M103" s="1101"/>
      <c r="N103" s="1101"/>
      <c r="O103" s="1101"/>
      <c r="P103" s="1101"/>
      <c r="Q103" s="1101"/>
    </row>
    <row r="104" spans="1:17" ht="13.5" customHeight="1">
      <c r="A104" s="1101"/>
      <c r="B104" s="1101" t="s">
        <v>1463</v>
      </c>
      <c r="C104" s="1101"/>
      <c r="D104" s="1101"/>
      <c r="E104" s="1101"/>
      <c r="F104" s="1101"/>
      <c r="G104" s="1101"/>
      <c r="H104" s="1101"/>
      <c r="I104" s="1101"/>
      <c r="J104" s="1101"/>
      <c r="K104" s="1101"/>
      <c r="L104" s="1101"/>
      <c r="M104" s="1101"/>
      <c r="N104" s="1101"/>
      <c r="O104" s="1101"/>
      <c r="P104" s="1101"/>
      <c r="Q104" s="1101"/>
    </row>
    <row r="105" spans="1:17" ht="12.75" customHeight="1">
      <c r="A105" s="1101"/>
      <c r="B105" s="1247" t="s">
        <v>1480</v>
      </c>
      <c r="C105" s="1101"/>
      <c r="D105" s="1101"/>
      <c r="E105" s="1101"/>
      <c r="F105" s="1101"/>
      <c r="G105" s="1101"/>
      <c r="H105" s="1101"/>
      <c r="I105" s="1101"/>
      <c r="J105" s="1101"/>
      <c r="K105" s="1101"/>
      <c r="L105" s="1101"/>
      <c r="M105" s="1101"/>
      <c r="N105" s="1101"/>
      <c r="O105" s="1101"/>
      <c r="P105" s="1101"/>
      <c r="Q105" s="1101"/>
    </row>
    <row r="108" spans="1:17">
      <c r="A108" s="1101"/>
      <c r="B108" s="1101" t="s">
        <v>128</v>
      </c>
      <c r="C108" s="1251"/>
      <c r="D108" s="1101"/>
      <c r="E108" s="1101"/>
      <c r="F108" s="1101"/>
      <c r="G108" s="1101"/>
      <c r="H108" s="1101"/>
      <c r="I108" s="1101"/>
      <c r="J108" s="1101"/>
      <c r="K108" s="1101"/>
      <c r="L108" s="1101"/>
      <c r="M108" s="1101"/>
      <c r="N108" s="1101"/>
      <c r="O108" s="1101"/>
      <c r="P108" s="1101"/>
      <c r="Q108" s="1101"/>
    </row>
  </sheetData>
  <mergeCells count="2">
    <mergeCell ref="A34:A42"/>
    <mergeCell ref="A7:A31"/>
  </mergeCells>
  <phoneticPr fontId="77" type="noConversion"/>
  <pageMargins left="0.4" right="0.46" top="0.47" bottom="0.33" header="0.25" footer="0.14000000000000001"/>
  <pageSetup paperSize="9" scale="70" orientation="landscape"/>
  <headerFooter alignWithMargins="0">
    <oddFooter>&amp;R&amp;8&amp;P/&amp;N</oddFooter>
  </headerFooter>
  <rowBreaks count="1" manualBreakCount="1">
    <brk id="58" max="16383" man="1"/>
  </rowBreaks>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326A4-7D48-E746-A55A-C35CA1D36DCF}">
  <sheetPr>
    <pageSetUpPr fitToPage="1"/>
  </sheetPr>
  <dimension ref="A1:V52"/>
  <sheetViews>
    <sheetView topLeftCell="A27" zoomScale="75" workbookViewId="0">
      <selection activeCell="A38" sqref="A38"/>
    </sheetView>
  </sheetViews>
  <sheetFormatPr baseColWidth="10" defaultColWidth="11.3984375" defaultRowHeight="13"/>
  <cols>
    <col min="1" max="1" width="8.19921875" style="2" customWidth="1"/>
    <col min="2" max="3" width="11" style="170" customWidth="1"/>
    <col min="4" max="4" width="10.59765625" style="170" customWidth="1"/>
    <col min="5" max="8" width="11" style="170" customWidth="1"/>
    <col min="9" max="9" width="10.19921875" style="21" customWidth="1"/>
    <col min="10" max="10" width="9.796875" style="170" customWidth="1"/>
    <col min="11" max="11" width="11" style="170" customWidth="1"/>
    <col min="12" max="12" width="11.3984375" style="2"/>
    <col min="13" max="13" width="8.796875" style="2" hidden="1" customWidth="1"/>
    <col min="14" max="22" width="9.796875" style="170" hidden="1" customWidth="1"/>
    <col min="23" max="16384" width="11.3984375" style="2"/>
  </cols>
  <sheetData>
    <row r="1" spans="1:22" s="1" customFormat="1" ht="14" customHeight="1">
      <c r="A1" s="404"/>
      <c r="B1" s="690"/>
      <c r="C1" s="690"/>
      <c r="D1" s="690"/>
      <c r="E1" s="690"/>
      <c r="F1" s="690"/>
      <c r="G1" s="690"/>
      <c r="H1" s="690"/>
      <c r="I1" s="691"/>
      <c r="J1" s="690"/>
      <c r="K1" s="690"/>
      <c r="N1" s="150"/>
      <c r="O1" s="150"/>
      <c r="P1" s="150"/>
      <c r="Q1" s="150"/>
      <c r="R1" s="150"/>
      <c r="S1" s="150"/>
      <c r="T1" s="150"/>
      <c r="U1" s="150"/>
      <c r="V1" s="150"/>
    </row>
    <row r="2" spans="1:22" s="1" customFormat="1" ht="27" customHeight="1">
      <c r="A2" s="405" t="s">
        <v>1231</v>
      </c>
      <c r="B2" s="690"/>
      <c r="C2" s="690"/>
      <c r="D2" s="690"/>
      <c r="E2" s="690"/>
      <c r="F2" s="690"/>
      <c r="G2" s="690"/>
      <c r="H2" s="690"/>
      <c r="I2" s="691"/>
      <c r="J2" s="690"/>
      <c r="K2" s="192">
        <v>2005</v>
      </c>
      <c r="M2" s="124" t="s">
        <v>1194</v>
      </c>
      <c r="N2" s="150"/>
      <c r="O2" s="150"/>
      <c r="P2" s="150"/>
      <c r="Q2" s="150"/>
      <c r="R2" s="150"/>
      <c r="S2" s="150"/>
      <c r="T2" s="150"/>
      <c r="U2" s="150"/>
      <c r="V2" s="150"/>
    </row>
    <row r="3" spans="1:22" ht="27" customHeight="1">
      <c r="A3" s="125" t="s">
        <v>222</v>
      </c>
      <c r="B3" s="126" t="s">
        <v>1195</v>
      </c>
      <c r="C3" s="127" t="s">
        <v>1196</v>
      </c>
      <c r="D3" s="126" t="s">
        <v>1196</v>
      </c>
      <c r="E3" s="127" t="s">
        <v>43</v>
      </c>
      <c r="F3" s="126" t="s">
        <v>1197</v>
      </c>
      <c r="G3" s="127" t="s">
        <v>1232</v>
      </c>
      <c r="H3" s="126" t="s">
        <v>1805</v>
      </c>
      <c r="I3" s="329" t="s">
        <v>1198</v>
      </c>
      <c r="J3" s="126" t="s">
        <v>1199</v>
      </c>
      <c r="K3" s="127" t="s">
        <v>1232</v>
      </c>
      <c r="M3" s="125" t="s">
        <v>222</v>
      </c>
      <c r="N3" s="126" t="s">
        <v>1195</v>
      </c>
      <c r="O3" s="127" t="s">
        <v>1196</v>
      </c>
      <c r="P3" s="126" t="s">
        <v>1196</v>
      </c>
      <c r="Q3" s="127" t="s">
        <v>43</v>
      </c>
      <c r="R3" s="126" t="s">
        <v>265</v>
      </c>
      <c r="S3" s="127" t="s">
        <v>1200</v>
      </c>
      <c r="T3" s="126" t="s">
        <v>1805</v>
      </c>
      <c r="U3" s="127" t="s">
        <v>265</v>
      </c>
      <c r="V3" s="126" t="s">
        <v>1199</v>
      </c>
    </row>
    <row r="4" spans="1:22" ht="15" customHeight="1">
      <c r="A4" s="212"/>
      <c r="B4" s="353" t="s">
        <v>1201</v>
      </c>
      <c r="C4" s="131" t="s">
        <v>1202</v>
      </c>
      <c r="D4" s="129" t="s">
        <v>1203</v>
      </c>
      <c r="E4" s="692" t="s">
        <v>1204</v>
      </c>
      <c r="F4" s="129" t="s">
        <v>1233</v>
      </c>
      <c r="G4" s="131" t="s">
        <v>267</v>
      </c>
      <c r="H4" s="129" t="s">
        <v>1205</v>
      </c>
      <c r="I4" s="128" t="s">
        <v>1206</v>
      </c>
      <c r="J4" s="129" t="s">
        <v>1207</v>
      </c>
      <c r="K4" s="131" t="s">
        <v>267</v>
      </c>
      <c r="M4" s="212"/>
      <c r="N4" s="353" t="s">
        <v>1201</v>
      </c>
      <c r="O4" s="131" t="s">
        <v>1202</v>
      </c>
      <c r="P4" s="129" t="s">
        <v>1203</v>
      </c>
      <c r="Q4" s="692" t="s">
        <v>1204</v>
      </c>
      <c r="R4" s="129" t="s">
        <v>267</v>
      </c>
      <c r="S4" s="131" t="s">
        <v>1234</v>
      </c>
      <c r="T4" s="129" t="s">
        <v>1205</v>
      </c>
      <c r="U4" s="131" t="s">
        <v>267</v>
      </c>
      <c r="V4" s="129" t="s">
        <v>1207</v>
      </c>
    </row>
    <row r="5" spans="1:22" ht="15" hidden="1" customHeight="1">
      <c r="A5" s="212"/>
      <c r="B5" s="353"/>
      <c r="C5" s="692" t="s">
        <v>1208</v>
      </c>
      <c r="D5" s="353"/>
      <c r="E5" s="692"/>
      <c r="F5" s="129"/>
      <c r="G5" s="692"/>
      <c r="H5" s="129" t="s">
        <v>1209</v>
      </c>
      <c r="I5" s="694"/>
      <c r="J5" s="353"/>
      <c r="K5" s="131"/>
      <c r="M5" s="212"/>
      <c r="N5" s="353"/>
      <c r="O5" s="131" t="s">
        <v>1208</v>
      </c>
      <c r="P5" s="129"/>
      <c r="Q5" s="692"/>
      <c r="R5" s="129"/>
      <c r="S5" s="131"/>
      <c r="T5" s="129" t="s">
        <v>1209</v>
      </c>
      <c r="U5" s="131"/>
      <c r="V5" s="129"/>
    </row>
    <row r="6" spans="1:22" ht="15" customHeight="1">
      <c r="A6" s="212"/>
      <c r="B6" s="353" t="s">
        <v>1210</v>
      </c>
      <c r="C6" s="692" t="s">
        <v>1211</v>
      </c>
      <c r="D6" s="353" t="s">
        <v>1212</v>
      </c>
      <c r="E6" s="692" t="s">
        <v>1213</v>
      </c>
      <c r="F6" s="353"/>
      <c r="G6" s="692" t="s">
        <v>268</v>
      </c>
      <c r="H6" s="353" t="s">
        <v>1235</v>
      </c>
      <c r="I6" s="694" t="s">
        <v>1236</v>
      </c>
      <c r="J6" s="353" t="s">
        <v>1237</v>
      </c>
      <c r="K6" s="692" t="s">
        <v>268</v>
      </c>
      <c r="M6" s="212"/>
      <c r="N6" s="353" t="s">
        <v>1210</v>
      </c>
      <c r="O6" s="692" t="s">
        <v>1211</v>
      </c>
      <c r="P6" s="353" t="s">
        <v>1214</v>
      </c>
      <c r="Q6" s="692" t="s">
        <v>1213</v>
      </c>
      <c r="R6" s="353" t="s">
        <v>268</v>
      </c>
      <c r="S6" s="692"/>
      <c r="T6" s="129" t="s">
        <v>1215</v>
      </c>
      <c r="U6" s="692" t="s">
        <v>268</v>
      </c>
      <c r="V6" s="129" t="s">
        <v>1234</v>
      </c>
    </row>
    <row r="7" spans="1:22" ht="27" customHeight="1">
      <c r="A7" s="212"/>
      <c r="B7" s="353" t="s">
        <v>1238</v>
      </c>
      <c r="C7" s="692" t="s">
        <v>1239</v>
      </c>
      <c r="D7" s="353" t="s">
        <v>1240</v>
      </c>
      <c r="E7" s="692" t="s">
        <v>1241</v>
      </c>
      <c r="F7" s="353"/>
      <c r="G7" s="692"/>
      <c r="H7" s="353"/>
      <c r="I7" s="694"/>
      <c r="J7" s="353"/>
      <c r="K7" s="692"/>
      <c r="M7" s="308"/>
      <c r="N7" s="135" t="s">
        <v>339</v>
      </c>
      <c r="O7" s="134" t="s">
        <v>1216</v>
      </c>
      <c r="P7" s="135" t="s">
        <v>1217</v>
      </c>
      <c r="Q7" s="134" t="s">
        <v>1218</v>
      </c>
      <c r="R7" s="135" t="s">
        <v>263</v>
      </c>
      <c r="S7" s="134"/>
      <c r="T7" s="135"/>
      <c r="U7" s="134" t="s">
        <v>263</v>
      </c>
      <c r="V7" s="135"/>
    </row>
    <row r="8" spans="1:22" ht="30" customHeight="1" thickBot="1">
      <c r="A8" s="695" t="s">
        <v>230</v>
      </c>
      <c r="B8" s="310">
        <v>1292481</v>
      </c>
      <c r="C8" s="311">
        <v>881</v>
      </c>
      <c r="D8" s="310">
        <v>2091</v>
      </c>
      <c r="E8" s="311">
        <v>2972</v>
      </c>
      <c r="F8" s="696">
        <v>2.2994535316186466</v>
      </c>
      <c r="G8" s="356">
        <v>-8.5353873554172566E-3</v>
      </c>
      <c r="H8" s="310">
        <v>218</v>
      </c>
      <c r="I8" s="697">
        <v>2</v>
      </c>
      <c r="J8" s="696">
        <v>1.6866785662613222</v>
      </c>
      <c r="K8" s="356">
        <v>-4.3015651636192365E-3</v>
      </c>
      <c r="M8" s="695" t="s">
        <v>230</v>
      </c>
      <c r="N8" s="310">
        <v>1209530</v>
      </c>
      <c r="O8" s="311">
        <v>875</v>
      </c>
      <c r="P8" s="310">
        <v>1726</v>
      </c>
      <c r="Q8" s="311">
        <v>2601</v>
      </c>
      <c r="R8" s="698"/>
      <c r="S8" s="311">
        <f t="shared" ref="S8:S34" si="0">N8/Q8</f>
        <v>465.02499038831218</v>
      </c>
      <c r="T8" s="310">
        <v>223</v>
      </c>
      <c r="U8" s="699"/>
      <c r="V8" s="310">
        <f t="shared" ref="V8:V34" si="1">N8/T8</f>
        <v>5423.9013452914796</v>
      </c>
    </row>
    <row r="9" spans="1:22" ht="18" customHeight="1" thickBot="1">
      <c r="A9" s="355" t="s">
        <v>231</v>
      </c>
      <c r="B9" s="159">
        <v>963657</v>
      </c>
      <c r="C9" s="219">
        <v>627</v>
      </c>
      <c r="D9" s="159">
        <v>1412</v>
      </c>
      <c r="E9" s="219">
        <v>2039</v>
      </c>
      <c r="F9" s="696">
        <v>2.1158980840693316</v>
      </c>
      <c r="G9" s="356">
        <v>4.3173962739488925E-3</v>
      </c>
      <c r="H9" s="159">
        <v>181</v>
      </c>
      <c r="I9" s="697">
        <v>2</v>
      </c>
      <c r="J9" s="696">
        <v>1.8782616636417315</v>
      </c>
      <c r="K9" s="356">
        <v>2.046592884524312E-2</v>
      </c>
      <c r="M9" s="355" t="s">
        <v>231</v>
      </c>
      <c r="N9" s="159">
        <v>949795</v>
      </c>
      <c r="O9" s="219">
        <v>581</v>
      </c>
      <c r="P9" s="159">
        <v>1249</v>
      </c>
      <c r="Q9" s="219">
        <v>1830</v>
      </c>
      <c r="R9" s="700"/>
      <c r="S9" s="219">
        <f t="shared" si="0"/>
        <v>519.01366120218574</v>
      </c>
      <c r="T9" s="159">
        <v>172</v>
      </c>
      <c r="U9" s="701"/>
      <c r="V9" s="159">
        <f t="shared" si="1"/>
        <v>5522.0639534883721</v>
      </c>
    </row>
    <row r="10" spans="1:22" ht="18" customHeight="1" thickBot="1">
      <c r="A10" s="355" t="s">
        <v>232</v>
      </c>
      <c r="B10" s="159">
        <v>355766</v>
      </c>
      <c r="C10" s="219">
        <v>203</v>
      </c>
      <c r="D10" s="159">
        <v>334</v>
      </c>
      <c r="E10" s="219">
        <v>537</v>
      </c>
      <c r="F10" s="696">
        <v>1.5094191125627521</v>
      </c>
      <c r="G10" s="356">
        <v>-5.2703181304565305E-3</v>
      </c>
      <c r="H10" s="159">
        <v>32</v>
      </c>
      <c r="I10" s="697">
        <v>1</v>
      </c>
      <c r="J10" s="696">
        <v>0.89946762759791554</v>
      </c>
      <c r="K10" s="356">
        <v>-5.2703181304564195E-3</v>
      </c>
      <c r="M10" s="355" t="s">
        <v>232</v>
      </c>
      <c r="N10" s="159">
        <v>343180</v>
      </c>
      <c r="O10" s="219">
        <v>203</v>
      </c>
      <c r="P10" s="159">
        <v>282</v>
      </c>
      <c r="Q10" s="219">
        <v>485</v>
      </c>
      <c r="R10" s="700"/>
      <c r="S10" s="219">
        <f t="shared" si="0"/>
        <v>707.58762886597935</v>
      </c>
      <c r="T10" s="159">
        <v>34</v>
      </c>
      <c r="U10" s="701"/>
      <c r="V10" s="159">
        <f t="shared" si="1"/>
        <v>10093.529411764706</v>
      </c>
    </row>
    <row r="11" spans="1:22" ht="18" customHeight="1" thickBot="1">
      <c r="A11" s="355" t="s">
        <v>233</v>
      </c>
      <c r="B11" s="159">
        <v>34652</v>
      </c>
      <c r="C11" s="219">
        <v>19</v>
      </c>
      <c r="D11" s="159">
        <v>24</v>
      </c>
      <c r="E11" s="219">
        <v>43</v>
      </c>
      <c r="F11" s="696">
        <v>1.2409096156066026</v>
      </c>
      <c r="G11" s="356">
        <v>-1.9540391214465158E-2</v>
      </c>
      <c r="H11" s="159">
        <v>2</v>
      </c>
      <c r="I11" s="697">
        <v>1</v>
      </c>
      <c r="J11" s="696">
        <v>0.5771672630728385</v>
      </c>
      <c r="K11" s="356">
        <v>3.2609950363615692E-3</v>
      </c>
      <c r="M11" s="355" t="s">
        <v>233</v>
      </c>
      <c r="N11" s="159">
        <v>34560</v>
      </c>
      <c r="O11" s="219">
        <v>21</v>
      </c>
      <c r="P11" s="159">
        <v>22</v>
      </c>
      <c r="Q11" s="219">
        <v>43</v>
      </c>
      <c r="R11" s="700"/>
      <c r="S11" s="219">
        <f t="shared" si="0"/>
        <v>803.72093023255809</v>
      </c>
      <c r="T11" s="159">
        <v>2</v>
      </c>
      <c r="U11" s="701"/>
      <c r="V11" s="159">
        <f t="shared" si="1"/>
        <v>17280</v>
      </c>
    </row>
    <row r="12" spans="1:22" ht="18" customHeight="1" thickBot="1">
      <c r="A12" s="355" t="s">
        <v>234</v>
      </c>
      <c r="B12" s="159">
        <v>136509</v>
      </c>
      <c r="C12" s="219">
        <v>76</v>
      </c>
      <c r="D12" s="159">
        <v>103</v>
      </c>
      <c r="E12" s="219">
        <v>179</v>
      </c>
      <c r="F12" s="696">
        <v>1.31126885406823</v>
      </c>
      <c r="G12" s="356">
        <v>1.2861527706702791E-2</v>
      </c>
      <c r="H12" s="159">
        <v>12</v>
      </c>
      <c r="I12" s="697">
        <v>1</v>
      </c>
      <c r="J12" s="696">
        <v>0.87906291892842237</v>
      </c>
      <c r="K12" s="356">
        <v>-9.7722494487542111E-3</v>
      </c>
      <c r="M12" s="355" t="s">
        <v>234</v>
      </c>
      <c r="N12" s="159">
        <v>126680</v>
      </c>
      <c r="O12" s="219">
        <v>65</v>
      </c>
      <c r="P12" s="159">
        <v>66</v>
      </c>
      <c r="Q12" s="219">
        <v>131</v>
      </c>
      <c r="R12" s="700"/>
      <c r="S12" s="219">
        <f t="shared" si="0"/>
        <v>967.02290076335873</v>
      </c>
      <c r="T12" s="159">
        <v>11</v>
      </c>
      <c r="U12" s="701"/>
      <c r="V12" s="159">
        <f t="shared" si="1"/>
        <v>11516.363636363636</v>
      </c>
    </row>
    <row r="13" spans="1:22" ht="18" customHeight="1" thickBot="1">
      <c r="A13" s="355" t="s">
        <v>235</v>
      </c>
      <c r="B13" s="159">
        <v>33078</v>
      </c>
      <c r="C13" s="219">
        <v>23</v>
      </c>
      <c r="D13" s="159">
        <v>16</v>
      </c>
      <c r="E13" s="219">
        <v>39</v>
      </c>
      <c r="F13" s="696">
        <v>1.1790313803736623</v>
      </c>
      <c r="G13" s="356">
        <v>2.5447029509198194E-2</v>
      </c>
      <c r="H13" s="159">
        <v>3</v>
      </c>
      <c r="I13" s="697">
        <v>1</v>
      </c>
      <c r="J13" s="696">
        <v>0.90694721567204784</v>
      </c>
      <c r="K13" s="356">
        <v>-8.4648406796061781E-4</v>
      </c>
      <c r="M13" s="355" t="s">
        <v>235</v>
      </c>
      <c r="N13" s="159">
        <v>31952</v>
      </c>
      <c r="O13" s="219">
        <v>19</v>
      </c>
      <c r="P13" s="159">
        <v>13</v>
      </c>
      <c r="Q13" s="219">
        <v>32</v>
      </c>
      <c r="R13" s="700"/>
      <c r="S13" s="219">
        <f t="shared" si="0"/>
        <v>998.5</v>
      </c>
      <c r="T13" s="159">
        <v>2</v>
      </c>
      <c r="U13" s="701"/>
      <c r="V13" s="159">
        <f t="shared" si="1"/>
        <v>15976</v>
      </c>
    </row>
    <row r="14" spans="1:22" ht="18" customHeight="1" thickBot="1">
      <c r="A14" s="355" t="s">
        <v>236</v>
      </c>
      <c r="B14" s="159">
        <v>39094</v>
      </c>
      <c r="C14" s="219">
        <v>17</v>
      </c>
      <c r="D14" s="159">
        <v>29</v>
      </c>
      <c r="E14" s="219">
        <v>46</v>
      </c>
      <c r="F14" s="696">
        <v>1.1766511485138385</v>
      </c>
      <c r="G14" s="356">
        <v>-3.0113996923944231E-2</v>
      </c>
      <c r="H14" s="159">
        <v>2</v>
      </c>
      <c r="I14" s="697">
        <v>1</v>
      </c>
      <c r="J14" s="696">
        <v>0.51158745587558196</v>
      </c>
      <c r="K14" s="356">
        <v>-9.0295185962040447E-3</v>
      </c>
      <c r="M14" s="355" t="s">
        <v>236</v>
      </c>
      <c r="N14" s="159">
        <v>36549</v>
      </c>
      <c r="O14" s="219">
        <v>16</v>
      </c>
      <c r="P14" s="159">
        <v>20</v>
      </c>
      <c r="Q14" s="219">
        <v>36</v>
      </c>
      <c r="R14" s="700"/>
      <c r="S14" s="219">
        <f t="shared" si="0"/>
        <v>1015.25</v>
      </c>
      <c r="T14" s="159">
        <v>2</v>
      </c>
      <c r="U14" s="701"/>
      <c r="V14" s="159">
        <f t="shared" si="1"/>
        <v>18274.5</v>
      </c>
    </row>
    <row r="15" spans="1:22" ht="18" customHeight="1" thickBot="1">
      <c r="A15" s="355" t="s">
        <v>237</v>
      </c>
      <c r="B15" s="159">
        <v>38098</v>
      </c>
      <c r="C15" s="219">
        <v>29</v>
      </c>
      <c r="D15" s="159">
        <v>29</v>
      </c>
      <c r="E15" s="219">
        <v>58</v>
      </c>
      <c r="F15" s="696">
        <v>1.5223896267520605</v>
      </c>
      <c r="G15" s="356">
        <v>5.9389421539665754E-2</v>
      </c>
      <c r="H15" s="159">
        <v>2</v>
      </c>
      <c r="I15" s="697">
        <v>1</v>
      </c>
      <c r="J15" s="696">
        <v>0.52496194025933118</v>
      </c>
      <c r="K15" s="356">
        <v>4.5934169772692268E-3</v>
      </c>
      <c r="M15" s="355" t="s">
        <v>237</v>
      </c>
      <c r="N15" s="159">
        <v>38305</v>
      </c>
      <c r="O15" s="219">
        <v>25</v>
      </c>
      <c r="P15" s="159">
        <v>22</v>
      </c>
      <c r="Q15" s="219">
        <v>47</v>
      </c>
      <c r="R15" s="700"/>
      <c r="S15" s="219">
        <f t="shared" si="0"/>
        <v>815</v>
      </c>
      <c r="T15" s="159">
        <v>3</v>
      </c>
      <c r="U15" s="701"/>
      <c r="V15" s="159">
        <f t="shared" si="1"/>
        <v>12768.333333333334</v>
      </c>
    </row>
    <row r="16" spans="1:22" ht="18" customHeight="1" thickBot="1">
      <c r="A16" s="355" t="s">
        <v>238</v>
      </c>
      <c r="B16" s="159">
        <v>106350</v>
      </c>
      <c r="C16" s="219">
        <v>69</v>
      </c>
      <c r="D16" s="159">
        <v>126</v>
      </c>
      <c r="E16" s="219">
        <v>195</v>
      </c>
      <c r="F16" s="696">
        <v>1.8335684062059237</v>
      </c>
      <c r="G16" s="356">
        <v>2.6406100329604776E-2</v>
      </c>
      <c r="H16" s="159">
        <v>14</v>
      </c>
      <c r="I16" s="697">
        <v>1</v>
      </c>
      <c r="J16" s="696">
        <v>1.3164080865068171</v>
      </c>
      <c r="K16" s="356">
        <v>-1.5702867889045513E-2</v>
      </c>
      <c r="M16" s="355" t="s">
        <v>238</v>
      </c>
      <c r="N16" s="159">
        <v>97049</v>
      </c>
      <c r="O16" s="219">
        <v>53</v>
      </c>
      <c r="P16" s="159">
        <v>102</v>
      </c>
      <c r="Q16" s="219">
        <v>155</v>
      </c>
      <c r="R16" s="700"/>
      <c r="S16" s="219">
        <f t="shared" si="0"/>
        <v>626.12258064516129</v>
      </c>
      <c r="T16" s="159">
        <v>14</v>
      </c>
      <c r="U16" s="701"/>
      <c r="V16" s="159">
        <f t="shared" si="1"/>
        <v>6932.0714285714284</v>
      </c>
    </row>
    <row r="17" spans="1:22" ht="18" customHeight="1" thickBot="1">
      <c r="A17" s="355" t="s">
        <v>239</v>
      </c>
      <c r="B17" s="159">
        <v>255462</v>
      </c>
      <c r="C17" s="219">
        <v>127</v>
      </c>
      <c r="D17" s="159">
        <v>265</v>
      </c>
      <c r="E17" s="219">
        <v>392</v>
      </c>
      <c r="F17" s="696">
        <v>1.5344747946857067</v>
      </c>
      <c r="G17" s="356">
        <v>-3.6077752641726635E-3</v>
      </c>
      <c r="H17" s="159">
        <v>64</v>
      </c>
      <c r="I17" s="697">
        <v>2</v>
      </c>
      <c r="J17" s="696">
        <v>2.5052649709154395</v>
      </c>
      <c r="K17" s="356">
        <v>1.8793215354739878E-3</v>
      </c>
      <c r="M17" s="355" t="s">
        <v>239</v>
      </c>
      <c r="N17" s="159">
        <v>235151</v>
      </c>
      <c r="O17" s="219">
        <v>112</v>
      </c>
      <c r="P17" s="159">
        <v>225</v>
      </c>
      <c r="Q17" s="219">
        <v>337</v>
      </c>
      <c r="R17" s="700"/>
      <c r="S17" s="219">
        <f t="shared" si="0"/>
        <v>697.77744807121667</v>
      </c>
      <c r="T17" s="159">
        <v>71</v>
      </c>
      <c r="U17" s="701"/>
      <c r="V17" s="159">
        <f t="shared" si="1"/>
        <v>3311.9859154929577</v>
      </c>
    </row>
    <row r="18" spans="1:22" ht="18" customHeight="1" thickBot="1">
      <c r="A18" s="355" t="s">
        <v>240</v>
      </c>
      <c r="B18" s="159">
        <v>246852</v>
      </c>
      <c r="C18" s="219">
        <v>158</v>
      </c>
      <c r="D18" s="159">
        <v>244</v>
      </c>
      <c r="E18" s="219">
        <v>402</v>
      </c>
      <c r="F18" s="696">
        <v>1.6285061494336688</v>
      </c>
      <c r="G18" s="356">
        <v>1.7357551054451248E-2</v>
      </c>
      <c r="H18" s="159">
        <v>26</v>
      </c>
      <c r="I18" s="697">
        <v>1</v>
      </c>
      <c r="J18" s="696">
        <v>1.0532626837133181</v>
      </c>
      <c r="K18" s="356">
        <v>-3.9818430716620834E-2</v>
      </c>
      <c r="M18" s="355" t="s">
        <v>240</v>
      </c>
      <c r="N18" s="159">
        <v>241747</v>
      </c>
      <c r="O18" s="219">
        <v>158</v>
      </c>
      <c r="P18" s="159">
        <v>210</v>
      </c>
      <c r="Q18" s="219">
        <v>368</v>
      </c>
      <c r="R18" s="700"/>
      <c r="S18" s="219">
        <f t="shared" si="0"/>
        <v>656.92119565217388</v>
      </c>
      <c r="T18" s="159">
        <v>28</v>
      </c>
      <c r="U18" s="701"/>
      <c r="V18" s="159">
        <f t="shared" si="1"/>
        <v>8633.8214285714294</v>
      </c>
    </row>
    <row r="19" spans="1:22" ht="18" customHeight="1" thickBot="1">
      <c r="A19" s="355" t="s">
        <v>241</v>
      </c>
      <c r="B19" s="159">
        <v>190536</v>
      </c>
      <c r="C19" s="219">
        <v>131</v>
      </c>
      <c r="D19" s="159">
        <v>583</v>
      </c>
      <c r="E19" s="219">
        <v>714</v>
      </c>
      <c r="F19" s="696">
        <v>3.7473233404710924</v>
      </c>
      <c r="G19" s="356">
        <v>-3.4207559661919573E-3</v>
      </c>
      <c r="H19" s="159">
        <v>70</v>
      </c>
      <c r="I19" s="697">
        <v>3</v>
      </c>
      <c r="J19" s="696">
        <v>3.6738464122265611</v>
      </c>
      <c r="K19" s="356">
        <v>2.1623210311962904E-3</v>
      </c>
      <c r="M19" s="355" t="s">
        <v>241</v>
      </c>
      <c r="N19" s="159">
        <v>192347</v>
      </c>
      <c r="O19" s="219">
        <v>118</v>
      </c>
      <c r="P19" s="159">
        <v>556</v>
      </c>
      <c r="Q19" s="219">
        <v>674</v>
      </c>
      <c r="R19" s="700"/>
      <c r="S19" s="219">
        <f t="shared" si="0"/>
        <v>285.38130563798222</v>
      </c>
      <c r="T19" s="159">
        <v>70</v>
      </c>
      <c r="U19" s="701"/>
      <c r="V19" s="159">
        <f t="shared" si="1"/>
        <v>2747.8142857142857</v>
      </c>
    </row>
    <row r="20" spans="1:22" ht="18" customHeight="1" thickBot="1">
      <c r="A20" s="355" t="s">
        <v>242</v>
      </c>
      <c r="B20" s="159">
        <v>264664</v>
      </c>
      <c r="C20" s="219">
        <v>165</v>
      </c>
      <c r="D20" s="159">
        <v>356</v>
      </c>
      <c r="E20" s="219">
        <v>521</v>
      </c>
      <c r="F20" s="696">
        <v>1.9685336879968562</v>
      </c>
      <c r="G20" s="356">
        <v>7.2635902605306946E-3</v>
      </c>
      <c r="H20" s="159">
        <v>39</v>
      </c>
      <c r="I20" s="697">
        <v>1</v>
      </c>
      <c r="J20" s="696">
        <v>1.473566484297071</v>
      </c>
      <c r="K20" s="356">
        <v>8.0730032544408692E-2</v>
      </c>
      <c r="M20" s="355" t="s">
        <v>242</v>
      </c>
      <c r="N20" s="159">
        <v>255485</v>
      </c>
      <c r="O20" s="219">
        <v>164</v>
      </c>
      <c r="P20" s="159">
        <v>306</v>
      </c>
      <c r="Q20" s="219">
        <v>470</v>
      </c>
      <c r="R20" s="700"/>
      <c r="S20" s="219">
        <f t="shared" si="0"/>
        <v>543.58510638297878</v>
      </c>
      <c r="T20" s="159">
        <v>36</v>
      </c>
      <c r="U20" s="701"/>
      <c r="V20" s="159">
        <f t="shared" si="1"/>
        <v>7096.8055555555557</v>
      </c>
    </row>
    <row r="21" spans="1:22" ht="18" customHeight="1" thickBot="1">
      <c r="A21" s="355" t="s">
        <v>243</v>
      </c>
      <c r="B21" s="159">
        <v>74116</v>
      </c>
      <c r="C21" s="219">
        <v>60</v>
      </c>
      <c r="D21" s="159">
        <v>86</v>
      </c>
      <c r="E21" s="219">
        <v>146</v>
      </c>
      <c r="F21" s="696">
        <v>1.9698850450644936</v>
      </c>
      <c r="G21" s="356">
        <v>5.8670466429044721E-2</v>
      </c>
      <c r="H21" s="159">
        <v>13</v>
      </c>
      <c r="I21" s="697">
        <v>2</v>
      </c>
      <c r="J21" s="696">
        <v>1.7540072319067408</v>
      </c>
      <c r="K21" s="356">
        <v>6.611258027955369E-4</v>
      </c>
      <c r="M21" s="355" t="s">
        <v>243</v>
      </c>
      <c r="N21" s="159">
        <v>73115</v>
      </c>
      <c r="O21" s="219">
        <v>55</v>
      </c>
      <c r="P21" s="159">
        <v>81</v>
      </c>
      <c r="Q21" s="219">
        <v>136</v>
      </c>
      <c r="R21" s="700"/>
      <c r="S21" s="219">
        <f t="shared" si="0"/>
        <v>537.61029411764707</v>
      </c>
      <c r="T21" s="159">
        <v>14</v>
      </c>
      <c r="U21" s="701"/>
      <c r="V21" s="159">
        <f t="shared" si="1"/>
        <v>5222.5</v>
      </c>
    </row>
    <row r="22" spans="1:22" ht="18" customHeight="1" thickBot="1">
      <c r="A22" s="355" t="s">
        <v>244</v>
      </c>
      <c r="B22" s="159">
        <v>52410</v>
      </c>
      <c r="C22" s="219">
        <v>37</v>
      </c>
      <c r="D22" s="159">
        <v>53</v>
      </c>
      <c r="E22" s="219">
        <v>90</v>
      </c>
      <c r="F22" s="696">
        <v>1.7172295363480252</v>
      </c>
      <c r="G22" s="356">
        <v>-8.5358259370851286E-3</v>
      </c>
      <c r="H22" s="159">
        <v>5</v>
      </c>
      <c r="I22" s="697">
        <v>1</v>
      </c>
      <c r="J22" s="696">
        <v>0.95401640908223617</v>
      </c>
      <c r="K22" s="356">
        <v>2.4804426636135801E-3</v>
      </c>
      <c r="M22" s="355" t="s">
        <v>244</v>
      </c>
      <c r="N22" s="159">
        <v>53390</v>
      </c>
      <c r="O22" s="219">
        <v>44</v>
      </c>
      <c r="P22" s="159">
        <v>36</v>
      </c>
      <c r="Q22" s="219">
        <v>80</v>
      </c>
      <c r="R22" s="700"/>
      <c r="S22" s="219">
        <f t="shared" si="0"/>
        <v>667.375</v>
      </c>
      <c r="T22" s="159">
        <v>4</v>
      </c>
      <c r="U22" s="701"/>
      <c r="V22" s="159">
        <f t="shared" si="1"/>
        <v>13347.5</v>
      </c>
    </row>
    <row r="23" spans="1:22" ht="18" customHeight="1" thickBot="1">
      <c r="A23" s="355" t="s">
        <v>245</v>
      </c>
      <c r="B23" s="159">
        <v>14987</v>
      </c>
      <c r="C23" s="219">
        <v>6</v>
      </c>
      <c r="D23" s="159">
        <v>12</v>
      </c>
      <c r="E23" s="219">
        <v>18</v>
      </c>
      <c r="F23" s="696">
        <v>1.2010409021151665</v>
      </c>
      <c r="G23" s="356">
        <v>-2.081804230332962E-2</v>
      </c>
      <c r="H23" s="159">
        <v>1</v>
      </c>
      <c r="I23" s="697">
        <v>1</v>
      </c>
      <c r="J23" s="696">
        <v>0.66724494561953696</v>
      </c>
      <c r="K23" s="356">
        <v>-2.0818042303329509E-2</v>
      </c>
      <c r="M23" s="355" t="s">
        <v>245</v>
      </c>
      <c r="N23" s="159">
        <v>14520</v>
      </c>
      <c r="O23" s="219">
        <v>8</v>
      </c>
      <c r="P23" s="159">
        <v>7</v>
      </c>
      <c r="Q23" s="219">
        <v>15</v>
      </c>
      <c r="R23" s="700"/>
      <c r="S23" s="219">
        <f t="shared" si="0"/>
        <v>968</v>
      </c>
      <c r="T23" s="159">
        <v>1</v>
      </c>
      <c r="U23" s="701"/>
      <c r="V23" s="159">
        <f t="shared" si="1"/>
        <v>14520</v>
      </c>
    </row>
    <row r="24" spans="1:22" ht="18" customHeight="1" thickBot="1">
      <c r="A24" s="355" t="s">
        <v>246</v>
      </c>
      <c r="B24" s="159">
        <v>460917</v>
      </c>
      <c r="C24" s="219">
        <v>285</v>
      </c>
      <c r="D24" s="159">
        <v>455</v>
      </c>
      <c r="E24" s="219">
        <v>740</v>
      </c>
      <c r="F24" s="696">
        <v>1.6054951325292839</v>
      </c>
      <c r="G24" s="356">
        <v>-6.0275774987804676E-3</v>
      </c>
      <c r="H24" s="159">
        <v>48</v>
      </c>
      <c r="I24" s="697">
        <v>1</v>
      </c>
      <c r="J24" s="696">
        <v>1.0414022481271032</v>
      </c>
      <c r="K24" s="356">
        <v>-3.3411655460743317E-3</v>
      </c>
      <c r="M24" s="355" t="s">
        <v>246</v>
      </c>
      <c r="N24" s="159">
        <v>445797</v>
      </c>
      <c r="O24" s="219">
        <v>300</v>
      </c>
      <c r="P24" s="159">
        <v>370</v>
      </c>
      <c r="Q24" s="219">
        <v>670</v>
      </c>
      <c r="R24" s="700"/>
      <c r="S24" s="219">
        <f t="shared" si="0"/>
        <v>665.36865671641795</v>
      </c>
      <c r="T24" s="159">
        <v>49</v>
      </c>
      <c r="U24" s="701"/>
      <c r="V24" s="159">
        <f t="shared" si="1"/>
        <v>9097.8979591836742</v>
      </c>
    </row>
    <row r="25" spans="1:22" ht="18" customHeight="1" thickBot="1">
      <c r="A25" s="355" t="s">
        <v>247</v>
      </c>
      <c r="B25" s="159">
        <v>191297</v>
      </c>
      <c r="C25" s="219">
        <v>135</v>
      </c>
      <c r="D25" s="159">
        <v>201</v>
      </c>
      <c r="E25" s="219">
        <v>336</v>
      </c>
      <c r="F25" s="696">
        <v>1.7564310992854044</v>
      </c>
      <c r="G25" s="356">
        <v>4.6681026354347122E-3</v>
      </c>
      <c r="H25" s="159">
        <v>37</v>
      </c>
      <c r="I25" s="697">
        <v>2</v>
      </c>
      <c r="J25" s="696">
        <v>1.9341651986178561</v>
      </c>
      <c r="K25" s="356">
        <v>1.6780189966387749E-3</v>
      </c>
      <c r="M25" s="355" t="s">
        <v>247</v>
      </c>
      <c r="N25" s="159">
        <v>187572</v>
      </c>
      <c r="O25" s="219">
        <v>146</v>
      </c>
      <c r="P25" s="159">
        <v>178</v>
      </c>
      <c r="Q25" s="219">
        <v>324</v>
      </c>
      <c r="R25" s="700"/>
      <c r="S25" s="219">
        <f t="shared" si="0"/>
        <v>578.92592592592598</v>
      </c>
      <c r="T25" s="159">
        <v>36</v>
      </c>
      <c r="U25" s="701"/>
      <c r="V25" s="159">
        <f t="shared" si="1"/>
        <v>5210.333333333333</v>
      </c>
    </row>
    <row r="26" spans="1:22" ht="18" customHeight="1" thickBot="1">
      <c r="A26" s="355" t="s">
        <v>248</v>
      </c>
      <c r="B26" s="159">
        <v>567228</v>
      </c>
      <c r="C26" s="219">
        <v>282</v>
      </c>
      <c r="D26" s="159">
        <v>573</v>
      </c>
      <c r="E26" s="219">
        <v>855</v>
      </c>
      <c r="F26" s="696">
        <v>1.5073303856650238</v>
      </c>
      <c r="G26" s="356">
        <v>3.7003019837122952E-3</v>
      </c>
      <c r="H26" s="159">
        <v>109</v>
      </c>
      <c r="I26" s="697">
        <v>2</v>
      </c>
      <c r="J26" s="696">
        <v>1.9216258717834802</v>
      </c>
      <c r="K26" s="356">
        <v>-1.5893464677022684E-2</v>
      </c>
      <c r="M26" s="355" t="s">
        <v>248</v>
      </c>
      <c r="N26" s="159">
        <v>536746</v>
      </c>
      <c r="O26" s="219">
        <v>281</v>
      </c>
      <c r="P26" s="159">
        <v>454</v>
      </c>
      <c r="Q26" s="219">
        <v>735</v>
      </c>
      <c r="R26" s="700"/>
      <c r="S26" s="219">
        <f t="shared" si="0"/>
        <v>730.26666666666665</v>
      </c>
      <c r="T26" s="159">
        <v>108</v>
      </c>
      <c r="U26" s="701"/>
      <c r="V26" s="159">
        <f t="shared" si="1"/>
        <v>4969.8703703703704</v>
      </c>
    </row>
    <row r="27" spans="1:22" ht="18" customHeight="1" thickBot="1">
      <c r="A27" s="355" t="s">
        <v>249</v>
      </c>
      <c r="B27" s="159">
        <v>234021</v>
      </c>
      <c r="C27" s="219">
        <v>137</v>
      </c>
      <c r="D27" s="159">
        <v>172</v>
      </c>
      <c r="E27" s="219">
        <v>309</v>
      </c>
      <c r="F27" s="696">
        <v>1.3203943235863449</v>
      </c>
      <c r="G27" s="356">
        <v>-4.563693001910174E-3</v>
      </c>
      <c r="H27" s="159">
        <v>22</v>
      </c>
      <c r="I27" s="697">
        <v>1</v>
      </c>
      <c r="J27" s="696">
        <v>0.94008657342717106</v>
      </c>
      <c r="K27" s="356">
        <v>9.4979937697898809E-2</v>
      </c>
      <c r="M27" s="355" t="s">
        <v>249</v>
      </c>
      <c r="N27" s="159">
        <v>226619</v>
      </c>
      <c r="O27" s="219">
        <v>144</v>
      </c>
      <c r="P27" s="159">
        <v>138</v>
      </c>
      <c r="Q27" s="219">
        <v>282</v>
      </c>
      <c r="R27" s="700"/>
      <c r="S27" s="219">
        <f t="shared" si="0"/>
        <v>803.61347517730496</v>
      </c>
      <c r="T27" s="159">
        <v>23</v>
      </c>
      <c r="U27" s="701"/>
      <c r="V27" s="159">
        <f t="shared" si="1"/>
        <v>9853</v>
      </c>
    </row>
    <row r="28" spans="1:22" ht="18" customHeight="1" thickBot="1">
      <c r="A28" s="355" t="s">
        <v>250</v>
      </c>
      <c r="B28" s="159">
        <v>322145</v>
      </c>
      <c r="C28" s="219">
        <v>176</v>
      </c>
      <c r="D28" s="159">
        <v>473</v>
      </c>
      <c r="E28" s="219">
        <v>649</v>
      </c>
      <c r="F28" s="696">
        <v>2.0146207453165501</v>
      </c>
      <c r="G28" s="356">
        <v>-3.9353276631048928E-3</v>
      </c>
      <c r="H28" s="159">
        <v>175</v>
      </c>
      <c r="I28" s="697">
        <v>3</v>
      </c>
      <c r="J28" s="696">
        <v>5.4323363702680476</v>
      </c>
      <c r="K28" s="356">
        <v>2.9223367892443619E-3</v>
      </c>
      <c r="M28" s="355" t="s">
        <v>250</v>
      </c>
      <c r="N28" s="159">
        <v>303836</v>
      </c>
      <c r="O28" s="219">
        <v>193</v>
      </c>
      <c r="P28" s="159">
        <v>384</v>
      </c>
      <c r="Q28" s="219">
        <v>577</v>
      </c>
      <c r="R28" s="700"/>
      <c r="S28" s="219">
        <f t="shared" si="0"/>
        <v>526.57885615251303</v>
      </c>
      <c r="T28" s="159">
        <v>171</v>
      </c>
      <c r="U28" s="701"/>
      <c r="V28" s="159">
        <f t="shared" si="1"/>
        <v>1776.8187134502923</v>
      </c>
    </row>
    <row r="29" spans="1:22" ht="18" customHeight="1" thickBot="1">
      <c r="A29" s="355" t="s">
        <v>251</v>
      </c>
      <c r="B29" s="159">
        <v>663530</v>
      </c>
      <c r="C29" s="219">
        <v>426</v>
      </c>
      <c r="D29" s="159">
        <v>1193</v>
      </c>
      <c r="E29" s="219">
        <v>1619</v>
      </c>
      <c r="F29" s="696">
        <v>2.4399801064006148</v>
      </c>
      <c r="G29" s="356">
        <v>1.1759407291153101E-2</v>
      </c>
      <c r="H29" s="159">
        <v>241</v>
      </c>
      <c r="I29" s="697">
        <v>3</v>
      </c>
      <c r="J29" s="696">
        <v>3.6320889786445223</v>
      </c>
      <c r="K29" s="356">
        <v>-1.4825881806959762E-2</v>
      </c>
      <c r="M29" s="355" t="s">
        <v>251</v>
      </c>
      <c r="N29" s="159">
        <v>623912</v>
      </c>
      <c r="O29" s="219">
        <v>474</v>
      </c>
      <c r="P29" s="159">
        <v>999</v>
      </c>
      <c r="Q29" s="219">
        <v>1473</v>
      </c>
      <c r="R29" s="700"/>
      <c r="S29" s="219">
        <f t="shared" si="0"/>
        <v>423.56551255940258</v>
      </c>
      <c r="T29" s="159">
        <v>234</v>
      </c>
      <c r="U29" s="701"/>
      <c r="V29" s="159">
        <f t="shared" si="1"/>
        <v>2666.2905982905982</v>
      </c>
    </row>
    <row r="30" spans="1:22" ht="18" customHeight="1" thickBot="1">
      <c r="A30" s="355" t="s">
        <v>252</v>
      </c>
      <c r="B30" s="159">
        <v>289527</v>
      </c>
      <c r="C30" s="219">
        <v>176</v>
      </c>
      <c r="D30" s="159">
        <v>333</v>
      </c>
      <c r="E30" s="219">
        <v>509</v>
      </c>
      <c r="F30" s="696">
        <v>1.7580398373899497</v>
      </c>
      <c r="G30" s="356">
        <v>1.1575416394081772E-2</v>
      </c>
      <c r="H30" s="159">
        <v>110</v>
      </c>
      <c r="I30" s="697">
        <v>2</v>
      </c>
      <c r="J30" s="696">
        <v>3.799300237974351</v>
      </c>
      <c r="K30" s="356">
        <v>8.0422998993632255E-3</v>
      </c>
      <c r="M30" s="355" t="s">
        <v>252</v>
      </c>
      <c r="N30" s="159">
        <v>271444</v>
      </c>
      <c r="O30" s="219">
        <v>172</v>
      </c>
      <c r="P30" s="159">
        <v>274</v>
      </c>
      <c r="Q30" s="219">
        <v>446</v>
      </c>
      <c r="R30" s="700"/>
      <c r="S30" s="219">
        <f t="shared" si="0"/>
        <v>608.61883408071753</v>
      </c>
      <c r="T30" s="159">
        <v>105</v>
      </c>
      <c r="U30" s="701"/>
      <c r="V30" s="159">
        <f t="shared" si="1"/>
        <v>2585.1809523809525</v>
      </c>
    </row>
    <row r="31" spans="1:22" ht="18" customHeight="1" thickBot="1">
      <c r="A31" s="355" t="s">
        <v>253</v>
      </c>
      <c r="B31" s="159">
        <v>169259</v>
      </c>
      <c r="C31" s="219">
        <v>99</v>
      </c>
      <c r="D31" s="159">
        <v>258</v>
      </c>
      <c r="E31" s="219">
        <v>357</v>
      </c>
      <c r="F31" s="696">
        <v>2.1091936027035492</v>
      </c>
      <c r="G31" s="356">
        <v>5.0009608181464937E-3</v>
      </c>
      <c r="H31" s="159">
        <v>57</v>
      </c>
      <c r="I31" s="697">
        <v>3</v>
      </c>
      <c r="J31" s="696">
        <v>3.3676200379300361</v>
      </c>
      <c r="K31" s="356">
        <v>3.2793959123430527E-2</v>
      </c>
      <c r="M31" s="355" t="s">
        <v>253</v>
      </c>
      <c r="N31" s="159">
        <v>166096</v>
      </c>
      <c r="O31" s="219">
        <v>119</v>
      </c>
      <c r="P31" s="159">
        <v>198</v>
      </c>
      <c r="Q31" s="219">
        <v>317</v>
      </c>
      <c r="R31" s="700"/>
      <c r="S31" s="219">
        <f t="shared" si="0"/>
        <v>523.96214511041012</v>
      </c>
      <c r="T31" s="159">
        <v>54</v>
      </c>
      <c r="U31" s="701"/>
      <c r="V31" s="159">
        <f t="shared" si="1"/>
        <v>3075.8518518518517</v>
      </c>
    </row>
    <row r="32" spans="1:22" ht="18" customHeight="1" thickBot="1">
      <c r="A32" s="355" t="s">
        <v>254</v>
      </c>
      <c r="B32" s="159">
        <v>436721</v>
      </c>
      <c r="C32" s="219">
        <v>249</v>
      </c>
      <c r="D32" s="159">
        <v>1188</v>
      </c>
      <c r="E32" s="219">
        <v>1437</v>
      </c>
      <c r="F32" s="696">
        <v>3.290430274706277</v>
      </c>
      <c r="G32" s="356">
        <v>-5.4271819666660281E-3</v>
      </c>
      <c r="H32" s="159">
        <v>170</v>
      </c>
      <c r="I32" s="697">
        <v>3</v>
      </c>
      <c r="J32" s="696">
        <v>3.8926454189287898</v>
      </c>
      <c r="K32" s="356">
        <v>1.5104718158842623E-3</v>
      </c>
      <c r="M32" s="355" t="s">
        <v>254</v>
      </c>
      <c r="N32" s="159">
        <v>404080</v>
      </c>
      <c r="O32" s="219">
        <v>235</v>
      </c>
      <c r="P32" s="159">
        <v>1022</v>
      </c>
      <c r="Q32" s="219">
        <v>1257</v>
      </c>
      <c r="R32" s="700"/>
      <c r="S32" s="219">
        <f t="shared" si="0"/>
        <v>321.46380270485281</v>
      </c>
      <c r="T32" s="159">
        <v>170</v>
      </c>
      <c r="U32" s="701"/>
      <c r="V32" s="159">
        <f t="shared" si="1"/>
        <v>2376.9411764705883</v>
      </c>
    </row>
    <row r="33" spans="1:22" ht="18" customHeight="1" thickBot="1">
      <c r="A33" s="355" t="s">
        <v>255</v>
      </c>
      <c r="B33" s="159">
        <v>67898</v>
      </c>
      <c r="C33" s="219">
        <v>41</v>
      </c>
      <c r="D33" s="159">
        <v>70</v>
      </c>
      <c r="E33" s="219">
        <v>111</v>
      </c>
      <c r="F33" s="696">
        <v>1.6348051488998203</v>
      </c>
      <c r="G33" s="356">
        <v>-1.7771451555261053E-2</v>
      </c>
      <c r="H33" s="159">
        <v>19</v>
      </c>
      <c r="I33" s="697">
        <v>2</v>
      </c>
      <c r="J33" s="696">
        <v>2.7983151197384313</v>
      </c>
      <c r="K33" s="356">
        <v>-7.3639871571939963E-5</v>
      </c>
      <c r="M33" s="355" t="s">
        <v>255</v>
      </c>
      <c r="N33" s="159">
        <v>67281</v>
      </c>
      <c r="O33" s="219">
        <v>41</v>
      </c>
      <c r="P33" s="159">
        <v>60</v>
      </c>
      <c r="Q33" s="219">
        <v>101</v>
      </c>
      <c r="R33" s="700"/>
      <c r="S33" s="219">
        <f t="shared" si="0"/>
        <v>666.14851485148517</v>
      </c>
      <c r="T33" s="159">
        <v>17</v>
      </c>
      <c r="U33" s="701"/>
      <c r="V33" s="159">
        <f t="shared" si="1"/>
        <v>3957.705882352941</v>
      </c>
    </row>
    <row r="34" spans="1:22" ht="30" customHeight="1" thickBot="1">
      <c r="A34" s="357" t="s">
        <v>256</v>
      </c>
      <c r="B34" s="221">
        <v>7501255</v>
      </c>
      <c r="C34" s="222">
        <v>4634</v>
      </c>
      <c r="D34" s="221">
        <v>10679</v>
      </c>
      <c r="E34" s="222">
        <v>15313</v>
      </c>
      <c r="F34" s="702">
        <v>2.0413917404487649</v>
      </c>
      <c r="G34" s="358">
        <v>1.1686735429978778E-3</v>
      </c>
      <c r="H34" s="221">
        <v>1672</v>
      </c>
      <c r="I34" s="703" t="s">
        <v>1646</v>
      </c>
      <c r="J34" s="702">
        <v>2.2289603539674361</v>
      </c>
      <c r="K34" s="358">
        <v>3.3164324899102038E-3</v>
      </c>
      <c r="M34" s="704" t="s">
        <v>43</v>
      </c>
      <c r="N34" s="595">
        <f>SUM(N8:N33)</f>
        <v>7166738</v>
      </c>
      <c r="O34" s="705">
        <f>SUM(O8:O33)</f>
        <v>4622</v>
      </c>
      <c r="P34" s="595">
        <f>SUM(P8:P33)</f>
        <v>9000</v>
      </c>
      <c r="Q34" s="705">
        <f>SUM(Q8:Q33)</f>
        <v>13622</v>
      </c>
      <c r="R34" s="706"/>
      <c r="S34" s="705">
        <f t="shared" si="0"/>
        <v>526.11496109235065</v>
      </c>
      <c r="T34" s="595">
        <f>SUM(T8:T33)</f>
        <v>1654</v>
      </c>
      <c r="U34" s="707"/>
      <c r="V34" s="595">
        <f t="shared" si="1"/>
        <v>4332.9733978234581</v>
      </c>
    </row>
    <row r="35" spans="1:22" ht="20" customHeight="1">
      <c r="A35" s="708" t="s">
        <v>868</v>
      </c>
      <c r="B35" s="709"/>
      <c r="C35" s="709"/>
      <c r="D35" s="709"/>
      <c r="E35" s="709"/>
      <c r="F35" s="709"/>
      <c r="G35" s="709"/>
      <c r="H35" s="709"/>
      <c r="I35" s="710"/>
      <c r="J35" s="709"/>
      <c r="K35" s="709"/>
      <c r="M35" s="711" t="s">
        <v>1219</v>
      </c>
      <c r="N35" s="712"/>
      <c r="O35" s="712"/>
      <c r="P35" s="712"/>
      <c r="Q35" s="712"/>
      <c r="R35" s="712"/>
      <c r="S35" s="712"/>
      <c r="T35" s="712"/>
      <c r="U35" s="712"/>
      <c r="V35" s="712"/>
    </row>
    <row r="36" spans="1:22" ht="10.5" customHeight="1">
      <c r="A36" s="713"/>
      <c r="B36" s="714"/>
      <c r="C36" s="714"/>
      <c r="D36" s="714"/>
      <c r="E36" s="714"/>
      <c r="F36" s="714"/>
      <c r="G36" s="714"/>
      <c r="H36" s="714"/>
      <c r="I36" s="715"/>
      <c r="J36" s="714"/>
      <c r="K36" s="714"/>
      <c r="M36" s="86"/>
      <c r="N36" s="716"/>
      <c r="O36" s="716"/>
      <c r="P36" s="716"/>
      <c r="Q36" s="716"/>
      <c r="R36" s="716"/>
      <c r="S36" s="716"/>
      <c r="T36" s="716"/>
      <c r="U36" s="716"/>
      <c r="V36" s="716"/>
    </row>
    <row r="37" spans="1:22" ht="12" customHeight="1">
      <c r="A37" s="713" t="s">
        <v>1220</v>
      </c>
      <c r="B37" s="714"/>
      <c r="C37" s="714"/>
      <c r="D37" s="714"/>
      <c r="E37" s="714"/>
      <c r="F37" s="714"/>
      <c r="G37" s="714"/>
      <c r="H37" s="714"/>
      <c r="I37" s="715"/>
      <c r="J37" s="714"/>
      <c r="K37" s="714"/>
      <c r="M37" s="2" t="s">
        <v>1221</v>
      </c>
      <c r="N37" s="716"/>
      <c r="O37" s="716"/>
      <c r="P37" s="716"/>
      <c r="Q37" s="716"/>
      <c r="R37" s="716"/>
      <c r="S37" s="716"/>
      <c r="T37" s="716"/>
      <c r="U37" s="716"/>
      <c r="V37" s="716"/>
    </row>
    <row r="38" spans="1:22" ht="12" customHeight="1">
      <c r="A38" s="713" t="s">
        <v>1222</v>
      </c>
      <c r="B38" s="714"/>
      <c r="C38" s="714"/>
      <c r="D38" s="714"/>
      <c r="E38" s="714"/>
      <c r="F38" s="714"/>
      <c r="G38" s="714"/>
      <c r="H38" s="714"/>
      <c r="I38" s="715"/>
      <c r="J38" s="714"/>
      <c r="K38" s="714"/>
      <c r="N38" s="716"/>
      <c r="O38" s="716"/>
      <c r="P38" s="716"/>
      <c r="Q38" s="716"/>
      <c r="R38" s="716"/>
      <c r="S38" s="716"/>
      <c r="T38" s="716"/>
      <c r="U38" s="716"/>
      <c r="V38" s="716"/>
    </row>
    <row r="39" spans="1:22" ht="12" customHeight="1">
      <c r="A39" s="713" t="s">
        <v>1223</v>
      </c>
      <c r="B39" s="714"/>
      <c r="C39" s="714"/>
      <c r="D39" s="714"/>
      <c r="E39" s="714"/>
      <c r="F39" s="714"/>
      <c r="G39" s="714"/>
      <c r="H39" s="714"/>
      <c r="I39" s="715"/>
      <c r="J39" s="714"/>
      <c r="K39" s="714"/>
      <c r="N39" s="716"/>
      <c r="O39" s="716"/>
      <c r="P39" s="716"/>
      <c r="Q39" s="716"/>
      <c r="R39" s="716"/>
      <c r="S39" s="716"/>
      <c r="T39" s="716"/>
      <c r="U39" s="716"/>
      <c r="V39" s="716"/>
    </row>
    <row r="40" spans="1:22" ht="12" customHeight="1">
      <c r="A40" s="713" t="s">
        <v>1224</v>
      </c>
      <c r="B40" s="714"/>
      <c r="C40" s="714"/>
      <c r="D40" s="714"/>
      <c r="E40" s="714"/>
      <c r="F40" s="714"/>
      <c r="G40" s="714"/>
      <c r="H40" s="714"/>
      <c r="I40" s="715"/>
      <c r="J40" s="714"/>
      <c r="K40" s="714"/>
      <c r="M40" s="2" t="s">
        <v>1221</v>
      </c>
      <c r="N40" s="716"/>
      <c r="O40" s="716"/>
      <c r="P40" s="716"/>
      <c r="Q40" s="716"/>
      <c r="R40" s="716"/>
      <c r="S40" s="716"/>
      <c r="T40" s="716"/>
      <c r="U40" s="716"/>
      <c r="V40" s="716"/>
    </row>
    <row r="41" spans="1:22" ht="12" customHeight="1">
      <c r="A41" s="713" t="s">
        <v>1225</v>
      </c>
      <c r="B41" s="714"/>
      <c r="C41" s="714"/>
      <c r="D41" s="714"/>
      <c r="E41" s="714"/>
      <c r="F41" s="714"/>
      <c r="G41" s="714"/>
      <c r="H41" s="714"/>
      <c r="I41" s="715"/>
      <c r="J41" s="714"/>
      <c r="K41" s="714"/>
      <c r="N41" s="716"/>
      <c r="O41" s="716"/>
      <c r="P41" s="716"/>
      <c r="Q41" s="716"/>
      <c r="R41" s="716"/>
      <c r="S41" s="716"/>
      <c r="T41" s="716"/>
      <c r="U41" s="716"/>
      <c r="V41" s="716"/>
    </row>
    <row r="42" spans="1:22" ht="12" customHeight="1">
      <c r="A42" s="713" t="s">
        <v>1226</v>
      </c>
      <c r="B42" s="714"/>
      <c r="C42" s="714"/>
      <c r="D42" s="714"/>
      <c r="E42" s="714"/>
      <c r="F42" s="714"/>
      <c r="G42" s="714"/>
      <c r="H42" s="714"/>
      <c r="I42" s="715"/>
      <c r="J42" s="714"/>
      <c r="K42" s="714"/>
      <c r="N42" s="716"/>
      <c r="O42" s="716"/>
      <c r="P42" s="716"/>
      <c r="Q42" s="716"/>
      <c r="R42" s="716"/>
      <c r="S42" s="716"/>
      <c r="T42" s="716"/>
      <c r="U42" s="716"/>
      <c r="V42" s="716"/>
    </row>
    <row r="43" spans="1:22" ht="12" customHeight="1">
      <c r="A43" s="713" t="s">
        <v>1227</v>
      </c>
      <c r="B43" s="714"/>
      <c r="C43" s="714"/>
      <c r="D43" s="714"/>
      <c r="E43" s="714"/>
      <c r="F43" s="714"/>
      <c r="G43" s="714"/>
      <c r="H43" s="714"/>
      <c r="I43" s="715"/>
      <c r="J43" s="714"/>
      <c r="K43" s="714"/>
      <c r="N43" s="716"/>
      <c r="O43" s="716"/>
      <c r="P43" s="716"/>
      <c r="Q43" s="716"/>
      <c r="R43" s="716"/>
      <c r="S43" s="716"/>
      <c r="T43" s="716"/>
      <c r="U43" s="716"/>
      <c r="V43" s="716"/>
    </row>
    <row r="44" spans="1:22" ht="12" customHeight="1">
      <c r="A44" s="713" t="s">
        <v>1228</v>
      </c>
      <c r="B44" s="714"/>
      <c r="C44" s="714"/>
      <c r="D44" s="714"/>
      <c r="E44" s="714"/>
      <c r="F44" s="714"/>
      <c r="G44" s="714"/>
      <c r="H44" s="714"/>
      <c r="I44" s="715"/>
      <c r="J44" s="714"/>
      <c r="K44" s="714"/>
      <c r="N44" s="716"/>
      <c r="O44" s="716"/>
      <c r="P44" s="716"/>
      <c r="Q44" s="716"/>
      <c r="R44" s="716"/>
      <c r="S44" s="716"/>
      <c r="T44" s="716"/>
      <c r="U44" s="716"/>
      <c r="V44" s="716"/>
    </row>
    <row r="45" spans="1:22" ht="12" customHeight="1">
      <c r="A45" s="713" t="s">
        <v>1229</v>
      </c>
      <c r="B45" s="714"/>
      <c r="C45" s="714"/>
      <c r="D45" s="714"/>
      <c r="E45" s="714"/>
      <c r="F45" s="714"/>
      <c r="G45" s="714"/>
      <c r="H45" s="714"/>
      <c r="I45" s="715"/>
      <c r="J45" s="714"/>
      <c r="K45" s="714"/>
      <c r="N45" s="716"/>
      <c r="O45" s="716"/>
      <c r="P45" s="716"/>
      <c r="Q45" s="716"/>
      <c r="R45" s="716"/>
      <c r="S45" s="716"/>
      <c r="T45" s="716"/>
      <c r="U45" s="716"/>
      <c r="V45" s="716"/>
    </row>
    <row r="46" spans="1:22" ht="12" customHeight="1">
      <c r="A46" s="717" t="s">
        <v>1230</v>
      </c>
      <c r="B46" s="714"/>
      <c r="C46" s="714"/>
      <c r="D46" s="714"/>
      <c r="E46" s="714"/>
      <c r="F46" s="714"/>
      <c r="G46" s="714"/>
      <c r="H46" s="714"/>
      <c r="I46" s="715"/>
      <c r="J46" s="714"/>
      <c r="K46" s="714"/>
      <c r="N46" s="716"/>
      <c r="O46" s="716"/>
      <c r="P46" s="716"/>
      <c r="Q46" s="716"/>
      <c r="R46" s="716"/>
      <c r="S46" s="716"/>
      <c r="T46" s="716"/>
      <c r="U46" s="716"/>
      <c r="V46" s="716"/>
    </row>
    <row r="47" spans="1:22" ht="12" customHeight="1">
      <c r="A47" s="713"/>
      <c r="B47" s="714"/>
      <c r="C47" s="714"/>
      <c r="D47" s="714"/>
      <c r="E47" s="714"/>
      <c r="F47" s="714"/>
      <c r="G47" s="714"/>
      <c r="H47" s="714"/>
      <c r="I47" s="715"/>
      <c r="J47" s="714"/>
      <c r="K47" s="714"/>
      <c r="N47" s="716"/>
      <c r="O47" s="716"/>
      <c r="P47" s="716"/>
      <c r="Q47" s="716"/>
      <c r="R47" s="716"/>
      <c r="S47" s="716"/>
      <c r="T47" s="716"/>
      <c r="U47" s="716"/>
      <c r="V47" s="716"/>
    </row>
    <row r="48" spans="1:22" ht="12" customHeight="1">
      <c r="A48" s="713"/>
      <c r="B48" s="714"/>
      <c r="C48" s="714"/>
      <c r="D48" s="714"/>
      <c r="E48" s="714"/>
      <c r="F48" s="714"/>
      <c r="G48" s="714"/>
      <c r="H48" s="714"/>
      <c r="I48" s="715"/>
      <c r="J48" s="714"/>
      <c r="K48" s="714"/>
      <c r="N48" s="716"/>
      <c r="O48" s="716"/>
      <c r="P48" s="716"/>
      <c r="Q48" s="716"/>
      <c r="R48" s="716"/>
      <c r="S48" s="716"/>
      <c r="T48" s="716"/>
      <c r="U48" s="716"/>
      <c r="V48" s="716"/>
    </row>
    <row r="49" spans="1:22" ht="12" customHeight="1">
      <c r="A49" s="713" t="s">
        <v>128</v>
      </c>
      <c r="B49" s="714"/>
      <c r="C49" s="714"/>
      <c r="D49" s="714"/>
      <c r="E49" s="714"/>
      <c r="F49" s="714"/>
      <c r="G49" s="714"/>
      <c r="H49" s="714"/>
      <c r="I49" s="715"/>
      <c r="J49" s="714"/>
      <c r="K49" s="714"/>
      <c r="N49" s="716"/>
      <c r="O49" s="716"/>
      <c r="P49" s="716"/>
      <c r="Q49" s="716"/>
      <c r="R49" s="716"/>
      <c r="S49" s="716"/>
      <c r="T49" s="716"/>
      <c r="U49" s="716"/>
      <c r="V49" s="716"/>
    </row>
    <row r="50" spans="1:22" ht="12" customHeight="1">
      <c r="A50" s="713"/>
      <c r="B50" s="714"/>
      <c r="C50" s="714"/>
      <c r="D50" s="714"/>
      <c r="E50" s="714"/>
      <c r="F50" s="714"/>
      <c r="G50" s="714"/>
      <c r="H50" s="714"/>
      <c r="I50" s="715"/>
      <c r="J50" s="714"/>
      <c r="K50" s="714"/>
      <c r="N50" s="716"/>
      <c r="O50" s="716"/>
      <c r="P50" s="716"/>
      <c r="Q50" s="716"/>
      <c r="R50" s="716"/>
      <c r="S50" s="716"/>
      <c r="T50" s="716"/>
      <c r="U50" s="716"/>
      <c r="V50" s="716"/>
    </row>
    <row r="51" spans="1:22" ht="12" customHeight="1">
      <c r="A51" s="717"/>
      <c r="B51" s="718"/>
      <c r="C51" s="718"/>
      <c r="D51" s="718"/>
      <c r="E51" s="718"/>
      <c r="F51" s="718"/>
      <c r="G51" s="718"/>
      <c r="H51" s="718"/>
      <c r="I51" s="719"/>
      <c r="J51" s="718"/>
      <c r="K51" s="718"/>
      <c r="N51" s="716"/>
      <c r="O51" s="716"/>
      <c r="P51" s="716"/>
      <c r="Q51" s="716"/>
      <c r="R51" s="716"/>
      <c r="S51" s="716"/>
      <c r="T51" s="716"/>
      <c r="U51" s="716"/>
      <c r="V51" s="716"/>
    </row>
    <row r="52" spans="1:22">
      <c r="A52" s="211"/>
      <c r="B52" s="720"/>
      <c r="C52" s="720"/>
      <c r="D52" s="720"/>
      <c r="E52" s="720"/>
      <c r="F52" s="720"/>
      <c r="G52" s="720"/>
      <c r="H52" s="720"/>
      <c r="I52" s="676"/>
      <c r="J52" s="720"/>
      <c r="K52" s="720"/>
    </row>
  </sheetData>
  <phoneticPr fontId="0" type="noConversion"/>
  <pageMargins left="0.48" right="0.47" top="1" bottom="0.49" header="0.48" footer="0.4921259845"/>
  <pageSetup paperSize="9" scale="82" orientation="portrait" horizontalDpi="4294967292" verticalDpi="4294967292"/>
  <headerFooter alignWithMargins="0"/>
  <drawing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D08A3-A636-CD44-A82D-8294D1975002}">
  <sheetPr>
    <pageSetUpPr fitToPage="1"/>
  </sheetPr>
  <dimension ref="A1:N36"/>
  <sheetViews>
    <sheetView topLeftCell="A8" zoomScale="75" workbookViewId="0">
      <selection activeCell="A18" sqref="A18"/>
    </sheetView>
  </sheetViews>
  <sheetFormatPr baseColWidth="10" defaultColWidth="11.3984375" defaultRowHeight="13"/>
  <cols>
    <col min="1" max="1" width="11.796875" style="2" customWidth="1"/>
    <col min="2" max="8" width="11.796875" style="170" customWidth="1"/>
    <col min="9" max="9" width="12.19921875" style="170" customWidth="1"/>
    <col min="10" max="10" width="7.19921875" style="2" customWidth="1"/>
    <col min="11" max="16384" width="11.3984375" style="2"/>
  </cols>
  <sheetData>
    <row r="1" spans="1:9" s="1" customFormat="1" ht="14" customHeight="1">
      <c r="A1" s="404"/>
      <c r="B1" s="690"/>
      <c r="C1" s="690"/>
      <c r="D1" s="690"/>
      <c r="E1" s="690"/>
      <c r="F1" s="690"/>
      <c r="G1" s="690"/>
      <c r="H1" s="690"/>
      <c r="I1" s="690"/>
    </row>
    <row r="2" spans="1:9" s="1" customFormat="1" ht="42.75" customHeight="1">
      <c r="A2" s="1611" t="s">
        <v>1242</v>
      </c>
      <c r="B2" s="1610"/>
      <c r="C2" s="1610"/>
      <c r="D2" s="1610"/>
      <c r="E2" s="1610"/>
      <c r="F2" s="1610"/>
      <c r="G2" s="1610"/>
      <c r="H2" s="1610"/>
      <c r="I2" s="192">
        <v>2005</v>
      </c>
    </row>
    <row r="3" spans="1:9" ht="27" customHeight="1">
      <c r="A3" s="125" t="s">
        <v>1254</v>
      </c>
      <c r="B3" s="126" t="s">
        <v>1195</v>
      </c>
      <c r="C3" s="127" t="s">
        <v>265</v>
      </c>
      <c r="D3" s="126" t="s">
        <v>1805</v>
      </c>
      <c r="E3" s="127" t="s">
        <v>1243</v>
      </c>
      <c r="F3" s="126" t="s">
        <v>1250</v>
      </c>
      <c r="G3" s="127" t="s">
        <v>1805</v>
      </c>
      <c r="H3" s="126" t="s">
        <v>1244</v>
      </c>
      <c r="I3" s="127" t="s">
        <v>1250</v>
      </c>
    </row>
    <row r="4" spans="1:9" ht="17.25" customHeight="1">
      <c r="A4" s="212"/>
      <c r="B4" s="353" t="s">
        <v>1201</v>
      </c>
      <c r="C4" s="692" t="s">
        <v>267</v>
      </c>
      <c r="D4" s="129" t="s">
        <v>1307</v>
      </c>
      <c r="E4" s="131" t="s">
        <v>1308</v>
      </c>
      <c r="F4" s="129" t="s">
        <v>267</v>
      </c>
      <c r="G4" s="131" t="s">
        <v>1205</v>
      </c>
      <c r="H4" s="129" t="s">
        <v>1245</v>
      </c>
      <c r="I4" s="131" t="s">
        <v>267</v>
      </c>
    </row>
    <row r="5" spans="1:9" ht="18.75" customHeight="1">
      <c r="A5" s="212"/>
      <c r="B5" s="353" t="s">
        <v>1210</v>
      </c>
      <c r="C5" s="692" t="s">
        <v>268</v>
      </c>
      <c r="D5" s="353"/>
      <c r="E5" s="692"/>
      <c r="F5" s="353" t="s">
        <v>268</v>
      </c>
      <c r="G5" s="131" t="s">
        <v>1309</v>
      </c>
      <c r="H5" s="353" t="s">
        <v>1310</v>
      </c>
      <c r="I5" s="131" t="s">
        <v>268</v>
      </c>
    </row>
    <row r="6" spans="1:9" ht="21" customHeight="1">
      <c r="A6" s="308"/>
      <c r="B6" s="135" t="s">
        <v>1238</v>
      </c>
      <c r="C6" s="134"/>
      <c r="D6" s="135"/>
      <c r="E6" s="134"/>
      <c r="F6" s="135"/>
      <c r="G6" s="134"/>
      <c r="H6" s="135"/>
      <c r="I6" s="134"/>
    </row>
    <row r="7" spans="1:9" ht="21.75" customHeight="1" thickBot="1">
      <c r="A7" s="354">
        <v>1996</v>
      </c>
      <c r="B7" s="157">
        <v>7105446</v>
      </c>
      <c r="C7" s="158">
        <v>3.459706242723432E-3</v>
      </c>
      <c r="D7" s="157">
        <v>12711</v>
      </c>
      <c r="E7" s="721">
        <v>1.7889095209505499</v>
      </c>
      <c r="F7" s="300">
        <v>2.7595951533686547E-2</v>
      </c>
      <c r="G7" s="217">
        <v>1649</v>
      </c>
      <c r="H7" s="722">
        <v>2.3207550940503947</v>
      </c>
      <c r="I7" s="158">
        <v>1.4104900491136441E-3</v>
      </c>
    </row>
    <row r="8" spans="1:9" ht="18" customHeight="1" thickBot="1">
      <c r="A8" s="355">
        <v>1997</v>
      </c>
      <c r="B8" s="159">
        <v>7113565</v>
      </c>
      <c r="C8" s="160">
        <v>1.142644670017899E-3</v>
      </c>
      <c r="D8" s="159">
        <v>13038</v>
      </c>
      <c r="E8" s="723">
        <v>1.8328362782936545</v>
      </c>
      <c r="F8" s="301">
        <v>2.4555046987375651E-2</v>
      </c>
      <c r="G8" s="219">
        <v>1651</v>
      </c>
      <c r="H8" s="696">
        <v>2.3209178520193463</v>
      </c>
      <c r="I8" s="160">
        <v>7.0131471161527514E-5</v>
      </c>
    </row>
    <row r="9" spans="1:9" ht="18" customHeight="1" thickBot="1">
      <c r="A9" s="355">
        <v>1998</v>
      </c>
      <c r="B9" s="159">
        <v>7131888</v>
      </c>
      <c r="C9" s="160">
        <v>2.5757830286220764E-3</v>
      </c>
      <c r="D9" s="159">
        <v>13357</v>
      </c>
      <c r="E9" s="723">
        <v>1.8728561076674226</v>
      </c>
      <c r="F9" s="301">
        <v>2.1834917743458249E-2</v>
      </c>
      <c r="G9" s="219">
        <v>1653</v>
      </c>
      <c r="H9" s="696">
        <v>2.3177593366581193</v>
      </c>
      <c r="I9" s="160">
        <v>-1.3608906314710456E-3</v>
      </c>
    </row>
    <row r="10" spans="1:9" ht="18" customHeight="1" thickBot="1">
      <c r="A10" s="355">
        <v>1999</v>
      </c>
      <c r="B10" s="159">
        <v>7166738</v>
      </c>
      <c r="C10" s="160">
        <v>4.8865041066264644E-3</v>
      </c>
      <c r="D10" s="159">
        <v>13622</v>
      </c>
      <c r="E10" s="723">
        <v>1.9007252671996662</v>
      </c>
      <c r="F10" s="301">
        <v>1.4880566327625466E-2</v>
      </c>
      <c r="G10" s="219">
        <v>1654</v>
      </c>
      <c r="H10" s="696">
        <v>2.3078840052475758</v>
      </c>
      <c r="I10" s="160">
        <v>-4.260723386743992E-3</v>
      </c>
    </row>
    <row r="11" spans="1:9" ht="18" customHeight="1" thickBot="1">
      <c r="A11" s="355">
        <v>2000</v>
      </c>
      <c r="B11" s="159">
        <v>7209042</v>
      </c>
      <c r="C11" s="160">
        <v>5.9028249672305588E-3</v>
      </c>
      <c r="D11" s="159">
        <v>13935</v>
      </c>
      <c r="E11" s="723">
        <v>1.9329891544535323</v>
      </c>
      <c r="F11" s="301">
        <v>1.6974513787255674E-2</v>
      </c>
      <c r="G11" s="219">
        <v>1664</v>
      </c>
      <c r="H11" s="696">
        <v>2.3082123810625603</v>
      </c>
      <c r="I11" s="160">
        <v>1.4228436708174641E-4</v>
      </c>
    </row>
    <row r="12" spans="1:9" ht="18" customHeight="1" thickBot="1">
      <c r="A12" s="355">
        <v>2001</v>
      </c>
      <c r="B12" s="159">
        <v>7260339</v>
      </c>
      <c r="C12" s="160">
        <v>7.1156472663080617E-3</v>
      </c>
      <c r="D12" s="159">
        <v>14178</v>
      </c>
      <c r="E12" s="723">
        <v>1.952801377456342</v>
      </c>
      <c r="F12" s="301">
        <v>1.0249526210306614E-2</v>
      </c>
      <c r="G12" s="219">
        <v>1653</v>
      </c>
      <c r="H12" s="696">
        <v>2.2767531929294211</v>
      </c>
      <c r="I12" s="160">
        <v>-1.362924330154458E-2</v>
      </c>
    </row>
    <row r="13" spans="1:9" ht="18" customHeight="1" thickBot="1">
      <c r="A13" s="355">
        <v>2002</v>
      </c>
      <c r="B13" s="159">
        <v>7347770</v>
      </c>
      <c r="C13" s="160">
        <v>1.2042275160980775E-2</v>
      </c>
      <c r="D13" s="159">
        <v>14408</v>
      </c>
      <c r="E13" s="723">
        <v>1.9608670385708864</v>
      </c>
      <c r="F13" s="301">
        <v>4.1303028601149538E-3</v>
      </c>
      <c r="G13" s="219">
        <v>1648</v>
      </c>
      <c r="H13" s="696">
        <v>2.2428573567218355</v>
      </c>
      <c r="I13" s="160">
        <v>-1.4887795617395394E-2</v>
      </c>
    </row>
    <row r="14" spans="1:9" ht="18" customHeight="1" thickBot="1">
      <c r="A14" s="355">
        <v>2003</v>
      </c>
      <c r="B14" s="159">
        <v>7405051</v>
      </c>
      <c r="C14" s="160">
        <v>7.7956985588824908E-3</v>
      </c>
      <c r="D14" s="159">
        <v>14879</v>
      </c>
      <c r="E14" s="723">
        <v>2.0093041898023394</v>
      </c>
      <c r="F14" s="301">
        <v>2.4701904962793897E-2</v>
      </c>
      <c r="G14" s="219">
        <v>1653</v>
      </c>
      <c r="H14" s="696">
        <v>2.2322601154266191</v>
      </c>
      <c r="I14" s="160">
        <v>-4.7248842033830174E-3</v>
      </c>
    </row>
    <row r="15" spans="1:9" ht="18" customHeight="1" thickBot="1">
      <c r="A15" s="355">
        <v>2004</v>
      </c>
      <c r="B15" s="159">
        <v>7454112</v>
      </c>
      <c r="C15" s="160">
        <v>6.6253426208678374E-3</v>
      </c>
      <c r="D15" s="159">
        <v>15199</v>
      </c>
      <c r="E15" s="723">
        <v>2.03900880480465</v>
      </c>
      <c r="F15" s="301">
        <v>1.4783533102189272E-2</v>
      </c>
      <c r="G15" s="219">
        <v>1656</v>
      </c>
      <c r="H15" s="696">
        <v>2.2215925921155999</v>
      </c>
      <c r="I15" s="160">
        <v>-4.7787994048267279E-3</v>
      </c>
    </row>
    <row r="16" spans="1:9" ht="30" customHeight="1" thickBot="1">
      <c r="A16" s="357">
        <v>2005</v>
      </c>
      <c r="B16" s="221">
        <v>7501255</v>
      </c>
      <c r="C16" s="303">
        <v>6.324428718001554E-3</v>
      </c>
      <c r="D16" s="221">
        <v>15313</v>
      </c>
      <c r="E16" s="724">
        <v>2.0413917404487649</v>
      </c>
      <c r="F16" s="302">
        <v>1.1686735429978778E-3</v>
      </c>
      <c r="G16" s="222">
        <v>1672</v>
      </c>
      <c r="H16" s="725">
        <v>2.2289603539674361</v>
      </c>
      <c r="I16" s="303">
        <v>3.3164324899102038E-3</v>
      </c>
    </row>
    <row r="17" spans="1:14" ht="20" customHeight="1">
      <c r="A17" s="708" t="s">
        <v>868</v>
      </c>
      <c r="B17" s="709"/>
      <c r="C17" s="709"/>
      <c r="D17" s="709"/>
      <c r="E17" s="709"/>
      <c r="F17" s="709"/>
      <c r="G17" s="709"/>
      <c r="H17" s="709"/>
      <c r="I17" s="709"/>
    </row>
    <row r="18" spans="1:14" ht="17.25" customHeight="1">
      <c r="A18" s="713"/>
      <c r="B18" s="714"/>
      <c r="C18" s="714"/>
      <c r="D18" s="714"/>
      <c r="E18" s="714"/>
      <c r="F18" s="714"/>
      <c r="G18" s="714"/>
      <c r="H18" s="714"/>
      <c r="I18" s="714"/>
    </row>
    <row r="19" spans="1:14" ht="12" customHeight="1">
      <c r="A19" s="713" t="s">
        <v>1246</v>
      </c>
      <c r="B19" s="714"/>
      <c r="C19" s="714"/>
      <c r="D19" s="714"/>
      <c r="E19" s="714"/>
      <c r="F19" s="714"/>
      <c r="G19" s="714"/>
      <c r="H19" s="714"/>
      <c r="I19" s="714"/>
    </row>
    <row r="20" spans="1:14" ht="12" customHeight="1">
      <c r="A20" s="507" t="s">
        <v>1247</v>
      </c>
      <c r="B20" s="714"/>
      <c r="C20" s="714"/>
      <c r="D20" s="714"/>
      <c r="E20" s="714"/>
      <c r="F20" s="714"/>
      <c r="G20" s="714"/>
      <c r="H20" s="714"/>
      <c r="I20" s="714"/>
    </row>
    <row r="21" spans="1:14" ht="12" customHeight="1">
      <c r="A21" s="507" t="s">
        <v>1248</v>
      </c>
      <c r="B21" s="714"/>
      <c r="C21" s="714"/>
      <c r="D21" s="714"/>
      <c r="E21" s="714"/>
      <c r="F21" s="714"/>
      <c r="G21" s="714"/>
      <c r="H21" s="714"/>
      <c r="I21" s="714"/>
    </row>
    <row r="22" spans="1:14" ht="12" customHeight="1">
      <c r="A22" s="507" t="s">
        <v>1249</v>
      </c>
      <c r="B22" s="714"/>
      <c r="C22" s="714"/>
      <c r="D22" s="714"/>
      <c r="E22" s="714"/>
      <c r="F22" s="714"/>
      <c r="G22" s="714"/>
      <c r="H22" s="714"/>
      <c r="I22" s="714"/>
    </row>
    <row r="23" spans="1:14" ht="15" customHeight="1">
      <c r="A23" s="171"/>
      <c r="B23" s="726"/>
      <c r="C23" s="726"/>
      <c r="D23" s="726"/>
      <c r="E23" s="726"/>
      <c r="F23" s="726"/>
      <c r="G23" s="726"/>
      <c r="H23" s="726"/>
      <c r="I23" s="726"/>
    </row>
    <row r="24" spans="1:14" ht="15" customHeight="1">
      <c r="A24" s="5"/>
      <c r="B24" s="727"/>
      <c r="C24" s="727"/>
      <c r="D24" s="727"/>
      <c r="E24" s="727"/>
      <c r="F24" s="727"/>
      <c r="G24" s="727"/>
      <c r="H24" s="727"/>
      <c r="I24" s="727"/>
      <c r="J24" s="5"/>
      <c r="K24" s="5"/>
      <c r="L24" s="5"/>
      <c r="M24" s="5"/>
      <c r="N24" s="5"/>
    </row>
    <row r="25" spans="1:14" ht="15" customHeight="1">
      <c r="A25" s="5" t="s">
        <v>128</v>
      </c>
      <c r="B25" s="727"/>
      <c r="C25" s="727"/>
      <c r="D25" s="727"/>
      <c r="E25" s="727"/>
      <c r="F25" s="727"/>
      <c r="G25" s="727"/>
      <c r="H25" s="727"/>
      <c r="I25" s="727"/>
      <c r="J25" s="5"/>
      <c r="K25" s="5"/>
      <c r="L25" s="728"/>
      <c r="M25" s="5"/>
      <c r="N25" s="5"/>
    </row>
    <row r="26" spans="1:14" ht="31" customHeight="1">
      <c r="A26" s="5"/>
      <c r="B26" s="727"/>
      <c r="C26" s="727"/>
      <c r="D26" s="727"/>
      <c r="E26" s="727"/>
      <c r="F26" s="727"/>
      <c r="G26" s="727"/>
      <c r="H26" s="727"/>
      <c r="I26" s="727"/>
      <c r="J26" s="5"/>
      <c r="K26" s="5"/>
      <c r="L26" s="5"/>
      <c r="M26" s="5"/>
      <c r="N26" s="5"/>
    </row>
    <row r="27" spans="1:14" ht="31" customHeight="1">
      <c r="A27" s="5"/>
      <c r="B27" s="727"/>
      <c r="C27" s="727"/>
      <c r="D27" s="727"/>
      <c r="E27" s="727"/>
      <c r="F27" s="727"/>
      <c r="G27" s="727"/>
      <c r="H27" s="727"/>
      <c r="I27" s="727"/>
      <c r="J27" s="5"/>
      <c r="K27" s="5"/>
      <c r="L27" s="5"/>
      <c r="M27" s="5"/>
      <c r="N27" s="5"/>
    </row>
    <row r="28" spans="1:14" ht="31" customHeight="1">
      <c r="A28" s="5"/>
      <c r="B28" s="727"/>
      <c r="C28" s="727"/>
      <c r="D28" s="727"/>
      <c r="E28" s="727"/>
      <c r="F28" s="727"/>
      <c r="G28" s="727"/>
      <c r="H28" s="727"/>
      <c r="I28" s="727"/>
      <c r="J28" s="5"/>
      <c r="K28" s="5"/>
      <c r="L28" s="5"/>
      <c r="M28" s="5"/>
      <c r="N28" s="5"/>
    </row>
    <row r="29" spans="1:14" ht="31" customHeight="1">
      <c r="A29" s="5"/>
      <c r="B29" s="727"/>
      <c r="C29" s="727"/>
      <c r="D29" s="727"/>
      <c r="E29" s="727"/>
      <c r="F29" s="727"/>
      <c r="G29" s="727"/>
      <c r="H29" s="727"/>
      <c r="I29" s="727"/>
      <c r="J29" s="5"/>
      <c r="K29" s="5"/>
      <c r="L29" s="5"/>
      <c r="M29" s="5"/>
      <c r="N29" s="5"/>
    </row>
    <row r="30" spans="1:14" ht="31" customHeight="1">
      <c r="A30" s="5"/>
      <c r="B30" s="727"/>
      <c r="C30" s="727"/>
      <c r="D30" s="727"/>
      <c r="E30" s="727"/>
      <c r="F30" s="727"/>
      <c r="G30" s="727"/>
      <c r="H30" s="727"/>
      <c r="I30" s="727"/>
      <c r="J30" s="5"/>
      <c r="K30" s="5"/>
      <c r="L30" s="5"/>
      <c r="M30" s="5"/>
      <c r="N30" s="5"/>
    </row>
    <row r="31" spans="1:14" ht="18" customHeight="1">
      <c r="A31" s="5"/>
      <c r="B31" s="727"/>
      <c r="C31" s="727"/>
      <c r="D31" s="727"/>
      <c r="E31" s="727"/>
      <c r="F31" s="727"/>
      <c r="G31" s="727"/>
      <c r="H31" s="727"/>
      <c r="I31" s="727"/>
      <c r="J31" s="5"/>
      <c r="K31" s="5"/>
      <c r="L31" s="5"/>
      <c r="M31" s="5"/>
      <c r="N31" s="5"/>
    </row>
    <row r="32" spans="1:14">
      <c r="A32" s="5"/>
      <c r="B32" s="727"/>
      <c r="C32" s="727"/>
      <c r="D32" s="727"/>
      <c r="E32" s="727"/>
      <c r="F32" s="727"/>
      <c r="G32" s="727"/>
      <c r="H32" s="727"/>
      <c r="I32" s="727"/>
      <c r="J32" s="5"/>
      <c r="K32" s="5"/>
      <c r="L32" s="5"/>
      <c r="M32" s="5"/>
      <c r="N32" s="5"/>
    </row>
    <row r="33" spans="1:14">
      <c r="A33" s="5"/>
      <c r="B33" s="727"/>
      <c r="C33" s="727"/>
      <c r="D33" s="727"/>
      <c r="E33" s="727"/>
      <c r="F33" s="727"/>
      <c r="G33" s="727"/>
      <c r="H33" s="727"/>
      <c r="I33" s="727"/>
      <c r="J33" s="5"/>
      <c r="K33" s="5"/>
      <c r="L33" s="5"/>
      <c r="M33" s="5"/>
      <c r="N33" s="5"/>
    </row>
    <row r="34" spans="1:14">
      <c r="A34" s="5"/>
      <c r="B34" s="727"/>
      <c r="C34" s="727"/>
      <c r="D34" s="727"/>
      <c r="E34" s="727"/>
      <c r="F34" s="727"/>
      <c r="G34" s="727"/>
      <c r="H34" s="727"/>
      <c r="I34" s="727"/>
      <c r="J34" s="5"/>
      <c r="K34" s="5"/>
      <c r="L34" s="5"/>
      <c r="M34" s="5"/>
      <c r="N34" s="5"/>
    </row>
    <row r="35" spans="1:14">
      <c r="A35" s="5"/>
      <c r="B35" s="727"/>
      <c r="C35" s="727"/>
      <c r="D35" s="727"/>
      <c r="E35" s="727"/>
      <c r="F35" s="727"/>
      <c r="G35" s="727"/>
      <c r="H35" s="727"/>
      <c r="I35" s="727"/>
      <c r="J35" s="5"/>
      <c r="K35" s="5"/>
      <c r="L35" s="5"/>
      <c r="M35" s="5"/>
      <c r="N35" s="5"/>
    </row>
    <row r="36" spans="1:14">
      <c r="A36" s="5"/>
      <c r="B36" s="727"/>
      <c r="C36" s="727"/>
      <c r="D36" s="727"/>
      <c r="E36" s="727"/>
      <c r="F36" s="727"/>
      <c r="G36" s="727"/>
      <c r="H36" s="727"/>
      <c r="I36" s="727"/>
      <c r="J36" s="5"/>
      <c r="K36" s="5"/>
      <c r="L36" s="5"/>
      <c r="M36" s="5"/>
      <c r="N36" s="5"/>
    </row>
  </sheetData>
  <mergeCells count="1">
    <mergeCell ref="A2:H2"/>
  </mergeCells>
  <phoneticPr fontId="0" type="noConversion"/>
  <pageMargins left="0.55000000000000004" right="0.61" top="0.94" bottom="0.49" header="0.56999999999999995" footer="0.4921259845"/>
  <pageSetup paperSize="9" scale="87" orientation="portrait" horizontalDpi="4294967292" verticalDpi="4294967292"/>
  <headerFooter alignWithMargins="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E42A2-3B08-B64E-B04A-00EB4A8622C7}">
  <sheetPr>
    <pageSetUpPr fitToPage="1"/>
  </sheetPr>
  <dimension ref="A1:N48"/>
  <sheetViews>
    <sheetView topLeftCell="A16" zoomScale="75" workbookViewId="0">
      <selection activeCell="I38" sqref="I38"/>
    </sheetView>
  </sheetViews>
  <sheetFormatPr baseColWidth="10" defaultColWidth="11.3984375" defaultRowHeight="13"/>
  <cols>
    <col min="1" max="1" width="9.3984375" style="2" customWidth="1"/>
    <col min="2" max="2" width="12.796875" style="170" customWidth="1"/>
    <col min="3" max="3" width="10.796875" style="170" customWidth="1"/>
    <col min="4" max="5" width="12.19921875" style="170" customWidth="1"/>
    <col min="6" max="6" width="12.796875" style="170" customWidth="1"/>
    <col min="7" max="7" width="0.19921875" style="170" customWidth="1"/>
    <col min="8" max="9" width="11.796875" style="2" customWidth="1"/>
    <col min="10" max="10" width="12.796875" customWidth="1"/>
    <col min="11" max="11" width="0.19921875" style="2" customWidth="1"/>
    <col min="12" max="12" width="11.796875" style="2" customWidth="1"/>
    <col min="13" max="13" width="11.3984375" style="2"/>
    <col min="14" max="14" width="13.3984375" style="2" customWidth="1"/>
    <col min="15" max="15" width="5.19921875" style="2" customWidth="1"/>
    <col min="16" max="16384" width="11.3984375" style="2"/>
  </cols>
  <sheetData>
    <row r="1" spans="1:14" s="1" customFormat="1" ht="14" customHeight="1">
      <c r="A1" s="404"/>
      <c r="B1" s="690"/>
      <c r="C1" s="690"/>
      <c r="D1" s="690"/>
      <c r="E1" s="690"/>
      <c r="F1" s="690"/>
      <c r="G1" s="690"/>
      <c r="H1" s="404"/>
      <c r="J1"/>
    </row>
    <row r="2" spans="1:14" s="1" customFormat="1" ht="27" customHeight="1">
      <c r="A2" s="405" t="s">
        <v>21</v>
      </c>
      <c r="B2" s="690"/>
      <c r="C2" s="690"/>
      <c r="D2" s="1016"/>
      <c r="E2" s="1016"/>
      <c r="F2" s="1016"/>
      <c r="G2" s="1016"/>
      <c r="H2" s="1050"/>
      <c r="I2" s="1051"/>
      <c r="J2" s="1052"/>
      <c r="K2" s="677"/>
      <c r="L2" s="677"/>
      <c r="M2" s="677"/>
      <c r="N2" s="192">
        <v>2005</v>
      </c>
    </row>
    <row r="3" spans="1:14" ht="21.75" customHeight="1">
      <c r="A3" s="125" t="s">
        <v>1254</v>
      </c>
      <c r="B3" s="230" t="s">
        <v>143</v>
      </c>
      <c r="C3" s="1018"/>
      <c r="D3" s="1017" t="s">
        <v>303</v>
      </c>
      <c r="E3" s="131"/>
      <c r="F3" s="129"/>
      <c r="G3" s="1053"/>
      <c r="H3" s="1017" t="s">
        <v>39</v>
      </c>
      <c r="I3" s="131"/>
      <c r="J3" s="129"/>
      <c r="K3" s="1053"/>
      <c r="L3" s="1017" t="s">
        <v>304</v>
      </c>
      <c r="M3" s="131"/>
      <c r="N3" s="126"/>
    </row>
    <row r="4" spans="1:14" ht="18" customHeight="1">
      <c r="A4" s="212"/>
      <c r="B4" s="233" t="s">
        <v>153</v>
      </c>
      <c r="C4" s="1054"/>
      <c r="D4" s="353"/>
      <c r="E4" s="131"/>
      <c r="F4" s="129"/>
      <c r="G4" s="1054"/>
      <c r="H4" s="353"/>
      <c r="I4" s="131"/>
      <c r="J4" s="129"/>
      <c r="K4" s="1054"/>
      <c r="L4" s="1055" t="s">
        <v>22</v>
      </c>
      <c r="M4" s="131"/>
      <c r="N4" s="129"/>
    </row>
    <row r="5" spans="1:14" s="398" customFormat="1" ht="15" customHeight="1">
      <c r="A5" s="232"/>
      <c r="B5" s="233" t="s">
        <v>23</v>
      </c>
      <c r="C5" s="1056" t="s">
        <v>2131</v>
      </c>
      <c r="D5" s="129" t="s">
        <v>2131</v>
      </c>
      <c r="E5" s="131" t="s">
        <v>2131</v>
      </c>
      <c r="F5" s="233" t="s">
        <v>143</v>
      </c>
      <c r="G5" s="1056" t="s">
        <v>2131</v>
      </c>
      <c r="H5" s="129" t="s">
        <v>2131</v>
      </c>
      <c r="I5" s="131" t="s">
        <v>2131</v>
      </c>
      <c r="J5" s="233" t="s">
        <v>143</v>
      </c>
      <c r="K5" s="1056" t="s">
        <v>2131</v>
      </c>
      <c r="L5" s="129" t="s">
        <v>2131</v>
      </c>
      <c r="M5" s="131" t="s">
        <v>2131</v>
      </c>
      <c r="N5" s="233" t="s">
        <v>143</v>
      </c>
    </row>
    <row r="6" spans="1:14" s="398" customFormat="1" ht="15" customHeight="1">
      <c r="A6" s="232"/>
      <c r="B6" s="233" t="s">
        <v>24</v>
      </c>
      <c r="C6" s="1056" t="s">
        <v>25</v>
      </c>
      <c r="D6" s="353" t="s">
        <v>26</v>
      </c>
      <c r="E6" s="131" t="s">
        <v>27</v>
      </c>
      <c r="F6" s="233" t="s">
        <v>153</v>
      </c>
      <c r="G6" s="1056" t="s">
        <v>25</v>
      </c>
      <c r="H6" s="353" t="s">
        <v>26</v>
      </c>
      <c r="I6" s="131" t="s">
        <v>27</v>
      </c>
      <c r="J6" s="233" t="s">
        <v>153</v>
      </c>
      <c r="K6" s="1056" t="s">
        <v>25</v>
      </c>
      <c r="L6" s="353" t="s">
        <v>26</v>
      </c>
      <c r="M6" s="131" t="s">
        <v>27</v>
      </c>
      <c r="N6" s="233" t="s">
        <v>153</v>
      </c>
    </row>
    <row r="7" spans="1:14" s="398" customFormat="1" ht="18" customHeight="1">
      <c r="A7" s="232"/>
      <c r="B7" s="1057" t="s">
        <v>40</v>
      </c>
      <c r="C7" s="1056" t="s">
        <v>28</v>
      </c>
      <c r="D7" s="233" t="s">
        <v>29</v>
      </c>
      <c r="E7" s="1572" t="s">
        <v>30</v>
      </c>
      <c r="F7" s="233"/>
      <c r="G7" s="1056" t="s">
        <v>28</v>
      </c>
      <c r="H7" s="1573" t="s">
        <v>30</v>
      </c>
      <c r="I7" s="1572" t="s">
        <v>30</v>
      </c>
      <c r="J7" s="233"/>
      <c r="K7" s="1056" t="s">
        <v>28</v>
      </c>
      <c r="L7" s="1573" t="s">
        <v>30</v>
      </c>
      <c r="M7" s="1572" t="s">
        <v>30</v>
      </c>
      <c r="N7" s="233"/>
    </row>
    <row r="8" spans="1:14" s="398" customFormat="1" ht="24" customHeight="1">
      <c r="A8" s="232"/>
      <c r="B8" s="233"/>
      <c r="C8" s="1574" t="s">
        <v>30</v>
      </c>
      <c r="D8" s="233"/>
      <c r="E8" s="234"/>
      <c r="F8" s="233"/>
      <c r="G8" s="1058"/>
      <c r="H8" s="233"/>
      <c r="I8" s="234"/>
      <c r="J8" s="233"/>
      <c r="K8" s="1058"/>
      <c r="L8" s="233"/>
      <c r="M8" s="234"/>
      <c r="N8" s="233"/>
    </row>
    <row r="9" spans="1:14" ht="3" customHeight="1" thickBot="1">
      <c r="A9" s="993">
        <v>1994</v>
      </c>
      <c r="B9" s="1059">
        <v>7131653</v>
      </c>
      <c r="C9" s="1060" t="s">
        <v>1646</v>
      </c>
      <c r="D9" s="1061">
        <v>0.19055217633275204</v>
      </c>
      <c r="E9" s="1062">
        <v>0.10299505598491682</v>
      </c>
      <c r="F9" s="1059">
        <v>2093477</v>
      </c>
      <c r="G9" s="1060" t="s">
        <v>1646</v>
      </c>
      <c r="H9" s="1061" t="s">
        <v>1646</v>
      </c>
      <c r="I9" s="1062" t="s">
        <v>1646</v>
      </c>
      <c r="J9" s="1061" t="s">
        <v>1646</v>
      </c>
      <c r="K9" s="1060" t="s">
        <v>1646</v>
      </c>
      <c r="L9" s="1061" t="s">
        <v>1646</v>
      </c>
      <c r="M9" s="1062" t="s">
        <v>1646</v>
      </c>
      <c r="N9" s="1061" t="s">
        <v>1646</v>
      </c>
    </row>
    <row r="10" spans="1:14" ht="24" hidden="1" customHeight="1" thickBot="1">
      <c r="A10" s="993">
        <v>1995</v>
      </c>
      <c r="B10" s="1059">
        <v>7166317</v>
      </c>
      <c r="C10" s="1060" t="s">
        <v>1646</v>
      </c>
      <c r="D10" s="1061">
        <v>0.19392360120268193</v>
      </c>
      <c r="E10" s="1062">
        <v>0.10486920966515995</v>
      </c>
      <c r="F10" s="1059">
        <v>2141244</v>
      </c>
      <c r="G10" s="1060" t="s">
        <v>1646</v>
      </c>
      <c r="H10" s="1061" t="s">
        <v>1646</v>
      </c>
      <c r="I10" s="1062" t="s">
        <v>1646</v>
      </c>
      <c r="J10" s="1061" t="s">
        <v>1646</v>
      </c>
      <c r="K10" s="1060" t="s">
        <v>1646</v>
      </c>
      <c r="L10" s="1061" t="s">
        <v>1646</v>
      </c>
      <c r="M10" s="1062" t="s">
        <v>1646</v>
      </c>
      <c r="N10" s="1061" t="s">
        <v>1646</v>
      </c>
    </row>
    <row r="11" spans="1:14" ht="23.25" customHeight="1" thickBot="1">
      <c r="A11" s="993">
        <v>1996</v>
      </c>
      <c r="B11" s="1059">
        <v>7194754</v>
      </c>
      <c r="C11" s="1060" t="s">
        <v>1646</v>
      </c>
      <c r="D11" s="1061">
        <v>0.18782351696805755</v>
      </c>
      <c r="E11" s="1062">
        <v>0.10061414191506757</v>
      </c>
      <c r="F11" s="1059">
        <v>2075238</v>
      </c>
      <c r="G11" s="1060" t="s">
        <v>1646</v>
      </c>
      <c r="H11" s="1061" t="s">
        <v>1646</v>
      </c>
      <c r="I11" s="1062" t="s">
        <v>1646</v>
      </c>
      <c r="J11" s="1061" t="s">
        <v>1646</v>
      </c>
      <c r="K11" s="1060" t="s">
        <v>1646</v>
      </c>
      <c r="L11" s="1061" t="s">
        <v>1646</v>
      </c>
      <c r="M11" s="1062" t="s">
        <v>1646</v>
      </c>
      <c r="N11" s="1061" t="s">
        <v>1646</v>
      </c>
    </row>
    <row r="12" spans="1:14" ht="24" customHeight="1" thickBot="1">
      <c r="A12" s="993">
        <v>1997</v>
      </c>
      <c r="B12" s="1059">
        <v>7214805</v>
      </c>
      <c r="C12" s="1060" t="s">
        <v>1646</v>
      </c>
      <c r="D12" s="1061">
        <v>0.17122098241047401</v>
      </c>
      <c r="E12" s="1062">
        <v>8.6709897218289339E-2</v>
      </c>
      <c r="F12" s="1059">
        <v>1860921</v>
      </c>
      <c r="G12" s="1060">
        <v>4.6746100552960197E-2</v>
      </c>
      <c r="H12" s="1061">
        <v>2.1729346808402997E-2</v>
      </c>
      <c r="I12" s="1062">
        <v>6.734901359080391E-3</v>
      </c>
      <c r="J12" s="1059">
        <v>205364</v>
      </c>
      <c r="K12" s="1060" t="s">
        <v>1646</v>
      </c>
      <c r="L12" s="1061">
        <v>0.192950329218877</v>
      </c>
      <c r="M12" s="1062">
        <v>9.3444798577369731E-2</v>
      </c>
      <c r="N12" s="1059">
        <v>2066285</v>
      </c>
    </row>
    <row r="13" spans="1:14" ht="24" customHeight="1" thickBot="1">
      <c r="A13" s="993">
        <v>1998</v>
      </c>
      <c r="B13" s="1059">
        <v>7248603</v>
      </c>
      <c r="C13" s="1060" t="s">
        <v>1646</v>
      </c>
      <c r="D13" s="1061">
        <v>0.16889778623549945</v>
      </c>
      <c r="E13" s="1062">
        <v>8.0429428953413512E-2</v>
      </c>
      <c r="F13" s="1059">
        <v>1807274</v>
      </c>
      <c r="G13" s="1060">
        <v>4.7327740255605114E-2</v>
      </c>
      <c r="H13" s="1061">
        <v>2.1183943995829266E-2</v>
      </c>
      <c r="I13" s="1062">
        <v>6.9956928252243918E-3</v>
      </c>
      <c r="J13" s="1059">
        <v>204263</v>
      </c>
      <c r="K13" s="1060" t="s">
        <v>1646</v>
      </c>
      <c r="L13" s="1061">
        <v>0.19008173023132871</v>
      </c>
      <c r="M13" s="1062">
        <v>8.7425121778637899E-2</v>
      </c>
      <c r="N13" s="1059">
        <v>2011537</v>
      </c>
    </row>
    <row r="14" spans="1:14" ht="24" customHeight="1" thickBot="1">
      <c r="A14" s="355">
        <v>1999</v>
      </c>
      <c r="B14" s="1059">
        <v>7266534</v>
      </c>
      <c r="C14" s="1060" t="s">
        <v>1646</v>
      </c>
      <c r="D14" s="1061">
        <v>0.15472314586293823</v>
      </c>
      <c r="E14" s="1062">
        <v>7.4331173569132131E-2</v>
      </c>
      <c r="F14" s="1059">
        <v>1664431</v>
      </c>
      <c r="G14" s="1060">
        <v>7.5837668962947122E-2</v>
      </c>
      <c r="H14" s="1061">
        <v>3.5360462085500463E-2</v>
      </c>
      <c r="I14" s="1062">
        <v>5.9961186447348904E-3</v>
      </c>
      <c r="J14" s="1059">
        <v>300519</v>
      </c>
      <c r="K14" s="1060" t="s">
        <v>1646</v>
      </c>
      <c r="L14" s="1061">
        <v>0.1900836079484387</v>
      </c>
      <c r="M14" s="1062">
        <v>8.0327292213867016E-2</v>
      </c>
      <c r="N14" s="1059">
        <v>1964950</v>
      </c>
    </row>
    <row r="15" spans="1:14" ht="24" customHeight="1" thickBot="1">
      <c r="A15" s="355">
        <v>2000</v>
      </c>
      <c r="B15" s="1059">
        <v>7268111</v>
      </c>
      <c r="C15" s="1060" t="s">
        <v>1646</v>
      </c>
      <c r="D15" s="1061">
        <v>0.12321647261578696</v>
      </c>
      <c r="E15" s="1062">
        <v>6.2163057223534421E-2</v>
      </c>
      <c r="F15" s="1059">
        <v>1347359</v>
      </c>
      <c r="G15" s="1060">
        <v>0.19326576052567165</v>
      </c>
      <c r="H15" s="1061">
        <v>6.6940089384985996E-2</v>
      </c>
      <c r="I15" s="1062">
        <v>2.2992631785618025E-2</v>
      </c>
      <c r="J15" s="1059">
        <v>653641</v>
      </c>
      <c r="K15" s="1060" t="s">
        <v>1646</v>
      </c>
      <c r="L15" s="1061">
        <v>0.19015656200077297</v>
      </c>
      <c r="M15" s="1062">
        <v>8.5155689009152449E-2</v>
      </c>
      <c r="N15" s="1059">
        <v>2001000</v>
      </c>
    </row>
    <row r="16" spans="1:14" ht="24" customHeight="1" thickBot="1">
      <c r="A16" s="355">
        <v>2001</v>
      </c>
      <c r="B16" s="1059">
        <v>7321287</v>
      </c>
      <c r="C16" s="1060" t="s">
        <v>1646</v>
      </c>
      <c r="D16" s="1061">
        <v>0.11914653803354519</v>
      </c>
      <c r="E16" s="1062">
        <v>6.1670168100226096E-2</v>
      </c>
      <c r="F16" s="1059">
        <v>1323811</v>
      </c>
      <c r="G16" s="1060">
        <v>0.22884637632700372</v>
      </c>
      <c r="H16" s="1061">
        <v>9.1391855011284218E-2</v>
      </c>
      <c r="I16" s="1062">
        <v>3.6045984811140443E-2</v>
      </c>
      <c r="J16" s="1059">
        <v>933009</v>
      </c>
      <c r="K16" s="1060" t="s">
        <v>1646</v>
      </c>
      <c r="L16" s="1061">
        <v>0.21053839304482941</v>
      </c>
      <c r="M16" s="1062">
        <v>9.7716152911366538E-2</v>
      </c>
      <c r="N16" s="1059">
        <v>2256820</v>
      </c>
    </row>
    <row r="17" spans="1:14" ht="24" customHeight="1" thickBot="1">
      <c r="A17" s="355">
        <v>2002</v>
      </c>
      <c r="B17" s="1059">
        <v>7359365</v>
      </c>
      <c r="C17" s="1060">
        <v>0.41612068432534599</v>
      </c>
      <c r="D17" s="1061">
        <v>0.10741619691372829</v>
      </c>
      <c r="E17" s="1062">
        <v>5.1274804279988831E-2</v>
      </c>
      <c r="F17" s="1059">
        <v>4230249</v>
      </c>
      <c r="G17" s="1060">
        <v>0.22534498560677449</v>
      </c>
      <c r="H17" s="1061">
        <v>9.5236341722417628E-2</v>
      </c>
      <c r="I17" s="1062">
        <v>4.2874215370483727E-2</v>
      </c>
      <c r="J17" s="1059">
        <v>1016406</v>
      </c>
      <c r="K17" s="1060">
        <v>0.64146566993212051</v>
      </c>
      <c r="L17" s="1061">
        <v>0.20265253863614591</v>
      </c>
      <c r="M17" s="1062">
        <v>9.4149019650472565E-2</v>
      </c>
      <c r="N17" s="1059">
        <v>2184271</v>
      </c>
    </row>
    <row r="18" spans="1:14" ht="24" customHeight="1" thickBot="1">
      <c r="A18" s="355">
        <v>2003</v>
      </c>
      <c r="B18" s="1059">
        <v>7393188</v>
      </c>
      <c r="C18" s="1060">
        <v>0.40096288637594502</v>
      </c>
      <c r="D18" s="1061">
        <v>0.10284683684494429</v>
      </c>
      <c r="E18" s="1062">
        <v>4.5843416940026416E-2</v>
      </c>
      <c r="F18" s="1059">
        <v>4063689</v>
      </c>
      <c r="G18" s="1060">
        <v>0.2580031780606688</v>
      </c>
      <c r="H18" s="1061">
        <v>9.3782276333294917E-2</v>
      </c>
      <c r="I18" s="1062">
        <v>4.102993187783132E-2</v>
      </c>
      <c r="J18" s="1059">
        <v>996692</v>
      </c>
      <c r="K18" s="1060">
        <v>0.65896606443661376</v>
      </c>
      <c r="L18" s="1061">
        <v>0.19662911317823922</v>
      </c>
      <c r="M18" s="1062">
        <v>8.6873348817857743E-2</v>
      </c>
      <c r="N18" s="1059">
        <v>2095987</v>
      </c>
    </row>
    <row r="19" spans="1:14" ht="24" customHeight="1" thickBot="1">
      <c r="A19" s="355">
        <v>2004</v>
      </c>
      <c r="B19" s="1059">
        <v>7419974</v>
      </c>
      <c r="C19" s="1060">
        <v>0.41515172425132485</v>
      </c>
      <c r="D19" s="1061">
        <v>8.8858128074303225E-2</v>
      </c>
      <c r="E19" s="1062">
        <v>3.8901214478649117E-2</v>
      </c>
      <c r="F19" s="1059">
        <v>4028386</v>
      </c>
      <c r="G19" s="1060">
        <v>0.2942960447031216</v>
      </c>
      <c r="H19" s="1061">
        <v>0.1022666656244348</v>
      </c>
      <c r="I19" s="1062">
        <v>4.6828870289841985E-2</v>
      </c>
      <c r="J19" s="1059">
        <v>1106285</v>
      </c>
      <c r="K19" s="1060">
        <v>0.7094477689544465</v>
      </c>
      <c r="L19" s="1061">
        <v>0.19112479369873803</v>
      </c>
      <c r="M19" s="1062">
        <v>8.5730084768491102E-2</v>
      </c>
      <c r="N19" s="1059">
        <v>2054256</v>
      </c>
    </row>
    <row r="20" spans="1:14" s="280" customFormat="1" ht="27.75" customHeight="1" thickBot="1">
      <c r="A20" s="357">
        <v>2005</v>
      </c>
      <c r="B20" s="206">
        <v>7458475</v>
      </c>
      <c r="C20" s="1063">
        <v>0.40559658643355379</v>
      </c>
      <c r="D20" s="1064">
        <v>8.7504349079402965E-2</v>
      </c>
      <c r="E20" s="1065">
        <v>3.6415889307130481E-2</v>
      </c>
      <c r="F20" s="1066">
        <v>3949388</v>
      </c>
      <c r="G20" s="1063">
        <v>0.29613895601982981</v>
      </c>
      <c r="H20" s="1064">
        <v>9.9828450185862394E-2</v>
      </c>
      <c r="I20" s="803">
        <v>4.6900204130200879E-2</v>
      </c>
      <c r="J20" s="206">
        <v>1094372</v>
      </c>
      <c r="K20" s="1067">
        <v>0.70173554245338354</v>
      </c>
      <c r="L20" s="209">
        <v>0.18733279926526536</v>
      </c>
      <c r="M20" s="803">
        <v>8.3316093437331359E-2</v>
      </c>
      <c r="N20" s="206">
        <v>2018628</v>
      </c>
    </row>
    <row r="21" spans="1:14" ht="20" customHeight="1">
      <c r="A21" s="708" t="s">
        <v>2054</v>
      </c>
      <c r="B21" s="709"/>
      <c r="C21" s="709"/>
      <c r="D21" s="709"/>
      <c r="E21" s="709"/>
      <c r="F21" s="709"/>
      <c r="G21" s="709"/>
      <c r="H21" s="709"/>
    </row>
    <row r="22" spans="1:14" ht="11.25" customHeight="1">
      <c r="A22" s="713"/>
      <c r="B22" s="714"/>
      <c r="C22" s="714"/>
      <c r="D22" s="714"/>
      <c r="E22" s="714"/>
      <c r="F22" s="714"/>
      <c r="G22" s="714"/>
      <c r="H22" s="714"/>
    </row>
    <row r="23" spans="1:14" ht="12.75" customHeight="1">
      <c r="A23" s="713" t="s">
        <v>31</v>
      </c>
      <c r="B23" s="714"/>
      <c r="C23" s="714"/>
      <c r="D23" s="714"/>
      <c r="E23" s="714"/>
      <c r="F23" s="714"/>
      <c r="G23" s="714"/>
      <c r="H23" s="714"/>
    </row>
    <row r="24" spans="1:14" ht="12.75" customHeight="1">
      <c r="A24" s="1576" t="s">
        <v>297</v>
      </c>
      <c r="B24" s="714"/>
      <c r="C24" s="714"/>
      <c r="D24" s="714"/>
      <c r="E24" s="714"/>
      <c r="F24" s="714"/>
      <c r="G24" s="714"/>
      <c r="H24" s="714"/>
    </row>
    <row r="25" spans="1:14" ht="11.25" customHeight="1">
      <c r="A25" s="713" t="s">
        <v>298</v>
      </c>
      <c r="B25" s="714"/>
      <c r="C25" s="714"/>
      <c r="D25" s="714"/>
      <c r="E25" s="714"/>
      <c r="F25" s="714"/>
      <c r="G25" s="714"/>
      <c r="H25" s="714"/>
    </row>
    <row r="26" spans="1:14" ht="11.25" customHeight="1">
      <c r="A26" s="2" t="s">
        <v>32</v>
      </c>
      <c r="B26" s="714"/>
      <c r="C26" s="714"/>
      <c r="D26" s="714"/>
      <c r="E26" s="714"/>
      <c r="F26" s="714"/>
      <c r="G26" s="714"/>
      <c r="H26" s="714"/>
    </row>
    <row r="27" spans="1:14" ht="11.25" customHeight="1">
      <c r="A27" s="1068" t="s">
        <v>299</v>
      </c>
      <c r="B27" s="714"/>
      <c r="C27" s="714"/>
      <c r="D27" s="714"/>
      <c r="E27" s="714"/>
      <c r="F27" s="714"/>
      <c r="G27" s="714"/>
      <c r="H27" s="714"/>
    </row>
    <row r="28" spans="1:14" ht="11.25" customHeight="1">
      <c r="A28" s="76" t="s">
        <v>33</v>
      </c>
      <c r="B28" s="714"/>
      <c r="C28" s="714"/>
      <c r="D28" s="714"/>
      <c r="E28" s="714"/>
      <c r="F28" s="714"/>
      <c r="G28" s="714"/>
      <c r="H28" s="714"/>
    </row>
    <row r="29" spans="1:14" ht="11.25" customHeight="1">
      <c r="A29" s="1068" t="s">
        <v>34</v>
      </c>
      <c r="B29" s="714"/>
      <c r="C29" s="714"/>
      <c r="D29" s="714"/>
      <c r="E29" s="714"/>
      <c r="F29" s="714"/>
      <c r="G29" s="714"/>
      <c r="H29" s="714"/>
    </row>
    <row r="30" spans="1:14" ht="11.25" customHeight="1">
      <c r="A30" s="1068" t="s">
        <v>35</v>
      </c>
      <c r="B30" s="714"/>
      <c r="C30" s="714"/>
      <c r="D30" s="714"/>
      <c r="E30" s="714"/>
      <c r="F30" s="714"/>
      <c r="G30" s="714"/>
      <c r="H30" s="714"/>
    </row>
    <row r="31" spans="1:14" ht="11.25" customHeight="1">
      <c r="A31" s="1068" t="s">
        <v>36</v>
      </c>
      <c r="B31" s="714"/>
      <c r="C31" s="714"/>
      <c r="D31" s="714"/>
      <c r="E31" s="714"/>
      <c r="F31" s="714"/>
      <c r="G31" s="714"/>
      <c r="H31" s="714"/>
    </row>
    <row r="32" spans="1:14" ht="11.25" customHeight="1">
      <c r="A32" s="2" t="s">
        <v>37</v>
      </c>
      <c r="B32" s="714"/>
      <c r="C32" s="714"/>
      <c r="D32" s="714"/>
      <c r="E32" s="714"/>
      <c r="F32" s="714"/>
      <c r="G32" s="714"/>
      <c r="H32" s="714"/>
    </row>
    <row r="33" spans="1:8" ht="15" customHeight="1">
      <c r="A33" s="717" t="s">
        <v>38</v>
      </c>
      <c r="B33" s="726"/>
      <c r="C33" s="726"/>
      <c r="D33" s="726"/>
      <c r="E33" s="726"/>
      <c r="F33" s="726"/>
      <c r="G33" s="726"/>
      <c r="H33" s="507"/>
    </row>
    <row r="34" spans="1:8" ht="15" customHeight="1">
      <c r="A34" s="1575" t="s">
        <v>300</v>
      </c>
      <c r="B34" s="726"/>
      <c r="C34" s="726"/>
      <c r="D34" s="726"/>
      <c r="E34" s="726"/>
      <c r="F34" s="726"/>
      <c r="G34" s="726"/>
      <c r="H34" s="507"/>
    </row>
    <row r="35" spans="1:8" ht="15" customHeight="1">
      <c r="A35" s="1575" t="s">
        <v>301</v>
      </c>
      <c r="B35" s="726"/>
      <c r="C35" s="726"/>
      <c r="D35" s="726"/>
      <c r="E35" s="726"/>
      <c r="F35" s="726"/>
      <c r="G35" s="726"/>
      <c r="H35" s="507"/>
    </row>
    <row r="36" spans="1:8" ht="15" customHeight="1">
      <c r="A36" s="1575" t="s">
        <v>302</v>
      </c>
      <c r="B36" s="726"/>
      <c r="C36" s="726"/>
      <c r="D36" s="726"/>
      <c r="E36" s="726"/>
      <c r="F36" s="726"/>
      <c r="G36" s="726"/>
      <c r="H36" s="507"/>
    </row>
    <row r="37" spans="1:8" ht="15" customHeight="1">
      <c r="A37" s="717"/>
      <c r="B37" s="726"/>
      <c r="C37" s="726"/>
      <c r="D37" s="726"/>
      <c r="E37" s="726"/>
      <c r="F37" s="726"/>
      <c r="G37" s="726"/>
      <c r="H37" s="507"/>
    </row>
    <row r="38" spans="1:8" ht="15" customHeight="1">
      <c r="A38" s="171"/>
      <c r="B38" s="726"/>
      <c r="C38" s="726"/>
      <c r="D38" s="726"/>
      <c r="E38" s="726"/>
      <c r="F38" s="726"/>
      <c r="G38" s="726"/>
      <c r="H38" s="507"/>
    </row>
    <row r="39" spans="1:8" ht="15" customHeight="1">
      <c r="A39" s="507" t="s">
        <v>128</v>
      </c>
      <c r="B39" s="726"/>
      <c r="C39" s="726"/>
      <c r="D39" s="726"/>
      <c r="E39" s="726"/>
      <c r="F39" s="726"/>
      <c r="G39" s="726"/>
      <c r="H39" s="507"/>
    </row>
    <row r="40" spans="1:8" ht="31" customHeight="1">
      <c r="A40" s="507"/>
      <c r="B40" s="726"/>
      <c r="C40" s="726"/>
      <c r="D40" s="726"/>
      <c r="E40" s="726"/>
      <c r="F40" s="726"/>
      <c r="G40" s="726"/>
      <c r="H40" s="507"/>
    </row>
    <row r="41" spans="1:8" ht="31" customHeight="1">
      <c r="A41" s="507"/>
      <c r="B41" s="726"/>
      <c r="C41" s="726"/>
      <c r="D41" s="726"/>
      <c r="E41" s="726"/>
      <c r="F41" s="726"/>
      <c r="G41" s="726"/>
      <c r="H41" s="507"/>
    </row>
    <row r="42" spans="1:8" ht="31" customHeight="1">
      <c r="A42" s="507"/>
      <c r="B42" s="726"/>
      <c r="C42" s="726"/>
      <c r="D42" s="726"/>
      <c r="E42" s="726"/>
      <c r="F42" s="726"/>
      <c r="G42" s="726"/>
      <c r="H42" s="507"/>
    </row>
    <row r="43" spans="1:8" ht="31" customHeight="1">
      <c r="A43" s="507"/>
      <c r="B43" s="726"/>
      <c r="C43" s="726"/>
      <c r="D43" s="726"/>
      <c r="E43" s="726"/>
      <c r="F43" s="726"/>
      <c r="G43" s="726"/>
      <c r="H43" s="507"/>
    </row>
    <row r="44" spans="1:8" ht="31" customHeight="1">
      <c r="A44" s="507"/>
      <c r="B44" s="726"/>
      <c r="C44" s="726"/>
      <c r="D44" s="726"/>
      <c r="E44" s="726"/>
      <c r="F44" s="726"/>
      <c r="G44" s="726"/>
      <c r="H44" s="507"/>
    </row>
    <row r="45" spans="1:8" ht="31" customHeight="1">
      <c r="A45" s="507"/>
      <c r="B45" s="726"/>
      <c r="C45" s="726"/>
      <c r="D45" s="726"/>
      <c r="E45" s="726"/>
      <c r="F45" s="726"/>
      <c r="G45" s="726"/>
      <c r="H45" s="507"/>
    </row>
    <row r="46" spans="1:8" ht="31" customHeight="1">
      <c r="A46" s="507"/>
      <c r="B46" s="726"/>
      <c r="C46" s="726"/>
      <c r="D46" s="726"/>
      <c r="E46" s="726"/>
      <c r="F46" s="726"/>
      <c r="G46" s="726"/>
      <c r="H46" s="507"/>
    </row>
    <row r="47" spans="1:8">
      <c r="A47" s="507"/>
      <c r="B47" s="726"/>
      <c r="C47" s="726"/>
      <c r="D47" s="726"/>
      <c r="E47" s="726"/>
      <c r="F47" s="726"/>
      <c r="G47" s="726"/>
      <c r="H47" s="507"/>
    </row>
    <row r="48" spans="1:8">
      <c r="A48" s="507"/>
      <c r="B48" s="726"/>
      <c r="C48" s="726"/>
      <c r="D48" s="726"/>
      <c r="E48" s="726"/>
      <c r="F48" s="726"/>
      <c r="G48" s="726"/>
      <c r="H48" s="507"/>
    </row>
  </sheetData>
  <phoneticPr fontId="0" type="noConversion"/>
  <pageMargins left="0.4" right="0.36" top="0.86" bottom="0.49" header="0.44" footer="0.4921259845"/>
  <pageSetup paperSize="9" scale="65" orientation="portrait" horizontalDpi="1200" verticalDpi="1200"/>
  <headerFooter alignWithMargins="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CA74-2B4C-894A-8BB2-9437681F06CD}">
  <sheetPr>
    <pageSetUpPr fitToPage="1"/>
  </sheetPr>
  <dimension ref="A1:K70"/>
  <sheetViews>
    <sheetView topLeftCell="A18" zoomScale="75" workbookViewId="0">
      <selection activeCell="J45" sqref="J45"/>
    </sheetView>
  </sheetViews>
  <sheetFormatPr baseColWidth="10" defaultColWidth="11.3984375" defaultRowHeight="13"/>
  <cols>
    <col min="1" max="1" width="12.19921875" style="2" customWidth="1"/>
    <col min="2" max="2" width="13.19921875" style="170" customWidth="1"/>
    <col min="3" max="3" width="12.796875" style="170" customWidth="1"/>
    <col min="4" max="4" width="14" style="170" customWidth="1"/>
    <col min="5" max="5" width="13.3984375" style="170" customWidth="1"/>
    <col min="6" max="6" width="13.59765625" style="170" customWidth="1"/>
    <col min="7" max="7" width="13.19921875" style="170" customWidth="1"/>
    <col min="8" max="8" width="13.3984375" style="170" customWidth="1"/>
    <col min="9" max="9" width="12.796875" style="170" customWidth="1"/>
    <col min="10" max="16384" width="11.3984375" style="2"/>
  </cols>
  <sheetData>
    <row r="1" spans="1:9" s="1" customFormat="1" ht="14" customHeight="1">
      <c r="A1" s="404"/>
      <c r="B1" s="690"/>
      <c r="C1" s="690"/>
      <c r="D1" s="690"/>
      <c r="E1" s="690"/>
      <c r="F1" s="690"/>
      <c r="G1" s="690"/>
      <c r="H1" s="690"/>
      <c r="I1" s="690"/>
    </row>
    <row r="2" spans="1:9" s="1" customFormat="1" ht="27" customHeight="1">
      <c r="A2" s="405" t="s">
        <v>884</v>
      </c>
      <c r="B2" s="690"/>
      <c r="C2" s="690"/>
      <c r="D2" s="690"/>
      <c r="E2" s="690"/>
      <c r="F2" s="690"/>
      <c r="G2" s="690"/>
      <c r="H2" s="690"/>
      <c r="I2" s="192">
        <v>2005</v>
      </c>
    </row>
    <row r="3" spans="1:9" s="968" customFormat="1" ht="50.25" customHeight="1">
      <c r="A3" s="982" t="s">
        <v>1254</v>
      </c>
      <c r="B3" s="983" t="s">
        <v>2132</v>
      </c>
      <c r="C3" s="984" t="s">
        <v>1261</v>
      </c>
      <c r="D3" s="983" t="s">
        <v>1262</v>
      </c>
      <c r="E3" s="984" t="s">
        <v>1263</v>
      </c>
      <c r="F3" s="983" t="s">
        <v>1264</v>
      </c>
      <c r="G3" s="984" t="s">
        <v>1666</v>
      </c>
      <c r="H3" s="983" t="s">
        <v>1265</v>
      </c>
      <c r="I3" s="984" t="s">
        <v>1266</v>
      </c>
    </row>
    <row r="4" spans="1:9" ht="18.75" customHeight="1">
      <c r="A4" s="214"/>
      <c r="B4" s="135"/>
      <c r="C4" s="134"/>
      <c r="D4" s="135"/>
      <c r="E4" s="134"/>
      <c r="F4" s="135"/>
      <c r="G4" s="969"/>
      <c r="H4" s="135"/>
      <c r="I4" s="969"/>
    </row>
    <row r="5" spans="1:9" ht="1.5" customHeight="1" thickBot="1">
      <c r="A5" s="354">
        <v>1985</v>
      </c>
      <c r="B5" s="961">
        <v>79.540024670622799</v>
      </c>
      <c r="C5" s="633">
        <v>81.709173518706507</v>
      </c>
      <c r="D5" s="961">
        <v>74.423565482650218</v>
      </c>
      <c r="E5" s="633">
        <v>55.021766094593694</v>
      </c>
      <c r="F5" s="961" t="s">
        <v>695</v>
      </c>
      <c r="G5" s="633" t="s">
        <v>695</v>
      </c>
      <c r="H5" s="961">
        <v>70.445761478448915</v>
      </c>
      <c r="I5" s="633">
        <v>75.025335690417464</v>
      </c>
    </row>
    <row r="6" spans="1:9" ht="18.75" hidden="1" customHeight="1" thickBot="1">
      <c r="A6" s="355">
        <v>1986</v>
      </c>
      <c r="B6" s="700">
        <v>81.421424194589449</v>
      </c>
      <c r="C6" s="701">
        <v>84.689882960362155</v>
      </c>
      <c r="D6" s="700">
        <v>74.423565482650218</v>
      </c>
      <c r="E6" s="701">
        <v>56.632583527524247</v>
      </c>
      <c r="F6" s="700" t="s">
        <v>695</v>
      </c>
      <c r="G6" s="701" t="s">
        <v>695</v>
      </c>
      <c r="H6" s="700">
        <v>72.010463915635086</v>
      </c>
      <c r="I6" s="701">
        <v>75.58823514324861</v>
      </c>
    </row>
    <row r="7" spans="1:9" ht="18.75" hidden="1" customHeight="1" thickBot="1">
      <c r="A7" s="355">
        <v>1987</v>
      </c>
      <c r="B7" s="700">
        <v>83.301533112150608</v>
      </c>
      <c r="C7" s="701">
        <v>86.496007167709024</v>
      </c>
      <c r="D7" s="700">
        <v>75.835253486074862</v>
      </c>
      <c r="E7" s="701">
        <v>59.420535770728996</v>
      </c>
      <c r="F7" s="700" t="s">
        <v>695</v>
      </c>
      <c r="G7" s="701" t="s">
        <v>695</v>
      </c>
      <c r="H7" s="700">
        <v>73.965976019526707</v>
      </c>
      <c r="I7" s="701">
        <v>76.676921772176641</v>
      </c>
    </row>
    <row r="8" spans="1:9" ht="18.75" hidden="1" customHeight="1" thickBot="1">
      <c r="A8" s="355">
        <v>1988</v>
      </c>
      <c r="B8" s="700">
        <v>84.596428178635293</v>
      </c>
      <c r="C8" s="701">
        <v>86.924474430296826</v>
      </c>
      <c r="D8" s="700">
        <v>80.070317496348835</v>
      </c>
      <c r="E8" s="701">
        <v>63.286246487669516</v>
      </c>
      <c r="F8" s="700" t="s">
        <v>695</v>
      </c>
      <c r="G8" s="701" t="s">
        <v>695</v>
      </c>
      <c r="H8" s="700">
        <v>76.593809766190788</v>
      </c>
      <c r="I8" s="701">
        <v>78.112690688793933</v>
      </c>
    </row>
    <row r="9" spans="1:9" ht="18.75" hidden="1" customHeight="1" thickBot="1">
      <c r="A9" s="355">
        <v>1989</v>
      </c>
      <c r="B9" s="700">
        <v>86.122959038236885</v>
      </c>
      <c r="C9" s="701">
        <v>89.241940027124727</v>
      </c>
      <c r="D9" s="700">
        <v>80.070317496348835</v>
      </c>
      <c r="E9" s="701">
        <v>65.302076770988421</v>
      </c>
      <c r="F9" s="700" t="s">
        <v>695</v>
      </c>
      <c r="G9" s="701" t="s">
        <v>695</v>
      </c>
      <c r="H9" s="700">
        <v>78.037997946806755</v>
      </c>
      <c r="I9" s="701">
        <v>80.577369906551638</v>
      </c>
    </row>
    <row r="10" spans="1:9" ht="18.75" hidden="1" customHeight="1" thickBot="1">
      <c r="A10" s="355">
        <v>1990</v>
      </c>
      <c r="B10" s="700">
        <v>87.906168264934408</v>
      </c>
      <c r="C10" s="701">
        <v>91.103823672753563</v>
      </c>
      <c r="D10" s="700">
        <v>84.469652603512927</v>
      </c>
      <c r="E10" s="701">
        <v>69.397041031867673</v>
      </c>
      <c r="F10" s="700" t="s">
        <v>695</v>
      </c>
      <c r="G10" s="701" t="s">
        <v>695</v>
      </c>
      <c r="H10" s="700">
        <v>81.275551622287338</v>
      </c>
      <c r="I10" s="701">
        <v>84.931731706195279</v>
      </c>
    </row>
    <row r="11" spans="1:9" ht="18.75" hidden="1" customHeight="1" thickBot="1">
      <c r="A11" s="355">
        <v>1991</v>
      </c>
      <c r="B11" s="700">
        <v>91.417291047616473</v>
      </c>
      <c r="C11" s="701">
        <v>94.627052633347986</v>
      </c>
      <c r="D11" s="700">
        <v>89.495287463190593</v>
      </c>
      <c r="E11" s="701">
        <v>76.918723201109117</v>
      </c>
      <c r="F11" s="700" t="s">
        <v>695</v>
      </c>
      <c r="G11" s="701" t="s">
        <v>695</v>
      </c>
      <c r="H11" s="700">
        <v>86.362766379611671</v>
      </c>
      <c r="I11" s="701">
        <v>89.908384570389316</v>
      </c>
    </row>
    <row r="12" spans="1:9" ht="18.75" hidden="1" customHeight="1" thickBot="1">
      <c r="A12" s="355">
        <v>1992</v>
      </c>
      <c r="B12" s="700">
        <v>94.003778510778062</v>
      </c>
      <c r="C12" s="701">
        <v>99.083418176473245</v>
      </c>
      <c r="D12" s="700">
        <v>93.107092178733282</v>
      </c>
      <c r="E12" s="701">
        <v>84.655245552501313</v>
      </c>
      <c r="F12" s="700" t="s">
        <v>695</v>
      </c>
      <c r="G12" s="701" t="s">
        <v>695</v>
      </c>
      <c r="H12" s="700">
        <v>91.315092995799233</v>
      </c>
      <c r="I12" s="701">
        <v>93.537992592591351</v>
      </c>
    </row>
    <row r="13" spans="1:9" ht="18.75" hidden="1" customHeight="1" thickBot="1">
      <c r="A13" s="355">
        <v>1993</v>
      </c>
      <c r="B13" s="700">
        <v>95.836463655080706</v>
      </c>
      <c r="C13" s="701">
        <v>99.169001263930795</v>
      </c>
      <c r="D13" s="700">
        <v>97.235342834072867</v>
      </c>
      <c r="E13" s="701">
        <v>90.84945971692089</v>
      </c>
      <c r="F13" s="700">
        <v>97.895835844341434</v>
      </c>
      <c r="G13" s="701">
        <v>100.04968578476586</v>
      </c>
      <c r="H13" s="700">
        <v>94.527966822112859</v>
      </c>
      <c r="I13" s="701">
        <v>96.617824254518595</v>
      </c>
    </row>
    <row r="14" spans="1:9" ht="18.75" hidden="1" customHeight="1" thickBot="1">
      <c r="A14" s="355">
        <v>1994</v>
      </c>
      <c r="B14" s="700">
        <v>97.139423007552196</v>
      </c>
      <c r="C14" s="701">
        <v>99.181066171629212</v>
      </c>
      <c r="D14" s="700">
        <v>98.622802189544174</v>
      </c>
      <c r="E14" s="701">
        <v>94.153938714873988</v>
      </c>
      <c r="F14" s="700">
        <v>99.257771488789899</v>
      </c>
      <c r="G14" s="701">
        <v>100.04968578476586</v>
      </c>
      <c r="H14" s="700">
        <v>96.403473663239367</v>
      </c>
      <c r="I14" s="701">
        <v>97.441099542461487</v>
      </c>
    </row>
    <row r="15" spans="1:9" ht="18.75" hidden="1" customHeight="1" thickBot="1">
      <c r="A15" s="355">
        <v>1995</v>
      </c>
      <c r="B15" s="700">
        <v>99.669332209784301</v>
      </c>
      <c r="C15" s="701">
        <v>99.494059809668784</v>
      </c>
      <c r="D15" s="700">
        <v>99.364587511803364</v>
      </c>
      <c r="E15" s="701">
        <v>96.693541671662231</v>
      </c>
      <c r="F15" s="700">
        <v>99.850132140098751</v>
      </c>
      <c r="G15" s="701">
        <v>100.04968578476586</v>
      </c>
      <c r="H15" s="700">
        <v>98.151079313631271</v>
      </c>
      <c r="I15" s="701">
        <v>99.194874761240953</v>
      </c>
    </row>
    <row r="16" spans="1:9" ht="18.75" customHeight="1" thickBot="1">
      <c r="A16" s="355">
        <v>1996</v>
      </c>
      <c r="B16" s="700">
        <v>100</v>
      </c>
      <c r="C16" s="701">
        <v>100</v>
      </c>
      <c r="D16" s="700">
        <v>100</v>
      </c>
      <c r="E16" s="701">
        <v>100</v>
      </c>
      <c r="F16" s="700">
        <v>100</v>
      </c>
      <c r="G16" s="701">
        <v>100</v>
      </c>
      <c r="H16" s="700">
        <v>100</v>
      </c>
      <c r="I16" s="701">
        <v>100</v>
      </c>
    </row>
    <row r="17" spans="1:9" ht="18" customHeight="1" thickBot="1">
      <c r="A17" s="355">
        <v>1997</v>
      </c>
      <c r="B17" s="700">
        <v>99.603751768772071</v>
      </c>
      <c r="C17" s="701">
        <v>100.38008221695314</v>
      </c>
      <c r="D17" s="700">
        <v>100.54808570359472</v>
      </c>
      <c r="E17" s="701">
        <v>101.42789940293106</v>
      </c>
      <c r="F17" s="700">
        <v>99.259050938587137</v>
      </c>
      <c r="G17" s="701">
        <v>99.621819781936267</v>
      </c>
      <c r="H17" s="700">
        <v>100.76095634245317</v>
      </c>
      <c r="I17" s="701">
        <v>100.52020451848172</v>
      </c>
    </row>
    <row r="18" spans="1:9" ht="18" customHeight="1" thickBot="1">
      <c r="A18" s="355">
        <v>1998</v>
      </c>
      <c r="B18" s="700">
        <v>96.927242504783251</v>
      </c>
      <c r="C18" s="701">
        <v>100.33490779124649</v>
      </c>
      <c r="D18" s="700">
        <v>101.27038445552139</v>
      </c>
      <c r="E18" s="701">
        <v>102.99618303138374</v>
      </c>
      <c r="F18" s="700">
        <v>98.452579284674385</v>
      </c>
      <c r="G18" s="701">
        <v>100.44765774993816</v>
      </c>
      <c r="H18" s="700">
        <v>101.24816209588769</v>
      </c>
      <c r="I18" s="701">
        <v>100.538234878222</v>
      </c>
    </row>
    <row r="19" spans="1:9" ht="18" customHeight="1" thickBot="1">
      <c r="A19" s="355">
        <v>1999</v>
      </c>
      <c r="B19" s="700">
        <v>95.844672232466905</v>
      </c>
      <c r="C19" s="701">
        <v>100.33187275209576</v>
      </c>
      <c r="D19" s="700">
        <v>101.87444222283719</v>
      </c>
      <c r="E19" s="701">
        <v>104.14320934906627</v>
      </c>
      <c r="F19" s="700">
        <v>98.676778256833302</v>
      </c>
      <c r="G19" s="701">
        <v>98.097369567529682</v>
      </c>
      <c r="H19" s="700">
        <v>101.67388949401801</v>
      </c>
      <c r="I19" s="701">
        <v>101.34904536554785</v>
      </c>
    </row>
    <row r="20" spans="1:9" ht="18" customHeight="1" thickBot="1">
      <c r="A20" s="355">
        <v>2000</v>
      </c>
      <c r="B20" s="700">
        <v>96.254772438034038</v>
      </c>
      <c r="C20" s="701">
        <v>100.33187275209576</v>
      </c>
      <c r="D20" s="700">
        <v>103.57018844964638</v>
      </c>
      <c r="E20" s="701">
        <v>104.72011004030597</v>
      </c>
      <c r="F20" s="700">
        <v>98.363608314160032</v>
      </c>
      <c r="G20" s="701">
        <v>97.073589844089597</v>
      </c>
      <c r="H20" s="700">
        <v>102.16099312393871</v>
      </c>
      <c r="I20" s="701">
        <v>102.92856130382158</v>
      </c>
    </row>
    <row r="21" spans="1:9" ht="18" customHeight="1" thickBot="1">
      <c r="A21" s="355">
        <v>2001</v>
      </c>
      <c r="B21" s="700">
        <v>95.617677812696272</v>
      </c>
      <c r="C21" s="701">
        <v>100.39157021638326</v>
      </c>
      <c r="D21" s="700">
        <v>105.66882988327751</v>
      </c>
      <c r="E21" s="701">
        <v>105.48310266577438</v>
      </c>
      <c r="F21" s="700">
        <v>99.731930662678707</v>
      </c>
      <c r="G21" s="701">
        <v>97.957928816735219</v>
      </c>
      <c r="H21" s="700">
        <v>102.72634889630439</v>
      </c>
      <c r="I21" s="701">
        <v>103.94658841484843</v>
      </c>
    </row>
    <row r="22" spans="1:9" ht="18" customHeight="1" thickBot="1">
      <c r="A22" s="355">
        <v>2002</v>
      </c>
      <c r="B22" s="700">
        <v>92.551966547481953</v>
      </c>
      <c r="C22" s="701">
        <v>100.41926181326284</v>
      </c>
      <c r="D22" s="700">
        <v>106.79946557044345</v>
      </c>
      <c r="E22" s="701">
        <v>107.26502318301614</v>
      </c>
      <c r="F22" s="700">
        <v>100.07068960129637</v>
      </c>
      <c r="G22" s="701">
        <v>98.584756517798724</v>
      </c>
      <c r="H22" s="700">
        <v>103.14270646204406</v>
      </c>
      <c r="I22" s="701">
        <v>104.61466069154169</v>
      </c>
    </row>
    <row r="23" spans="1:9" ht="18" customHeight="1" thickBot="1">
      <c r="A23" s="355">
        <v>2003</v>
      </c>
      <c r="B23" s="700">
        <v>91.45775676895002</v>
      </c>
      <c r="C23" s="701">
        <v>100.41926181326284</v>
      </c>
      <c r="D23" s="700">
        <v>107.42707824790855</v>
      </c>
      <c r="E23" s="701">
        <v>109.53160933947478</v>
      </c>
      <c r="F23" s="700">
        <v>99.942646202359242</v>
      </c>
      <c r="G23" s="701">
        <v>101.42505436052258</v>
      </c>
      <c r="H23" s="700">
        <v>104.03822755450696</v>
      </c>
      <c r="I23" s="701">
        <v>105.28242519538023</v>
      </c>
    </row>
    <row r="24" spans="1:9" ht="18" customHeight="1" thickBot="1">
      <c r="A24" s="355">
        <v>2004</v>
      </c>
      <c r="B24" s="700">
        <v>91.277873491072683</v>
      </c>
      <c r="C24" s="701">
        <v>100.41926181326284</v>
      </c>
      <c r="D24" s="700">
        <v>108.0206930792616</v>
      </c>
      <c r="E24" s="701">
        <v>111.84653649880872</v>
      </c>
      <c r="F24" s="700">
        <v>99.616681761713792</v>
      </c>
      <c r="G24" s="701">
        <v>102.9912008077947</v>
      </c>
      <c r="H24" s="700">
        <v>105.00309051283621</v>
      </c>
      <c r="I24" s="701">
        <v>106.12777463640488</v>
      </c>
    </row>
    <row r="25" spans="1:9" s="163" customFormat="1" ht="27" customHeight="1" thickBot="1">
      <c r="A25" s="357">
        <v>2005</v>
      </c>
      <c r="B25" s="739">
        <v>90.545065570821578</v>
      </c>
      <c r="C25" s="991">
        <v>100.41926181326284</v>
      </c>
      <c r="D25" s="739">
        <v>108.68924828481903</v>
      </c>
      <c r="E25" s="991">
        <v>113.62688750297009</v>
      </c>
      <c r="F25" s="739">
        <v>99.312074290760378</v>
      </c>
      <c r="G25" s="991">
        <v>104.286528158435</v>
      </c>
      <c r="H25" s="739">
        <v>105.64575378514422</v>
      </c>
      <c r="I25" s="991">
        <v>107.37148474241722</v>
      </c>
    </row>
    <row r="26" spans="1:9" ht="20" customHeight="1">
      <c r="A26" s="708"/>
      <c r="B26" s="709"/>
      <c r="C26" s="709"/>
      <c r="D26" s="709"/>
      <c r="E26" s="709"/>
      <c r="F26" s="709"/>
      <c r="G26" s="709"/>
      <c r="H26" s="709"/>
      <c r="I26" s="709"/>
    </row>
    <row r="27" spans="1:9" ht="28.5" customHeight="1">
      <c r="A27" s="992" t="s">
        <v>1267</v>
      </c>
      <c r="B27" s="714"/>
      <c r="C27" s="714"/>
      <c r="D27" s="714"/>
      <c r="E27" s="714"/>
      <c r="F27" s="714"/>
      <c r="G27" s="714"/>
      <c r="H27" s="714"/>
      <c r="I27" s="714"/>
    </row>
    <row r="28" spans="1:9" ht="51" customHeight="1">
      <c r="A28" s="982" t="s">
        <v>1254</v>
      </c>
      <c r="B28" s="983" t="s">
        <v>2132</v>
      </c>
      <c r="C28" s="984" t="s">
        <v>1261</v>
      </c>
      <c r="D28" s="983" t="s">
        <v>1262</v>
      </c>
      <c r="E28" s="984" t="s">
        <v>1263</v>
      </c>
      <c r="F28" s="983" t="s">
        <v>1264</v>
      </c>
      <c r="G28" s="984" t="s">
        <v>1666</v>
      </c>
      <c r="H28" s="983" t="s">
        <v>1265</v>
      </c>
      <c r="I28" s="984" t="s">
        <v>1266</v>
      </c>
    </row>
    <row r="29" spans="1:9" ht="19.5" customHeight="1">
      <c r="A29" s="827"/>
      <c r="B29" s="135"/>
      <c r="C29" s="134"/>
      <c r="D29" s="135"/>
      <c r="E29" s="134"/>
      <c r="F29" s="135"/>
      <c r="G29" s="134"/>
      <c r="H29" s="135"/>
      <c r="I29" s="134"/>
    </row>
    <row r="30" spans="1:9" ht="2.25" customHeight="1" thickBot="1">
      <c r="A30" s="993">
        <v>1986</v>
      </c>
      <c r="B30" s="300">
        <v>2.3653494347752213E-2</v>
      </c>
      <c r="C30" s="158">
        <v>3.6479495670987738E-2</v>
      </c>
      <c r="D30" s="300">
        <v>0</v>
      </c>
      <c r="E30" s="158">
        <v>2.9276003793866412E-2</v>
      </c>
      <c r="F30" s="300" t="e">
        <v>#VALUE!</v>
      </c>
      <c r="G30" s="158" t="e">
        <v>#VALUE!</v>
      </c>
      <c r="H30" s="300">
        <v>2.2211448983553872E-2</v>
      </c>
      <c r="I30" s="158">
        <v>7.502791525703767E-3</v>
      </c>
    </row>
    <row r="31" spans="1:9" ht="20" hidden="1" customHeight="1" thickBot="1">
      <c r="A31" s="355">
        <v>1987</v>
      </c>
      <c r="B31" s="301">
        <v>2.3091083657144962E-2</v>
      </c>
      <c r="C31" s="160">
        <v>2.1326327823504077E-2</v>
      </c>
      <c r="D31" s="301">
        <v>1.8968293097348932E-2</v>
      </c>
      <c r="E31" s="160">
        <v>4.9228766719599859E-2</v>
      </c>
      <c r="F31" s="373" t="e">
        <v>#VALUE!</v>
      </c>
      <c r="G31" s="356" t="e">
        <v>#VALUE!</v>
      </c>
      <c r="H31" s="301">
        <v>2.7155943699829876E-2</v>
      </c>
      <c r="I31" s="160">
        <v>1.4402858154643372E-2</v>
      </c>
    </row>
    <row r="32" spans="1:9" ht="20" hidden="1" customHeight="1" thickBot="1">
      <c r="A32" s="355">
        <v>1988</v>
      </c>
      <c r="B32" s="301">
        <v>1.5544672686171879E-2</v>
      </c>
      <c r="C32" s="160">
        <v>4.9536074163174515E-3</v>
      </c>
      <c r="D32" s="301">
        <v>5.584558388865446E-2</v>
      </c>
      <c r="E32" s="160">
        <v>6.5056813554427828E-2</v>
      </c>
      <c r="F32" s="373" t="e">
        <v>#VALUE!</v>
      </c>
      <c r="G32" s="356" t="e">
        <v>#VALUE!</v>
      </c>
      <c r="H32" s="301">
        <v>3.5527601852645585E-2</v>
      </c>
      <c r="I32" s="160">
        <v>1.8724915964718258E-2</v>
      </c>
    </row>
    <row r="33" spans="1:9" ht="19.5" hidden="1" customHeight="1" thickBot="1">
      <c r="A33" s="355">
        <v>1989</v>
      </c>
      <c r="B33" s="301">
        <v>1.8044861851355565E-2</v>
      </c>
      <c r="C33" s="160">
        <v>2.66606799985456E-2</v>
      </c>
      <c r="D33" s="301">
        <v>0</v>
      </c>
      <c r="E33" s="160">
        <v>3.1852580855963097E-2</v>
      </c>
      <c r="F33" s="373" t="e">
        <v>#VALUE!</v>
      </c>
      <c r="G33" s="356" t="e">
        <v>#VALUE!</v>
      </c>
      <c r="H33" s="301">
        <v>1.885515533206239E-2</v>
      </c>
      <c r="I33" s="160">
        <v>3.1552865431011101E-2</v>
      </c>
    </row>
    <row r="34" spans="1:9" ht="20" hidden="1" customHeight="1" thickBot="1">
      <c r="A34" s="355">
        <v>1990</v>
      </c>
      <c r="B34" s="301">
        <v>2.0705387350959503E-2</v>
      </c>
      <c r="C34" s="160">
        <v>2.0863325529038468E-2</v>
      </c>
      <c r="D34" s="301">
        <v>5.4943395314558385E-2</v>
      </c>
      <c r="E34" s="160">
        <v>6.2708024972010001E-2</v>
      </c>
      <c r="F34" s="373" t="e">
        <v>#VALUE!</v>
      </c>
      <c r="G34" s="356" t="e">
        <v>#VALUE!</v>
      </c>
      <c r="H34" s="301">
        <v>4.1486887934867323E-2</v>
      </c>
      <c r="I34" s="160">
        <v>5.4039512641000043E-2</v>
      </c>
    </row>
    <row r="35" spans="1:9" ht="20" hidden="1" customHeight="1" thickBot="1">
      <c r="A35" s="355">
        <v>1991</v>
      </c>
      <c r="B35" s="301">
        <v>3.9941711167527316E-2</v>
      </c>
      <c r="C35" s="160">
        <v>3.8672679351526629E-2</v>
      </c>
      <c r="D35" s="301">
        <v>5.9496336314619258E-2</v>
      </c>
      <c r="E35" s="160">
        <v>0.10838620865387361</v>
      </c>
      <c r="F35" s="373" t="e">
        <v>#VALUE!</v>
      </c>
      <c r="G35" s="356" t="e">
        <v>#VALUE!</v>
      </c>
      <c r="H35" s="301">
        <v>6.2592189850229518E-2</v>
      </c>
      <c r="I35" s="160">
        <v>5.8595918912966338E-2</v>
      </c>
    </row>
    <row r="36" spans="1:9" ht="11.25" hidden="1" customHeight="1" thickBot="1">
      <c r="A36" s="355">
        <v>1992</v>
      </c>
      <c r="B36" s="301">
        <v>2.8293197419450689E-2</v>
      </c>
      <c r="C36" s="160">
        <v>4.7093990768077409E-2</v>
      </c>
      <c r="D36" s="301">
        <v>4.0357484934927079E-2</v>
      </c>
      <c r="E36" s="160">
        <v>0.10058048326107216</v>
      </c>
      <c r="F36" s="373" t="e">
        <v>#VALUE!</v>
      </c>
      <c r="G36" s="356" t="e">
        <v>#VALUE!</v>
      </c>
      <c r="H36" s="301">
        <v>5.7343306887824408E-2</v>
      </c>
      <c r="I36" s="160">
        <v>4.037007270840709E-2</v>
      </c>
    </row>
    <row r="37" spans="1:9" ht="20" hidden="1" customHeight="1" thickBot="1">
      <c r="A37" s="355">
        <v>1993</v>
      </c>
      <c r="B37" s="301">
        <v>1.9495866797444972E-2</v>
      </c>
      <c r="C37" s="160">
        <v>8.6374783018805523E-4</v>
      </c>
      <c r="D37" s="301">
        <v>4.4338734662820123E-2</v>
      </c>
      <c r="E37" s="160">
        <v>7.3169880070551141E-2</v>
      </c>
      <c r="F37" s="301" t="e">
        <v>#VALUE!</v>
      </c>
      <c r="G37" s="160" t="e">
        <v>#VALUE!</v>
      </c>
      <c r="H37" s="301">
        <v>3.5184477405738601E-2</v>
      </c>
      <c r="I37" s="160">
        <v>3.2925996983296235E-2</v>
      </c>
    </row>
    <row r="38" spans="1:9" ht="19.5" hidden="1" customHeight="1" thickBot="1">
      <c r="A38" s="355">
        <v>1994</v>
      </c>
      <c r="B38" s="301">
        <v>1.3595653499495652E-2</v>
      </c>
      <c r="C38" s="160">
        <v>1.2166007063352247E-4</v>
      </c>
      <c r="D38" s="301">
        <v>1.4269084831005641E-2</v>
      </c>
      <c r="E38" s="160">
        <v>3.6373127680115802E-2</v>
      </c>
      <c r="F38" s="301">
        <v>1.3912089648164372E-2</v>
      </c>
      <c r="G38" s="160">
        <v>0</v>
      </c>
      <c r="H38" s="301">
        <v>1.9840761461165535E-2</v>
      </c>
      <c r="I38" s="160">
        <v>8.5209462570192684E-3</v>
      </c>
    </row>
    <row r="39" spans="1:9" ht="19.5" hidden="1" customHeight="1" thickBot="1">
      <c r="A39" s="355">
        <v>1995</v>
      </c>
      <c r="B39" s="301">
        <v>2.6044103659493834E-2</v>
      </c>
      <c r="C39" s="160">
        <v>3.1557801314410217E-3</v>
      </c>
      <c r="D39" s="301">
        <v>7.5214383062605084E-3</v>
      </c>
      <c r="E39" s="160">
        <v>2.6972880704214663E-2</v>
      </c>
      <c r="F39" s="301">
        <v>5.9679019831284652E-3</v>
      </c>
      <c r="G39" s="160">
        <v>0</v>
      </c>
      <c r="H39" s="301">
        <v>1.812803609646596E-2</v>
      </c>
      <c r="I39" s="160">
        <v>1.79983110516444E-2</v>
      </c>
    </row>
    <row r="40" spans="1:9" ht="20.25" customHeight="1" thickBot="1">
      <c r="A40" s="355">
        <v>1996</v>
      </c>
      <c r="B40" s="301">
        <v>3.3176482964660803E-3</v>
      </c>
      <c r="C40" s="160">
        <v>5.0851296177789607E-3</v>
      </c>
      <c r="D40" s="301">
        <v>6.3947579727148263E-3</v>
      </c>
      <c r="E40" s="160">
        <v>3.4195234461111834E-2</v>
      </c>
      <c r="F40" s="301">
        <v>1.5009280076963005E-3</v>
      </c>
      <c r="G40" s="160">
        <v>-4.9661110253507168E-4</v>
      </c>
      <c r="H40" s="301">
        <v>1.8837497247082835E-2</v>
      </c>
      <c r="I40" s="160">
        <v>8.1166011923192727E-3</v>
      </c>
    </row>
    <row r="41" spans="1:9" ht="20.25" customHeight="1" thickBot="1">
      <c r="A41" s="355">
        <v>1997</v>
      </c>
      <c r="B41" s="301">
        <v>-3.9624823122792474E-3</v>
      </c>
      <c r="C41" s="160">
        <v>3.8008221695313704E-3</v>
      </c>
      <c r="D41" s="301">
        <v>5.4808570359472508E-3</v>
      </c>
      <c r="E41" s="160">
        <v>1.4278994029310654E-2</v>
      </c>
      <c r="F41" s="301">
        <v>-7.4094906141286554E-3</v>
      </c>
      <c r="G41" s="160">
        <v>-3.7818021806372837E-3</v>
      </c>
      <c r="H41" s="301">
        <v>7.6095634245316734E-3</v>
      </c>
      <c r="I41" s="160">
        <v>5.2020451848171501E-3</v>
      </c>
    </row>
    <row r="42" spans="1:9" ht="20.25" customHeight="1" thickBot="1">
      <c r="A42" s="355">
        <v>1998</v>
      </c>
      <c r="B42" s="301">
        <v>-2.6871570763742691E-2</v>
      </c>
      <c r="C42" s="160">
        <v>-4.5003375877905594E-4</v>
      </c>
      <c r="D42" s="301">
        <v>7.1836151516193603E-3</v>
      </c>
      <c r="E42" s="160">
        <v>1.5462053711893686E-2</v>
      </c>
      <c r="F42" s="301">
        <v>-8.1249180431084422E-3</v>
      </c>
      <c r="G42" s="160">
        <v>8.2897297982467144E-3</v>
      </c>
      <c r="H42" s="301">
        <v>4.8352632916530691E-3</v>
      </c>
      <c r="I42" s="160">
        <v>1.7937050393657117E-4</v>
      </c>
    </row>
    <row r="43" spans="1:9" ht="20.25" customHeight="1" thickBot="1">
      <c r="A43" s="355">
        <v>1999</v>
      </c>
      <c r="B43" s="301">
        <v>-1.1168895806180856E-2</v>
      </c>
      <c r="C43" s="160">
        <v>-3.0249084964961703E-5</v>
      </c>
      <c r="D43" s="301">
        <v>5.9648017588114222E-3</v>
      </c>
      <c r="E43" s="160">
        <v>1.1136590540768099E-2</v>
      </c>
      <c r="F43" s="301">
        <v>2.2772280197012051E-3</v>
      </c>
      <c r="G43" s="160">
        <v>-2.3398138244890232E-2</v>
      </c>
      <c r="H43" s="301">
        <v>4.2047913692213612E-3</v>
      </c>
      <c r="I43" s="160">
        <v>8.0646978565712679E-3</v>
      </c>
    </row>
    <row r="44" spans="1:9" ht="20.25" customHeight="1" thickBot="1">
      <c r="A44" s="355">
        <v>2000</v>
      </c>
      <c r="B44" s="301">
        <v>4.2788002297347028E-3</v>
      </c>
      <c r="C44" s="160">
        <v>0</v>
      </c>
      <c r="D44" s="301">
        <v>1.6645452871290045E-2</v>
      </c>
      <c r="E44" s="160">
        <v>5.5394940759512235E-3</v>
      </c>
      <c r="F44" s="301">
        <v>-3.1736944416462798E-3</v>
      </c>
      <c r="G44" s="160">
        <v>-1.0436362646149444E-2</v>
      </c>
      <c r="H44" s="301">
        <v>4.7908428835050643E-3</v>
      </c>
      <c r="I44" s="160">
        <v>1.5584911851677541E-2</v>
      </c>
    </row>
    <row r="45" spans="1:9" ht="20.25" customHeight="1" thickBot="1">
      <c r="A45" s="355">
        <v>2001</v>
      </c>
      <c r="B45" s="301">
        <v>-6.618836751683288E-3</v>
      </c>
      <c r="C45" s="160">
        <v>5.9499999999990116E-4</v>
      </c>
      <c r="D45" s="301">
        <v>2.0262987497135176E-2</v>
      </c>
      <c r="E45" s="160">
        <v>7.2860181790750378E-3</v>
      </c>
      <c r="F45" s="301">
        <v>1.3910859635694051E-2</v>
      </c>
      <c r="G45" s="160">
        <v>9.1099852603160336E-3</v>
      </c>
      <c r="H45" s="301">
        <v>5.5339690333648939E-3</v>
      </c>
      <c r="I45" s="160">
        <v>9.8906182903097939E-3</v>
      </c>
    </row>
    <row r="46" spans="1:9" ht="20.25" customHeight="1" thickBot="1">
      <c r="A46" s="355">
        <v>2002</v>
      </c>
      <c r="B46" s="301">
        <v>-3.206218071118272E-2</v>
      </c>
      <c r="C46" s="160">
        <v>2.7583587765289685E-4</v>
      </c>
      <c r="D46" s="301">
        <v>1.0699803228774618E-2</v>
      </c>
      <c r="E46" s="160">
        <v>1.6892947516796264E-2</v>
      </c>
      <c r="F46" s="301">
        <v>3.3966948836419153E-3</v>
      </c>
      <c r="G46" s="160">
        <v>6.3989480855215497E-3</v>
      </c>
      <c r="H46" s="301">
        <v>4.0530747000455669E-3</v>
      </c>
      <c r="I46" s="160">
        <v>6.4270726618462781E-3</v>
      </c>
    </row>
    <row r="47" spans="1:9" ht="20.25" customHeight="1" thickBot="1">
      <c r="A47" s="355">
        <v>2003</v>
      </c>
      <c r="B47" s="301">
        <v>-1.1822652930562727E-2</v>
      </c>
      <c r="C47" s="160">
        <v>0</v>
      </c>
      <c r="D47" s="301">
        <v>5.8765526036377302E-3</v>
      </c>
      <c r="E47" s="160">
        <v>2.1130710544772668E-2</v>
      </c>
      <c r="F47" s="301">
        <v>-1.2795294950727065E-3</v>
      </c>
      <c r="G47" s="160">
        <v>2.8810720268006795E-2</v>
      </c>
      <c r="H47" s="301">
        <v>8.6823501455475238E-3</v>
      </c>
      <c r="I47" s="160">
        <v>6.3830872214694079E-3</v>
      </c>
    </row>
    <row r="48" spans="1:9" ht="20.25" customHeight="1" thickBot="1">
      <c r="A48" s="355">
        <v>2004</v>
      </c>
      <c r="B48" s="301">
        <v>-1.966845505863235E-3</v>
      </c>
      <c r="C48" s="160">
        <v>0</v>
      </c>
      <c r="D48" s="301">
        <v>5.5257467766476331E-3</v>
      </c>
      <c r="E48" s="160">
        <v>2.1134786326011179E-2</v>
      </c>
      <c r="F48" s="301">
        <v>-3.2615150091729328E-3</v>
      </c>
      <c r="G48" s="160">
        <v>1.5441415902082145E-2</v>
      </c>
      <c r="H48" s="301">
        <v>9.2741195328778225E-3</v>
      </c>
      <c r="I48" s="160">
        <v>8.0293500026797915E-3</v>
      </c>
    </row>
    <row r="49" spans="1:9" ht="24" customHeight="1" thickBot="1">
      <c r="A49" s="994">
        <v>2005</v>
      </c>
      <c r="B49" s="209">
        <v>-8.0283193749334236E-3</v>
      </c>
      <c r="C49" s="803">
        <v>0</v>
      </c>
      <c r="D49" s="209">
        <v>6.1891401221325637E-3</v>
      </c>
      <c r="E49" s="803">
        <v>1.5917801837165957E-2</v>
      </c>
      <c r="F49" s="209">
        <v>-3.0577957985193915E-3</v>
      </c>
      <c r="G49" s="803">
        <v>1.2577068142527015E-2</v>
      </c>
      <c r="H49" s="209">
        <v>6.1204224482274139E-3</v>
      </c>
      <c r="I49" s="803">
        <v>1.1718987892409105E-2</v>
      </c>
    </row>
    <row r="50" spans="1:9" ht="20" customHeight="1">
      <c r="A50" s="708" t="s">
        <v>2053</v>
      </c>
      <c r="B50" s="714"/>
      <c r="C50" s="714"/>
      <c r="D50" s="714"/>
      <c r="E50" s="714"/>
      <c r="F50" s="714"/>
      <c r="G50" s="714"/>
      <c r="H50" s="714"/>
      <c r="I50" s="714"/>
    </row>
    <row r="51" spans="1:9" ht="11.25" customHeight="1">
      <c r="A51" s="713"/>
      <c r="B51" s="714"/>
      <c r="C51" s="714"/>
      <c r="D51" s="714"/>
      <c r="E51" s="714"/>
      <c r="F51" s="714"/>
      <c r="G51" s="714"/>
      <c r="H51" s="714"/>
      <c r="I51" s="714"/>
    </row>
    <row r="52" spans="1:9" ht="13.5" customHeight="1">
      <c r="A52" s="713" t="s">
        <v>478</v>
      </c>
      <c r="B52" s="714"/>
      <c r="C52" s="714"/>
      <c r="D52" s="714"/>
      <c r="E52" s="714"/>
      <c r="F52" s="714"/>
      <c r="G52" s="714"/>
      <c r="H52" s="714"/>
      <c r="I52" s="714"/>
    </row>
    <row r="53" spans="1:9" ht="12.75" customHeight="1">
      <c r="A53" s="713"/>
      <c r="B53" s="714"/>
      <c r="C53" s="714"/>
      <c r="D53" s="714"/>
      <c r="E53" s="714"/>
      <c r="F53" s="714"/>
      <c r="G53" s="714"/>
      <c r="H53" s="714"/>
      <c r="I53" s="714"/>
    </row>
    <row r="54" spans="1:9" ht="13.5" customHeight="1">
      <c r="A54" s="299" t="s">
        <v>1268</v>
      </c>
      <c r="B54" s="726"/>
      <c r="C54" s="726"/>
      <c r="D54" s="726"/>
      <c r="E54" s="726"/>
      <c r="F54" s="726"/>
      <c r="G54" s="726"/>
      <c r="H54" s="726"/>
      <c r="I54" s="726"/>
    </row>
    <row r="55" spans="1:9" ht="13.5" customHeight="1">
      <c r="A55" s="681" t="s">
        <v>1269</v>
      </c>
      <c r="B55" s="726"/>
      <c r="C55" s="726"/>
      <c r="D55" s="726"/>
      <c r="E55" s="726"/>
      <c r="F55" s="726"/>
      <c r="G55" s="726"/>
      <c r="H55" s="726"/>
      <c r="I55" s="726"/>
    </row>
    <row r="56" spans="1:9" ht="13.5" customHeight="1">
      <c r="A56" s="681" t="s">
        <v>874</v>
      </c>
      <c r="B56" s="726"/>
      <c r="C56" s="726"/>
      <c r="D56" s="726"/>
      <c r="E56" s="726"/>
      <c r="F56" s="726"/>
      <c r="G56" s="726"/>
      <c r="H56" s="726"/>
      <c r="I56" s="726"/>
    </row>
    <row r="57" spans="1:9" ht="13.5" customHeight="1">
      <c r="A57" s="2" t="s">
        <v>875</v>
      </c>
      <c r="B57" s="726"/>
      <c r="C57" s="726"/>
      <c r="D57" s="726"/>
      <c r="E57" s="726"/>
      <c r="F57" s="726"/>
      <c r="G57" s="726"/>
      <c r="H57" s="726"/>
      <c r="I57" s="726"/>
    </row>
    <row r="58" spans="1:9" ht="13.5" customHeight="1">
      <c r="A58" s="2" t="s">
        <v>876</v>
      </c>
      <c r="B58" s="726"/>
      <c r="C58" s="726"/>
      <c r="D58" s="726"/>
      <c r="E58" s="726"/>
      <c r="F58" s="726"/>
      <c r="G58" s="726"/>
      <c r="H58" s="726"/>
      <c r="I58" s="726"/>
    </row>
    <row r="59" spans="1:9" ht="13.5" customHeight="1">
      <c r="A59" s="681" t="s">
        <v>877</v>
      </c>
      <c r="B59" s="726"/>
      <c r="C59" s="726"/>
      <c r="D59" s="726"/>
      <c r="E59" s="726"/>
      <c r="F59" s="726"/>
      <c r="G59" s="726"/>
      <c r="H59" s="726"/>
      <c r="I59" s="726"/>
    </row>
    <row r="60" spans="1:9" ht="13.5" customHeight="1">
      <c r="A60" s="681" t="s">
        <v>878</v>
      </c>
      <c r="B60" s="726"/>
      <c r="C60" s="726"/>
      <c r="D60" s="726"/>
      <c r="E60" s="726"/>
      <c r="F60" s="726"/>
      <c r="G60" s="726"/>
      <c r="H60" s="726"/>
      <c r="I60" s="726"/>
    </row>
    <row r="61" spans="1:9" ht="13.5" customHeight="1">
      <c r="A61" s="681" t="s">
        <v>879</v>
      </c>
      <c r="B61" s="726"/>
      <c r="C61" s="726"/>
      <c r="D61" s="726"/>
      <c r="E61" s="726"/>
      <c r="F61" s="726"/>
      <c r="G61" s="726"/>
      <c r="H61" s="726"/>
      <c r="I61" s="726"/>
    </row>
    <row r="62" spans="1:9" ht="13.5" customHeight="1">
      <c r="A62" s="681" t="s">
        <v>880</v>
      </c>
      <c r="B62" s="726"/>
      <c r="C62" s="726"/>
      <c r="D62" s="726"/>
      <c r="E62" s="726"/>
      <c r="F62" s="726"/>
      <c r="G62" s="726"/>
      <c r="H62" s="726"/>
      <c r="I62" s="726"/>
    </row>
    <row r="63" spans="1:9" ht="13.5" customHeight="1">
      <c r="A63" s="2" t="s">
        <v>881</v>
      </c>
      <c r="B63" s="726"/>
      <c r="C63" s="726"/>
      <c r="D63" s="726"/>
      <c r="E63" s="726"/>
      <c r="F63" s="726"/>
      <c r="G63" s="726"/>
      <c r="H63" s="726"/>
      <c r="I63" s="726"/>
    </row>
    <row r="64" spans="1:9" ht="13.5" customHeight="1">
      <c r="A64" s="2" t="s">
        <v>882</v>
      </c>
      <c r="B64" s="726"/>
      <c r="C64" s="726"/>
      <c r="D64" s="726"/>
      <c r="E64" s="726"/>
      <c r="F64" s="726"/>
      <c r="G64" s="726"/>
      <c r="H64" s="726"/>
      <c r="I64" s="726"/>
    </row>
    <row r="65" spans="1:11" ht="13.5" customHeight="1">
      <c r="A65" s="681" t="s">
        <v>1665</v>
      </c>
      <c r="B65" s="726"/>
      <c r="C65" s="726"/>
      <c r="D65" s="726"/>
      <c r="E65" s="726"/>
      <c r="F65" s="726"/>
      <c r="G65" s="726"/>
      <c r="H65" s="726"/>
      <c r="I65" s="726"/>
    </row>
    <row r="67" spans="1:11">
      <c r="A67" s="713" t="s">
        <v>883</v>
      </c>
    </row>
    <row r="70" spans="1:11" ht="16">
      <c r="A70" s="211" t="s">
        <v>128</v>
      </c>
      <c r="K70" s="171"/>
    </row>
  </sheetData>
  <phoneticPr fontId="0" type="noConversion"/>
  <pageMargins left="0.5" right="0.44" top="0.76" bottom="0.49" header="0.38" footer="0.4921259845"/>
  <pageSetup paperSize="9" scale="80" orientation="portrait" horizontalDpi="4294967292" verticalDpi="4294967292"/>
  <headerFooter alignWithMargins="0"/>
  <rowBreaks count="1" manualBreakCount="1">
    <brk id="67" max="16383" man="1"/>
  </rowBreaks>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1FC37-A220-CF43-932E-10CDD8153D78}">
  <sheetPr>
    <pageSetUpPr fitToPage="1"/>
  </sheetPr>
  <dimension ref="A1:K60"/>
  <sheetViews>
    <sheetView topLeftCell="A20" zoomScale="75" workbookViewId="0">
      <selection activeCell="K39" sqref="K39"/>
    </sheetView>
  </sheetViews>
  <sheetFormatPr baseColWidth="10" defaultColWidth="11.3984375" defaultRowHeight="13"/>
  <cols>
    <col min="1" max="1" width="11.3984375" style="2"/>
    <col min="2" max="7" width="13.59765625" style="170" customWidth="1"/>
    <col min="8" max="9" width="13.59765625" style="2" customWidth="1"/>
    <col min="10" max="10" width="2.796875" style="2" customWidth="1"/>
    <col min="11" max="11" width="12.796875" style="2" customWidth="1"/>
    <col min="12" max="16384" width="11.3984375" style="2"/>
  </cols>
  <sheetData>
    <row r="1" spans="1:11" s="1" customFormat="1" ht="14" customHeight="1">
      <c r="A1" s="404"/>
      <c r="B1" s="690"/>
      <c r="C1" s="690"/>
      <c r="D1" s="690"/>
      <c r="E1" s="690"/>
      <c r="F1" s="690"/>
      <c r="G1" s="690"/>
    </row>
    <row r="2" spans="1:11" s="1" customFormat="1" ht="41.25" customHeight="1">
      <c r="A2" s="1627" t="s">
        <v>1525</v>
      </c>
      <c r="B2" s="1610"/>
      <c r="C2" s="1610"/>
      <c r="D2" s="1610"/>
      <c r="E2" s="1610"/>
      <c r="F2" s="1610"/>
      <c r="G2" s="1610"/>
      <c r="H2" s="1610"/>
      <c r="I2" s="1610"/>
      <c r="J2" s="1497"/>
      <c r="K2" s="243">
        <v>2005</v>
      </c>
    </row>
    <row r="3" spans="1:11" ht="27" customHeight="1">
      <c r="A3" s="125" t="s">
        <v>1254</v>
      </c>
      <c r="B3" s="1498" t="s">
        <v>1534</v>
      </c>
      <c r="C3" s="127"/>
      <c r="D3" s="126"/>
      <c r="E3" s="1499"/>
      <c r="F3" s="1006" t="s">
        <v>1535</v>
      </c>
      <c r="G3" s="127"/>
      <c r="H3" s="1500"/>
      <c r="I3" s="17"/>
      <c r="J3" s="211"/>
      <c r="K3" s="1501" t="s">
        <v>1526</v>
      </c>
    </row>
    <row r="4" spans="1:11" ht="20.25" customHeight="1">
      <c r="A4" s="212"/>
      <c r="B4" s="353" t="s">
        <v>1790</v>
      </c>
      <c r="C4" s="131" t="s">
        <v>229</v>
      </c>
      <c r="D4" s="129" t="s">
        <v>286</v>
      </c>
      <c r="E4" s="131" t="s">
        <v>1527</v>
      </c>
      <c r="F4" s="1502" t="s">
        <v>43</v>
      </c>
      <c r="G4" s="234" t="s">
        <v>2131</v>
      </c>
      <c r="H4" s="233" t="s">
        <v>2131</v>
      </c>
      <c r="I4" s="234" t="s">
        <v>2131</v>
      </c>
      <c r="J4" s="1503"/>
      <c r="K4" s="1504" t="s">
        <v>1528</v>
      </c>
    </row>
    <row r="5" spans="1:11" ht="15" customHeight="1">
      <c r="A5" s="212"/>
      <c r="B5" s="353"/>
      <c r="C5" s="131"/>
      <c r="D5" s="129" t="s">
        <v>1602</v>
      </c>
      <c r="E5" s="131"/>
      <c r="F5" s="1009"/>
      <c r="G5" s="234" t="s">
        <v>25</v>
      </c>
      <c r="H5" s="233" t="s">
        <v>26</v>
      </c>
      <c r="I5" s="234" t="s">
        <v>27</v>
      </c>
      <c r="J5" s="1503"/>
      <c r="K5" s="1504" t="s">
        <v>1529</v>
      </c>
    </row>
    <row r="6" spans="1:11" s="349" customFormat="1" ht="26.25" customHeight="1">
      <c r="A6" s="827"/>
      <c r="B6" s="353"/>
      <c r="C6" s="692"/>
      <c r="D6" s="353" t="s">
        <v>288</v>
      </c>
      <c r="E6" s="692"/>
      <c r="F6" s="1505"/>
      <c r="G6" s="692" t="s">
        <v>1530</v>
      </c>
      <c r="H6" s="135"/>
      <c r="I6" s="134"/>
      <c r="J6" s="976"/>
      <c r="K6" s="1506" t="s">
        <v>1536</v>
      </c>
    </row>
    <row r="7" spans="1:11" ht="30" customHeight="1" thickBot="1">
      <c r="A7" s="695">
        <v>1996</v>
      </c>
      <c r="B7" s="698">
        <v>86.250055751304572</v>
      </c>
      <c r="C7" s="699" t="s">
        <v>1646</v>
      </c>
      <c r="D7" s="698" t="s">
        <v>1646</v>
      </c>
      <c r="E7" s="699" t="s">
        <v>1646</v>
      </c>
      <c r="F7" s="1011" t="s">
        <v>1646</v>
      </c>
      <c r="G7" s="699" t="s">
        <v>1646</v>
      </c>
      <c r="H7" s="961" t="s">
        <v>1646</v>
      </c>
      <c r="I7" s="633" t="s">
        <v>1646</v>
      </c>
      <c r="J7" s="718"/>
      <c r="K7" s="961" t="s">
        <v>1646</v>
      </c>
    </row>
    <row r="8" spans="1:11" ht="18" customHeight="1" thickBot="1">
      <c r="A8" s="355">
        <v>1997</v>
      </c>
      <c r="B8" s="698">
        <v>93.042794701396019</v>
      </c>
      <c r="C8" s="701">
        <v>92.444560110674317</v>
      </c>
      <c r="D8" s="700">
        <v>92.272278855639584</v>
      </c>
      <c r="E8" s="701">
        <v>94.708135081815001</v>
      </c>
      <c r="F8" s="1011" t="s">
        <v>1646</v>
      </c>
      <c r="G8" s="699" t="s">
        <v>1646</v>
      </c>
      <c r="H8" s="961" t="s">
        <v>1646</v>
      </c>
      <c r="I8" s="633" t="s">
        <v>1646</v>
      </c>
      <c r="J8" s="718"/>
      <c r="K8" s="961" t="s">
        <v>1646</v>
      </c>
    </row>
    <row r="9" spans="1:11" ht="18" customHeight="1" thickBot="1">
      <c r="A9" s="1507">
        <v>1998</v>
      </c>
      <c r="B9" s="698">
        <v>97.743187190580258</v>
      </c>
      <c r="C9" s="1508">
        <v>97.816191141488716</v>
      </c>
      <c r="D9" s="1509">
        <v>98.901550603293458</v>
      </c>
      <c r="E9" s="1508">
        <v>97.609376813276072</v>
      </c>
      <c r="F9" s="1011" t="s">
        <v>1646</v>
      </c>
      <c r="G9" s="699" t="s">
        <v>1646</v>
      </c>
      <c r="H9" s="961" t="s">
        <v>1646</v>
      </c>
      <c r="I9" s="633" t="s">
        <v>1646</v>
      </c>
      <c r="J9" s="718"/>
      <c r="K9" s="961" t="s">
        <v>1646</v>
      </c>
    </row>
    <row r="10" spans="1:11" ht="18" customHeight="1" thickBot="1">
      <c r="A10" s="355">
        <v>1999</v>
      </c>
      <c r="B10" s="698">
        <v>100</v>
      </c>
      <c r="C10" s="701">
        <v>100</v>
      </c>
      <c r="D10" s="700">
        <v>100</v>
      </c>
      <c r="E10" s="701">
        <v>100</v>
      </c>
      <c r="F10" s="1012">
        <v>100</v>
      </c>
      <c r="G10" s="701">
        <v>100</v>
      </c>
      <c r="H10" s="700">
        <v>100</v>
      </c>
      <c r="I10" s="701">
        <v>100</v>
      </c>
      <c r="J10" s="718"/>
      <c r="K10" s="700" t="s">
        <v>1646</v>
      </c>
    </row>
    <row r="11" spans="1:11" ht="18" customHeight="1" thickBot="1">
      <c r="A11" s="354">
        <v>2000</v>
      </c>
      <c r="B11" s="961">
        <v>103.10646269122698</v>
      </c>
      <c r="C11" s="633">
        <v>103.03441222531174</v>
      </c>
      <c r="D11" s="961">
        <v>99.091265525004431</v>
      </c>
      <c r="E11" s="633">
        <v>103.07365838293074</v>
      </c>
      <c r="F11" s="1510">
        <v>106.4</v>
      </c>
      <c r="G11" s="633">
        <v>104.3</v>
      </c>
      <c r="H11" s="961">
        <v>107.5</v>
      </c>
      <c r="I11" s="633">
        <v>106.7</v>
      </c>
      <c r="J11" s="718"/>
      <c r="K11" s="300">
        <v>-3.0000000000000001E-3</v>
      </c>
    </row>
    <row r="12" spans="1:11" ht="18" customHeight="1" thickBot="1">
      <c r="A12" s="355">
        <v>2001</v>
      </c>
      <c r="B12" s="700">
        <v>106.58924668837251</v>
      </c>
      <c r="C12" s="701">
        <v>107.41253121846763</v>
      </c>
      <c r="D12" s="700">
        <v>99.966483697164392</v>
      </c>
      <c r="E12" s="701">
        <v>108.20305376415389</v>
      </c>
      <c r="F12" s="1012">
        <v>111.1</v>
      </c>
      <c r="G12" s="701">
        <v>107.5</v>
      </c>
      <c r="H12" s="700">
        <v>112.5</v>
      </c>
      <c r="I12" s="701">
        <v>112.5</v>
      </c>
      <c r="J12" s="718"/>
      <c r="K12" s="301">
        <v>-4.0000000000000001E-3</v>
      </c>
    </row>
    <row r="13" spans="1:11" ht="18" customHeight="1" thickBot="1">
      <c r="A13" s="1507">
        <v>2002</v>
      </c>
      <c r="B13" s="1509">
        <v>116.32286695508675</v>
      </c>
      <c r="C13" s="1508">
        <v>116.60890964793332</v>
      </c>
      <c r="D13" s="1509">
        <v>112.72607694837224</v>
      </c>
      <c r="E13" s="1508">
        <v>118.09048558497321</v>
      </c>
      <c r="F13" s="1511">
        <v>115.4</v>
      </c>
      <c r="G13" s="1508">
        <v>107.9</v>
      </c>
      <c r="H13" s="1509">
        <v>117.5</v>
      </c>
      <c r="I13" s="1508">
        <v>119.3</v>
      </c>
      <c r="J13" s="718"/>
      <c r="K13" s="1512">
        <v>-5.0000000000000001E-3</v>
      </c>
    </row>
    <row r="14" spans="1:11" ht="18" customHeight="1" thickBot="1">
      <c r="A14" s="1507">
        <v>2003</v>
      </c>
      <c r="B14" s="1509">
        <v>126.83867802506579</v>
      </c>
      <c r="C14" s="1508">
        <v>126.36094255801954</v>
      </c>
      <c r="D14" s="1509">
        <v>128.18468115245491</v>
      </c>
      <c r="E14" s="1508">
        <v>128.50511447470944</v>
      </c>
      <c r="F14" s="1511">
        <v>116.38</v>
      </c>
      <c r="G14" s="1508">
        <v>110</v>
      </c>
      <c r="H14" s="1509">
        <v>117.9</v>
      </c>
      <c r="I14" s="1508">
        <v>120.1</v>
      </c>
      <c r="J14" s="718"/>
      <c r="K14" s="1512">
        <v>-5.0000000000000001E-3</v>
      </c>
    </row>
    <row r="15" spans="1:11" ht="15.75" customHeight="1" thickBot="1">
      <c r="A15" s="1507">
        <v>2004</v>
      </c>
      <c r="B15" s="1509">
        <v>135.46953748717718</v>
      </c>
      <c r="C15" s="1508">
        <v>134.46062249738608</v>
      </c>
      <c r="D15" s="1509">
        <v>140.98790883565627</v>
      </c>
      <c r="E15" s="1508">
        <v>134.59274855352376</v>
      </c>
      <c r="F15" s="1511">
        <v>117.9</v>
      </c>
      <c r="G15" s="1508">
        <v>113.3</v>
      </c>
      <c r="H15" s="1509">
        <v>118.6</v>
      </c>
      <c r="I15" s="1508">
        <v>121.2</v>
      </c>
      <c r="J15" s="718"/>
      <c r="K15" s="1512">
        <v>-4.0000000000000001E-3</v>
      </c>
    </row>
    <row r="16" spans="1:11" s="163" customFormat="1" ht="19.5" customHeight="1" thickBot="1">
      <c r="A16" s="1513">
        <v>2005</v>
      </c>
      <c r="B16" s="1514">
        <v>138.25877525534099</v>
      </c>
      <c r="C16" s="1580">
        <v>137.01928125613529</v>
      </c>
      <c r="D16" s="1514">
        <v>145.19388864998862</v>
      </c>
      <c r="E16" s="1580">
        <v>134.35401780533496</v>
      </c>
      <c r="F16" s="1516">
        <v>118.91</v>
      </c>
      <c r="G16" s="1515">
        <v>114.2</v>
      </c>
      <c r="H16" s="1514">
        <v>119.4</v>
      </c>
      <c r="I16" s="1515">
        <v>122.7</v>
      </c>
      <c r="J16" s="1517"/>
      <c r="K16" s="1539">
        <v>-2E-3</v>
      </c>
    </row>
    <row r="17" spans="1:11" s="398" customFormat="1" ht="18.75" customHeight="1" thickBot="1">
      <c r="A17" s="1518">
        <v>2006</v>
      </c>
      <c r="B17" s="1519" t="s">
        <v>1646</v>
      </c>
      <c r="C17" s="1520" t="s">
        <v>1646</v>
      </c>
      <c r="D17" s="1521" t="s">
        <v>1646</v>
      </c>
      <c r="E17" s="1520" t="s">
        <v>1646</v>
      </c>
      <c r="F17" s="1522">
        <v>122.4</v>
      </c>
      <c r="G17" s="1520">
        <v>113.4</v>
      </c>
      <c r="H17" s="1521">
        <v>123.8</v>
      </c>
      <c r="I17" s="1520">
        <v>128.5</v>
      </c>
      <c r="J17" s="1523"/>
      <c r="K17" s="378">
        <v>-3.0000000000000001E-3</v>
      </c>
    </row>
    <row r="18" spans="1:11" ht="18" customHeight="1">
      <c r="A18" s="999"/>
      <c r="B18" s="718"/>
      <c r="C18" s="1524"/>
      <c r="D18" s="718"/>
      <c r="E18" s="1524"/>
      <c r="F18" s="718"/>
      <c r="G18" s="1524"/>
      <c r="H18" s="718"/>
      <c r="I18" s="1524"/>
      <c r="J18" s="271"/>
    </row>
    <row r="19" spans="1:11" ht="18" customHeight="1">
      <c r="A19" s="999"/>
      <c r="B19" s="718"/>
      <c r="C19" s="1524"/>
      <c r="D19" s="718"/>
      <c r="E19" s="1524"/>
      <c r="F19" s="718"/>
      <c r="G19" s="1524"/>
      <c r="H19" s="718"/>
      <c r="I19" s="1524"/>
      <c r="J19" s="271"/>
    </row>
    <row r="20" spans="1:11" ht="18" customHeight="1">
      <c r="A20" s="1525" t="s">
        <v>1531</v>
      </c>
      <c r="B20" s="718"/>
      <c r="C20" s="1524"/>
      <c r="D20" s="718"/>
      <c r="E20" s="1524"/>
      <c r="F20" s="718"/>
      <c r="G20" s="1524"/>
      <c r="H20" s="718"/>
      <c r="I20" s="1524"/>
      <c r="J20" s="271"/>
    </row>
    <row r="21" spans="1:11" ht="12.75" customHeight="1">
      <c r="A21" s="1526"/>
      <c r="B21" s="1527"/>
      <c r="C21" s="1528"/>
      <c r="D21" s="1527"/>
      <c r="E21" s="1528"/>
      <c r="F21" s="1527"/>
      <c r="G21" s="1528"/>
      <c r="H21" s="1527"/>
      <c r="I21" s="1528"/>
      <c r="J21" s="271"/>
    </row>
    <row r="22" spans="1:11" ht="27" customHeight="1">
      <c r="A22" s="125" t="s">
        <v>1254</v>
      </c>
      <c r="B22" s="1498" t="s">
        <v>1534</v>
      </c>
      <c r="C22" s="127"/>
      <c r="D22" s="126"/>
      <c r="E22" s="1499"/>
      <c r="F22" s="1006" t="s">
        <v>1535</v>
      </c>
      <c r="G22" s="127"/>
      <c r="H22" s="1500"/>
      <c r="I22" s="17"/>
      <c r="J22" s="271"/>
    </row>
    <row r="23" spans="1:11" ht="20.25" customHeight="1">
      <c r="A23" s="212"/>
      <c r="B23" s="353" t="s">
        <v>1790</v>
      </c>
      <c r="C23" s="131" t="s">
        <v>229</v>
      </c>
      <c r="D23" s="129" t="s">
        <v>286</v>
      </c>
      <c r="E23" s="131" t="s">
        <v>1527</v>
      </c>
      <c r="F23" s="1502" t="s">
        <v>43</v>
      </c>
      <c r="G23" s="234" t="s">
        <v>2131</v>
      </c>
      <c r="H23" s="233" t="s">
        <v>2131</v>
      </c>
      <c r="I23" s="234" t="s">
        <v>2131</v>
      </c>
      <c r="J23" s="271"/>
    </row>
    <row r="24" spans="1:11" ht="15" customHeight="1">
      <c r="A24" s="212"/>
      <c r="B24" s="353"/>
      <c r="C24" s="131"/>
      <c r="D24" s="129" t="s">
        <v>1602</v>
      </c>
      <c r="E24" s="131"/>
      <c r="F24" s="1009"/>
      <c r="G24" s="234" t="s">
        <v>25</v>
      </c>
      <c r="H24" s="233" t="s">
        <v>26</v>
      </c>
      <c r="I24" s="234" t="s">
        <v>27</v>
      </c>
      <c r="J24" s="271"/>
    </row>
    <row r="25" spans="1:11" s="349" customFormat="1" ht="26.25" customHeight="1">
      <c r="A25" s="214"/>
      <c r="B25" s="135"/>
      <c r="C25" s="134"/>
      <c r="D25" s="135" t="s">
        <v>288</v>
      </c>
      <c r="E25" s="134"/>
      <c r="F25" s="1010"/>
      <c r="G25" s="134" t="s">
        <v>1530</v>
      </c>
      <c r="H25" s="135"/>
      <c r="I25" s="134"/>
      <c r="J25" s="271"/>
    </row>
    <row r="26" spans="1:11" ht="26.25" customHeight="1" thickBot="1">
      <c r="A26" s="354">
        <v>1997</v>
      </c>
      <c r="B26" s="300">
        <v>7.8756342716783667E-2</v>
      </c>
      <c r="C26" s="158" t="s">
        <v>1646</v>
      </c>
      <c r="D26" s="300" t="s">
        <v>1646</v>
      </c>
      <c r="E26" s="158" t="s">
        <v>1646</v>
      </c>
      <c r="F26" s="1529" t="s">
        <v>1646</v>
      </c>
      <c r="G26" s="158" t="s">
        <v>1646</v>
      </c>
      <c r="H26" s="300" t="s">
        <v>1646</v>
      </c>
      <c r="I26" s="158" t="s">
        <v>1646</v>
      </c>
      <c r="J26" s="271"/>
    </row>
    <row r="27" spans="1:11" ht="18" customHeight="1" thickBot="1">
      <c r="A27" s="355">
        <v>1998</v>
      </c>
      <c r="B27" s="300">
        <v>5.0518608176692181E-2</v>
      </c>
      <c r="C27" s="160">
        <v>5.8106512967161184E-2</v>
      </c>
      <c r="D27" s="301">
        <v>7.1844673501836986E-2</v>
      </c>
      <c r="E27" s="160">
        <v>3.0633500796471091E-2</v>
      </c>
      <c r="F27" s="1529" t="s">
        <v>1646</v>
      </c>
      <c r="G27" s="158" t="s">
        <v>1646</v>
      </c>
      <c r="H27" s="300" t="s">
        <v>1646</v>
      </c>
      <c r="I27" s="158" t="s">
        <v>1646</v>
      </c>
      <c r="J27" s="271"/>
    </row>
    <row r="28" spans="1:11" ht="18" customHeight="1" thickBot="1">
      <c r="A28" s="354">
        <v>1999</v>
      </c>
      <c r="B28" s="300">
        <v>2.308920830481398E-2</v>
      </c>
      <c r="C28" s="160">
        <v>2.2325637842026236E-2</v>
      </c>
      <c r="D28" s="301">
        <v>1.1106493174334098E-2</v>
      </c>
      <c r="E28" s="160">
        <v>2.4491737011057113E-2</v>
      </c>
      <c r="F28" s="1529" t="s">
        <v>1646</v>
      </c>
      <c r="G28" s="158" t="s">
        <v>1646</v>
      </c>
      <c r="H28" s="300" t="s">
        <v>1646</v>
      </c>
      <c r="I28" s="158" t="s">
        <v>1646</v>
      </c>
      <c r="J28" s="271"/>
    </row>
    <row r="29" spans="1:11" ht="18" customHeight="1" thickBot="1">
      <c r="A29" s="355">
        <v>2000</v>
      </c>
      <c r="B29" s="300">
        <v>3.1064626912269855E-2</v>
      </c>
      <c r="C29" s="160">
        <v>3.0344122253117334E-2</v>
      </c>
      <c r="D29" s="301">
        <v>-9.0873447499556503E-3</v>
      </c>
      <c r="E29" s="160">
        <v>3.073658382930744E-2</v>
      </c>
      <c r="F29" s="1530">
        <v>6.4000000000000001E-2</v>
      </c>
      <c r="G29" s="160">
        <v>4.2999999999999997E-2</v>
      </c>
      <c r="H29" s="301">
        <v>7.4999999999999997E-2</v>
      </c>
      <c r="I29" s="160">
        <v>6.7000000000000004E-2</v>
      </c>
      <c r="J29" s="271"/>
    </row>
    <row r="30" spans="1:11" ht="18" customHeight="1" thickBot="1">
      <c r="A30" s="354">
        <v>2001</v>
      </c>
      <c r="B30" s="300">
        <v>3.3778522764139618E-2</v>
      </c>
      <c r="C30" s="160">
        <v>4.2491813158326064E-2</v>
      </c>
      <c r="D30" s="301">
        <v>8.8324451960815065E-3</v>
      </c>
      <c r="E30" s="160">
        <v>4.9764367169028212E-2</v>
      </c>
      <c r="F30" s="1530">
        <v>4.4000000000000004E-2</v>
      </c>
      <c r="G30" s="160">
        <v>0.03</v>
      </c>
      <c r="H30" s="301">
        <v>4.7E-2</v>
      </c>
      <c r="I30" s="160">
        <v>5.5E-2</v>
      </c>
      <c r="J30" s="271"/>
    </row>
    <row r="31" spans="1:11" ht="18" customHeight="1" thickBot="1">
      <c r="A31" s="355">
        <v>2002</v>
      </c>
      <c r="B31" s="300">
        <v>9.131897043209003E-2</v>
      </c>
      <c r="C31" s="160">
        <v>8.5617370013942429E-2</v>
      </c>
      <c r="D31" s="301">
        <v>0.12763871228942492</v>
      </c>
      <c r="E31" s="160">
        <v>9.1378491427520858E-2</v>
      </c>
      <c r="F31" s="1530">
        <v>3.9E-2</v>
      </c>
      <c r="G31" s="160">
        <v>4.0000000000000001E-3</v>
      </c>
      <c r="H31" s="301">
        <v>4.4000000000000004E-2</v>
      </c>
      <c r="I31" s="160">
        <v>0.06</v>
      </c>
      <c r="J31" s="271"/>
    </row>
    <row r="32" spans="1:11" ht="18" customHeight="1" thickBot="1">
      <c r="A32" s="355">
        <v>2003</v>
      </c>
      <c r="B32" s="300">
        <v>9.0401924791273292E-2</v>
      </c>
      <c r="C32" s="160">
        <v>8.3630255522752606E-2</v>
      </c>
      <c r="D32" s="301">
        <v>0.13713423391078017</v>
      </c>
      <c r="E32" s="160">
        <v>8.8191938903005695E-2</v>
      </c>
      <c r="F32" s="1530">
        <v>8.492201039861369E-3</v>
      </c>
      <c r="G32" s="160">
        <v>1.9462465245597693E-2</v>
      </c>
      <c r="H32" s="301">
        <v>3.4042553191488967E-3</v>
      </c>
      <c r="I32" s="160">
        <v>6.7057837384743024E-3</v>
      </c>
      <c r="J32" s="271"/>
    </row>
    <row r="33" spans="1:10" ht="18" customHeight="1" thickBot="1">
      <c r="A33" s="1507">
        <v>2004</v>
      </c>
      <c r="B33" s="300">
        <v>6.8045958823425901E-2</v>
      </c>
      <c r="C33" s="160">
        <v>6.4099553037502144E-2</v>
      </c>
      <c r="D33" s="301">
        <v>9.9881105667954051E-2</v>
      </c>
      <c r="E33" s="160">
        <v>4.7372698773109123E-2</v>
      </c>
      <c r="F33" s="1530">
        <v>1.3060663344217405E-2</v>
      </c>
      <c r="G33" s="160">
        <v>0.03</v>
      </c>
      <c r="H33" s="301">
        <v>5.9372349448685302E-3</v>
      </c>
      <c r="I33" s="160">
        <v>9.1590341382181695E-3</v>
      </c>
      <c r="J33" s="1531"/>
    </row>
    <row r="34" spans="1:10" ht="18" customHeight="1" thickBot="1">
      <c r="A34" s="1513">
        <v>2005</v>
      </c>
      <c r="B34" s="1532">
        <v>2.0589409397133496E-2</v>
      </c>
      <c r="C34" s="1581">
        <v>1.9029056323154769E-2</v>
      </c>
      <c r="D34" s="769">
        <v>2.9832202272288999E-2</v>
      </c>
      <c r="E34" s="1581">
        <v>-1.773726673646614E-3</v>
      </c>
      <c r="F34" s="1533">
        <v>8.5665818490245904E-3</v>
      </c>
      <c r="G34" s="632">
        <v>7.9435127978817466E-3</v>
      </c>
      <c r="H34" s="769">
        <v>6.7453625632378778E-3</v>
      </c>
      <c r="I34" s="632">
        <v>1.2376237623762387E-2</v>
      </c>
      <c r="J34" s="271"/>
    </row>
    <row r="35" spans="1:10" s="398" customFormat="1" ht="21" customHeight="1" thickBot="1">
      <c r="A35" s="1518">
        <v>2006</v>
      </c>
      <c r="B35" s="204" t="s">
        <v>1646</v>
      </c>
      <c r="C35" s="772" t="s">
        <v>1646</v>
      </c>
      <c r="D35" s="204" t="s">
        <v>1646</v>
      </c>
      <c r="E35" s="772" t="s">
        <v>1646</v>
      </c>
      <c r="F35" s="1534">
        <v>2.9349928517366175E-2</v>
      </c>
      <c r="G35" s="772">
        <v>-7.0052539404553693E-3</v>
      </c>
      <c r="H35" s="378">
        <v>3.6850921273031689E-2</v>
      </c>
      <c r="I35" s="796">
        <v>4.7269763651181629E-2</v>
      </c>
      <c r="J35" s="1535"/>
    </row>
    <row r="36" spans="1:10" ht="17.25" customHeight="1">
      <c r="A36" s="989" t="s">
        <v>187</v>
      </c>
      <c r="B36" s="990"/>
      <c r="C36" s="990"/>
      <c r="D36" s="990"/>
      <c r="E36" s="990"/>
      <c r="F36" s="990"/>
      <c r="G36" s="990"/>
    </row>
    <row r="37" spans="1:10" ht="12" customHeight="1">
      <c r="A37" s="717"/>
      <c r="B37" s="718"/>
      <c r="C37" s="718"/>
      <c r="D37" s="718"/>
      <c r="E37" s="718"/>
      <c r="F37" s="718"/>
      <c r="G37" s="718"/>
    </row>
    <row r="38" spans="1:10" ht="14.25" customHeight="1">
      <c r="A38" s="717" t="s">
        <v>1532</v>
      </c>
      <c r="B38" s="718"/>
      <c r="C38" s="718"/>
      <c r="D38" s="718"/>
      <c r="E38" s="718"/>
      <c r="F38" s="718"/>
      <c r="G38" s="718"/>
    </row>
    <row r="39" spans="1:10" ht="15" customHeight="1">
      <c r="A39" s="1536" t="s">
        <v>1533</v>
      </c>
      <c r="B39"/>
      <c r="C39"/>
      <c r="D39"/>
      <c r="E39"/>
      <c r="F39"/>
      <c r="G39"/>
      <c r="I39" s="211"/>
    </row>
    <row r="40" spans="1:10" ht="15.75" customHeight="1">
      <c r="A40" s="5" t="s">
        <v>1537</v>
      </c>
      <c r="B40" s="727"/>
      <c r="C40" s="727"/>
      <c r="D40" s="727"/>
      <c r="E40" s="727"/>
      <c r="F40" s="727"/>
      <c r="G40" s="727"/>
      <c r="I40" s="816"/>
    </row>
    <row r="41" spans="1:10" ht="15.75" customHeight="1">
      <c r="A41" s="5" t="s">
        <v>1538</v>
      </c>
      <c r="B41" s="727"/>
      <c r="C41" s="727"/>
      <c r="D41" s="727"/>
      <c r="E41" s="727"/>
      <c r="F41" s="727"/>
      <c r="G41" s="727"/>
      <c r="I41" s="816"/>
    </row>
    <row r="42" spans="1:10" ht="15" customHeight="1">
      <c r="A42" s="717" t="s">
        <v>186</v>
      </c>
      <c r="B42" s="727"/>
      <c r="C42" s="727"/>
      <c r="D42" s="727"/>
      <c r="E42" s="727"/>
      <c r="F42" s="727"/>
      <c r="G42" s="727"/>
    </row>
    <row r="43" spans="1:10" ht="15.75" customHeight="1">
      <c r="A43" s="5"/>
      <c r="B43" s="727"/>
      <c r="C43" s="727"/>
      <c r="D43" s="727"/>
      <c r="E43" s="727"/>
      <c r="F43" s="727"/>
      <c r="G43" s="727"/>
      <c r="I43" s="211"/>
    </row>
    <row r="44" spans="1:10" ht="15" customHeight="1">
      <c r="A44" s="717"/>
      <c r="B44" s="727"/>
      <c r="C44" s="727"/>
      <c r="D44" s="727"/>
      <c r="E44" s="727"/>
      <c r="F44" s="727"/>
      <c r="G44" s="727"/>
    </row>
    <row r="45" spans="1:10" ht="16.5" customHeight="1">
      <c r="A45" s="5" t="s">
        <v>128</v>
      </c>
      <c r="B45" s="727"/>
      <c r="C45" s="727"/>
      <c r="D45" s="727"/>
      <c r="E45" s="727"/>
      <c r="F45" s="727"/>
      <c r="G45" s="727"/>
    </row>
    <row r="46" spans="1:10" ht="31" customHeight="1">
      <c r="A46" s="5"/>
      <c r="B46" s="727"/>
      <c r="C46" s="727"/>
      <c r="D46" s="727"/>
      <c r="E46" s="727"/>
      <c r="F46" s="727"/>
      <c r="G46" s="727"/>
    </row>
    <row r="47" spans="1:10" ht="31" customHeight="1">
      <c r="A47" s="5"/>
      <c r="B47" s="727"/>
      <c r="C47" s="727"/>
      <c r="D47" s="727"/>
      <c r="E47" s="727"/>
      <c r="F47" s="727"/>
      <c r="G47" s="727"/>
    </row>
    <row r="48" spans="1:10">
      <c r="A48" s="5"/>
      <c r="B48" s="727"/>
      <c r="C48" s="727"/>
      <c r="D48" s="727"/>
      <c r="E48" s="727"/>
      <c r="F48" s="727"/>
      <c r="G48" s="727"/>
    </row>
    <row r="49" spans="1:7">
      <c r="A49" s="5"/>
      <c r="B49" s="727"/>
      <c r="C49" s="727"/>
      <c r="D49" s="727"/>
      <c r="E49" s="727"/>
      <c r="F49" s="727"/>
      <c r="G49" s="727"/>
    </row>
    <row r="50" spans="1:7">
      <c r="A50" s="5"/>
      <c r="B50" s="727"/>
      <c r="C50" s="727"/>
      <c r="D50" s="727"/>
      <c r="E50" s="727"/>
      <c r="F50" s="727"/>
      <c r="G50" s="727"/>
    </row>
    <row r="51" spans="1:7">
      <c r="A51" s="5"/>
      <c r="B51" s="727"/>
      <c r="C51" s="727"/>
      <c r="D51" s="727"/>
      <c r="E51" s="727"/>
      <c r="F51" s="727"/>
      <c r="G51" s="727"/>
    </row>
    <row r="52" spans="1:7">
      <c r="A52" s="5"/>
      <c r="B52" s="727"/>
      <c r="C52" s="727"/>
      <c r="D52" s="727"/>
      <c r="E52" s="727"/>
      <c r="F52" s="727"/>
      <c r="G52" s="727"/>
    </row>
    <row r="53" spans="1:7">
      <c r="A53" s="5"/>
      <c r="B53" s="727"/>
      <c r="C53" s="727"/>
      <c r="D53" s="727"/>
      <c r="E53" s="727"/>
      <c r="F53" s="727"/>
      <c r="G53" s="727"/>
    </row>
    <row r="54" spans="1:7">
      <c r="A54" s="5"/>
      <c r="B54" s="727"/>
      <c r="C54" s="727"/>
      <c r="D54" s="727"/>
      <c r="E54" s="727"/>
      <c r="F54" s="727"/>
      <c r="G54" s="727"/>
    </row>
    <row r="55" spans="1:7">
      <c r="A55" s="5"/>
      <c r="B55" s="727"/>
      <c r="C55" s="727"/>
      <c r="D55" s="727"/>
      <c r="E55" s="727"/>
      <c r="F55" s="727"/>
      <c r="G55" s="727"/>
    </row>
    <row r="56" spans="1:7">
      <c r="A56" s="5"/>
      <c r="B56" s="727"/>
      <c r="C56" s="727"/>
      <c r="D56" s="727"/>
      <c r="E56" s="727"/>
      <c r="F56" s="727"/>
      <c r="G56" s="727"/>
    </row>
    <row r="57" spans="1:7">
      <c r="A57" s="5"/>
      <c r="B57" s="727"/>
      <c r="C57" s="727"/>
      <c r="D57" s="727"/>
      <c r="E57" s="727"/>
      <c r="F57" s="727"/>
      <c r="G57" s="727"/>
    </row>
    <row r="58" spans="1:7">
      <c r="A58" s="5"/>
      <c r="B58" s="727"/>
      <c r="C58" s="727"/>
      <c r="D58" s="727"/>
      <c r="E58" s="727"/>
      <c r="F58" s="727"/>
      <c r="G58" s="727"/>
    </row>
    <row r="59" spans="1:7">
      <c r="A59" s="5"/>
      <c r="B59" s="727"/>
      <c r="C59" s="727"/>
      <c r="D59" s="727"/>
      <c r="E59" s="727"/>
      <c r="F59" s="727"/>
      <c r="G59" s="727"/>
    </row>
    <row r="60" spans="1:7">
      <c r="A60" s="5"/>
      <c r="B60" s="727"/>
      <c r="C60" s="727"/>
      <c r="D60" s="727"/>
      <c r="E60" s="727"/>
      <c r="F60" s="727"/>
      <c r="G60" s="727"/>
    </row>
  </sheetData>
  <mergeCells count="1">
    <mergeCell ref="A2:I2"/>
  </mergeCells>
  <phoneticPr fontId="0" type="noConversion"/>
  <pageMargins left="0.46" right="0.44" top="0.67" bottom="0.68" header="0.41" footer="0.33"/>
  <pageSetup paperSize="9" scale="70" orientation="portrait" horizontalDpi="4294967292" verticalDpi="4294967292"/>
  <headerFooter alignWithMargins="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DF261-5AAD-4543-993D-DDE47801D461}">
  <sheetPr>
    <pageSetUpPr fitToPage="1"/>
  </sheetPr>
  <dimension ref="A1:O44"/>
  <sheetViews>
    <sheetView topLeftCell="A19" zoomScale="75" workbookViewId="0">
      <selection activeCell="A37" sqref="A37"/>
    </sheetView>
  </sheetViews>
  <sheetFormatPr baseColWidth="10" defaultColWidth="11.3984375" defaultRowHeight="13"/>
  <cols>
    <col min="1" max="1" width="17.19921875" style="2" customWidth="1"/>
    <col min="2" max="2" width="13.3984375" style="170" customWidth="1"/>
    <col min="3" max="3" width="13" style="170" customWidth="1"/>
    <col min="4" max="4" width="14.796875" style="170" customWidth="1"/>
    <col min="5" max="5" width="13.19921875" style="170" customWidth="1"/>
    <col min="6" max="6" width="15" style="170" customWidth="1"/>
    <col min="7" max="7" width="12.796875" style="170" customWidth="1"/>
    <col min="8" max="8" width="13.19921875" style="170" customWidth="1"/>
    <col min="9" max="10" width="13" style="170" customWidth="1"/>
    <col min="11" max="11" width="13.19921875" style="170" customWidth="1"/>
    <col min="12" max="12" width="12.796875" style="2" customWidth="1"/>
    <col min="13" max="13" width="14" style="2" customWidth="1"/>
    <col min="14" max="16384" width="11.3984375" style="2"/>
  </cols>
  <sheetData>
    <row r="1" spans="1:15" s="1" customFormat="1" ht="14" customHeight="1">
      <c r="A1" s="404"/>
      <c r="B1" s="690"/>
      <c r="C1" s="690"/>
      <c r="D1" s="690"/>
      <c r="E1" s="690"/>
      <c r="F1" s="690"/>
      <c r="G1" s="690"/>
      <c r="H1" s="690"/>
      <c r="I1" s="690"/>
      <c r="J1" s="690"/>
      <c r="K1" s="690"/>
    </row>
    <row r="2" spans="1:15" s="1" customFormat="1" ht="27" customHeight="1">
      <c r="A2" s="1015" t="s">
        <v>482</v>
      </c>
      <c r="B2" s="368"/>
      <c r="C2" s="368"/>
      <c r="D2" s="368"/>
      <c r="E2" s="368"/>
      <c r="F2" s="368"/>
      <c r="G2" s="368"/>
      <c r="H2" s="368"/>
      <c r="I2" s="368"/>
      <c r="J2" s="368"/>
      <c r="K2" s="192"/>
      <c r="M2" s="192">
        <v>2005</v>
      </c>
    </row>
    <row r="3" spans="1:15" ht="27" customHeight="1">
      <c r="A3" s="125" t="s">
        <v>1254</v>
      </c>
      <c r="B3" s="126" t="s">
        <v>483</v>
      </c>
      <c r="C3" s="127" t="s">
        <v>457</v>
      </c>
      <c r="D3" s="126" t="s">
        <v>484</v>
      </c>
      <c r="E3" s="127" t="s">
        <v>457</v>
      </c>
      <c r="F3" s="126" t="s">
        <v>485</v>
      </c>
      <c r="G3" s="127" t="s">
        <v>457</v>
      </c>
      <c r="H3" s="126" t="s">
        <v>486</v>
      </c>
      <c r="I3" s="127" t="s">
        <v>457</v>
      </c>
      <c r="J3" s="126" t="s">
        <v>487</v>
      </c>
      <c r="K3" s="127" t="s">
        <v>457</v>
      </c>
      <c r="L3" s="126" t="s">
        <v>488</v>
      </c>
      <c r="M3" s="127" t="s">
        <v>457</v>
      </c>
    </row>
    <row r="4" spans="1:15" ht="15" customHeight="1">
      <c r="A4" s="212"/>
      <c r="B4" s="353" t="s">
        <v>489</v>
      </c>
      <c r="C4" s="692" t="s">
        <v>1376</v>
      </c>
      <c r="D4" s="353" t="s">
        <v>490</v>
      </c>
      <c r="E4" s="692" t="s">
        <v>1376</v>
      </c>
      <c r="F4" s="353" t="s">
        <v>491</v>
      </c>
      <c r="G4" s="692" t="s">
        <v>1376</v>
      </c>
      <c r="H4" s="353" t="s">
        <v>700</v>
      </c>
      <c r="I4" s="692" t="s">
        <v>1376</v>
      </c>
      <c r="J4" s="353" t="s">
        <v>492</v>
      </c>
      <c r="K4" s="692" t="s">
        <v>1376</v>
      </c>
      <c r="L4" s="129" t="s">
        <v>503</v>
      </c>
      <c r="M4" s="692" t="s">
        <v>1376</v>
      </c>
    </row>
    <row r="5" spans="1:15" ht="15" customHeight="1">
      <c r="A5" s="212"/>
      <c r="B5" s="353" t="s">
        <v>493</v>
      </c>
      <c r="C5" s="692" t="s">
        <v>268</v>
      </c>
      <c r="D5" s="353" t="s">
        <v>504</v>
      </c>
      <c r="E5" s="692" t="s">
        <v>268</v>
      </c>
      <c r="F5" s="353" t="s">
        <v>494</v>
      </c>
      <c r="G5" s="692" t="s">
        <v>268</v>
      </c>
      <c r="H5" s="353"/>
      <c r="I5" s="692" t="s">
        <v>268</v>
      </c>
      <c r="J5" s="353" t="s">
        <v>23</v>
      </c>
      <c r="K5" s="692" t="s">
        <v>268</v>
      </c>
      <c r="L5" s="129" t="s">
        <v>495</v>
      </c>
      <c r="M5" s="692" t="s">
        <v>268</v>
      </c>
    </row>
    <row r="6" spans="1:15" ht="15" hidden="1" customHeight="1">
      <c r="A6" s="212"/>
      <c r="B6" s="353" t="s">
        <v>496</v>
      </c>
      <c r="C6" s="692"/>
      <c r="D6" s="353" t="s">
        <v>496</v>
      </c>
      <c r="E6" s="692"/>
      <c r="F6" s="353" t="s">
        <v>496</v>
      </c>
      <c r="G6" s="692"/>
      <c r="H6" s="353" t="s">
        <v>496</v>
      </c>
      <c r="I6" s="692"/>
      <c r="J6" s="353" t="s">
        <v>496</v>
      </c>
      <c r="K6" s="692"/>
      <c r="L6" s="129" t="s">
        <v>497</v>
      </c>
      <c r="M6" s="131"/>
    </row>
    <row r="7" spans="1:15" ht="27" customHeight="1">
      <c r="A7" s="308"/>
      <c r="B7" s="135" t="s">
        <v>505</v>
      </c>
      <c r="C7" s="134"/>
      <c r="D7" s="135"/>
      <c r="E7" s="134"/>
      <c r="F7" s="135" t="s">
        <v>506</v>
      </c>
      <c r="G7" s="134"/>
      <c r="H7" s="135" t="s">
        <v>507</v>
      </c>
      <c r="I7" s="134"/>
      <c r="J7" s="135" t="s">
        <v>508</v>
      </c>
      <c r="K7" s="134"/>
      <c r="L7" s="135"/>
      <c r="M7" s="134"/>
      <c r="O7" s="192"/>
    </row>
    <row r="8" spans="1:15" ht="3" customHeight="1" thickBot="1">
      <c r="A8" s="695">
        <v>1985</v>
      </c>
      <c r="B8" s="698">
        <v>48.039096581879356</v>
      </c>
      <c r="C8" s="699" t="s">
        <v>861</v>
      </c>
      <c r="D8" s="698" t="s">
        <v>1646</v>
      </c>
      <c r="E8" s="699" t="s">
        <v>861</v>
      </c>
      <c r="F8" s="698" t="s">
        <v>1646</v>
      </c>
      <c r="G8" s="699" t="s">
        <v>861</v>
      </c>
      <c r="H8" s="698" t="s">
        <v>1646</v>
      </c>
      <c r="I8" s="699" t="s">
        <v>861</v>
      </c>
      <c r="J8" s="698" t="s">
        <v>1646</v>
      </c>
      <c r="K8" s="699" t="s">
        <v>861</v>
      </c>
      <c r="L8" s="698">
        <v>69.267015706806276</v>
      </c>
      <c r="M8" s="699" t="s">
        <v>861</v>
      </c>
    </row>
    <row r="9" spans="1:15" ht="18" hidden="1" customHeight="1" thickBot="1">
      <c r="A9" s="355">
        <v>1986</v>
      </c>
      <c r="B9" s="700">
        <v>51.277951786841811</v>
      </c>
      <c r="C9" s="160">
        <v>6.7421234690416165E-2</v>
      </c>
      <c r="D9" s="700" t="s">
        <v>1646</v>
      </c>
      <c r="E9" s="160" t="s">
        <v>861</v>
      </c>
      <c r="F9" s="700" t="s">
        <v>1646</v>
      </c>
      <c r="G9" s="160" t="s">
        <v>861</v>
      </c>
      <c r="H9" s="700" t="s">
        <v>1646</v>
      </c>
      <c r="I9" s="160" t="s">
        <v>861</v>
      </c>
      <c r="J9" s="700" t="s">
        <v>1646</v>
      </c>
      <c r="K9" s="160" t="s">
        <v>861</v>
      </c>
      <c r="L9" s="700">
        <v>71.727748691099478</v>
      </c>
      <c r="M9" s="160">
        <v>3.5525321239607166E-2</v>
      </c>
    </row>
    <row r="10" spans="1:15" ht="18" hidden="1" customHeight="1" thickBot="1">
      <c r="A10" s="355">
        <v>1987</v>
      </c>
      <c r="B10" s="700">
        <v>55.200098828185453</v>
      </c>
      <c r="C10" s="160">
        <v>7.6487981767440427E-2</v>
      </c>
      <c r="D10" s="700" t="s">
        <v>1646</v>
      </c>
      <c r="E10" s="160" t="s">
        <v>861</v>
      </c>
      <c r="F10" s="700" t="s">
        <v>1646</v>
      </c>
      <c r="G10" s="160" t="s">
        <v>861</v>
      </c>
      <c r="H10" s="700" t="s">
        <v>1646</v>
      </c>
      <c r="I10" s="160" t="s">
        <v>861</v>
      </c>
      <c r="J10" s="700" t="s">
        <v>1646</v>
      </c>
      <c r="K10" s="160" t="s">
        <v>861</v>
      </c>
      <c r="L10" s="700">
        <v>73.455497382198956</v>
      </c>
      <c r="M10" s="160">
        <v>2.4087591240876005E-2</v>
      </c>
    </row>
    <row r="11" spans="1:15" ht="18" hidden="1" customHeight="1" thickBot="1">
      <c r="A11" s="355">
        <v>1988</v>
      </c>
      <c r="B11" s="700">
        <v>57.744887354475971</v>
      </c>
      <c r="C11" s="160">
        <v>4.6101158880373916E-2</v>
      </c>
      <c r="D11" s="700" t="s">
        <v>1646</v>
      </c>
      <c r="E11" s="160" t="s">
        <v>861</v>
      </c>
      <c r="F11" s="700" t="s">
        <v>1646</v>
      </c>
      <c r="G11" s="160" t="s">
        <v>861</v>
      </c>
      <c r="H11" s="700" t="s">
        <v>1646</v>
      </c>
      <c r="I11" s="160" t="s">
        <v>861</v>
      </c>
      <c r="J11" s="700" t="s">
        <v>1646</v>
      </c>
      <c r="K11" s="160" t="s">
        <v>861</v>
      </c>
      <c r="L11" s="700">
        <v>76.020942408376968</v>
      </c>
      <c r="M11" s="160">
        <v>3.4925160370634423E-2</v>
      </c>
    </row>
    <row r="12" spans="1:15" ht="18" hidden="1" customHeight="1" thickBot="1">
      <c r="A12" s="355">
        <v>1989</v>
      </c>
      <c r="B12" s="700">
        <v>61.063012459590368</v>
      </c>
      <c r="C12" s="160">
        <v>5.746179890776415E-2</v>
      </c>
      <c r="D12" s="700" t="s">
        <v>1646</v>
      </c>
      <c r="E12" s="160" t="s">
        <v>861</v>
      </c>
      <c r="F12" s="700" t="s">
        <v>1646</v>
      </c>
      <c r="G12" s="160" t="s">
        <v>861</v>
      </c>
      <c r="H12" s="700" t="s">
        <v>1646</v>
      </c>
      <c r="I12" s="160" t="s">
        <v>861</v>
      </c>
      <c r="J12" s="700" t="s">
        <v>1646</v>
      </c>
      <c r="K12" s="160" t="s">
        <v>861</v>
      </c>
      <c r="L12" s="700">
        <v>78.900523560209422</v>
      </c>
      <c r="M12" s="160">
        <v>3.7878787878787845E-2</v>
      </c>
    </row>
    <row r="13" spans="1:15" ht="18" hidden="1" customHeight="1" thickBot="1">
      <c r="A13" s="355">
        <v>1990</v>
      </c>
      <c r="B13" s="700">
        <v>64.274565419161277</v>
      </c>
      <c r="C13" s="160">
        <v>5.2594079954640494E-2</v>
      </c>
      <c r="D13" s="700" t="s">
        <v>1646</v>
      </c>
      <c r="E13" s="160" t="s">
        <v>861</v>
      </c>
      <c r="F13" s="700" t="s">
        <v>1646</v>
      </c>
      <c r="G13" s="160" t="s">
        <v>861</v>
      </c>
      <c r="H13" s="700" t="s">
        <v>1646</v>
      </c>
      <c r="I13" s="160" t="s">
        <v>861</v>
      </c>
      <c r="J13" s="700" t="s">
        <v>1646</v>
      </c>
      <c r="K13" s="160" t="s">
        <v>861</v>
      </c>
      <c r="L13" s="700">
        <v>83.507853403141368</v>
      </c>
      <c r="M13" s="160">
        <v>5.8394160583941757E-2</v>
      </c>
    </row>
    <row r="14" spans="1:15" ht="18" hidden="1" customHeight="1" thickBot="1">
      <c r="A14" s="355">
        <v>1991</v>
      </c>
      <c r="B14" s="700">
        <v>71.042687968138111</v>
      </c>
      <c r="C14" s="160">
        <v>0.10530016818999988</v>
      </c>
      <c r="D14" s="700" t="s">
        <v>1646</v>
      </c>
      <c r="E14" s="160" t="s">
        <v>861</v>
      </c>
      <c r="F14" s="700" t="s">
        <v>1646</v>
      </c>
      <c r="G14" s="160" t="s">
        <v>861</v>
      </c>
      <c r="H14" s="700" t="s">
        <v>1646</v>
      </c>
      <c r="I14" s="160" t="s">
        <v>861</v>
      </c>
      <c r="J14" s="700" t="s">
        <v>1646</v>
      </c>
      <c r="K14" s="160" t="s">
        <v>861</v>
      </c>
      <c r="L14" s="700">
        <v>89.319371727748688</v>
      </c>
      <c r="M14" s="160">
        <v>6.959247648902811E-2</v>
      </c>
    </row>
    <row r="15" spans="1:15" ht="18" hidden="1" customHeight="1" thickBot="1">
      <c r="A15" s="355">
        <v>1992</v>
      </c>
      <c r="B15" s="700">
        <v>77.338471246969561</v>
      </c>
      <c r="C15" s="160">
        <v>8.8619722295066428E-2</v>
      </c>
      <c r="D15" s="700" t="s">
        <v>1646</v>
      </c>
      <c r="E15" s="160" t="s">
        <v>861</v>
      </c>
      <c r="F15" s="700" t="s">
        <v>1646</v>
      </c>
      <c r="G15" s="160" t="s">
        <v>861</v>
      </c>
      <c r="H15" s="700" t="s">
        <v>1646</v>
      </c>
      <c r="I15" s="160" t="s">
        <v>861</v>
      </c>
      <c r="J15" s="700" t="s">
        <v>1646</v>
      </c>
      <c r="K15" s="160" t="s">
        <v>861</v>
      </c>
      <c r="L15" s="700">
        <v>93.612565445026178</v>
      </c>
      <c r="M15" s="160">
        <v>4.8065650644783187E-2</v>
      </c>
    </row>
    <row r="16" spans="1:15" ht="18" hidden="1" customHeight="1" thickBot="1">
      <c r="A16" s="355">
        <v>1993</v>
      </c>
      <c r="B16" s="700">
        <v>82.47634907609573</v>
      </c>
      <c r="C16" s="160">
        <v>6.643366162125286E-2</v>
      </c>
      <c r="D16" s="700" t="s">
        <v>1646</v>
      </c>
      <c r="E16" s="160" t="s">
        <v>861</v>
      </c>
      <c r="F16" s="700" t="s">
        <v>1646</v>
      </c>
      <c r="G16" s="160" t="s">
        <v>861</v>
      </c>
      <c r="H16" s="700" t="s">
        <v>1646</v>
      </c>
      <c r="I16" s="160" t="s">
        <v>861</v>
      </c>
      <c r="J16" s="700" t="s">
        <v>1646</v>
      </c>
      <c r="K16" s="160" t="s">
        <v>861</v>
      </c>
      <c r="L16" s="700">
        <v>96.125654450261777</v>
      </c>
      <c r="M16" s="160">
        <v>2.6845637583892579E-2</v>
      </c>
    </row>
    <row r="17" spans="1:14" ht="18" hidden="1" customHeight="1" thickBot="1">
      <c r="A17" s="355">
        <v>1994</v>
      </c>
      <c r="B17" s="700">
        <v>87.519197555085469</v>
      </c>
      <c r="C17" s="160">
        <v>6.1142964443503978E-2</v>
      </c>
      <c r="D17" s="700" t="s">
        <v>1646</v>
      </c>
      <c r="E17" s="160" t="s">
        <v>861</v>
      </c>
      <c r="F17" s="700" t="s">
        <v>1646</v>
      </c>
      <c r="G17" s="160" t="s">
        <v>861</v>
      </c>
      <c r="H17" s="700" t="s">
        <v>1646</v>
      </c>
      <c r="I17" s="160" t="s">
        <v>861</v>
      </c>
      <c r="J17" s="700" t="s">
        <v>1646</v>
      </c>
      <c r="K17" s="160" t="s">
        <v>861</v>
      </c>
      <c r="L17" s="700">
        <v>97.486910994764401</v>
      </c>
      <c r="M17" s="160">
        <v>1.4161220043573008E-2</v>
      </c>
    </row>
    <row r="18" spans="1:14" ht="18" hidden="1" customHeight="1" thickBot="1">
      <c r="A18" s="355">
        <v>1995</v>
      </c>
      <c r="B18" s="700">
        <v>91.116876985480161</v>
      </c>
      <c r="C18" s="160">
        <v>4.1107317376056551E-2</v>
      </c>
      <c r="D18" s="700" t="s">
        <v>1646</v>
      </c>
      <c r="E18" s="160" t="s">
        <v>861</v>
      </c>
      <c r="F18" s="700" t="s">
        <v>1646</v>
      </c>
      <c r="G18" s="160" t="s">
        <v>861</v>
      </c>
      <c r="H18" s="700" t="s">
        <v>1646</v>
      </c>
      <c r="I18" s="160" t="s">
        <v>861</v>
      </c>
      <c r="J18" s="700" t="s">
        <v>1646</v>
      </c>
      <c r="K18" s="160" t="s">
        <v>861</v>
      </c>
      <c r="L18" s="700">
        <v>98.795811518324612</v>
      </c>
      <c r="M18" s="160">
        <v>1.3426423200859405E-2</v>
      </c>
    </row>
    <row r="19" spans="1:14" ht="18" customHeight="1" thickBot="1">
      <c r="A19" s="355">
        <v>1996</v>
      </c>
      <c r="B19" s="700">
        <v>100</v>
      </c>
      <c r="C19" s="160" t="s">
        <v>861</v>
      </c>
      <c r="D19" s="700">
        <v>100</v>
      </c>
      <c r="E19" s="160" t="s">
        <v>861</v>
      </c>
      <c r="F19" s="700">
        <v>100</v>
      </c>
      <c r="G19" s="160" t="s">
        <v>861</v>
      </c>
      <c r="H19" s="700">
        <v>100</v>
      </c>
      <c r="I19" s="160" t="s">
        <v>861</v>
      </c>
      <c r="J19" s="700">
        <v>100</v>
      </c>
      <c r="K19" s="160" t="s">
        <v>861</v>
      </c>
      <c r="L19" s="700">
        <v>100</v>
      </c>
      <c r="M19" s="160" t="s">
        <v>861</v>
      </c>
    </row>
    <row r="20" spans="1:14" ht="18" customHeight="1" thickBot="1">
      <c r="A20" s="355">
        <v>1997</v>
      </c>
      <c r="B20" s="700">
        <v>105.16030675413471</v>
      </c>
      <c r="C20" s="160">
        <v>5.1603067541347025E-2</v>
      </c>
      <c r="D20" s="700">
        <v>101.89193877392979</v>
      </c>
      <c r="E20" s="160">
        <v>1.891938773929791E-2</v>
      </c>
      <c r="F20" s="700">
        <v>107.58124703959587</v>
      </c>
      <c r="G20" s="160">
        <v>7.581247039595862E-2</v>
      </c>
      <c r="H20" s="700">
        <v>107.87563427167836</v>
      </c>
      <c r="I20" s="160">
        <v>7.8756342716783667E-2</v>
      </c>
      <c r="J20" s="700">
        <v>105.62910609008631</v>
      </c>
      <c r="K20" s="160">
        <v>5.629106090086311E-2</v>
      </c>
      <c r="L20" s="700">
        <v>100.47120418848168</v>
      </c>
      <c r="M20" s="160">
        <v>4.7120418848167755E-3</v>
      </c>
      <c r="N20" s="192"/>
    </row>
    <row r="21" spans="1:14" ht="18" customHeight="1" thickBot="1">
      <c r="A21" s="355">
        <v>1998</v>
      </c>
      <c r="B21" s="700">
        <v>111.72560750254088</v>
      </c>
      <c r="C21" s="160">
        <v>6.2431357905372797E-2</v>
      </c>
      <c r="D21" s="700">
        <v>105.89506308395747</v>
      </c>
      <c r="E21" s="160">
        <v>3.9287939342380174E-2</v>
      </c>
      <c r="F21" s="700">
        <v>114.72634184026704</v>
      </c>
      <c r="G21" s="160">
        <v>6.6415801984907041E-2</v>
      </c>
      <c r="H21" s="700">
        <v>113.32536117126143</v>
      </c>
      <c r="I21" s="160">
        <v>5.0518608176692181E-2</v>
      </c>
      <c r="J21" s="700">
        <v>124.01652645218175</v>
      </c>
      <c r="K21" s="160">
        <v>0.1740753192251161</v>
      </c>
      <c r="L21" s="700">
        <v>101.15183246073298</v>
      </c>
      <c r="M21" s="160">
        <v>6.774361646690874E-3</v>
      </c>
    </row>
    <row r="22" spans="1:14" ht="18" customHeight="1" thickBot="1">
      <c r="A22" s="355">
        <v>1999</v>
      </c>
      <c r="B22" s="700">
        <v>116.18948073547075</v>
      </c>
      <c r="C22" s="160">
        <v>3.9953895375582027E-2</v>
      </c>
      <c r="D22" s="700">
        <v>108.76224732072774</v>
      </c>
      <c r="E22" s="160">
        <v>2.7075712061260804E-2</v>
      </c>
      <c r="F22" s="700">
        <v>117.67608020112029</v>
      </c>
      <c r="G22" s="160">
        <v>2.5711081810314784E-2</v>
      </c>
      <c r="H22" s="700">
        <v>115.94195404156298</v>
      </c>
      <c r="I22" s="160">
        <v>2.308920830481398E-2</v>
      </c>
      <c r="J22" s="700">
        <v>129.1754195703584</v>
      </c>
      <c r="K22" s="160">
        <v>4.1598432610236102E-2</v>
      </c>
      <c r="L22" s="700">
        <v>101.46596858638743</v>
      </c>
      <c r="M22" s="160">
        <v>3.1055900621119736E-3</v>
      </c>
    </row>
    <row r="23" spans="1:14" ht="18" customHeight="1" thickBot="1">
      <c r="A23" s="355">
        <v>2000</v>
      </c>
      <c r="B23" s="700">
        <v>122.97999630416705</v>
      </c>
      <c r="C23" s="160">
        <v>5.844346257262556E-2</v>
      </c>
      <c r="D23" s="700">
        <v>112.75145195600452</v>
      </c>
      <c r="E23" s="160">
        <v>3.6678210808876122E-2</v>
      </c>
      <c r="F23" s="700">
        <v>121.56048791037489</v>
      </c>
      <c r="G23" s="160">
        <v>3.3009322732502344E-2</v>
      </c>
      <c r="H23" s="700">
        <v>119.54364758734366</v>
      </c>
      <c r="I23" s="160">
        <v>3.1064626912269633E-2</v>
      </c>
      <c r="J23" s="700">
        <v>134.93456176323738</v>
      </c>
      <c r="K23" s="160">
        <v>4.4583886098718217E-2</v>
      </c>
      <c r="L23" s="700">
        <v>102.77486910994764</v>
      </c>
      <c r="M23" s="160">
        <v>1.2899896800825594E-2</v>
      </c>
    </row>
    <row r="24" spans="1:14" ht="18" customHeight="1" thickBot="1">
      <c r="A24" s="355">
        <v>2001</v>
      </c>
      <c r="B24" s="700">
        <v>129.24986283646001</v>
      </c>
      <c r="C24" s="160">
        <v>5.0982816073483095E-2</v>
      </c>
      <c r="D24" s="700">
        <v>119.09099488489565</v>
      </c>
      <c r="E24" s="160">
        <v>5.6225820766945045E-2</v>
      </c>
      <c r="F24" s="700">
        <v>125.8016038708373</v>
      </c>
      <c r="G24" s="160">
        <v>3.4888934993328791E-2</v>
      </c>
      <c r="H24" s="700">
        <v>123.58165540868103</v>
      </c>
      <c r="I24" s="160">
        <v>3.3778522764139618E-2</v>
      </c>
      <c r="J24" s="700">
        <v>140.52252864776963</v>
      </c>
      <c r="K24" s="160">
        <v>4.1412421039593639E-2</v>
      </c>
      <c r="L24" s="700">
        <v>105.28795811518326</v>
      </c>
      <c r="M24" s="160">
        <v>2.4452368823229875E-2</v>
      </c>
    </row>
    <row r="25" spans="1:14" ht="18" customHeight="1" thickBot="1">
      <c r="A25" s="355">
        <v>2002</v>
      </c>
      <c r="B25" s="700">
        <v>134.14545412547352</v>
      </c>
      <c r="C25" s="160">
        <v>3.7876955391495493E-2</v>
      </c>
      <c r="D25" s="700">
        <v>122.39822840034257</v>
      </c>
      <c r="E25" s="160">
        <v>2.7770643100626158E-2</v>
      </c>
      <c r="F25" s="700">
        <v>136.29621770363448</v>
      </c>
      <c r="G25" s="160">
        <v>8.3421939863121297E-2</v>
      </c>
      <c r="H25" s="700">
        <v>134.86700494489511</v>
      </c>
      <c r="I25" s="160">
        <v>9.131897043209003E-2</v>
      </c>
      <c r="J25" s="700">
        <v>145.77361498122642</v>
      </c>
      <c r="K25" s="160">
        <v>3.7368288088659662E-2</v>
      </c>
      <c r="L25" s="700">
        <v>107.17277486910994</v>
      </c>
      <c r="M25" s="160">
        <v>1.7901541521630815E-2</v>
      </c>
    </row>
    <row r="26" spans="1:14" ht="18" customHeight="1" thickBot="1">
      <c r="A26" s="355">
        <v>2003</v>
      </c>
      <c r="B26" s="700">
        <v>140.00334934860942</v>
      </c>
      <c r="C26" s="160">
        <v>4.366823506115014E-2</v>
      </c>
      <c r="D26" s="700">
        <v>126.25842492216353</v>
      </c>
      <c r="E26" s="160">
        <v>3.1538009759380925E-2</v>
      </c>
      <c r="F26" s="700">
        <v>147.454242203776</v>
      </c>
      <c r="G26" s="160">
        <v>8.1865987832500098E-2</v>
      </c>
      <c r="H26" s="700">
        <v>147.05924178274782</v>
      </c>
      <c r="I26" s="160">
        <v>9.0401924791273292E-2</v>
      </c>
      <c r="J26" s="700">
        <v>150.07356944669982</v>
      </c>
      <c r="K26" s="160">
        <v>2.9497481187025443E-2</v>
      </c>
      <c r="L26" s="700">
        <v>108.6910994764398</v>
      </c>
      <c r="M26" s="160">
        <v>1.4167073766487626E-2</v>
      </c>
    </row>
    <row r="27" spans="1:14" ht="18" customHeight="1" thickBot="1">
      <c r="A27" s="355">
        <v>2004</v>
      </c>
      <c r="B27" s="700">
        <v>148.95939203547999</v>
      </c>
      <c r="C27" s="160">
        <v>6.3970203059713571E-2</v>
      </c>
      <c r="D27" s="700">
        <v>129.86991776766388</v>
      </c>
      <c r="E27" s="160">
        <v>2.8603975122664327E-2</v>
      </c>
      <c r="F27" s="700">
        <v>157.924385414239</v>
      </c>
      <c r="G27" s="160">
        <v>7.1006049429175988E-2</v>
      </c>
      <c r="H27" s="700">
        <v>157.06602889370092</v>
      </c>
      <c r="I27" s="160">
        <v>6.8045958823425901E-2</v>
      </c>
      <c r="J27" s="700">
        <v>163.61632015328101</v>
      </c>
      <c r="K27" s="160">
        <v>9.0240744966028297E-2</v>
      </c>
      <c r="L27" s="700">
        <v>109.68586387434556</v>
      </c>
      <c r="M27" s="160">
        <v>9.1522157996146714E-3</v>
      </c>
    </row>
    <row r="28" spans="1:14" s="163" customFormat="1" ht="30" customHeight="1" thickBot="1">
      <c r="A28" s="357">
        <v>2005</v>
      </c>
      <c r="B28" s="739">
        <v>157.5423865841264</v>
      </c>
      <c r="C28" s="303">
        <v>5.76196937390967E-2</v>
      </c>
      <c r="D28" s="1070">
        <v>134.48279675478616</v>
      </c>
      <c r="E28" s="1071">
        <v>3.5519226210450672E-2</v>
      </c>
      <c r="F28" s="739">
        <v>161.84891032989702</v>
      </c>
      <c r="G28" s="303">
        <v>2.4850658151139404E-2</v>
      </c>
      <c r="H28" s="739">
        <v>160.29992566497529</v>
      </c>
      <c r="I28" s="303">
        <v>2.0589409397133274E-2</v>
      </c>
      <c r="J28" s="739">
        <v>172.12053920851801</v>
      </c>
      <c r="K28" s="303">
        <v>5.1976594066349691E-2</v>
      </c>
      <c r="L28" s="1072">
        <v>110.73298429319371</v>
      </c>
      <c r="M28" s="803">
        <v>9.5465393794746944E-3</v>
      </c>
    </row>
    <row r="29" spans="1:14" ht="20" customHeight="1">
      <c r="A29" s="708" t="s">
        <v>590</v>
      </c>
      <c r="B29" s="709"/>
      <c r="C29" s="709"/>
      <c r="D29" s="709"/>
      <c r="E29" s="709"/>
      <c r="F29" s="709"/>
      <c r="G29" s="709"/>
      <c r="H29" s="709"/>
      <c r="I29" s="709"/>
      <c r="J29" s="709"/>
      <c r="K29" s="709"/>
    </row>
    <row r="30" spans="1:14" ht="12.75" customHeight="1">
      <c r="A30" s="713"/>
      <c r="B30" s="714"/>
      <c r="C30" s="714"/>
      <c r="D30" s="714"/>
      <c r="E30" s="714"/>
      <c r="F30" s="714"/>
      <c r="G30" s="714"/>
      <c r="H30" s="714"/>
      <c r="I30" s="714"/>
      <c r="J30" s="714"/>
      <c r="K30" s="714"/>
    </row>
    <row r="31" spans="1:14" ht="12" customHeight="1">
      <c r="A31" s="713" t="s">
        <v>498</v>
      </c>
      <c r="B31" s="714"/>
      <c r="C31" s="714"/>
      <c r="D31" s="714"/>
      <c r="E31" s="714"/>
      <c r="F31" s="714"/>
      <c r="G31" s="714"/>
      <c r="H31" s="714"/>
      <c r="I31" s="714"/>
      <c r="J31" s="714"/>
      <c r="K31" s="714"/>
    </row>
    <row r="32" spans="1:14" ht="12" customHeight="1">
      <c r="A32" s="713" t="s">
        <v>509</v>
      </c>
      <c r="B32" s="714"/>
      <c r="C32" s="714"/>
      <c r="D32" s="714"/>
      <c r="E32" s="714"/>
      <c r="F32" s="714"/>
      <c r="G32" s="714"/>
      <c r="H32" s="714"/>
      <c r="I32" s="714"/>
      <c r="J32" s="714"/>
      <c r="K32" s="714"/>
    </row>
    <row r="33" spans="1:13" ht="12" customHeight="1">
      <c r="A33" s="713" t="s">
        <v>499</v>
      </c>
      <c r="B33" s="714"/>
      <c r="C33" s="714"/>
      <c r="D33" s="714"/>
      <c r="E33" s="714"/>
      <c r="F33" s="714"/>
      <c r="G33" s="714"/>
      <c r="H33" s="714"/>
      <c r="I33" s="714"/>
      <c r="J33" s="714"/>
      <c r="K33" s="714"/>
    </row>
    <row r="34" spans="1:13" ht="12" customHeight="1">
      <c r="A34" s="713" t="s">
        <v>500</v>
      </c>
      <c r="B34" s="714"/>
      <c r="C34" s="714"/>
      <c r="D34" s="714"/>
      <c r="E34" s="714"/>
      <c r="F34" s="714"/>
      <c r="G34" s="714"/>
      <c r="H34" s="714"/>
      <c r="I34" s="714"/>
      <c r="J34" s="714"/>
      <c r="K34" s="714"/>
    </row>
    <row r="35" spans="1:13" ht="12" customHeight="1">
      <c r="A35" s="713" t="s">
        <v>501</v>
      </c>
      <c r="B35" s="714"/>
      <c r="C35" s="714"/>
      <c r="D35" s="714"/>
      <c r="E35" s="714"/>
      <c r="F35" s="714"/>
      <c r="G35" s="714"/>
      <c r="H35" s="714"/>
      <c r="I35" s="714"/>
      <c r="J35" s="714"/>
      <c r="K35" s="714"/>
    </row>
    <row r="36" spans="1:13" ht="12" customHeight="1">
      <c r="A36" s="713" t="s">
        <v>502</v>
      </c>
      <c r="B36" s="726"/>
      <c r="C36" s="726"/>
      <c r="D36" s="726"/>
      <c r="E36" s="726"/>
      <c r="F36" s="726"/>
      <c r="G36" s="726"/>
      <c r="H36" s="726"/>
      <c r="I36" s="726"/>
      <c r="J36" s="726"/>
      <c r="K36" s="726"/>
    </row>
    <row r="37" spans="1:13" ht="15.75" customHeight="1">
      <c r="A37" s="713"/>
      <c r="B37" s="726"/>
      <c r="C37" s="726"/>
      <c r="D37" s="726"/>
      <c r="E37" s="726"/>
      <c r="F37" s="726"/>
      <c r="G37" s="726"/>
      <c r="H37" s="726"/>
      <c r="I37" s="726"/>
      <c r="J37" s="726"/>
      <c r="K37" s="726"/>
    </row>
    <row r="38" spans="1:13" ht="15.75" customHeight="1">
      <c r="A38" s="507"/>
      <c r="B38" s="726"/>
      <c r="C38" s="726"/>
      <c r="D38" s="726"/>
      <c r="E38" s="726"/>
      <c r="F38" s="726"/>
      <c r="G38" s="726"/>
      <c r="H38" s="726"/>
      <c r="I38" s="726"/>
      <c r="J38" s="726"/>
      <c r="K38" s="726"/>
      <c r="M38" s="171"/>
    </row>
    <row r="39" spans="1:13" ht="15.75" customHeight="1">
      <c r="A39" s="211" t="s">
        <v>128</v>
      </c>
      <c r="B39" s="726"/>
      <c r="C39" s="726"/>
      <c r="D39" s="726"/>
      <c r="E39" s="726"/>
      <c r="F39" s="726"/>
      <c r="G39" s="726"/>
      <c r="H39" s="726"/>
      <c r="I39" s="726"/>
      <c r="J39" s="726"/>
      <c r="K39" s="726"/>
    </row>
    <row r="40" spans="1:13" ht="31" customHeight="1">
      <c r="A40" s="507"/>
      <c r="B40" s="726"/>
      <c r="C40" s="726"/>
      <c r="D40" s="726"/>
      <c r="E40" s="726"/>
      <c r="F40" s="726"/>
      <c r="G40" s="726"/>
      <c r="H40" s="726"/>
      <c r="I40" s="726"/>
      <c r="J40" s="726"/>
      <c r="K40" s="726"/>
    </row>
    <row r="41" spans="1:13" ht="31" customHeight="1">
      <c r="A41" s="507"/>
      <c r="B41" s="726"/>
      <c r="C41" s="726"/>
      <c r="D41" s="726"/>
      <c r="E41" s="726"/>
      <c r="F41" s="726"/>
      <c r="G41" s="726"/>
      <c r="H41" s="726"/>
      <c r="I41" s="726"/>
      <c r="J41" s="726"/>
      <c r="K41" s="726"/>
    </row>
    <row r="42" spans="1:13" ht="31" customHeight="1">
      <c r="A42" s="507"/>
      <c r="B42" s="726"/>
      <c r="C42" s="726"/>
      <c r="D42" s="726"/>
      <c r="E42" s="726"/>
      <c r="F42" s="726"/>
      <c r="G42" s="726"/>
      <c r="H42" s="726"/>
      <c r="I42" s="726"/>
      <c r="J42" s="726"/>
      <c r="K42" s="726"/>
    </row>
    <row r="43" spans="1:13" ht="31" customHeight="1">
      <c r="A43" s="507"/>
      <c r="B43" s="726"/>
      <c r="C43" s="726"/>
      <c r="D43" s="726"/>
      <c r="E43" s="726"/>
      <c r="F43" s="726"/>
      <c r="G43" s="726"/>
      <c r="H43" s="726"/>
      <c r="I43" s="726"/>
      <c r="J43" s="726"/>
      <c r="K43" s="726"/>
    </row>
    <row r="44" spans="1:13" ht="31" customHeight="1">
      <c r="A44" s="507"/>
      <c r="B44" s="726"/>
      <c r="C44" s="726"/>
      <c r="D44" s="726"/>
      <c r="E44" s="726"/>
      <c r="F44" s="726"/>
      <c r="G44" s="726"/>
      <c r="H44" s="726"/>
      <c r="I44" s="726"/>
      <c r="J44" s="726"/>
      <c r="K44" s="726"/>
    </row>
  </sheetData>
  <phoneticPr fontId="0" type="noConversion"/>
  <pageMargins left="0.56000000000000005" right="0.6" top="0.9" bottom="0.49" header="0.47" footer="0.4921259845"/>
  <pageSetup paperSize="9" scale="76" orientation="landscape"/>
  <headerFooter alignWithMargins="0"/>
  <rowBreaks count="1" manualBreakCount="1">
    <brk id="35" max="16383" man="1"/>
  </rowBreaks>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45C82-F625-574C-8C26-81F3A4D34697}">
  <sheetPr>
    <pageSetUpPr fitToPage="1"/>
  </sheetPr>
  <dimension ref="A1:J75"/>
  <sheetViews>
    <sheetView topLeftCell="A22" zoomScale="75" workbookViewId="0">
      <selection activeCell="I15" sqref="I15"/>
    </sheetView>
  </sheetViews>
  <sheetFormatPr baseColWidth="10" defaultColWidth="11.3984375" defaultRowHeight="13"/>
  <cols>
    <col min="1" max="1" width="21.796875" style="2" customWidth="1"/>
    <col min="2" max="3" width="15.796875" style="2" customWidth="1"/>
    <col min="4" max="6" width="14.19921875" style="2" customWidth="1"/>
    <col min="7" max="7" width="15" style="2" customWidth="1"/>
    <col min="8" max="10" width="13.19921875" style="2" customWidth="1"/>
    <col min="11" max="16384" width="11.3984375" style="2"/>
  </cols>
  <sheetData>
    <row r="1" spans="1:10" s="1" customFormat="1" ht="14" customHeight="1"/>
    <row r="2" spans="1:10" s="1" customFormat="1" ht="39" customHeight="1">
      <c r="A2" s="1606" t="s">
        <v>1539</v>
      </c>
      <c r="B2" s="1610"/>
      <c r="C2" s="1610"/>
      <c r="D2" s="1610"/>
      <c r="E2" s="1610"/>
      <c r="F2" s="124"/>
      <c r="G2" s="124">
        <v>2005</v>
      </c>
    </row>
    <row r="3" spans="1:10" ht="24" customHeight="1">
      <c r="A3" s="267" t="s">
        <v>1604</v>
      </c>
      <c r="B3" s="126" t="s">
        <v>329</v>
      </c>
      <c r="C3" s="127" t="s">
        <v>330</v>
      </c>
      <c r="D3" s="126" t="s">
        <v>331</v>
      </c>
      <c r="E3" s="127" t="s">
        <v>332</v>
      </c>
      <c r="F3" s="126" t="s">
        <v>43</v>
      </c>
      <c r="G3" s="840" t="s">
        <v>265</v>
      </c>
    </row>
    <row r="4" spans="1:10" ht="15" customHeight="1">
      <c r="A4" s="212"/>
      <c r="B4" s="129" t="s">
        <v>333</v>
      </c>
      <c r="C4" s="131" t="s">
        <v>334</v>
      </c>
      <c r="D4" s="129" t="s">
        <v>335</v>
      </c>
      <c r="E4" s="213" t="s">
        <v>336</v>
      </c>
      <c r="F4" s="129"/>
      <c r="G4" s="841" t="s">
        <v>267</v>
      </c>
    </row>
    <row r="5" spans="1:10" ht="15" customHeight="1">
      <c r="A5" s="212"/>
      <c r="B5" s="129" t="s">
        <v>337</v>
      </c>
      <c r="C5" s="131" t="s">
        <v>338</v>
      </c>
      <c r="D5" s="129" t="s">
        <v>339</v>
      </c>
      <c r="E5" s="213" t="s">
        <v>340</v>
      </c>
      <c r="F5" s="129"/>
      <c r="G5" s="841" t="s">
        <v>268</v>
      </c>
    </row>
    <row r="6" spans="1:10" ht="24" customHeight="1">
      <c r="A6" s="308" t="s">
        <v>328</v>
      </c>
      <c r="B6" s="135"/>
      <c r="C6" s="134"/>
      <c r="D6" s="135"/>
      <c r="E6" s="215" t="s">
        <v>341</v>
      </c>
      <c r="F6" s="135"/>
      <c r="G6" s="842"/>
    </row>
    <row r="7" spans="1:10" ht="20" customHeight="1" thickBot="1">
      <c r="A7" s="216">
        <v>1996</v>
      </c>
      <c r="B7" s="157">
        <v>1762.4032289372187</v>
      </c>
      <c r="C7" s="217">
        <v>1851.8696723754472</v>
      </c>
      <c r="D7" s="157">
        <v>1523.4818714963344</v>
      </c>
      <c r="E7" s="217">
        <v>1182.6582195430847</v>
      </c>
      <c r="F7" s="157">
        <v>1780.3486086417965</v>
      </c>
      <c r="G7" s="843" t="s">
        <v>1646</v>
      </c>
    </row>
    <row r="8" spans="1:10" ht="20" customHeight="1" thickBot="1">
      <c r="A8" s="218">
        <v>1997</v>
      </c>
      <c r="B8" s="159">
        <v>1817.036018937014</v>
      </c>
      <c r="C8" s="219">
        <v>2136.4045612937462</v>
      </c>
      <c r="D8" s="159">
        <v>1581.5520584652863</v>
      </c>
      <c r="E8" s="219">
        <v>1393.7818327403529</v>
      </c>
      <c r="F8" s="159">
        <v>1915.3212348289387</v>
      </c>
      <c r="G8" s="844">
        <v>7.581247039595862E-2</v>
      </c>
      <c r="H8" s="10"/>
      <c r="I8" s="10"/>
      <c r="J8" s="10"/>
    </row>
    <row r="9" spans="1:10" ht="20" customHeight="1" thickBot="1">
      <c r="A9" s="218">
        <v>1998</v>
      </c>
      <c r="B9" s="159">
        <v>1917.5436317431086</v>
      </c>
      <c r="C9" s="219">
        <v>2297.0275244162049</v>
      </c>
      <c r="D9" s="159">
        <v>1557.2473452823806</v>
      </c>
      <c r="E9" s="219">
        <v>1665.6859877742693</v>
      </c>
      <c r="F9" s="159">
        <v>2042.5288306988257</v>
      </c>
      <c r="G9" s="844">
        <v>6.6415801984907263E-2</v>
      </c>
    </row>
    <row r="10" spans="1:10" ht="20" customHeight="1" thickBot="1">
      <c r="A10" s="218">
        <v>1999</v>
      </c>
      <c r="B10" s="159">
        <v>1951.9706761523119</v>
      </c>
      <c r="C10" s="219">
        <v>2375.7795321695567</v>
      </c>
      <c r="D10" s="159">
        <v>1571.7040144277639</v>
      </c>
      <c r="E10" s="219">
        <v>1753.9237096089612</v>
      </c>
      <c r="F10" s="159">
        <v>2095.0444565648495</v>
      </c>
      <c r="G10" s="844">
        <v>2.5711081810314562E-2</v>
      </c>
    </row>
    <row r="11" spans="1:10" ht="20" customHeight="1" thickBot="1">
      <c r="A11" s="218">
        <v>2000</v>
      </c>
      <c r="B11" s="159">
        <v>2026.1832106468257</v>
      </c>
      <c r="C11" s="219">
        <v>2432.7132486834516</v>
      </c>
      <c r="D11" s="159">
        <v>1662.2381561512589</v>
      </c>
      <c r="E11" s="219">
        <v>1827.6377331826575</v>
      </c>
      <c r="F11" s="159">
        <v>2164.2004551705386</v>
      </c>
      <c r="G11" s="844">
        <v>3.3009322732502344E-2</v>
      </c>
    </row>
    <row r="12" spans="1:10" ht="20" customHeight="1" thickBot="1">
      <c r="A12" s="218">
        <v>2001</v>
      </c>
      <c r="B12" s="159">
        <v>2116.9786126133413</v>
      </c>
      <c r="C12" s="219">
        <v>2477.4021372312104</v>
      </c>
      <c r="D12" s="159">
        <v>1726.5264425650357</v>
      </c>
      <c r="E12" s="219">
        <v>1916.8896220082929</v>
      </c>
      <c r="F12" s="159">
        <v>2239.7071041635163</v>
      </c>
      <c r="G12" s="844">
        <v>3.4888934993328791E-2</v>
      </c>
    </row>
    <row r="13" spans="1:10" ht="20" customHeight="1" thickBot="1">
      <c r="A13" s="218">
        <v>2002</v>
      </c>
      <c r="B13" s="159">
        <v>2281.1636520290872</v>
      </c>
      <c r="C13" s="219">
        <v>2649.5868375145092</v>
      </c>
      <c r="D13" s="159">
        <v>1946.8786304470855</v>
      </c>
      <c r="E13" s="219">
        <v>2235.8137826168913</v>
      </c>
      <c r="F13" s="159">
        <v>2426.5478155180508</v>
      </c>
      <c r="G13" s="844">
        <v>8.3421939863121297E-2</v>
      </c>
    </row>
    <row r="14" spans="1:10" ht="20" customHeight="1" thickBot="1">
      <c r="A14" s="218">
        <v>2003</v>
      </c>
      <c r="B14" s="159">
        <v>2503.7957617703655</v>
      </c>
      <c r="C14" s="219">
        <v>2851.9007177922031</v>
      </c>
      <c r="D14" s="159">
        <v>2118.535939641698</v>
      </c>
      <c r="E14" s="219">
        <v>2204.1912741920514</v>
      </c>
      <c r="F14" s="159">
        <v>2625.1995494582311</v>
      </c>
      <c r="G14" s="844">
        <v>8.1865987832500098E-2</v>
      </c>
    </row>
    <row r="15" spans="1:10" ht="20" customHeight="1" thickBot="1">
      <c r="A15" s="218">
        <v>2004</v>
      </c>
      <c r="B15" s="159">
        <v>2677.3469867009662</v>
      </c>
      <c r="C15" s="219">
        <v>3075.6013654055132</v>
      </c>
      <c r="D15" s="159">
        <v>2235.9169128179801</v>
      </c>
      <c r="E15" s="219">
        <v>2403.3002809702502</v>
      </c>
      <c r="F15" s="159">
        <v>2811.604598428512</v>
      </c>
      <c r="G15" s="844">
        <v>7.1006049429175766E-2</v>
      </c>
    </row>
    <row r="16" spans="1:10" ht="30" customHeight="1" thickBot="1">
      <c r="A16" s="220">
        <v>2005</v>
      </c>
      <c r="B16" s="221">
        <v>2831.6850320447929</v>
      </c>
      <c r="C16" s="222">
        <v>3094.4036189812232</v>
      </c>
      <c r="D16" s="221">
        <v>2369.080057061341</v>
      </c>
      <c r="E16" s="222">
        <v>2393.314468349974</v>
      </c>
      <c r="F16" s="221">
        <v>2881.4748231602307</v>
      </c>
      <c r="G16" s="845">
        <v>2.4850658151139404E-2</v>
      </c>
    </row>
    <row r="17" spans="1:7" ht="20" customHeight="1">
      <c r="A17" s="146" t="s">
        <v>596</v>
      </c>
      <c r="B17" s="146"/>
      <c r="C17" s="146"/>
      <c r="D17" s="146"/>
      <c r="E17" s="146"/>
      <c r="F17" s="146"/>
      <c r="G17" s="846"/>
    </row>
    <row r="18" spans="1:7">
      <c r="G18" s="847"/>
    </row>
    <row r="19" spans="1:7">
      <c r="A19" s="2" t="s">
        <v>2051</v>
      </c>
      <c r="G19" s="847"/>
    </row>
    <row r="20" spans="1:7">
      <c r="G20" s="847"/>
    </row>
    <row r="21" spans="1:7">
      <c r="G21" s="847"/>
    </row>
    <row r="22" spans="1:7" ht="18">
      <c r="A22" s="816" t="s">
        <v>2052</v>
      </c>
      <c r="G22" s="847"/>
    </row>
    <row r="23" spans="1:7">
      <c r="G23" s="847"/>
    </row>
    <row r="24" spans="1:7" ht="18" customHeight="1">
      <c r="A24" s="267" t="s">
        <v>223</v>
      </c>
      <c r="B24" s="126" t="s">
        <v>329</v>
      </c>
      <c r="C24" s="127" t="s">
        <v>330</v>
      </c>
      <c r="D24" s="126" t="s">
        <v>331</v>
      </c>
      <c r="E24" s="127" t="s">
        <v>332</v>
      </c>
      <c r="F24" s="126" t="s">
        <v>43</v>
      </c>
      <c r="G24" s="840" t="s">
        <v>265</v>
      </c>
    </row>
    <row r="25" spans="1:7" ht="18" customHeight="1">
      <c r="A25" s="807" t="s">
        <v>287</v>
      </c>
      <c r="B25" s="129" t="s">
        <v>333</v>
      </c>
      <c r="C25" s="131" t="s">
        <v>334</v>
      </c>
      <c r="D25" s="129" t="s">
        <v>335</v>
      </c>
      <c r="E25" s="213" t="s">
        <v>336</v>
      </c>
      <c r="F25" s="129"/>
      <c r="G25" s="841" t="s">
        <v>267</v>
      </c>
    </row>
    <row r="26" spans="1:7" ht="18" customHeight="1">
      <c r="A26" s="212"/>
      <c r="B26" s="129" t="s">
        <v>337</v>
      </c>
      <c r="C26" s="131" t="s">
        <v>338</v>
      </c>
      <c r="D26" s="129" t="s">
        <v>339</v>
      </c>
      <c r="E26" s="213" t="s">
        <v>340</v>
      </c>
      <c r="F26" s="129"/>
      <c r="G26" s="841" t="s">
        <v>268</v>
      </c>
    </row>
    <row r="27" spans="1:7" ht="18" customHeight="1">
      <c r="A27" s="214" t="s">
        <v>1254</v>
      </c>
      <c r="B27" s="135"/>
      <c r="C27" s="134"/>
      <c r="D27" s="135"/>
      <c r="E27" s="215" t="s">
        <v>341</v>
      </c>
      <c r="F27" s="135"/>
      <c r="G27" s="1582"/>
    </row>
    <row r="28" spans="1:7" ht="18" customHeight="1" thickBot="1">
      <c r="A28" s="216">
        <v>1996</v>
      </c>
      <c r="B28" s="157" t="s">
        <v>1646</v>
      </c>
      <c r="C28" s="217" t="s">
        <v>1646</v>
      </c>
      <c r="D28" s="157" t="s">
        <v>1646</v>
      </c>
      <c r="E28" s="217" t="s">
        <v>1646</v>
      </c>
      <c r="F28" s="157" t="s">
        <v>1646</v>
      </c>
      <c r="G28" s="843" t="s">
        <v>1646</v>
      </c>
    </row>
    <row r="29" spans="1:7" ht="18" customHeight="1" thickBot="1">
      <c r="A29" s="218">
        <v>1997</v>
      </c>
      <c r="B29" s="159">
        <v>631.72</v>
      </c>
      <c r="C29" s="217">
        <v>698.99</v>
      </c>
      <c r="D29" s="159" t="s">
        <v>1646</v>
      </c>
      <c r="E29" s="219">
        <v>503.02</v>
      </c>
      <c r="F29" s="159">
        <v>635</v>
      </c>
      <c r="G29" s="844" t="s">
        <v>1646</v>
      </c>
    </row>
    <row r="30" spans="1:7" ht="18" customHeight="1" thickBot="1">
      <c r="A30" s="218">
        <v>1998</v>
      </c>
      <c r="B30" s="159">
        <v>651.27</v>
      </c>
      <c r="C30" s="217">
        <v>760.79</v>
      </c>
      <c r="D30" s="159">
        <v>518.76</v>
      </c>
      <c r="E30" s="219">
        <v>519.47</v>
      </c>
      <c r="F30" s="159">
        <v>656.52</v>
      </c>
      <c r="G30" s="844">
        <v>3.388976377952746E-2</v>
      </c>
    </row>
    <row r="31" spans="1:7" ht="18" customHeight="1" thickBot="1">
      <c r="A31" s="218">
        <v>1999</v>
      </c>
      <c r="B31" s="159">
        <v>668.89</v>
      </c>
      <c r="C31" s="217">
        <v>764.58</v>
      </c>
      <c r="D31" s="159">
        <v>567.98</v>
      </c>
      <c r="E31" s="219">
        <v>545.73</v>
      </c>
      <c r="F31" s="159">
        <v>671.71</v>
      </c>
      <c r="G31" s="844">
        <v>2.3137147383171852E-2</v>
      </c>
    </row>
    <row r="32" spans="1:7" ht="18" customHeight="1" thickBot="1">
      <c r="A32" s="218">
        <v>2000</v>
      </c>
      <c r="B32" s="159">
        <v>692.8</v>
      </c>
      <c r="C32" s="217">
        <v>780.96</v>
      </c>
      <c r="D32" s="159">
        <v>589.41</v>
      </c>
      <c r="E32" s="219">
        <v>563.48</v>
      </c>
      <c r="F32" s="159">
        <v>693.68</v>
      </c>
      <c r="G32" s="844">
        <v>3.2707567253725589E-2</v>
      </c>
    </row>
    <row r="33" spans="1:7" ht="18" customHeight="1" thickBot="1">
      <c r="A33" s="218">
        <v>2001</v>
      </c>
      <c r="B33" s="159">
        <v>731.18</v>
      </c>
      <c r="C33" s="217">
        <v>792.38</v>
      </c>
      <c r="D33" s="159">
        <v>620.72</v>
      </c>
      <c r="E33" s="219">
        <v>597.34</v>
      </c>
      <c r="F33" s="159">
        <v>727.82</v>
      </c>
      <c r="G33" s="844">
        <v>4.9215776727020932E-2</v>
      </c>
    </row>
    <row r="34" spans="1:7" ht="18" customHeight="1" thickBot="1">
      <c r="A34" s="218">
        <v>2002</v>
      </c>
      <c r="B34" s="159">
        <v>795.44</v>
      </c>
      <c r="C34" s="217">
        <v>824.21</v>
      </c>
      <c r="D34" s="159">
        <v>685.48</v>
      </c>
      <c r="E34" s="219">
        <v>655.45</v>
      </c>
      <c r="F34" s="159">
        <v>787.47</v>
      </c>
      <c r="G34" s="844">
        <v>8.1957077299332326E-2</v>
      </c>
    </row>
    <row r="35" spans="1:7" ht="18" customHeight="1" thickBot="1">
      <c r="A35" s="218">
        <v>2003</v>
      </c>
      <c r="B35" s="159">
        <v>867.36</v>
      </c>
      <c r="C35" s="217">
        <v>861.07</v>
      </c>
      <c r="D35" s="159">
        <v>726.44</v>
      </c>
      <c r="E35" s="219">
        <v>697.17</v>
      </c>
      <c r="F35" s="159">
        <v>852.56</v>
      </c>
      <c r="G35" s="844">
        <v>8.2657117096524457E-2</v>
      </c>
    </row>
    <row r="36" spans="1:7" ht="18" customHeight="1" thickBot="1">
      <c r="A36" s="218">
        <v>2004</v>
      </c>
      <c r="B36" s="159">
        <v>910.65</v>
      </c>
      <c r="C36" s="217">
        <v>884.46</v>
      </c>
      <c r="D36" s="159">
        <v>755.42</v>
      </c>
      <c r="E36" s="219">
        <v>740.37</v>
      </c>
      <c r="F36" s="159">
        <v>892.68</v>
      </c>
      <c r="G36" s="844">
        <v>4.7058271558600095E-2</v>
      </c>
    </row>
    <row r="37" spans="1:7" ht="18" customHeight="1" thickBot="1">
      <c r="A37" s="817">
        <v>2005</v>
      </c>
      <c r="B37" s="206">
        <v>919.29</v>
      </c>
      <c r="C37" s="207">
        <v>870.06</v>
      </c>
      <c r="D37" s="206">
        <v>720.97</v>
      </c>
      <c r="E37" s="207">
        <v>765.95</v>
      </c>
      <c r="F37" s="206">
        <v>898.43</v>
      </c>
      <c r="G37" s="845">
        <v>6.4412779495450767E-3</v>
      </c>
    </row>
    <row r="38" spans="1:7">
      <c r="A38" s="146"/>
      <c r="G38" s="1583"/>
    </row>
    <row r="39" spans="1:7">
      <c r="G39" s="1583"/>
    </row>
    <row r="40" spans="1:7" ht="18" customHeight="1">
      <c r="A40" s="267" t="s">
        <v>347</v>
      </c>
      <c r="B40" s="126" t="s">
        <v>329</v>
      </c>
      <c r="C40" s="127" t="s">
        <v>330</v>
      </c>
      <c r="D40" s="126" t="s">
        <v>331</v>
      </c>
      <c r="E40" s="127" t="s">
        <v>332</v>
      </c>
      <c r="F40" s="126" t="s">
        <v>43</v>
      </c>
      <c r="G40" s="840" t="s">
        <v>265</v>
      </c>
    </row>
    <row r="41" spans="1:7" ht="18" customHeight="1">
      <c r="A41" s="807" t="s">
        <v>288</v>
      </c>
      <c r="B41" s="129" t="s">
        <v>333</v>
      </c>
      <c r="C41" s="131" t="s">
        <v>334</v>
      </c>
      <c r="D41" s="129" t="s">
        <v>335</v>
      </c>
      <c r="E41" s="213" t="s">
        <v>336</v>
      </c>
      <c r="F41" s="129"/>
      <c r="G41" s="841" t="s">
        <v>267</v>
      </c>
    </row>
    <row r="42" spans="1:7" ht="18" customHeight="1">
      <c r="A42" s="212"/>
      <c r="B42" s="129" t="s">
        <v>337</v>
      </c>
      <c r="C42" s="131" t="s">
        <v>338</v>
      </c>
      <c r="D42" s="129" t="s">
        <v>339</v>
      </c>
      <c r="E42" s="213" t="s">
        <v>340</v>
      </c>
      <c r="F42" s="129"/>
      <c r="G42" s="841" t="s">
        <v>268</v>
      </c>
    </row>
    <row r="43" spans="1:7" ht="18" customHeight="1">
      <c r="A43" s="214" t="s">
        <v>1254</v>
      </c>
      <c r="B43" s="135"/>
      <c r="C43" s="134"/>
      <c r="D43" s="135"/>
      <c r="E43" s="215" t="s">
        <v>341</v>
      </c>
      <c r="F43" s="135"/>
      <c r="G43" s="1582"/>
    </row>
    <row r="44" spans="1:7" ht="18" customHeight="1" thickBot="1">
      <c r="A44" s="216">
        <v>1996</v>
      </c>
      <c r="B44" s="157" t="s">
        <v>1646</v>
      </c>
      <c r="C44" s="217" t="s">
        <v>1646</v>
      </c>
      <c r="D44" s="157" t="s">
        <v>1646</v>
      </c>
      <c r="E44" s="217" t="s">
        <v>1646</v>
      </c>
      <c r="F44" s="157" t="s">
        <v>1646</v>
      </c>
      <c r="G44" s="843" t="s">
        <v>1646</v>
      </c>
    </row>
    <row r="45" spans="1:7" ht="18" customHeight="1" thickBot="1">
      <c r="A45" s="218">
        <v>1997</v>
      </c>
      <c r="B45" s="159">
        <v>1651.46</v>
      </c>
      <c r="C45" s="217">
        <v>1656.13</v>
      </c>
      <c r="D45" s="159">
        <v>1165.8699999999999</v>
      </c>
      <c r="E45" s="219">
        <v>1315.82</v>
      </c>
      <c r="F45" s="159">
        <v>1640.15</v>
      </c>
      <c r="G45" s="844" t="s">
        <v>1646</v>
      </c>
    </row>
    <row r="46" spans="1:7" ht="18" customHeight="1" thickBot="1">
      <c r="A46" s="218">
        <v>1998</v>
      </c>
      <c r="B46" s="159">
        <v>1811.07</v>
      </c>
      <c r="C46" s="217">
        <v>1791.68</v>
      </c>
      <c r="D46" s="159">
        <v>1254.44</v>
      </c>
      <c r="E46" s="219">
        <v>1519.2</v>
      </c>
      <c r="F46" s="159">
        <v>1784.45</v>
      </c>
      <c r="G46" s="844">
        <v>8.7979757948968285E-2</v>
      </c>
    </row>
    <row r="47" spans="1:7" ht="18" customHeight="1" thickBot="1">
      <c r="A47" s="218">
        <v>1999</v>
      </c>
      <c r="B47" s="159">
        <v>1787.86</v>
      </c>
      <c r="C47" s="217">
        <v>1891.33</v>
      </c>
      <c r="D47" s="159">
        <v>1319.45</v>
      </c>
      <c r="E47" s="219">
        <v>1545.48</v>
      </c>
      <c r="F47" s="159">
        <v>1815.15</v>
      </c>
      <c r="G47" s="844">
        <v>1.7204180559836191E-2</v>
      </c>
    </row>
    <row r="48" spans="1:7" ht="18" customHeight="1" thickBot="1">
      <c r="A48" s="218">
        <v>2000</v>
      </c>
      <c r="B48" s="159">
        <v>1783.47</v>
      </c>
      <c r="C48" s="217">
        <v>1887.28</v>
      </c>
      <c r="D48" s="159">
        <v>1314.66</v>
      </c>
      <c r="E48" s="219">
        <v>1536.83</v>
      </c>
      <c r="F48" s="159">
        <v>1808.28</v>
      </c>
      <c r="G48" s="844">
        <v>-3.784811172630298E-3</v>
      </c>
    </row>
    <row r="49" spans="1:7" ht="18" customHeight="1" thickBot="1">
      <c r="A49" s="218">
        <v>2001</v>
      </c>
      <c r="B49" s="159">
        <v>1864.61</v>
      </c>
      <c r="C49" s="217">
        <v>1850.57</v>
      </c>
      <c r="D49" s="159" t="s">
        <v>1646</v>
      </c>
      <c r="E49" s="219">
        <v>1540.62</v>
      </c>
      <c r="F49" s="159">
        <v>1832.96</v>
      </c>
      <c r="G49" s="844">
        <v>1.364832879863731E-2</v>
      </c>
    </row>
    <row r="50" spans="1:7" ht="18" customHeight="1" thickBot="1">
      <c r="A50" s="218">
        <v>2002</v>
      </c>
      <c r="B50" s="159">
        <v>2115.08</v>
      </c>
      <c r="C50" s="217">
        <v>2017.86</v>
      </c>
      <c r="D50" s="159" t="s">
        <v>1646</v>
      </c>
      <c r="E50" s="219">
        <v>1744.03</v>
      </c>
      <c r="F50" s="159">
        <v>2041.33</v>
      </c>
      <c r="G50" s="844">
        <v>0.11367951291899425</v>
      </c>
    </row>
    <row r="51" spans="1:7" ht="18" customHeight="1" thickBot="1">
      <c r="A51" s="218">
        <v>2003</v>
      </c>
      <c r="B51" s="159">
        <v>2434.64</v>
      </c>
      <c r="C51" s="217">
        <v>2224.9299999999998</v>
      </c>
      <c r="D51" s="159" t="s">
        <v>1646</v>
      </c>
      <c r="E51" s="219">
        <v>1931.59</v>
      </c>
      <c r="F51" s="159">
        <v>2294.29</v>
      </c>
      <c r="G51" s="844">
        <v>0.12391920953496016</v>
      </c>
    </row>
    <row r="52" spans="1:7" ht="18" customHeight="1" thickBot="1">
      <c r="A52" s="218">
        <v>2004</v>
      </c>
      <c r="B52" s="159">
        <v>2653.83</v>
      </c>
      <c r="C52" s="217">
        <v>2463.4499999999998</v>
      </c>
      <c r="D52" s="159" t="s">
        <v>1646</v>
      </c>
      <c r="E52" s="219">
        <v>2142.5700000000002</v>
      </c>
      <c r="F52" s="159">
        <v>2519.3000000000002</v>
      </c>
      <c r="G52" s="844">
        <v>9.8073913934158208E-2</v>
      </c>
    </row>
    <row r="53" spans="1:7" ht="18" customHeight="1" thickBot="1">
      <c r="A53" s="817">
        <v>2005</v>
      </c>
      <c r="B53" s="206">
        <v>2805.83</v>
      </c>
      <c r="C53" s="207">
        <v>2488.2800000000002</v>
      </c>
      <c r="D53" s="206">
        <v>2036.54</v>
      </c>
      <c r="E53" s="207">
        <v>2199.46</v>
      </c>
      <c r="F53" s="206">
        <v>2598.67</v>
      </c>
      <c r="G53" s="845">
        <v>3.1504783074663756E-2</v>
      </c>
    </row>
    <row r="54" spans="1:7">
      <c r="D54" s="5"/>
      <c r="E54" s="5"/>
      <c r="F54" s="5"/>
      <c r="G54" s="1583"/>
    </row>
    <row r="55" spans="1:7">
      <c r="D55" s="5"/>
      <c r="E55" s="5"/>
      <c r="F55" s="5"/>
      <c r="G55" s="1583"/>
    </row>
    <row r="56" spans="1:7" ht="18.75" customHeight="1">
      <c r="A56" s="267" t="s">
        <v>1602</v>
      </c>
      <c r="B56" s="126" t="s">
        <v>329</v>
      </c>
      <c r="C56" s="127" t="s">
        <v>330</v>
      </c>
      <c r="D56" s="126" t="s">
        <v>331</v>
      </c>
      <c r="E56" s="127" t="s">
        <v>332</v>
      </c>
      <c r="F56" s="126" t="s">
        <v>43</v>
      </c>
      <c r="G56" s="840" t="s">
        <v>265</v>
      </c>
    </row>
    <row r="57" spans="1:7" ht="18.75" customHeight="1">
      <c r="A57" s="807" t="s">
        <v>1603</v>
      </c>
      <c r="B57" s="129" t="s">
        <v>333</v>
      </c>
      <c r="C57" s="131" t="s">
        <v>334</v>
      </c>
      <c r="D57" s="129" t="s">
        <v>335</v>
      </c>
      <c r="E57" s="213" t="s">
        <v>336</v>
      </c>
      <c r="F57" s="129"/>
      <c r="G57" s="841" t="s">
        <v>267</v>
      </c>
    </row>
    <row r="58" spans="1:7" ht="18.75" customHeight="1">
      <c r="A58" s="212"/>
      <c r="B58" s="129" t="s">
        <v>337</v>
      </c>
      <c r="C58" s="131" t="s">
        <v>338</v>
      </c>
      <c r="D58" s="129" t="s">
        <v>339</v>
      </c>
      <c r="E58" s="213" t="s">
        <v>340</v>
      </c>
      <c r="F58" s="129"/>
      <c r="G58" s="841" t="s">
        <v>268</v>
      </c>
    </row>
    <row r="59" spans="1:7" ht="18.75" customHeight="1">
      <c r="A59" s="214" t="s">
        <v>1254</v>
      </c>
      <c r="B59" s="135"/>
      <c r="C59" s="134"/>
      <c r="D59" s="135"/>
      <c r="E59" s="215" t="s">
        <v>341</v>
      </c>
      <c r="F59" s="135"/>
      <c r="G59" s="1582"/>
    </row>
    <row r="60" spans="1:7" ht="18.75" customHeight="1" thickBot="1">
      <c r="A60" s="216">
        <v>1996</v>
      </c>
      <c r="B60" s="157" t="s">
        <v>1646</v>
      </c>
      <c r="C60" s="217" t="s">
        <v>1646</v>
      </c>
      <c r="D60" s="157" t="s">
        <v>1646</v>
      </c>
      <c r="E60" s="217" t="s">
        <v>1646</v>
      </c>
      <c r="F60" s="157" t="s">
        <v>1646</v>
      </c>
      <c r="G60" s="843" t="s">
        <v>1646</v>
      </c>
    </row>
    <row r="61" spans="1:7" ht="18.75" customHeight="1" thickBot="1">
      <c r="A61" s="218">
        <v>1997</v>
      </c>
      <c r="B61" s="159">
        <v>2436.63</v>
      </c>
      <c r="C61" s="217">
        <v>2292.0500000000002</v>
      </c>
      <c r="D61" s="159">
        <v>1646.6</v>
      </c>
      <c r="E61" s="219">
        <v>1872.69</v>
      </c>
      <c r="F61" s="159">
        <v>2340.06</v>
      </c>
      <c r="G61" s="844" t="s">
        <v>1646</v>
      </c>
    </row>
    <row r="62" spans="1:7" ht="18.75" customHeight="1" thickBot="1">
      <c r="A62" s="218">
        <v>1998</v>
      </c>
      <c r="B62" s="159">
        <v>2590.79</v>
      </c>
      <c r="C62" s="217">
        <v>2501.2399999999998</v>
      </c>
      <c r="D62" s="159">
        <v>1655.82</v>
      </c>
      <c r="E62" s="219">
        <v>2060.8200000000002</v>
      </c>
      <c r="F62" s="159">
        <v>2512.02</v>
      </c>
      <c r="G62" s="844">
        <v>7.3485295248839844E-2</v>
      </c>
    </row>
    <row r="63" spans="1:7" ht="18.75" customHeight="1" thickBot="1">
      <c r="A63" s="218">
        <v>1999</v>
      </c>
      <c r="B63" s="159">
        <v>2664.42</v>
      </c>
      <c r="C63" s="217">
        <v>2559.23</v>
      </c>
      <c r="D63" s="159">
        <v>1701.12</v>
      </c>
      <c r="E63" s="219">
        <v>2138.92</v>
      </c>
      <c r="F63" s="159">
        <v>2575.1999999999998</v>
      </c>
      <c r="G63" s="844">
        <v>2.5151073637948773E-2</v>
      </c>
    </row>
    <row r="64" spans="1:7" ht="18.75" customHeight="1" thickBot="1">
      <c r="A64" s="218">
        <v>2000</v>
      </c>
      <c r="B64" s="159">
        <v>2783.82</v>
      </c>
      <c r="C64" s="217">
        <v>2623.77</v>
      </c>
      <c r="D64" s="159">
        <v>1709.08</v>
      </c>
      <c r="E64" s="219">
        <v>2213.5300000000002</v>
      </c>
      <c r="F64" s="159">
        <v>2662.32</v>
      </c>
      <c r="G64" s="844">
        <v>3.3830382106244228E-2</v>
      </c>
    </row>
    <row r="65" spans="1:7" ht="18.75" customHeight="1" thickBot="1">
      <c r="A65" s="218">
        <v>2001</v>
      </c>
      <c r="B65" s="159">
        <v>2936.16</v>
      </c>
      <c r="C65" s="217">
        <v>2709.13</v>
      </c>
      <c r="D65" s="159">
        <v>1806.6</v>
      </c>
      <c r="E65" s="219">
        <v>2304.65</v>
      </c>
      <c r="F65" s="159">
        <v>2775.24</v>
      </c>
      <c r="G65" s="844">
        <v>4.2414135040115264E-2</v>
      </c>
    </row>
    <row r="66" spans="1:7" ht="18.75" customHeight="1" thickBot="1">
      <c r="A66" s="218">
        <v>2002</v>
      </c>
      <c r="B66" s="159">
        <v>3187.69</v>
      </c>
      <c r="C66" s="217">
        <v>2897.84</v>
      </c>
      <c r="D66" s="159">
        <v>2029.69</v>
      </c>
      <c r="E66" s="219">
        <v>2498.9299999999998</v>
      </c>
      <c r="F66" s="159">
        <v>2988.54</v>
      </c>
      <c r="G66" s="844">
        <v>7.6858217667661322E-2</v>
      </c>
    </row>
    <row r="67" spans="1:7" ht="18.75" customHeight="1" thickBot="1">
      <c r="A67" s="218">
        <v>2003</v>
      </c>
      <c r="B67" s="159">
        <v>3484.97</v>
      </c>
      <c r="C67" s="217">
        <v>3082.04</v>
      </c>
      <c r="D67" s="159">
        <v>2182.84</v>
      </c>
      <c r="E67" s="219">
        <v>2655.45</v>
      </c>
      <c r="F67" s="159">
        <v>3212.78</v>
      </c>
      <c r="G67" s="844">
        <v>7.5033293849170679E-2</v>
      </c>
    </row>
    <row r="68" spans="1:7" ht="18.75" customHeight="1" thickBot="1">
      <c r="A68" s="218">
        <v>2004</v>
      </c>
      <c r="B68" s="159">
        <v>3676.51</v>
      </c>
      <c r="C68" s="217">
        <v>3318.93</v>
      </c>
      <c r="D68" s="159">
        <v>2323.6</v>
      </c>
      <c r="E68" s="219">
        <v>2890.14</v>
      </c>
      <c r="F68" s="159">
        <v>3430.62</v>
      </c>
      <c r="G68" s="844">
        <v>6.7804206948499424E-2</v>
      </c>
    </row>
    <row r="69" spans="1:7" ht="18.75" customHeight="1" thickBot="1">
      <c r="A69" s="817">
        <v>2005</v>
      </c>
      <c r="B69" s="206">
        <v>3831.71</v>
      </c>
      <c r="C69" s="207">
        <v>3326.67</v>
      </c>
      <c r="D69" s="206">
        <v>2442.3000000000002</v>
      </c>
      <c r="E69" s="207">
        <v>2960.35</v>
      </c>
      <c r="F69" s="206">
        <v>3506.02</v>
      </c>
      <c r="G69" s="845">
        <v>2.1978534492307578E-2</v>
      </c>
    </row>
    <row r="70" spans="1:7" ht="15" customHeight="1">
      <c r="A70" s="227" t="s">
        <v>1606</v>
      </c>
    </row>
    <row r="72" spans="1:7">
      <c r="A72" s="85" t="str">
        <f>A19</f>
        <v>Quelle: T 3.12 + 2.02</v>
      </c>
    </row>
    <row r="75" spans="1:7">
      <c r="A75" s="2" t="s">
        <v>128</v>
      </c>
    </row>
  </sheetData>
  <mergeCells count="1">
    <mergeCell ref="A2:E2"/>
  </mergeCells>
  <phoneticPr fontId="0" type="noConversion"/>
  <pageMargins left="0.56000000000000005" right="0.54" top="0.74" bottom="0.49" header="0.42" footer="0.4921259845"/>
  <pageSetup paperSize="9" scale="57" orientation="portrait" horizontalDpi="1200" verticalDpi="1200"/>
  <headerFooter alignWithMargins="0"/>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D5668-CA20-6E4C-B570-472E59CC4015}">
  <sheetPr>
    <pageSetUpPr fitToPage="1"/>
  </sheetPr>
  <dimension ref="A1:I40"/>
  <sheetViews>
    <sheetView zoomScale="75" workbookViewId="0">
      <selection activeCell="B39" sqref="B39"/>
    </sheetView>
  </sheetViews>
  <sheetFormatPr baseColWidth="10" defaultColWidth="11.3984375" defaultRowHeight="13"/>
  <cols>
    <col min="1" max="1" width="14.19921875" style="2" customWidth="1"/>
    <col min="2" max="2" width="12.3984375" style="170" customWidth="1"/>
    <col min="3" max="3" width="13" style="170" customWidth="1"/>
    <col min="4" max="4" width="11.796875" style="170" customWidth="1"/>
    <col min="5" max="5" width="13.19921875" style="170" customWidth="1"/>
    <col min="6" max="6" width="13" style="170" customWidth="1"/>
    <col min="7" max="7" width="12.796875" style="170" customWidth="1"/>
    <col min="8" max="8" width="12.3984375" style="170" customWidth="1"/>
    <col min="9" max="9" width="14.19921875" style="170" customWidth="1"/>
    <col min="10" max="10" width="8.3984375" style="2" customWidth="1"/>
    <col min="11" max="16384" width="11.3984375" style="2"/>
  </cols>
  <sheetData>
    <row r="1" spans="1:9" s="1" customFormat="1" ht="14" customHeight="1">
      <c r="A1" s="404"/>
      <c r="B1" s="690"/>
      <c r="C1" s="690"/>
      <c r="D1" s="690"/>
      <c r="E1" s="690"/>
      <c r="F1" s="690"/>
      <c r="G1" s="690"/>
      <c r="H1" s="690"/>
      <c r="I1" s="690"/>
    </row>
    <row r="2" spans="1:9" s="1" customFormat="1" ht="33.75" customHeight="1">
      <c r="A2" s="1611" t="s">
        <v>1416</v>
      </c>
      <c r="B2" s="1610"/>
      <c r="C2" s="1610"/>
      <c r="D2" s="1610"/>
      <c r="E2" s="1610"/>
      <c r="F2" s="1610"/>
      <c r="G2" s="1610"/>
      <c r="H2" s="1610"/>
      <c r="I2" s="192">
        <v>2005</v>
      </c>
    </row>
    <row r="3" spans="1:9" ht="20" customHeight="1">
      <c r="A3" s="125" t="s">
        <v>1254</v>
      </c>
      <c r="B3" s="268" t="s">
        <v>1424</v>
      </c>
      <c r="C3" s="127"/>
      <c r="D3" s="126"/>
      <c r="E3" s="127"/>
      <c r="F3" s="1006" t="s">
        <v>1425</v>
      </c>
      <c r="G3" s="127"/>
      <c r="H3" s="126"/>
      <c r="I3" s="127"/>
    </row>
    <row r="4" spans="1:9" ht="20" customHeight="1">
      <c r="A4" s="212"/>
      <c r="B4" s="1007" t="s">
        <v>1426</v>
      </c>
      <c r="C4" s="246"/>
      <c r="D4" s="245"/>
      <c r="E4" s="131" t="s">
        <v>43</v>
      </c>
      <c r="F4" s="1008" t="s">
        <v>1427</v>
      </c>
      <c r="G4" s="246"/>
      <c r="H4" s="245"/>
      <c r="I4" s="131" t="s">
        <v>43</v>
      </c>
    </row>
    <row r="5" spans="1:9" ht="15" customHeight="1">
      <c r="A5" s="212"/>
      <c r="B5" s="129" t="s">
        <v>1156</v>
      </c>
      <c r="C5" s="131" t="s">
        <v>1157</v>
      </c>
      <c r="D5" s="129" t="s">
        <v>43</v>
      </c>
      <c r="E5" s="131" t="s">
        <v>1417</v>
      </c>
      <c r="F5" s="1009" t="s">
        <v>1156</v>
      </c>
      <c r="G5" s="131" t="s">
        <v>1157</v>
      </c>
      <c r="H5" s="129" t="s">
        <v>43</v>
      </c>
      <c r="I5" s="131" t="s">
        <v>1417</v>
      </c>
    </row>
    <row r="6" spans="1:9" ht="15" customHeight="1">
      <c r="A6" s="212"/>
      <c r="B6" s="353" t="s">
        <v>1418</v>
      </c>
      <c r="C6" s="692" t="s">
        <v>1418</v>
      </c>
      <c r="D6" s="129"/>
      <c r="E6" s="131" t="s">
        <v>1343</v>
      </c>
      <c r="F6" s="1009" t="s">
        <v>1418</v>
      </c>
      <c r="G6" s="131" t="s">
        <v>1418</v>
      </c>
      <c r="H6" s="129"/>
      <c r="I6" s="131" t="s">
        <v>1343</v>
      </c>
    </row>
    <row r="7" spans="1:9" ht="15" customHeight="1">
      <c r="A7" s="212"/>
      <c r="B7" s="353" t="s">
        <v>1014</v>
      </c>
      <c r="C7" s="692" t="s">
        <v>1014</v>
      </c>
      <c r="D7" s="129"/>
      <c r="E7" s="131" t="s">
        <v>1345</v>
      </c>
      <c r="F7" s="1009" t="s">
        <v>1014</v>
      </c>
      <c r="G7" s="131" t="s">
        <v>1014</v>
      </c>
      <c r="H7" s="129"/>
      <c r="I7" s="131" t="s">
        <v>1345</v>
      </c>
    </row>
    <row r="8" spans="1:9" ht="20" customHeight="1">
      <c r="A8" s="308"/>
      <c r="B8" s="135"/>
      <c r="C8" s="134"/>
      <c r="D8" s="135"/>
      <c r="E8" s="134"/>
      <c r="F8" s="1010"/>
      <c r="G8" s="134"/>
      <c r="H8" s="135"/>
      <c r="I8" s="134"/>
    </row>
    <row r="9" spans="1:9" ht="1.5" customHeight="1" thickBot="1">
      <c r="A9" s="695">
        <v>1985</v>
      </c>
      <c r="B9" s="698" t="s">
        <v>1646</v>
      </c>
      <c r="C9" s="699" t="s">
        <v>1646</v>
      </c>
      <c r="D9" s="698" t="s">
        <v>1646</v>
      </c>
      <c r="E9" s="699">
        <v>948.43799999999999</v>
      </c>
      <c r="F9" s="1011" t="s">
        <v>1646</v>
      </c>
      <c r="G9" s="699" t="s">
        <v>1646</v>
      </c>
      <c r="H9" s="698" t="s">
        <v>1646</v>
      </c>
      <c r="I9" s="699">
        <v>631.95600000000002</v>
      </c>
    </row>
    <row r="10" spans="1:9" ht="20" hidden="1" customHeight="1" thickBot="1">
      <c r="A10" s="355">
        <v>1986</v>
      </c>
      <c r="B10" s="700" t="s">
        <v>1646</v>
      </c>
      <c r="C10" s="701" t="s">
        <v>1646</v>
      </c>
      <c r="D10" s="700" t="s">
        <v>1646</v>
      </c>
      <c r="E10" s="701">
        <v>1033.73</v>
      </c>
      <c r="F10" s="1012" t="s">
        <v>1646</v>
      </c>
      <c r="G10" s="701" t="s">
        <v>1646</v>
      </c>
      <c r="H10" s="700" t="s">
        <v>1646</v>
      </c>
      <c r="I10" s="701">
        <v>701.48400000000004</v>
      </c>
    </row>
    <row r="11" spans="1:9" ht="20" hidden="1" customHeight="1" thickBot="1">
      <c r="A11" s="355">
        <v>1987</v>
      </c>
      <c r="B11" s="700" t="s">
        <v>1646</v>
      </c>
      <c r="C11" s="701" t="s">
        <v>1646</v>
      </c>
      <c r="D11" s="700" t="s">
        <v>1646</v>
      </c>
      <c r="E11" s="701">
        <v>1100.9369999999999</v>
      </c>
      <c r="F11" s="1012" t="s">
        <v>1646</v>
      </c>
      <c r="G11" s="701" t="s">
        <v>1646</v>
      </c>
      <c r="H11" s="700" t="s">
        <v>1646</v>
      </c>
      <c r="I11" s="701">
        <v>778.54499999999996</v>
      </c>
    </row>
    <row r="12" spans="1:9" ht="20" hidden="1" customHeight="1" thickBot="1">
      <c r="A12" s="355">
        <v>1988</v>
      </c>
      <c r="B12" s="700" t="s">
        <v>1646</v>
      </c>
      <c r="C12" s="701" t="s">
        <v>1646</v>
      </c>
      <c r="D12" s="700" t="s">
        <v>1646</v>
      </c>
      <c r="E12" s="701">
        <v>1177.078</v>
      </c>
      <c r="F12" s="1012" t="s">
        <v>1646</v>
      </c>
      <c r="G12" s="701" t="s">
        <v>1646</v>
      </c>
      <c r="H12" s="700" t="s">
        <v>1646</v>
      </c>
      <c r="I12" s="701">
        <v>873.36699999999996</v>
      </c>
    </row>
    <row r="13" spans="1:9" ht="20" hidden="1" customHeight="1" thickBot="1">
      <c r="A13" s="355">
        <v>1989</v>
      </c>
      <c r="B13" s="700" t="s">
        <v>1646</v>
      </c>
      <c r="C13" s="701" t="s">
        <v>1646</v>
      </c>
      <c r="D13" s="700" t="s">
        <v>1646</v>
      </c>
      <c r="E13" s="701">
        <v>1287.019</v>
      </c>
      <c r="F13" s="1012" t="s">
        <v>1646</v>
      </c>
      <c r="G13" s="701" t="s">
        <v>1646</v>
      </c>
      <c r="H13" s="700" t="s">
        <v>1646</v>
      </c>
      <c r="I13" s="701">
        <v>948.92100000000005</v>
      </c>
    </row>
    <row r="14" spans="1:9" ht="20" hidden="1" customHeight="1" thickBot="1">
      <c r="A14" s="355">
        <v>1990</v>
      </c>
      <c r="B14" s="700" t="s">
        <v>1646</v>
      </c>
      <c r="C14" s="701" t="s">
        <v>1646</v>
      </c>
      <c r="D14" s="700" t="s">
        <v>1646</v>
      </c>
      <c r="E14" s="701">
        <v>1420.8050000000001</v>
      </c>
      <c r="F14" s="1012" t="s">
        <v>1646</v>
      </c>
      <c r="G14" s="701" t="s">
        <v>1646</v>
      </c>
      <c r="H14" s="700" t="s">
        <v>1646</v>
      </c>
      <c r="I14" s="701">
        <v>1086.6199999999999</v>
      </c>
    </row>
    <row r="15" spans="1:9" ht="20" hidden="1" customHeight="1" thickBot="1">
      <c r="A15" s="355">
        <v>1991</v>
      </c>
      <c r="B15" s="700" t="s">
        <v>1646</v>
      </c>
      <c r="C15" s="701" t="s">
        <v>1646</v>
      </c>
      <c r="D15" s="700">
        <v>763.6</v>
      </c>
      <c r="E15" s="701">
        <v>1543.597</v>
      </c>
      <c r="F15" s="1012" t="s">
        <v>1646</v>
      </c>
      <c r="G15" s="701" t="s">
        <v>1646</v>
      </c>
      <c r="H15" s="700">
        <v>608.6</v>
      </c>
      <c r="I15" s="701">
        <v>1257.979</v>
      </c>
    </row>
    <row r="16" spans="1:9" ht="19.5" hidden="1" customHeight="1" thickBot="1">
      <c r="A16" s="355">
        <v>1992</v>
      </c>
      <c r="B16" s="700" t="s">
        <v>1646</v>
      </c>
      <c r="C16" s="701" t="s">
        <v>1646</v>
      </c>
      <c r="D16" s="972">
        <v>751.1</v>
      </c>
      <c r="E16" s="701">
        <v>1648.1410000000001</v>
      </c>
      <c r="F16" s="1012" t="s">
        <v>1646</v>
      </c>
      <c r="G16" s="701" t="s">
        <v>1646</v>
      </c>
      <c r="H16" s="972">
        <v>631.1</v>
      </c>
      <c r="I16" s="701">
        <v>1414.9949999999999</v>
      </c>
    </row>
    <row r="17" spans="1:9" ht="19.5" hidden="1" customHeight="1" thickBot="1">
      <c r="A17" s="355">
        <v>1993</v>
      </c>
      <c r="B17" s="700" t="s">
        <v>1646</v>
      </c>
      <c r="C17" s="701" t="s">
        <v>1646</v>
      </c>
      <c r="D17" s="972">
        <v>734.9</v>
      </c>
      <c r="E17" s="701">
        <v>1667.729</v>
      </c>
      <c r="F17" s="1012" t="s">
        <v>1646</v>
      </c>
      <c r="G17" s="701" t="s">
        <v>1646</v>
      </c>
      <c r="H17" s="972">
        <v>626</v>
      </c>
      <c r="I17" s="701">
        <v>1459.6659999999999</v>
      </c>
    </row>
    <row r="18" spans="1:9" ht="19.5" hidden="1" customHeight="1" thickBot="1">
      <c r="A18" s="355">
        <v>1994</v>
      </c>
      <c r="B18" s="700" t="s">
        <v>1646</v>
      </c>
      <c r="C18" s="701" t="s">
        <v>1646</v>
      </c>
      <c r="D18" s="972">
        <v>690</v>
      </c>
      <c r="E18" s="701">
        <v>1621.08</v>
      </c>
      <c r="F18" s="1012" t="s">
        <v>1646</v>
      </c>
      <c r="G18" s="701" t="s">
        <v>1646</v>
      </c>
      <c r="H18" s="972">
        <v>613.1</v>
      </c>
      <c r="I18" s="701">
        <v>1489.1569999999999</v>
      </c>
    </row>
    <row r="19" spans="1:9" ht="19.5" hidden="1" customHeight="1" thickBot="1">
      <c r="A19" s="355">
        <v>1995</v>
      </c>
      <c r="B19" s="700" t="s">
        <v>1646</v>
      </c>
      <c r="C19" s="701" t="s">
        <v>1646</v>
      </c>
      <c r="D19" s="972">
        <v>651.4</v>
      </c>
      <c r="E19" s="701">
        <v>1586.424</v>
      </c>
      <c r="F19" s="1012" t="s">
        <v>1646</v>
      </c>
      <c r="G19" s="701" t="s">
        <v>1646</v>
      </c>
      <c r="H19" s="972">
        <v>587.29999999999995</v>
      </c>
      <c r="I19" s="701">
        <v>1488.664</v>
      </c>
    </row>
    <row r="20" spans="1:9" ht="20" customHeight="1" thickBot="1">
      <c r="A20" s="355">
        <v>1996</v>
      </c>
      <c r="B20" s="700" t="s">
        <v>1646</v>
      </c>
      <c r="C20" s="701" t="s">
        <v>1646</v>
      </c>
      <c r="D20" s="972">
        <v>640.4</v>
      </c>
      <c r="E20" s="701">
        <v>1618.7</v>
      </c>
      <c r="F20" s="1012" t="s">
        <v>1646</v>
      </c>
      <c r="G20" s="701" t="s">
        <v>1646</v>
      </c>
      <c r="H20" s="972">
        <v>512.70000000000005</v>
      </c>
      <c r="I20" s="701">
        <v>1358.8</v>
      </c>
    </row>
    <row r="21" spans="1:9" ht="20" customHeight="1" thickBot="1">
      <c r="A21" s="355">
        <v>1997</v>
      </c>
      <c r="B21" s="700">
        <v>513.53</v>
      </c>
      <c r="C21" s="701">
        <v>88.28</v>
      </c>
      <c r="D21" s="700">
        <v>601.80999999999995</v>
      </c>
      <c r="E21" s="701">
        <v>1921.75</v>
      </c>
      <c r="F21" s="1012">
        <v>395.33</v>
      </c>
      <c r="G21" s="701">
        <v>80.59</v>
      </c>
      <c r="H21" s="700">
        <v>475.92</v>
      </c>
      <c r="I21" s="701">
        <v>1558.71</v>
      </c>
    </row>
    <row r="22" spans="1:9" ht="20" customHeight="1" thickBot="1">
      <c r="A22" s="355">
        <v>1998</v>
      </c>
      <c r="B22" s="700">
        <v>544.61</v>
      </c>
      <c r="C22" s="701">
        <v>93.2</v>
      </c>
      <c r="D22" s="700">
        <v>637.80999999999995</v>
      </c>
      <c r="E22" s="701">
        <v>2066.17</v>
      </c>
      <c r="F22" s="1012">
        <v>381.42</v>
      </c>
      <c r="G22" s="701">
        <v>78.63</v>
      </c>
      <c r="H22" s="700">
        <v>460.05</v>
      </c>
      <c r="I22" s="701">
        <v>1597.15</v>
      </c>
    </row>
    <row r="23" spans="1:9" ht="20" customHeight="1" thickBot="1">
      <c r="A23" s="355">
        <v>1999</v>
      </c>
      <c r="B23" s="700">
        <v>841.09</v>
      </c>
      <c r="C23" s="701">
        <v>257.10000000000002</v>
      </c>
      <c r="D23" s="700">
        <v>1098.19</v>
      </c>
      <c r="E23" s="701">
        <v>2435.96</v>
      </c>
      <c r="F23" s="1012">
        <v>558.61</v>
      </c>
      <c r="G23" s="701">
        <v>205.28</v>
      </c>
      <c r="H23" s="700">
        <v>763.89</v>
      </c>
      <c r="I23" s="701">
        <v>1841.41</v>
      </c>
    </row>
    <row r="24" spans="1:9" ht="20" customHeight="1" thickBot="1">
      <c r="A24" s="355">
        <v>2000</v>
      </c>
      <c r="B24" s="700">
        <v>1843.16</v>
      </c>
      <c r="C24" s="701">
        <v>399.77</v>
      </c>
      <c r="D24" s="700">
        <v>2242.9299999999998</v>
      </c>
      <c r="E24" s="701">
        <v>3879.09</v>
      </c>
      <c r="F24" s="1012">
        <v>1257.46</v>
      </c>
      <c r="G24" s="701">
        <v>326.3</v>
      </c>
      <c r="H24" s="700">
        <v>1583.76</v>
      </c>
      <c r="I24" s="701">
        <v>2917.88</v>
      </c>
    </row>
    <row r="25" spans="1:9" ht="20" customHeight="1" thickBot="1">
      <c r="A25" s="355">
        <v>2001</v>
      </c>
      <c r="B25" s="700">
        <v>2676.62</v>
      </c>
      <c r="C25" s="701">
        <v>513.83000000000004</v>
      </c>
      <c r="D25" s="700">
        <v>3190.45</v>
      </c>
      <c r="E25" s="701">
        <v>5041.2299999999996</v>
      </c>
      <c r="F25" s="1012">
        <v>1941.54</v>
      </c>
      <c r="G25" s="701">
        <v>411.76</v>
      </c>
      <c r="H25" s="700">
        <v>2353.3000000000002</v>
      </c>
      <c r="I25" s="701">
        <v>3948.45</v>
      </c>
    </row>
    <row r="26" spans="1:9" ht="20" customHeight="1" thickBot="1">
      <c r="A26" s="355">
        <v>2002</v>
      </c>
      <c r="B26" s="700">
        <v>2798.3878989999998</v>
      </c>
      <c r="C26" s="701">
        <v>633.98667199999954</v>
      </c>
      <c r="D26" s="700">
        <v>3432.3745709999994</v>
      </c>
      <c r="E26" s="701">
        <v>5378.3268339999995</v>
      </c>
      <c r="F26" s="1012">
        <v>1909.542256</v>
      </c>
      <c r="G26" s="701">
        <v>485.91948999999977</v>
      </c>
      <c r="H26" s="700">
        <v>2395.4617459999999</v>
      </c>
      <c r="I26" s="701">
        <v>4096.4477649999999</v>
      </c>
    </row>
    <row r="27" spans="1:9" ht="20" customHeight="1" thickBot="1">
      <c r="A27" s="355">
        <v>2003</v>
      </c>
      <c r="B27" s="700">
        <v>2790.9018799999994</v>
      </c>
      <c r="C27" s="701">
        <v>615.2966899999999</v>
      </c>
      <c r="D27" s="700">
        <v>3406.1985699999996</v>
      </c>
      <c r="E27" s="701">
        <v>5465.9839059999995</v>
      </c>
      <c r="F27" s="1012">
        <v>1892.170619</v>
      </c>
      <c r="G27" s="701">
        <v>468.26997800000004</v>
      </c>
      <c r="H27" s="700">
        <v>2360.4405969999998</v>
      </c>
      <c r="I27" s="701">
        <v>4182.1949699999996</v>
      </c>
    </row>
    <row r="28" spans="1:9" ht="20" customHeight="1" thickBot="1">
      <c r="A28" s="355">
        <v>2004</v>
      </c>
      <c r="B28" s="700">
        <v>3283.3419159999994</v>
      </c>
      <c r="C28" s="701">
        <v>738.67842599999994</v>
      </c>
      <c r="D28" s="700">
        <v>4022.0203419999989</v>
      </c>
      <c r="E28" s="701">
        <v>6221.528084999999</v>
      </c>
      <c r="F28" s="1012">
        <v>2205.5112090000002</v>
      </c>
      <c r="G28" s="701">
        <v>549.46329500000024</v>
      </c>
      <c r="H28" s="700">
        <v>2754.9745040000003</v>
      </c>
      <c r="I28" s="701">
        <v>4484.0208080000002</v>
      </c>
    </row>
    <row r="29" spans="1:9" ht="26.25" customHeight="1" thickBot="1">
      <c r="A29" s="357">
        <v>2005</v>
      </c>
      <c r="B29" s="739">
        <v>3264.4965889999999</v>
      </c>
      <c r="C29" s="991">
        <v>760.80693199999951</v>
      </c>
      <c r="D29" s="739">
        <v>4025.3035210000007</v>
      </c>
      <c r="E29" s="991">
        <v>6170.3164760000009</v>
      </c>
      <c r="F29" s="1013">
        <v>2229.0179430000003</v>
      </c>
      <c r="G29" s="991">
        <v>583.71884400000022</v>
      </c>
      <c r="H29" s="739">
        <v>2812.7367870000003</v>
      </c>
      <c r="I29" s="991">
        <v>4360.2722080000003</v>
      </c>
    </row>
    <row r="30" spans="1:9" ht="16.5" customHeight="1">
      <c r="A30" s="708" t="s">
        <v>2054</v>
      </c>
      <c r="B30" s="709"/>
      <c r="C30" s="709"/>
      <c r="D30" s="709"/>
      <c r="E30" s="709"/>
      <c r="F30" s="709"/>
      <c r="G30" s="709"/>
      <c r="H30" s="709"/>
      <c r="I30" s="709"/>
    </row>
    <row r="31" spans="1:9" ht="10.5" customHeight="1">
      <c r="A31" s="713"/>
      <c r="B31" s="714"/>
      <c r="C31" s="714"/>
      <c r="D31" s="714"/>
      <c r="E31" s="714"/>
      <c r="F31" s="714"/>
      <c r="G31" s="714"/>
      <c r="H31" s="714"/>
      <c r="I31" s="714"/>
    </row>
    <row r="32" spans="1:9" ht="14.25" customHeight="1">
      <c r="A32" s="507" t="s">
        <v>1419</v>
      </c>
      <c r="B32" s="714"/>
      <c r="C32" s="714"/>
      <c r="D32" s="714"/>
      <c r="E32" s="714"/>
      <c r="F32" s="714"/>
      <c r="G32" s="714"/>
      <c r="H32" s="714"/>
      <c r="I32" s="714"/>
    </row>
    <row r="33" spans="1:9" ht="12" customHeight="1">
      <c r="A33" s="1014" t="s">
        <v>1420</v>
      </c>
      <c r="B33" s="714"/>
      <c r="C33" s="714"/>
      <c r="D33" s="714"/>
      <c r="E33" s="714"/>
      <c r="F33" s="714"/>
      <c r="G33" s="714"/>
      <c r="H33" s="714"/>
      <c r="I33" s="714"/>
    </row>
    <row r="34" spans="1:9" ht="12" customHeight="1">
      <c r="A34" s="507" t="s">
        <v>1421</v>
      </c>
      <c r="B34" s="714"/>
      <c r="C34" s="714"/>
      <c r="D34" s="714"/>
      <c r="E34" s="714"/>
      <c r="F34" s="714"/>
      <c r="G34" s="714"/>
      <c r="H34" s="714"/>
      <c r="I34" s="714"/>
    </row>
    <row r="35" spans="1:9" ht="12" customHeight="1">
      <c r="A35" s="507" t="s">
        <v>1422</v>
      </c>
      <c r="B35" s="714"/>
      <c r="C35" s="714"/>
      <c r="D35" s="714"/>
      <c r="E35" s="714"/>
      <c r="F35" s="714"/>
      <c r="G35" s="714"/>
      <c r="H35" s="714"/>
      <c r="I35" s="714"/>
    </row>
    <row r="36" spans="1:9" ht="12" customHeight="1">
      <c r="A36" s="507"/>
      <c r="B36" s="714"/>
      <c r="C36" s="714"/>
      <c r="D36" s="714"/>
      <c r="E36" s="714"/>
      <c r="F36" s="714"/>
      <c r="G36" s="714"/>
      <c r="H36" s="714"/>
      <c r="I36" s="714"/>
    </row>
    <row r="37" spans="1:9">
      <c r="A37" s="713" t="s">
        <v>1423</v>
      </c>
      <c r="B37" s="726"/>
      <c r="C37" s="726"/>
      <c r="D37" s="726"/>
      <c r="E37" s="726"/>
      <c r="F37" s="726"/>
      <c r="G37" s="726"/>
      <c r="H37" s="726"/>
      <c r="I37" s="726"/>
    </row>
    <row r="40" spans="1:9">
      <c r="A40" s="2" t="s">
        <v>128</v>
      </c>
    </row>
  </sheetData>
  <mergeCells count="1">
    <mergeCell ref="A2:H2"/>
  </mergeCells>
  <phoneticPr fontId="0" type="noConversion"/>
  <pageMargins left="0.48" right="0.54" top="0.93" bottom="0.49" header="0.5" footer="0.4921259845"/>
  <pageSetup paperSize="9" scale="75" orientation="portrait"/>
  <headerFooter alignWithMargins="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0D7AF-C8D3-F84B-A0E4-14076ADD0DBD}">
  <sheetPr>
    <pageSetUpPr fitToPage="1"/>
  </sheetPr>
  <dimension ref="A1:L35"/>
  <sheetViews>
    <sheetView topLeftCell="A7" zoomScale="75" workbookViewId="0">
      <selection activeCell="A33" sqref="A33"/>
    </sheetView>
  </sheetViews>
  <sheetFormatPr baseColWidth="10" defaultColWidth="11.3984375" defaultRowHeight="13"/>
  <cols>
    <col min="1" max="1" width="10" style="2" customWidth="1"/>
    <col min="2" max="2" width="13.796875" style="170" customWidth="1"/>
    <col min="3" max="3" width="13.3984375" style="170" customWidth="1"/>
    <col min="4" max="4" width="12.59765625" style="170" customWidth="1"/>
    <col min="5" max="5" width="13.19921875" style="170" customWidth="1"/>
    <col min="6" max="6" width="11.796875" style="170" customWidth="1"/>
    <col min="7" max="7" width="14.59765625" style="170" customWidth="1"/>
    <col min="8" max="8" width="13.3984375" style="170" customWidth="1"/>
    <col min="9" max="9" width="12.3984375" style="170" customWidth="1"/>
    <col min="10" max="10" width="13.796875" style="170" customWidth="1"/>
    <col min="11" max="11" width="12.19921875" style="170" customWidth="1"/>
    <col min="12" max="16384" width="11.3984375" style="2"/>
  </cols>
  <sheetData>
    <row r="1" spans="1:12" s="1" customFormat="1" ht="14" customHeight="1">
      <c r="A1" s="404"/>
      <c r="B1" s="690"/>
      <c r="C1" s="690"/>
      <c r="D1" s="690"/>
      <c r="E1" s="690"/>
      <c r="F1" s="690"/>
      <c r="G1" s="690"/>
      <c r="H1" s="690"/>
      <c r="I1" s="690"/>
      <c r="J1" s="690"/>
      <c r="K1" s="690"/>
    </row>
    <row r="2" spans="1:12" s="1" customFormat="1" ht="27" customHeight="1">
      <c r="A2" s="1015" t="s">
        <v>1428</v>
      </c>
      <c r="B2" s="1016"/>
      <c r="C2" s="1016"/>
      <c r="D2" s="1016"/>
      <c r="E2" s="1016"/>
      <c r="F2" s="1016"/>
      <c r="G2" s="1016"/>
      <c r="H2" s="1016"/>
      <c r="I2" s="1016"/>
      <c r="J2" s="1016"/>
      <c r="K2" s="350">
        <v>2005</v>
      </c>
    </row>
    <row r="3" spans="1:12" ht="20" customHeight="1">
      <c r="A3" s="212" t="s">
        <v>1254</v>
      </c>
      <c r="B3" s="1017" t="s">
        <v>700</v>
      </c>
      <c r="C3" s="131"/>
      <c r="D3" s="129"/>
      <c r="E3" s="212"/>
      <c r="F3" s="1017" t="s">
        <v>4</v>
      </c>
      <c r="G3" s="1018" t="s">
        <v>2056</v>
      </c>
      <c r="H3" s="505"/>
      <c r="I3" s="212"/>
      <c r="J3" s="130"/>
      <c r="K3" s="1019" t="s">
        <v>1945</v>
      </c>
    </row>
    <row r="4" spans="1:12" ht="32.25" customHeight="1">
      <c r="A4" s="212"/>
      <c r="B4" s="1007" t="s">
        <v>1429</v>
      </c>
      <c r="C4" s="1020"/>
      <c r="D4" s="1021" t="s">
        <v>4</v>
      </c>
      <c r="E4" s="1022" t="s">
        <v>1430</v>
      </c>
      <c r="F4" s="505"/>
      <c r="G4" s="1023" t="s">
        <v>1429</v>
      </c>
      <c r="H4" s="1007"/>
      <c r="I4" s="1020" t="s">
        <v>1945</v>
      </c>
      <c r="J4" s="1024" t="s">
        <v>1430</v>
      </c>
      <c r="K4" s="128"/>
    </row>
    <row r="5" spans="1:12" ht="15" customHeight="1">
      <c r="A5" s="212"/>
      <c r="B5" s="129" t="s">
        <v>1431</v>
      </c>
      <c r="C5" s="131" t="s">
        <v>1432</v>
      </c>
      <c r="D5" s="129"/>
      <c r="E5" s="131" t="s">
        <v>1432</v>
      </c>
      <c r="F5" s="129"/>
      <c r="G5" s="1025" t="s">
        <v>1431</v>
      </c>
      <c r="H5" s="129" t="s">
        <v>1432</v>
      </c>
      <c r="I5" s="131"/>
      <c r="J5" s="129" t="s">
        <v>1432</v>
      </c>
      <c r="K5" s="131"/>
    </row>
    <row r="6" spans="1:12" ht="15" customHeight="1">
      <c r="A6" s="212"/>
      <c r="B6" s="353" t="s">
        <v>1432</v>
      </c>
      <c r="C6" s="692" t="s">
        <v>5</v>
      </c>
      <c r="D6" s="353"/>
      <c r="E6" s="692" t="s">
        <v>6</v>
      </c>
      <c r="F6" s="129"/>
      <c r="G6" s="1026" t="s">
        <v>1432</v>
      </c>
      <c r="H6" s="129" t="s">
        <v>5</v>
      </c>
      <c r="I6" s="131"/>
      <c r="J6" s="129" t="s">
        <v>6</v>
      </c>
      <c r="K6" s="131"/>
    </row>
    <row r="7" spans="1:12" ht="15" customHeight="1">
      <c r="A7" s="212"/>
      <c r="B7" s="353" t="s">
        <v>7</v>
      </c>
      <c r="C7" s="692"/>
      <c r="D7" s="353"/>
      <c r="E7" s="692"/>
      <c r="F7" s="353"/>
      <c r="G7" s="1026" t="s">
        <v>7</v>
      </c>
      <c r="H7" s="129"/>
      <c r="I7" s="131"/>
      <c r="J7" s="129"/>
      <c r="K7" s="131"/>
    </row>
    <row r="8" spans="1:12" ht="20" customHeight="1">
      <c r="A8" s="308"/>
      <c r="B8" s="135"/>
      <c r="C8" s="134"/>
      <c r="D8" s="135"/>
      <c r="E8" s="134"/>
      <c r="F8" s="135"/>
      <c r="G8" s="1027"/>
      <c r="H8" s="135"/>
      <c r="I8" s="134"/>
      <c r="J8" s="135"/>
      <c r="K8" s="134"/>
    </row>
    <row r="9" spans="1:12" ht="1.5" customHeight="1" thickBot="1">
      <c r="A9" s="354">
        <v>1991</v>
      </c>
      <c r="B9" s="1028">
        <v>996.2</v>
      </c>
      <c r="C9" s="1029" t="s">
        <v>1646</v>
      </c>
      <c r="D9" s="1028">
        <v>996.2</v>
      </c>
      <c r="E9" s="1029">
        <v>780</v>
      </c>
      <c r="F9" s="1028">
        <v>1776.2</v>
      </c>
      <c r="G9" s="1030">
        <v>885.4</v>
      </c>
      <c r="H9" s="1028" t="s">
        <v>1646</v>
      </c>
      <c r="I9" s="1029">
        <v>885.4</v>
      </c>
      <c r="J9" s="961">
        <v>649.4</v>
      </c>
      <c r="K9" s="633">
        <v>1534.8</v>
      </c>
    </row>
    <row r="10" spans="1:12" ht="20" hidden="1" customHeight="1" thickBot="1">
      <c r="A10" s="355">
        <v>1992</v>
      </c>
      <c r="B10" s="766">
        <v>1003.8</v>
      </c>
      <c r="C10" s="1029" t="s">
        <v>1646</v>
      </c>
      <c r="D10" s="1028">
        <v>1003.8</v>
      </c>
      <c r="E10" s="1031">
        <v>897</v>
      </c>
      <c r="F10" s="1032">
        <v>1900.8</v>
      </c>
      <c r="G10" s="1033">
        <v>923.2</v>
      </c>
      <c r="H10" s="1028" t="s">
        <v>1646</v>
      </c>
      <c r="I10" s="1029">
        <v>923.2</v>
      </c>
      <c r="J10" s="972">
        <v>783.9</v>
      </c>
      <c r="K10" s="1034">
        <v>1707.1</v>
      </c>
    </row>
    <row r="11" spans="1:12" ht="20" hidden="1" customHeight="1" thickBot="1">
      <c r="A11" s="355">
        <v>1993</v>
      </c>
      <c r="B11" s="766">
        <v>1026.2</v>
      </c>
      <c r="C11" s="1029" t="s">
        <v>1646</v>
      </c>
      <c r="D11" s="1028">
        <v>1026.2</v>
      </c>
      <c r="E11" s="1031">
        <v>932.8</v>
      </c>
      <c r="F11" s="1032">
        <v>1959</v>
      </c>
      <c r="G11" s="1033">
        <v>928.41399999999999</v>
      </c>
      <c r="H11" s="1028" t="s">
        <v>1646</v>
      </c>
      <c r="I11" s="1029">
        <v>928.41399999999999</v>
      </c>
      <c r="J11" s="972">
        <v>833.7</v>
      </c>
      <c r="K11" s="1034">
        <v>1762.114</v>
      </c>
    </row>
    <row r="12" spans="1:12" ht="20" hidden="1" customHeight="1" thickBot="1">
      <c r="A12" s="355">
        <v>1994</v>
      </c>
      <c r="B12" s="766">
        <v>1052.2</v>
      </c>
      <c r="C12" s="1029" t="s">
        <v>1646</v>
      </c>
      <c r="D12" s="1028">
        <v>1052.2</v>
      </c>
      <c r="E12" s="1031">
        <v>931.1</v>
      </c>
      <c r="F12" s="1032">
        <v>1983.3</v>
      </c>
      <c r="G12" s="1033">
        <v>983.23500000000001</v>
      </c>
      <c r="H12" s="1028" t="s">
        <v>1646</v>
      </c>
      <c r="I12" s="1029">
        <v>983.23500000000001</v>
      </c>
      <c r="J12" s="972">
        <v>876.1</v>
      </c>
      <c r="K12" s="1034">
        <v>1859.335</v>
      </c>
    </row>
    <row r="13" spans="1:12" ht="19.5" hidden="1" customHeight="1" thickBot="1">
      <c r="A13" s="355">
        <v>1995</v>
      </c>
      <c r="B13" s="766">
        <v>1073.0999999999999</v>
      </c>
      <c r="C13" s="1029" t="s">
        <v>1646</v>
      </c>
      <c r="D13" s="1028">
        <v>1073.0999999999999</v>
      </c>
      <c r="E13" s="1031">
        <v>935</v>
      </c>
      <c r="F13" s="1032">
        <v>2008.1</v>
      </c>
      <c r="G13" s="1033">
        <v>1017.388</v>
      </c>
      <c r="H13" s="1028" t="s">
        <v>1646</v>
      </c>
      <c r="I13" s="1029">
        <v>1017.388</v>
      </c>
      <c r="J13" s="972">
        <v>901.4</v>
      </c>
      <c r="K13" s="1034">
        <v>1918.788</v>
      </c>
    </row>
    <row r="14" spans="1:12" ht="20" customHeight="1" thickBot="1">
      <c r="A14" s="355">
        <v>1996</v>
      </c>
      <c r="B14" s="766">
        <v>832</v>
      </c>
      <c r="C14" s="1031">
        <v>180.9</v>
      </c>
      <c r="D14" s="1032">
        <v>1012.9</v>
      </c>
      <c r="E14" s="1031">
        <v>978.3</v>
      </c>
      <c r="F14" s="1032">
        <v>1991.2</v>
      </c>
      <c r="G14" s="1033">
        <v>872.50191104999999</v>
      </c>
      <c r="H14" s="1035">
        <v>116.7</v>
      </c>
      <c r="I14" s="1036">
        <v>989.20191105000004</v>
      </c>
      <c r="J14" s="972">
        <v>846.1</v>
      </c>
      <c r="K14" s="1034">
        <v>1835.3019110499999</v>
      </c>
      <c r="L14"/>
    </row>
    <row r="15" spans="1:12" ht="20" customHeight="1" thickBot="1">
      <c r="A15" s="355">
        <v>1997</v>
      </c>
      <c r="B15" s="766">
        <v>558.9</v>
      </c>
      <c r="C15" s="701">
        <v>393.8</v>
      </c>
      <c r="D15" s="1028">
        <v>952.7</v>
      </c>
      <c r="E15" s="701">
        <v>1319.9</v>
      </c>
      <c r="F15" s="1028">
        <v>2272.6</v>
      </c>
      <c r="G15" s="1033">
        <v>621.52611999999999</v>
      </c>
      <c r="H15" s="700">
        <v>335.7</v>
      </c>
      <c r="I15" s="1029">
        <v>957.22612000000004</v>
      </c>
      <c r="J15" s="700">
        <v>1082.8</v>
      </c>
      <c r="K15" s="633">
        <v>2040.02612</v>
      </c>
      <c r="L15"/>
    </row>
    <row r="16" spans="1:12" ht="20" customHeight="1" thickBot="1">
      <c r="A16" s="355">
        <v>1998</v>
      </c>
      <c r="B16" s="766">
        <v>509.6</v>
      </c>
      <c r="C16" s="701">
        <v>508.1</v>
      </c>
      <c r="D16" s="1028">
        <v>1017.7</v>
      </c>
      <c r="E16" s="701">
        <v>1428.4</v>
      </c>
      <c r="F16" s="1028">
        <v>2446.1</v>
      </c>
      <c r="G16" s="1033">
        <v>456.36259100000001</v>
      </c>
      <c r="H16" s="700">
        <v>453.7</v>
      </c>
      <c r="I16" s="1029">
        <v>910.062591</v>
      </c>
      <c r="J16" s="700">
        <v>1137.0999999999999</v>
      </c>
      <c r="K16" s="633">
        <v>2047.1625909999998</v>
      </c>
      <c r="L16"/>
    </row>
    <row r="17" spans="1:12" ht="20" customHeight="1" thickBot="1">
      <c r="A17" s="355">
        <v>1999</v>
      </c>
      <c r="B17" s="766">
        <v>462.9</v>
      </c>
      <c r="C17" s="701">
        <v>442.7</v>
      </c>
      <c r="D17" s="1028">
        <v>905.6</v>
      </c>
      <c r="E17" s="701">
        <v>1337.8</v>
      </c>
      <c r="F17" s="1028">
        <v>2243.4</v>
      </c>
      <c r="G17" s="1033">
        <v>412.14915300000001</v>
      </c>
      <c r="H17" s="700">
        <v>385.2</v>
      </c>
      <c r="I17" s="1029">
        <v>797.349153</v>
      </c>
      <c r="J17" s="700">
        <v>1077.5</v>
      </c>
      <c r="K17" s="633">
        <v>1874.8491530000001</v>
      </c>
      <c r="L17"/>
    </row>
    <row r="18" spans="1:12" ht="20" customHeight="1" thickBot="1">
      <c r="A18" s="355">
        <v>2000</v>
      </c>
      <c r="B18" s="766">
        <v>438.9</v>
      </c>
      <c r="C18" s="701">
        <v>339.7</v>
      </c>
      <c r="D18" s="1028">
        <v>778.6</v>
      </c>
      <c r="E18" s="701">
        <v>1636.2</v>
      </c>
      <c r="F18" s="1028">
        <v>2414.8000000000002</v>
      </c>
      <c r="G18" s="1033">
        <v>381.63992000000002</v>
      </c>
      <c r="H18" s="700">
        <v>299.2</v>
      </c>
      <c r="I18" s="1029">
        <v>680.83992000000001</v>
      </c>
      <c r="J18" s="700">
        <v>1334.1</v>
      </c>
      <c r="K18" s="633">
        <v>2014.9399199999998</v>
      </c>
      <c r="L18"/>
    </row>
    <row r="19" spans="1:12" ht="20" customHeight="1" thickBot="1">
      <c r="A19" s="355">
        <v>2001</v>
      </c>
      <c r="B19" s="766">
        <v>398.65</v>
      </c>
      <c r="C19" s="701">
        <v>248.38</v>
      </c>
      <c r="D19" s="1028">
        <v>647.03</v>
      </c>
      <c r="E19" s="701">
        <v>1850.78</v>
      </c>
      <c r="F19" s="1028">
        <v>2497.81</v>
      </c>
      <c r="G19" s="1033">
        <v>351.97137099999998</v>
      </c>
      <c r="H19" s="700">
        <v>201.85</v>
      </c>
      <c r="I19" s="1029">
        <v>553.821371</v>
      </c>
      <c r="J19" s="700">
        <v>1595.15</v>
      </c>
      <c r="K19" s="633">
        <v>2148.9713710000001</v>
      </c>
      <c r="L19"/>
    </row>
    <row r="20" spans="1:12" ht="20" customHeight="1" thickBot="1">
      <c r="A20" s="355">
        <v>2002</v>
      </c>
      <c r="B20" s="766">
        <v>370.90300000000002</v>
      </c>
      <c r="C20" s="701">
        <v>248.779527</v>
      </c>
      <c r="D20" s="1028">
        <v>619.68252700000005</v>
      </c>
      <c r="E20" s="701">
        <v>1945.9522629999999</v>
      </c>
      <c r="F20" s="1028">
        <v>2565.6347900000001</v>
      </c>
      <c r="G20" s="1033">
        <v>329.149</v>
      </c>
      <c r="H20" s="700">
        <v>227.06825000000001</v>
      </c>
      <c r="I20" s="1029">
        <v>556.21725000000004</v>
      </c>
      <c r="J20" s="700">
        <v>1700.9860189999999</v>
      </c>
      <c r="K20" s="633">
        <v>2257.2032690000001</v>
      </c>
      <c r="L20"/>
    </row>
    <row r="21" spans="1:12" ht="20" customHeight="1" thickBot="1">
      <c r="A21" s="355">
        <v>2003</v>
      </c>
      <c r="B21" s="766">
        <v>354.08080662000003</v>
      </c>
      <c r="C21" s="701">
        <v>295.50233600000001</v>
      </c>
      <c r="D21" s="1028">
        <v>649.58314261999999</v>
      </c>
      <c r="E21" s="701">
        <v>2059.7853359999999</v>
      </c>
      <c r="F21" s="1028">
        <v>2709.3684786200001</v>
      </c>
      <c r="G21" s="1033">
        <v>309.91303072000005</v>
      </c>
      <c r="H21" s="700">
        <v>266.92607400000003</v>
      </c>
      <c r="I21" s="1029">
        <v>576.83910472000002</v>
      </c>
      <c r="J21" s="700">
        <v>1821.754373</v>
      </c>
      <c r="K21" s="633">
        <v>2398.59347772</v>
      </c>
      <c r="L21"/>
    </row>
    <row r="22" spans="1:12" ht="20" customHeight="1" thickBot="1">
      <c r="A22" s="355">
        <v>2004</v>
      </c>
      <c r="B22" s="766">
        <v>354.05374882999996</v>
      </c>
      <c r="C22" s="701">
        <v>465.97641131</v>
      </c>
      <c r="D22" s="1028">
        <v>820.03016013999991</v>
      </c>
      <c r="E22" s="701">
        <v>2199.5077430000001</v>
      </c>
      <c r="F22" s="1028">
        <v>3019.5379031399998</v>
      </c>
      <c r="G22" s="1033">
        <v>277.93515424999998</v>
      </c>
      <c r="H22" s="700">
        <v>341.37247587999997</v>
      </c>
      <c r="I22" s="1029">
        <v>619.30763013000001</v>
      </c>
      <c r="J22" s="700">
        <v>1729.046304</v>
      </c>
      <c r="K22" s="633">
        <v>2348.3539341300002</v>
      </c>
      <c r="L22"/>
    </row>
    <row r="23" spans="1:12" s="280" customFormat="1" ht="27.75" customHeight="1" thickBot="1">
      <c r="A23" s="357">
        <v>2005</v>
      </c>
      <c r="B23" s="1037">
        <v>340.05814830000003</v>
      </c>
      <c r="C23" s="991">
        <v>497.83377424000003</v>
      </c>
      <c r="D23" s="1038">
        <v>837.89192254</v>
      </c>
      <c r="E23" s="991">
        <v>2145.0129550000001</v>
      </c>
      <c r="F23" s="1038">
        <v>2982.9048775400001</v>
      </c>
      <c r="G23" s="1039">
        <v>251.06148209</v>
      </c>
      <c r="H23" s="739">
        <v>268.00454783000004</v>
      </c>
      <c r="I23" s="1040">
        <v>519.06602992000001</v>
      </c>
      <c r="J23" s="739">
        <v>1547.535421</v>
      </c>
      <c r="K23" s="1041">
        <v>2066.6014509199999</v>
      </c>
      <c r="L23" s="1042"/>
    </row>
    <row r="24" spans="1:12" ht="20" customHeight="1">
      <c r="A24" s="708" t="s">
        <v>2054</v>
      </c>
      <c r="B24" s="709"/>
      <c r="C24" s="709"/>
      <c r="D24" s="709"/>
      <c r="E24" s="709"/>
      <c r="F24" s="709"/>
      <c r="G24" s="709"/>
      <c r="H24" s="709"/>
      <c r="I24" s="709"/>
      <c r="J24" s="709"/>
      <c r="K24" s="709"/>
    </row>
    <row r="25" spans="1:12" ht="13.5" customHeight="1">
      <c r="A25" s="713"/>
      <c r="B25" s="714"/>
      <c r="C25" s="714"/>
      <c r="D25" s="714"/>
      <c r="E25" s="714"/>
      <c r="F25" s="714"/>
      <c r="G25" s="714"/>
      <c r="H25" s="714"/>
      <c r="I25" s="714"/>
      <c r="J25" s="714"/>
      <c r="K25" s="714"/>
    </row>
    <row r="26" spans="1:12">
      <c r="A26" s="507" t="s">
        <v>1433</v>
      </c>
      <c r="B26" s="726"/>
      <c r="C26" s="726"/>
      <c r="D26" s="726"/>
      <c r="E26" s="726"/>
      <c r="F26" s="726"/>
      <c r="G26" s="726"/>
      <c r="H26" s="726"/>
      <c r="I26" s="726"/>
      <c r="J26" s="726"/>
      <c r="K26" s="726"/>
    </row>
    <row r="27" spans="1:12">
      <c r="A27" s="507" t="s">
        <v>1434</v>
      </c>
      <c r="B27" s="726"/>
      <c r="C27" s="726"/>
      <c r="D27" s="726"/>
      <c r="E27" s="726"/>
      <c r="F27" s="726"/>
      <c r="G27" s="726"/>
      <c r="H27" s="726"/>
      <c r="I27" s="726"/>
      <c r="J27" s="726"/>
      <c r="K27" s="726"/>
    </row>
    <row r="28" spans="1:12">
      <c r="A28" s="507" t="s">
        <v>0</v>
      </c>
      <c r="B28" s="726"/>
      <c r="C28" s="726"/>
      <c r="D28" s="726"/>
      <c r="E28" s="726"/>
      <c r="F28" s="726"/>
      <c r="G28" s="726"/>
      <c r="H28" s="726"/>
      <c r="I28" s="726"/>
      <c r="J28" s="726"/>
      <c r="K28" s="726"/>
    </row>
    <row r="29" spans="1:12">
      <c r="A29" s="507" t="s">
        <v>8</v>
      </c>
      <c r="B29" s="726"/>
      <c r="C29" s="726"/>
      <c r="D29" s="726"/>
      <c r="E29" s="726"/>
      <c r="F29" s="726"/>
      <c r="G29" s="726"/>
      <c r="H29" s="726"/>
      <c r="I29" s="726"/>
      <c r="J29" s="726"/>
      <c r="K29" s="726"/>
    </row>
    <row r="30" spans="1:12">
      <c r="A30" s="2" t="s">
        <v>1</v>
      </c>
    </row>
    <row r="31" spans="1:12">
      <c r="A31" s="507" t="s">
        <v>2</v>
      </c>
      <c r="B31" s="726"/>
      <c r="C31" s="726"/>
      <c r="D31" s="726"/>
      <c r="E31" s="726"/>
      <c r="F31" s="726"/>
      <c r="G31" s="726"/>
      <c r="H31" s="726"/>
      <c r="I31" s="726"/>
      <c r="J31" s="726"/>
      <c r="K31" s="726"/>
    </row>
    <row r="32" spans="1:12">
      <c r="A32" s="713" t="s">
        <v>9</v>
      </c>
      <c r="B32" s="726"/>
      <c r="C32" s="726"/>
      <c r="D32" s="726"/>
      <c r="E32" s="726"/>
      <c r="F32" s="726"/>
      <c r="G32" s="726"/>
      <c r="H32" s="726"/>
      <c r="I32" s="726"/>
      <c r="J32" s="726"/>
      <c r="K32" s="726"/>
    </row>
    <row r="33" spans="1:11">
      <c r="A33" s="1043" t="s">
        <v>3</v>
      </c>
      <c r="B33" s="726"/>
      <c r="C33" s="726"/>
      <c r="D33" s="726"/>
      <c r="E33" s="726"/>
      <c r="F33" s="726"/>
      <c r="G33" s="726"/>
      <c r="H33" s="726"/>
      <c r="I33" s="726"/>
      <c r="J33" s="726"/>
      <c r="K33" s="726"/>
    </row>
    <row r="35" spans="1:11">
      <c r="A35" s="2" t="s">
        <v>128</v>
      </c>
    </row>
  </sheetData>
  <phoneticPr fontId="0" type="noConversion"/>
  <pageMargins left="0.48" right="0.44" top="0.72" bottom="0.49" header="0.45" footer="0.4921259845"/>
  <pageSetup paperSize="9" scale="67" orientation="portrait"/>
  <headerFooter alignWithMargins="0"/>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D795F-CDD9-8541-B48C-E2C939C08AB3}">
  <sheetPr>
    <pageSetUpPr fitToPage="1"/>
  </sheetPr>
  <dimension ref="A1:L33"/>
  <sheetViews>
    <sheetView topLeftCell="A20" zoomScale="75" workbookViewId="0">
      <selection activeCell="A32" sqref="A32"/>
    </sheetView>
  </sheetViews>
  <sheetFormatPr baseColWidth="10" defaultColWidth="11.3984375" defaultRowHeight="13"/>
  <cols>
    <col min="1" max="1" width="10" style="2" customWidth="1"/>
    <col min="2" max="2" width="13.19921875" style="170" customWidth="1"/>
    <col min="3" max="3" width="13.3984375" style="170" customWidth="1"/>
    <col min="4" max="4" width="15" style="170" customWidth="1"/>
    <col min="5" max="5" width="13" style="170" customWidth="1"/>
    <col min="6" max="7" width="13.59765625" style="170" customWidth="1"/>
    <col min="8" max="8" width="14.796875" style="170" customWidth="1"/>
    <col min="9" max="9" width="13.59765625" style="170" customWidth="1"/>
    <col min="10" max="16384" width="11.3984375" style="2"/>
  </cols>
  <sheetData>
    <row r="1" spans="1:12" s="1" customFormat="1" ht="14" customHeight="1">
      <c r="A1" s="404"/>
      <c r="B1" s="690"/>
      <c r="C1" s="690"/>
      <c r="D1" s="690"/>
      <c r="E1" s="690"/>
      <c r="F1" s="690"/>
      <c r="G1" s="690"/>
      <c r="H1" s="690"/>
      <c r="I1" s="690"/>
    </row>
    <row r="2" spans="1:12" s="1" customFormat="1" ht="27" customHeight="1">
      <c r="A2" s="1015" t="s">
        <v>15</v>
      </c>
      <c r="B2" s="1016"/>
      <c r="C2" s="1016"/>
      <c r="D2" s="1016"/>
      <c r="E2" s="1016"/>
      <c r="F2" s="1016"/>
      <c r="G2" s="1016"/>
      <c r="H2" s="1016"/>
      <c r="I2" s="350">
        <v>2005</v>
      </c>
    </row>
    <row r="3" spans="1:12" ht="20" customHeight="1">
      <c r="A3" s="212" t="s">
        <v>1254</v>
      </c>
      <c r="B3" s="1017" t="s">
        <v>700</v>
      </c>
      <c r="C3" s="131"/>
      <c r="D3" s="129"/>
      <c r="E3" s="614" t="s">
        <v>43</v>
      </c>
      <c r="F3" s="1044" t="s">
        <v>2056</v>
      </c>
      <c r="G3" s="212"/>
      <c r="H3" s="505"/>
      <c r="I3" s="614" t="s">
        <v>43</v>
      </c>
    </row>
    <row r="4" spans="1:12" ht="33" customHeight="1">
      <c r="A4" s="212"/>
      <c r="B4" s="1007" t="s">
        <v>1429</v>
      </c>
      <c r="C4" s="1020"/>
      <c r="D4" s="1024" t="s">
        <v>16</v>
      </c>
      <c r="E4" s="1022"/>
      <c r="F4" s="1008" t="s">
        <v>1429</v>
      </c>
      <c r="G4" s="1045"/>
      <c r="H4" s="1024" t="s">
        <v>16</v>
      </c>
      <c r="I4" s="1022"/>
    </row>
    <row r="5" spans="1:12" ht="15" customHeight="1">
      <c r="A5" s="212"/>
      <c r="B5" s="1046" t="s">
        <v>10</v>
      </c>
      <c r="C5" s="692" t="s">
        <v>162</v>
      </c>
      <c r="D5" s="353" t="s">
        <v>1432</v>
      </c>
      <c r="E5" s="131"/>
      <c r="F5" s="1047" t="s">
        <v>10</v>
      </c>
      <c r="G5" s="692" t="s">
        <v>162</v>
      </c>
      <c r="H5" s="353" t="s">
        <v>1432</v>
      </c>
      <c r="I5" s="131"/>
    </row>
    <row r="6" spans="1:12" ht="17.25" customHeight="1">
      <c r="A6" s="212"/>
      <c r="B6" s="1046" t="s">
        <v>17</v>
      </c>
      <c r="C6" s="692" t="s">
        <v>18</v>
      </c>
      <c r="D6" s="353" t="s">
        <v>149</v>
      </c>
      <c r="E6" s="131"/>
      <c r="F6" s="1047" t="s">
        <v>17</v>
      </c>
      <c r="G6" s="692" t="s">
        <v>18</v>
      </c>
      <c r="H6" s="353" t="s">
        <v>149</v>
      </c>
      <c r="I6" s="131"/>
    </row>
    <row r="7" spans="1:12" ht="16.5" customHeight="1">
      <c r="A7" s="308"/>
      <c r="B7" s="135"/>
      <c r="C7" s="134"/>
      <c r="D7" s="135"/>
      <c r="E7" s="134"/>
      <c r="F7" s="1010"/>
      <c r="G7" s="134"/>
      <c r="H7" s="135"/>
      <c r="I7" s="134"/>
    </row>
    <row r="8" spans="1:12" ht="1.5" customHeight="1" thickBot="1">
      <c r="A8" s="354">
        <v>1991</v>
      </c>
      <c r="B8" s="1028">
        <v>7381.6</v>
      </c>
      <c r="C8" s="1029">
        <v>2030</v>
      </c>
      <c r="D8" s="1028">
        <v>763.6</v>
      </c>
      <c r="E8" s="633">
        <v>10175.200000000001</v>
      </c>
      <c r="F8" s="1048">
        <v>8411.9</v>
      </c>
      <c r="G8" s="1029">
        <v>1717.6</v>
      </c>
      <c r="H8" s="1028">
        <v>608.6</v>
      </c>
      <c r="I8" s="633">
        <v>10738.1</v>
      </c>
    </row>
    <row r="9" spans="1:12" ht="20" hidden="1" customHeight="1" thickBot="1">
      <c r="A9" s="355">
        <v>1992</v>
      </c>
      <c r="B9" s="766">
        <v>8071.6</v>
      </c>
      <c r="C9" s="1031">
        <v>2234.5</v>
      </c>
      <c r="D9" s="1035">
        <v>751.05194456734102</v>
      </c>
      <c r="E9" s="1034">
        <v>11057.151944567342</v>
      </c>
      <c r="F9" s="1049">
        <v>9374.4</v>
      </c>
      <c r="G9" s="1031">
        <v>1832.3</v>
      </c>
      <c r="H9" s="1035">
        <v>631.14866850607859</v>
      </c>
      <c r="I9" s="1034">
        <v>11837.848668506078</v>
      </c>
    </row>
    <row r="10" spans="1:12" ht="20" hidden="1" customHeight="1" thickBot="1">
      <c r="A10" s="355">
        <v>1993</v>
      </c>
      <c r="B10" s="766">
        <v>8959</v>
      </c>
      <c r="C10" s="1031">
        <v>3326.3</v>
      </c>
      <c r="D10" s="1035">
        <v>734.92479192401356</v>
      </c>
      <c r="E10" s="1034">
        <v>13020.224791924013</v>
      </c>
      <c r="F10" s="1049">
        <v>9747.2000000000007</v>
      </c>
      <c r="G10" s="1031">
        <v>2431.9</v>
      </c>
      <c r="H10" s="1035">
        <v>626.00138979065252</v>
      </c>
      <c r="I10" s="1034">
        <v>12805.101389790652</v>
      </c>
    </row>
    <row r="11" spans="1:12" ht="20" hidden="1" customHeight="1" thickBot="1">
      <c r="A11" s="355">
        <v>1994</v>
      </c>
      <c r="B11" s="766">
        <v>8986.1</v>
      </c>
      <c r="C11" s="1031">
        <v>4076.6</v>
      </c>
      <c r="D11" s="1035">
        <v>690.03021854426788</v>
      </c>
      <c r="E11" s="1034">
        <v>13752.730218544268</v>
      </c>
      <c r="F11" s="1049">
        <v>9548.9</v>
      </c>
      <c r="G11" s="1031">
        <v>3331.5</v>
      </c>
      <c r="H11" s="1035">
        <v>613.0603501903413</v>
      </c>
      <c r="I11" s="1034">
        <v>13493.46035019034</v>
      </c>
    </row>
    <row r="12" spans="1:12" ht="19.5" hidden="1" customHeight="1" thickBot="1">
      <c r="A12" s="355">
        <v>1995</v>
      </c>
      <c r="B12" s="766">
        <v>9125.7999999999993</v>
      </c>
      <c r="C12" s="1031">
        <v>4249.7</v>
      </c>
      <c r="D12" s="1035">
        <v>651.42256806953048</v>
      </c>
      <c r="E12" s="1034">
        <v>14026.922568069531</v>
      </c>
      <c r="F12" s="1049">
        <v>10017.200000000001</v>
      </c>
      <c r="G12" s="1031">
        <v>3664.1</v>
      </c>
      <c r="H12" s="1035">
        <v>587.27080996548773</v>
      </c>
      <c r="I12" s="1034">
        <v>14268.570809965489</v>
      </c>
    </row>
    <row r="13" spans="1:12" ht="20" customHeight="1" thickBot="1">
      <c r="A13" s="355">
        <v>1996</v>
      </c>
      <c r="B13" s="766">
        <v>11035.2</v>
      </c>
      <c r="C13" s="1031">
        <v>4337.5</v>
      </c>
      <c r="D13" s="1035">
        <v>640.36315374410731</v>
      </c>
      <c r="E13" s="1034">
        <v>16013.063153744108</v>
      </c>
      <c r="F13" s="1049">
        <v>10780.5</v>
      </c>
      <c r="G13" s="1031">
        <v>3809.6285714248806</v>
      </c>
      <c r="H13" s="1035">
        <v>512.67578326995283</v>
      </c>
      <c r="I13" s="1034">
        <v>15102.804354694834</v>
      </c>
      <c r="K13"/>
      <c r="L13"/>
    </row>
    <row r="14" spans="1:12" ht="20" customHeight="1" thickBot="1">
      <c r="A14" s="355">
        <v>1997</v>
      </c>
      <c r="B14" s="700">
        <v>11924.8</v>
      </c>
      <c r="C14" s="701">
        <v>4410.6000000000004</v>
      </c>
      <c r="D14" s="700">
        <v>601.9</v>
      </c>
      <c r="E14" s="633">
        <v>16937.3</v>
      </c>
      <c r="F14" s="1012">
        <v>11360.5</v>
      </c>
      <c r="G14" s="701">
        <v>3288.3</v>
      </c>
      <c r="H14" s="700">
        <v>475.9</v>
      </c>
      <c r="I14" s="633">
        <v>15124.7</v>
      </c>
      <c r="K14"/>
      <c r="L14"/>
    </row>
    <row r="15" spans="1:12" ht="20" customHeight="1" thickBot="1">
      <c r="A15" s="355">
        <v>1998</v>
      </c>
      <c r="B15" s="700">
        <v>12604.2</v>
      </c>
      <c r="C15" s="701">
        <v>4453.3</v>
      </c>
      <c r="D15" s="700">
        <v>637.79999999999995</v>
      </c>
      <c r="E15" s="633">
        <v>17695.3</v>
      </c>
      <c r="F15" s="1012">
        <v>11926.9</v>
      </c>
      <c r="G15" s="701">
        <v>3299.5</v>
      </c>
      <c r="H15" s="700">
        <v>460.1</v>
      </c>
      <c r="I15" s="633">
        <v>15686.5</v>
      </c>
      <c r="K15"/>
      <c r="L15"/>
    </row>
    <row r="16" spans="1:12" ht="20" customHeight="1" thickBot="1">
      <c r="A16" s="355">
        <v>1999</v>
      </c>
      <c r="B16" s="700">
        <v>12949.5</v>
      </c>
      <c r="C16" s="701">
        <v>3766.7</v>
      </c>
      <c r="D16" s="700">
        <v>1098.2</v>
      </c>
      <c r="E16" s="633">
        <v>17814.400000000001</v>
      </c>
      <c r="F16" s="1012">
        <v>12430.6</v>
      </c>
      <c r="G16" s="701">
        <v>2787.1</v>
      </c>
      <c r="H16" s="700">
        <v>763.9</v>
      </c>
      <c r="I16" s="633">
        <v>15981.6</v>
      </c>
      <c r="K16"/>
      <c r="L16"/>
    </row>
    <row r="17" spans="1:12" ht="20" customHeight="1" thickBot="1">
      <c r="A17" s="355">
        <v>2000</v>
      </c>
      <c r="B17" s="700">
        <v>13346.7</v>
      </c>
      <c r="C17" s="701">
        <v>2917.4</v>
      </c>
      <c r="D17" s="700">
        <v>2242.9</v>
      </c>
      <c r="E17" s="633">
        <v>18507</v>
      </c>
      <c r="F17" s="1012">
        <v>13190.3</v>
      </c>
      <c r="G17" s="701">
        <v>2199.1</v>
      </c>
      <c r="H17" s="700">
        <v>1583.8</v>
      </c>
      <c r="I17" s="633">
        <v>16973.2</v>
      </c>
      <c r="K17"/>
      <c r="L17"/>
    </row>
    <row r="18" spans="1:12" ht="20" customHeight="1" thickBot="1">
      <c r="A18" s="355">
        <v>2001</v>
      </c>
      <c r="B18" s="700">
        <v>13954.7</v>
      </c>
      <c r="C18" s="701">
        <v>1986.99</v>
      </c>
      <c r="D18" s="700">
        <v>3190.46</v>
      </c>
      <c r="E18" s="633">
        <v>19132.150000000001</v>
      </c>
      <c r="F18" s="1012">
        <v>13986.27</v>
      </c>
      <c r="G18" s="701">
        <v>1576.7</v>
      </c>
      <c r="H18" s="700">
        <v>2353.3000000000002</v>
      </c>
      <c r="I18" s="633">
        <v>17916.27</v>
      </c>
      <c r="K18"/>
      <c r="L18"/>
    </row>
    <row r="19" spans="1:12" ht="20" customHeight="1" thickBot="1">
      <c r="A19" s="355">
        <v>2002</v>
      </c>
      <c r="B19" s="700">
        <v>15296.16</v>
      </c>
      <c r="C19" s="701">
        <v>1958.4404729999999</v>
      </c>
      <c r="D19" s="700">
        <v>3432.3745709999994</v>
      </c>
      <c r="E19" s="633">
        <v>20686.975043999999</v>
      </c>
      <c r="F19" s="1012">
        <v>14592.75</v>
      </c>
      <c r="G19" s="701">
        <v>1422.34175</v>
      </c>
      <c r="H19" s="700">
        <v>2395.4617459999999</v>
      </c>
      <c r="I19" s="633">
        <v>18410.553496</v>
      </c>
      <c r="K19"/>
      <c r="L19"/>
    </row>
    <row r="20" spans="1:12" ht="20" customHeight="1" thickBot="1">
      <c r="A20" s="355">
        <v>2003</v>
      </c>
      <c r="B20" s="700">
        <v>16759.707467</v>
      </c>
      <c r="C20" s="701">
        <v>1882.6076640000001</v>
      </c>
      <c r="D20" s="700">
        <v>3406.1985699999996</v>
      </c>
      <c r="E20" s="633">
        <v>22048.513701</v>
      </c>
      <c r="F20" s="1012">
        <v>15335.619704000001</v>
      </c>
      <c r="G20" s="701">
        <v>1354.5729260000001</v>
      </c>
      <c r="H20" s="700">
        <v>2360.4405969999998</v>
      </c>
      <c r="I20" s="633">
        <v>19050.633227000002</v>
      </c>
      <c r="K20"/>
      <c r="L20"/>
    </row>
    <row r="21" spans="1:12" ht="20" customHeight="1" thickBot="1">
      <c r="A21" s="355">
        <v>2004</v>
      </c>
      <c r="B21" s="700">
        <v>17979.586842000001</v>
      </c>
      <c r="C21" s="701">
        <v>1358.7895999899999</v>
      </c>
      <c r="D21" s="700">
        <v>4022.0203419999989</v>
      </c>
      <c r="E21" s="633">
        <v>23360.39678399</v>
      </c>
      <c r="F21" s="1012">
        <v>16307.508545000001</v>
      </c>
      <c r="G21" s="701">
        <v>1040.45917962</v>
      </c>
      <c r="H21" s="700">
        <v>2754.9745040000003</v>
      </c>
      <c r="I21" s="633">
        <v>20102.942228620002</v>
      </c>
      <c r="K21"/>
      <c r="L21"/>
    </row>
    <row r="22" spans="1:12" ht="24.75" customHeight="1" thickBot="1">
      <c r="A22" s="357">
        <v>2004</v>
      </c>
      <c r="B22" s="739">
        <v>18442.676721830001</v>
      </c>
      <c r="C22" s="991">
        <v>1397.6693543900001</v>
      </c>
      <c r="D22" s="739">
        <v>4025.3035210000007</v>
      </c>
      <c r="E22" s="991">
        <v>23865.649597220003</v>
      </c>
      <c r="F22" s="1013">
        <v>17352.720037080002</v>
      </c>
      <c r="G22" s="991">
        <v>1144.4166189</v>
      </c>
      <c r="H22" s="739">
        <v>2812.7367870000003</v>
      </c>
      <c r="I22" s="991">
        <v>21309.873442980002</v>
      </c>
      <c r="K22"/>
      <c r="L22"/>
    </row>
    <row r="23" spans="1:12" ht="17.25" customHeight="1">
      <c r="A23" s="708" t="s">
        <v>2054</v>
      </c>
      <c r="B23" s="709"/>
      <c r="C23" s="709"/>
      <c r="D23" s="709"/>
      <c r="E23" s="709"/>
      <c r="F23" s="709"/>
      <c r="G23" s="709"/>
      <c r="H23" s="709"/>
      <c r="I23" s="709"/>
    </row>
    <row r="24" spans="1:12" ht="13.5" customHeight="1">
      <c r="A24" s="713"/>
      <c r="B24" s="714"/>
      <c r="C24" s="714"/>
      <c r="D24" s="714"/>
      <c r="E24" s="714"/>
      <c r="F24" s="714"/>
      <c r="G24" s="714"/>
      <c r="H24" s="714"/>
      <c r="I24" s="714"/>
    </row>
    <row r="25" spans="1:12">
      <c r="A25" s="507" t="s">
        <v>19</v>
      </c>
      <c r="B25" s="726"/>
      <c r="C25" s="726"/>
      <c r="D25" s="726"/>
      <c r="E25" s="726"/>
      <c r="F25" s="726"/>
      <c r="G25" s="726"/>
      <c r="H25" s="726"/>
      <c r="I25" s="726"/>
    </row>
    <row r="26" spans="1:12">
      <c r="A26" s="507" t="s">
        <v>11</v>
      </c>
      <c r="B26" s="726"/>
      <c r="C26" s="726"/>
      <c r="D26" s="726"/>
      <c r="E26" s="726"/>
      <c r="F26" s="726"/>
      <c r="G26" s="726"/>
      <c r="H26" s="726"/>
      <c r="I26" s="726"/>
    </row>
    <row r="27" spans="1:12">
      <c r="A27" s="507" t="s">
        <v>20</v>
      </c>
      <c r="B27" s="726"/>
      <c r="C27" s="726"/>
      <c r="D27" s="726"/>
      <c r="E27" s="726"/>
      <c r="F27" s="726"/>
      <c r="G27" s="726"/>
      <c r="H27" s="726"/>
      <c r="I27" s="726"/>
    </row>
    <row r="28" spans="1:12">
      <c r="A28" s="507" t="s">
        <v>12</v>
      </c>
    </row>
    <row r="29" spans="1:12">
      <c r="A29" s="507" t="s">
        <v>13</v>
      </c>
    </row>
    <row r="30" spans="1:12">
      <c r="A30" s="507" t="s">
        <v>14</v>
      </c>
    </row>
    <row r="33" spans="1:1">
      <c r="A33" s="2" t="s">
        <v>128</v>
      </c>
    </row>
  </sheetData>
  <phoneticPr fontId="0" type="noConversion"/>
  <pageMargins left="0.6" right="0.55000000000000004" top="0.95" bottom="0.49" header="0.45" footer="0.4921259845"/>
  <pageSetup paperSize="9" scale="70" orientation="portrait" horizontalDpi="1200" verticalDpi="1200"/>
  <headerFooter alignWithMargins="0"/>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91C2A-1A85-D541-87CB-CCBDCC44471D}">
  <sheetPr>
    <pageSetUpPr fitToPage="1"/>
  </sheetPr>
  <dimension ref="A1:O89"/>
  <sheetViews>
    <sheetView zoomScale="75" workbookViewId="0">
      <selection activeCell="P17" sqref="P17"/>
    </sheetView>
  </sheetViews>
  <sheetFormatPr baseColWidth="10" defaultColWidth="11.3984375" defaultRowHeight="13"/>
  <cols>
    <col min="1" max="1" width="21" style="2" customWidth="1"/>
    <col min="2" max="3" width="0.19921875" style="170" hidden="1" customWidth="1"/>
    <col min="4" max="5" width="0.19921875" style="2" hidden="1" customWidth="1"/>
    <col min="6" max="12" width="9.59765625" style="2" customWidth="1"/>
    <col min="13" max="13" width="10.3984375" style="2" customWidth="1"/>
    <col min="14" max="15" width="9.59765625" style="2" customWidth="1"/>
    <col min="16" max="16384" width="11.3984375" style="2"/>
  </cols>
  <sheetData>
    <row r="1" spans="1:15" s="1" customFormat="1" ht="13.5" customHeight="1">
      <c r="A1" s="404"/>
      <c r="B1" s="690"/>
      <c r="C1" s="690"/>
      <c r="D1" s="404"/>
      <c r="E1" s="404"/>
      <c r="F1" s="404"/>
      <c r="G1" s="404"/>
      <c r="H1" s="404"/>
      <c r="I1" s="404"/>
      <c r="J1" s="404"/>
    </row>
    <row r="2" spans="1:15" s="1" customFormat="1" ht="30.75" customHeight="1">
      <c r="A2" s="1611" t="s">
        <v>885</v>
      </c>
      <c r="B2" s="1610"/>
      <c r="C2" s="1610"/>
      <c r="D2" s="1610"/>
      <c r="E2" s="1610"/>
      <c r="F2" s="1610"/>
      <c r="G2" s="1610"/>
      <c r="H2" s="1610"/>
      <c r="I2" s="1610"/>
      <c r="J2" s="1610"/>
      <c r="K2" s="1610"/>
      <c r="L2" s="1610"/>
      <c r="M2" s="192"/>
      <c r="N2" s="192">
        <v>2005</v>
      </c>
      <c r="O2" s="192"/>
    </row>
    <row r="3" spans="1:15" ht="78" customHeight="1">
      <c r="A3" s="995" t="s">
        <v>886</v>
      </c>
      <c r="B3" s="996">
        <v>1960</v>
      </c>
      <c r="C3" s="997">
        <v>1970</v>
      </c>
      <c r="D3" s="998">
        <v>1980</v>
      </c>
      <c r="E3" s="997">
        <v>1990</v>
      </c>
      <c r="F3" s="998">
        <v>1996</v>
      </c>
      <c r="G3" s="997">
        <v>1997</v>
      </c>
      <c r="H3" s="998">
        <v>1998</v>
      </c>
      <c r="I3" s="997">
        <v>1999</v>
      </c>
      <c r="J3" s="998">
        <v>2000</v>
      </c>
      <c r="K3" s="997">
        <v>2001</v>
      </c>
      <c r="L3" s="998">
        <v>2002</v>
      </c>
      <c r="M3" s="997">
        <v>2003</v>
      </c>
      <c r="N3" s="998">
        <v>2004</v>
      </c>
    </row>
    <row r="4" spans="1:15" ht="30" customHeight="1" thickBot="1">
      <c r="A4" s="695" t="s">
        <v>887</v>
      </c>
      <c r="B4" s="373">
        <v>4.0999999999999995E-2</v>
      </c>
      <c r="C4" s="356">
        <v>4.5999999999999999E-2</v>
      </c>
      <c r="D4" s="373">
        <v>7.0000000000000007E-2</v>
      </c>
      <c r="E4" s="356">
        <v>7.8E-2</v>
      </c>
      <c r="F4" s="373">
        <v>8.4000000000000005E-2</v>
      </c>
      <c r="G4" s="356">
        <v>8.5000000000000006E-2</v>
      </c>
      <c r="H4" s="373">
        <v>8.5999999999999993E-2</v>
      </c>
      <c r="I4" s="356">
        <v>8.8000000000000009E-2</v>
      </c>
      <c r="J4" s="373">
        <v>8.8000000000000009E-2</v>
      </c>
      <c r="K4" s="356">
        <v>8.900000000000001E-2</v>
      </c>
      <c r="L4" s="373">
        <v>9.0999999999999998E-2</v>
      </c>
      <c r="M4" s="356">
        <v>9.1999999999999998E-2</v>
      </c>
      <c r="N4" s="373" t="s">
        <v>1646</v>
      </c>
    </row>
    <row r="5" spans="1:15" ht="18" customHeight="1" thickBot="1">
      <c r="A5" s="355" t="s">
        <v>888</v>
      </c>
      <c r="B5" s="301">
        <v>3.4000000000000002E-2</v>
      </c>
      <c r="C5" s="160">
        <v>0.04</v>
      </c>
      <c r="D5" s="301">
        <v>6.4000000000000001E-2</v>
      </c>
      <c r="E5" s="160">
        <v>7.400000000000001E-2</v>
      </c>
      <c r="F5" s="301">
        <v>8.900000000000001E-2</v>
      </c>
      <c r="G5" s="160">
        <v>8.5999999999999993E-2</v>
      </c>
      <c r="H5" s="301">
        <v>8.5999999999999993E-2</v>
      </c>
      <c r="I5" s="160">
        <v>8.6999999999999994E-2</v>
      </c>
      <c r="J5" s="301">
        <v>8.5999999999999993E-2</v>
      </c>
      <c r="K5" s="160">
        <v>8.6999999999999994E-2</v>
      </c>
      <c r="L5" s="301">
        <v>8.900000000000001E-2</v>
      </c>
      <c r="M5" s="160">
        <v>0.10099999999999999</v>
      </c>
      <c r="N5" s="301" t="s">
        <v>1646</v>
      </c>
    </row>
    <row r="6" spans="1:15" ht="18" customHeight="1" thickBot="1">
      <c r="A6" s="355" t="s">
        <v>889</v>
      </c>
      <c r="B6" s="301" t="s">
        <v>1646</v>
      </c>
      <c r="C6" s="160">
        <v>0.08</v>
      </c>
      <c r="D6" s="301">
        <v>9.0999999999999998E-2</v>
      </c>
      <c r="E6" s="160">
        <v>8.5000000000000006E-2</v>
      </c>
      <c r="F6" s="301">
        <v>8.3000000000000004E-2</v>
      </c>
      <c r="G6" s="160">
        <v>8.199999999999999E-2</v>
      </c>
      <c r="H6" s="301">
        <v>8.4000000000000005E-2</v>
      </c>
      <c r="I6" s="160">
        <v>8.5000000000000006E-2</v>
      </c>
      <c r="J6" s="301">
        <v>8.3000000000000004E-2</v>
      </c>
      <c r="K6" s="160">
        <v>8.5999999999999993E-2</v>
      </c>
      <c r="L6" s="301">
        <v>8.8000000000000009E-2</v>
      </c>
      <c r="M6" s="160">
        <v>8.900000000000001E-2</v>
      </c>
      <c r="N6" s="301">
        <v>8.900000000000001E-2</v>
      </c>
    </row>
    <row r="7" spans="1:15" ht="18" customHeight="1" thickBot="1">
      <c r="A7" s="355" t="s">
        <v>890</v>
      </c>
      <c r="B7" s="301">
        <v>4.8000000000000001E-2</v>
      </c>
      <c r="C7" s="160">
        <v>6.2E-2</v>
      </c>
      <c r="D7" s="301">
        <v>8.6999999999999994E-2</v>
      </c>
      <c r="E7" s="160">
        <v>8.5000000000000006E-2</v>
      </c>
      <c r="F7" s="301">
        <v>0.109</v>
      </c>
      <c r="G7" s="160">
        <v>0.107</v>
      </c>
      <c r="H7" s="301">
        <v>0.106</v>
      </c>
      <c r="I7" s="160">
        <v>0.106</v>
      </c>
      <c r="J7" s="301">
        <v>0.10400000000000001</v>
      </c>
      <c r="K7" s="160">
        <v>0.106</v>
      </c>
      <c r="L7" s="301">
        <v>0.10800000000000001</v>
      </c>
      <c r="M7" s="160">
        <v>0.109</v>
      </c>
      <c r="N7" s="301" t="s">
        <v>1646</v>
      </c>
    </row>
    <row r="8" spans="1:15" ht="18" customHeight="1" thickBot="1">
      <c r="A8" s="355" t="s">
        <v>891</v>
      </c>
      <c r="B8" s="301">
        <v>3.7999999999999999E-2</v>
      </c>
      <c r="C8" s="160">
        <v>5.5999999999999994E-2</v>
      </c>
      <c r="D8" s="301">
        <v>6.4000000000000001E-2</v>
      </c>
      <c r="E8" s="160">
        <v>7.8E-2</v>
      </c>
      <c r="F8" s="301">
        <v>7.5999999999999998E-2</v>
      </c>
      <c r="G8" s="160">
        <v>7.2999999999999995E-2</v>
      </c>
      <c r="H8" s="301">
        <v>6.9000000000000006E-2</v>
      </c>
      <c r="I8" s="160">
        <v>6.9000000000000006E-2</v>
      </c>
      <c r="J8" s="301">
        <v>6.7000000000000004E-2</v>
      </c>
      <c r="K8" s="160">
        <v>6.9000000000000006E-2</v>
      </c>
      <c r="L8" s="301">
        <v>7.2000000000000008E-2</v>
      </c>
      <c r="M8" s="160">
        <v>7.400000000000001E-2</v>
      </c>
      <c r="N8" s="301">
        <v>7.4999999999999997E-2</v>
      </c>
    </row>
    <row r="9" spans="1:15" ht="18" customHeight="1" thickBot="1">
      <c r="A9" s="355" t="s">
        <v>892</v>
      </c>
      <c r="B9" s="301">
        <v>3.7999999999999999E-2</v>
      </c>
      <c r="C9" s="160">
        <v>5.4000000000000006E-2</v>
      </c>
      <c r="D9" s="301">
        <v>7.0999999999999994E-2</v>
      </c>
      <c r="E9" s="160">
        <v>8.5999999999999993E-2</v>
      </c>
      <c r="F9" s="301">
        <v>9.5000000000000001E-2</v>
      </c>
      <c r="G9" s="160">
        <v>9.4E-2</v>
      </c>
      <c r="H9" s="301">
        <v>9.3000000000000013E-2</v>
      </c>
      <c r="I9" s="160">
        <v>9.3000000000000013E-2</v>
      </c>
      <c r="J9" s="301">
        <v>9.1999999999999998E-2</v>
      </c>
      <c r="K9" s="160">
        <v>9.3000000000000013E-2</v>
      </c>
      <c r="L9" s="301">
        <v>0.1</v>
      </c>
      <c r="M9" s="160">
        <v>0.10400000000000001</v>
      </c>
      <c r="N9" s="301">
        <v>0.105</v>
      </c>
    </row>
    <row r="10" spans="1:15" ht="18" customHeight="1" thickBot="1">
      <c r="A10" s="355" t="s">
        <v>893</v>
      </c>
      <c r="B10" s="301">
        <v>3.9E-2</v>
      </c>
      <c r="C10" s="160">
        <v>4.4999999999999998E-2</v>
      </c>
      <c r="D10" s="301">
        <v>5.5999999999999994E-2</v>
      </c>
      <c r="E10" s="160">
        <v>0.06</v>
      </c>
      <c r="F10" s="301">
        <v>7.0000000000000007E-2</v>
      </c>
      <c r="G10" s="160">
        <v>6.8000000000000005E-2</v>
      </c>
      <c r="H10" s="301">
        <v>6.9000000000000006E-2</v>
      </c>
      <c r="I10" s="160">
        <v>7.2000000000000008E-2</v>
      </c>
      <c r="J10" s="301">
        <v>7.2999999999999995E-2</v>
      </c>
      <c r="K10" s="160">
        <v>7.4999999999999997E-2</v>
      </c>
      <c r="L10" s="301">
        <v>7.6999999999999999E-2</v>
      </c>
      <c r="M10" s="160">
        <v>7.9000000000000001E-2</v>
      </c>
      <c r="N10" s="301">
        <v>8.3000000000000004E-2</v>
      </c>
    </row>
    <row r="11" spans="1:15" ht="18" customHeight="1" thickBot="1">
      <c r="A11" s="355" t="s">
        <v>894</v>
      </c>
      <c r="B11" s="301">
        <v>3.6000000000000004E-2</v>
      </c>
      <c r="C11" s="160">
        <v>5.0999999999999997E-2</v>
      </c>
      <c r="D11" s="301">
        <v>7.0000000000000007E-2</v>
      </c>
      <c r="E11" s="160">
        <v>0.08</v>
      </c>
      <c r="F11" s="301">
        <v>7.4999999999999997E-2</v>
      </c>
      <c r="G11" s="160">
        <v>7.6999999999999999E-2</v>
      </c>
      <c r="H11" s="301">
        <v>7.6999999999999999E-2</v>
      </c>
      <c r="I11" s="160">
        <v>7.8E-2</v>
      </c>
      <c r="J11" s="301">
        <v>7.9000000000000001E-2</v>
      </c>
      <c r="K11" s="160">
        <v>0.08</v>
      </c>
      <c r="L11" s="301">
        <v>8.199999999999999E-2</v>
      </c>
      <c r="M11" s="160">
        <v>8.199999999999999E-2</v>
      </c>
      <c r="N11" s="301">
        <v>8.4000000000000005E-2</v>
      </c>
    </row>
    <row r="12" spans="1:15" ht="18" customHeight="1" thickBot="1">
      <c r="A12" s="355" t="s">
        <v>895</v>
      </c>
      <c r="B12" s="301">
        <v>0.03</v>
      </c>
      <c r="C12" s="160">
        <v>4.4999999999999998E-2</v>
      </c>
      <c r="D12" s="301">
        <v>6.5000000000000002E-2</v>
      </c>
      <c r="E12" s="160">
        <v>5.9000000000000004E-2</v>
      </c>
      <c r="F12" s="301">
        <v>7.0000000000000007E-2</v>
      </c>
      <c r="G12" s="160">
        <v>6.9000000000000006E-2</v>
      </c>
      <c r="H12" s="301">
        <v>7.2000000000000008E-2</v>
      </c>
      <c r="I12" s="160">
        <v>7.400000000000001E-2</v>
      </c>
      <c r="J12" s="301">
        <v>7.5999999999999998E-2</v>
      </c>
      <c r="K12" s="160">
        <v>7.8E-2</v>
      </c>
      <c r="L12" s="301">
        <v>7.9000000000000001E-2</v>
      </c>
      <c r="M12" s="160">
        <v>0.08</v>
      </c>
      <c r="N12" s="301" t="s">
        <v>1646</v>
      </c>
    </row>
    <row r="13" spans="1:15" ht="18" customHeight="1" thickBot="1">
      <c r="A13" s="355" t="s">
        <v>896</v>
      </c>
      <c r="B13" s="301" t="s">
        <v>1646</v>
      </c>
      <c r="C13" s="160">
        <v>6.9000000000000006E-2</v>
      </c>
      <c r="D13" s="301">
        <v>7.4999999999999997E-2</v>
      </c>
      <c r="E13" s="160">
        <v>0.08</v>
      </c>
      <c r="F13" s="301">
        <v>8.3000000000000004E-2</v>
      </c>
      <c r="G13" s="160">
        <v>8.199999999999999E-2</v>
      </c>
      <c r="H13" s="301">
        <v>8.1000000000000003E-2</v>
      </c>
      <c r="I13" s="160">
        <v>8.199999999999999E-2</v>
      </c>
      <c r="J13" s="301">
        <v>7.9000000000000001E-2</v>
      </c>
      <c r="K13" s="160">
        <v>8.3000000000000004E-2</v>
      </c>
      <c r="L13" s="301">
        <v>8.900000000000001E-2</v>
      </c>
      <c r="M13" s="160">
        <v>9.0999999999999998E-2</v>
      </c>
      <c r="N13" s="301">
        <v>9.1999999999999998E-2</v>
      </c>
    </row>
    <row r="14" spans="1:15" ht="18" customHeight="1" thickBot="1">
      <c r="A14" s="355" t="s">
        <v>897</v>
      </c>
      <c r="B14" s="301">
        <v>2.8999999999999998E-2</v>
      </c>
      <c r="C14" s="160">
        <v>4.4000000000000004E-2</v>
      </c>
      <c r="D14" s="301">
        <v>7.0000000000000007E-2</v>
      </c>
      <c r="E14" s="160">
        <v>7.6999999999999999E-2</v>
      </c>
      <c r="F14" s="301">
        <v>7.9000000000000001E-2</v>
      </c>
      <c r="G14" s="160">
        <v>7.8E-2</v>
      </c>
      <c r="H14" s="301">
        <v>8.5000000000000006E-2</v>
      </c>
      <c r="I14" s="160">
        <v>8.5000000000000006E-2</v>
      </c>
      <c r="J14" s="301">
        <v>8.5000000000000006E-2</v>
      </c>
      <c r="K14" s="160">
        <v>8.900000000000001E-2</v>
      </c>
      <c r="L14" s="301">
        <v>9.9000000000000005E-2</v>
      </c>
      <c r="M14" s="160">
        <v>0.10099999999999999</v>
      </c>
      <c r="N14" s="301">
        <v>9.6999999999999989E-2</v>
      </c>
    </row>
    <row r="15" spans="1:15" ht="18" customHeight="1" thickBot="1">
      <c r="A15" s="355" t="s">
        <v>898</v>
      </c>
      <c r="B15" s="301">
        <v>4.2999999999999997E-2</v>
      </c>
      <c r="C15" s="160">
        <v>5.2999999999999999E-2</v>
      </c>
      <c r="D15" s="301">
        <v>7.5999999999999998E-2</v>
      </c>
      <c r="E15" s="160">
        <v>7.0999999999999994E-2</v>
      </c>
      <c r="F15" s="301">
        <v>8.3000000000000004E-2</v>
      </c>
      <c r="G15" s="160">
        <v>7.5999999999999998E-2</v>
      </c>
      <c r="H15" s="301">
        <v>7.6999999999999999E-2</v>
      </c>
      <c r="I15" s="160">
        <v>7.8E-2</v>
      </c>
      <c r="J15" s="301">
        <v>9.4E-2</v>
      </c>
      <c r="K15" s="160">
        <v>9.5000000000000001E-2</v>
      </c>
      <c r="L15" s="301">
        <v>9.5000000000000001E-2</v>
      </c>
      <c r="M15" s="160">
        <v>9.6000000000000002E-2</v>
      </c>
      <c r="N15" s="301">
        <v>9.6000000000000002E-2</v>
      </c>
    </row>
    <row r="16" spans="1:15" ht="18" customHeight="1" thickBot="1">
      <c r="A16" s="355" t="s">
        <v>899</v>
      </c>
      <c r="B16" s="301">
        <v>4.4999999999999998E-2</v>
      </c>
      <c r="C16" s="160">
        <v>6.9000000000000006E-2</v>
      </c>
      <c r="D16" s="301">
        <v>9.0999999999999998E-2</v>
      </c>
      <c r="E16" s="160">
        <v>8.4000000000000005E-2</v>
      </c>
      <c r="F16" s="301">
        <v>8.4000000000000005E-2</v>
      </c>
      <c r="G16" s="160">
        <v>8.199999999999999E-2</v>
      </c>
      <c r="H16" s="301">
        <v>8.3000000000000004E-2</v>
      </c>
      <c r="I16" s="160">
        <v>8.4000000000000005E-2</v>
      </c>
      <c r="J16" s="301">
        <v>8.4000000000000005E-2</v>
      </c>
      <c r="K16" s="160">
        <v>8.6999999999999994E-2</v>
      </c>
      <c r="L16" s="301">
        <v>9.0999999999999998E-2</v>
      </c>
      <c r="M16" s="160">
        <v>9.3000000000000013E-2</v>
      </c>
      <c r="N16" s="301">
        <v>9.0999999999999998E-2</v>
      </c>
    </row>
    <row r="17" spans="1:15" ht="18" customHeight="1" thickBot="1">
      <c r="A17" s="355" t="s">
        <v>900</v>
      </c>
      <c r="B17" s="301">
        <v>1.4999999999999999E-2</v>
      </c>
      <c r="C17" s="160">
        <v>3.6000000000000004E-2</v>
      </c>
      <c r="D17" s="301">
        <v>5.4000000000000006E-2</v>
      </c>
      <c r="E17" s="160">
        <v>6.7000000000000004E-2</v>
      </c>
      <c r="F17" s="301">
        <v>7.5999999999999998E-2</v>
      </c>
      <c r="G17" s="160">
        <v>7.4999999999999997E-2</v>
      </c>
      <c r="H17" s="301">
        <v>7.4999999999999997E-2</v>
      </c>
      <c r="I17" s="160">
        <v>7.4999999999999997E-2</v>
      </c>
      <c r="J17" s="301">
        <v>7.2000000000000008E-2</v>
      </c>
      <c r="K17" s="160">
        <v>7.2000000000000008E-2</v>
      </c>
      <c r="L17" s="301">
        <v>7.2999999999999995E-2</v>
      </c>
      <c r="M17" s="160">
        <v>7.9000000000000001E-2</v>
      </c>
      <c r="N17" s="301">
        <v>8.1000000000000003E-2</v>
      </c>
    </row>
    <row r="18" spans="1:15" ht="18" customHeight="1" thickBot="1">
      <c r="A18" s="355" t="s">
        <v>901</v>
      </c>
      <c r="B18" s="301">
        <v>0.05</v>
      </c>
      <c r="C18" s="160">
        <v>6.9000000000000006E-2</v>
      </c>
      <c r="D18" s="301">
        <v>8.6999999999999994E-2</v>
      </c>
      <c r="E18" s="160">
        <v>0.11900000000000001</v>
      </c>
      <c r="F18" s="301">
        <v>0.13200000000000001</v>
      </c>
      <c r="G18" s="160">
        <v>0.13</v>
      </c>
      <c r="H18" s="301">
        <v>0.13</v>
      </c>
      <c r="I18" s="160">
        <v>0.13</v>
      </c>
      <c r="J18" s="301">
        <v>0.13300000000000001</v>
      </c>
      <c r="K18" s="160">
        <v>0.14000000000000001</v>
      </c>
      <c r="L18" s="301">
        <v>0.14699999999999999</v>
      </c>
      <c r="M18" s="160">
        <v>0.152</v>
      </c>
      <c r="N18" s="301">
        <v>0.153</v>
      </c>
    </row>
    <row r="19" spans="1:15" s="280" customFormat="1" ht="30" customHeight="1" thickBot="1">
      <c r="A19" s="994" t="s">
        <v>1788</v>
      </c>
      <c r="B19" s="209">
        <v>4.9000000000000002E-2</v>
      </c>
      <c r="C19" s="803">
        <v>5.4000000000000006E-2</v>
      </c>
      <c r="D19" s="209">
        <v>7.2999999999999995E-2</v>
      </c>
      <c r="E19" s="803">
        <v>8.3000000000000004E-2</v>
      </c>
      <c r="F19" s="209">
        <v>0.10099999999999999</v>
      </c>
      <c r="G19" s="803">
        <v>0.10199999999999999</v>
      </c>
      <c r="H19" s="209">
        <v>0.10300000000000001</v>
      </c>
      <c r="I19" s="803">
        <v>0.105</v>
      </c>
      <c r="J19" s="209">
        <v>0.10400000000000001</v>
      </c>
      <c r="K19" s="803">
        <v>0.109</v>
      </c>
      <c r="L19" s="209">
        <v>0.111</v>
      </c>
      <c r="M19" s="803">
        <v>0.115</v>
      </c>
      <c r="N19" s="209">
        <v>0.11599999999999999</v>
      </c>
    </row>
    <row r="20" spans="1:15" ht="20" customHeight="1">
      <c r="A20" s="999" t="s">
        <v>2053</v>
      </c>
      <c r="B20" s="718"/>
      <c r="C20" s="718"/>
      <c r="D20" s="211"/>
      <c r="E20" s="211"/>
      <c r="F20" s="211"/>
      <c r="G20" s="211"/>
      <c r="H20" s="211"/>
      <c r="I20" s="211"/>
      <c r="J20" s="211"/>
      <c r="K20" s="211"/>
    </row>
    <row r="21" spans="1:15" ht="11.25" customHeight="1">
      <c r="A21" s="999"/>
      <c r="B21" s="718"/>
      <c r="C21" s="718"/>
      <c r="D21" s="211"/>
      <c r="E21" s="211"/>
      <c r="F21" s="211"/>
      <c r="G21" s="211"/>
      <c r="H21" s="211"/>
      <c r="I21" s="211"/>
      <c r="J21" s="211"/>
      <c r="K21" s="211"/>
    </row>
    <row r="22" spans="1:15" ht="15.75" customHeight="1">
      <c r="A22" s="999" t="s">
        <v>902</v>
      </c>
      <c r="B22" s="718"/>
      <c r="C22" s="718"/>
      <c r="D22" s="211"/>
      <c r="E22" s="211"/>
      <c r="F22" s="211"/>
      <c r="G22" s="211"/>
      <c r="H22" s="211"/>
      <c r="I22" s="211"/>
      <c r="J22" s="211"/>
      <c r="K22" s="211"/>
    </row>
    <row r="23" spans="1:15" ht="18.75" customHeight="1">
      <c r="A23" s="935" t="s">
        <v>903</v>
      </c>
      <c r="B23" s="720"/>
      <c r="C23" s="720"/>
      <c r="D23" s="211"/>
      <c r="E23" s="211"/>
      <c r="F23" s="211"/>
      <c r="G23" s="211"/>
      <c r="H23" s="211"/>
      <c r="I23" s="211"/>
      <c r="J23" s="211"/>
      <c r="K23" s="211"/>
    </row>
    <row r="24" spans="1:15" ht="14.25" customHeight="1">
      <c r="A24" s="1000"/>
      <c r="B24" s="720"/>
      <c r="C24" s="720"/>
      <c r="D24" s="211"/>
      <c r="E24" s="211"/>
      <c r="F24" s="211"/>
      <c r="G24" s="211"/>
      <c r="H24" s="211"/>
      <c r="I24" s="211"/>
      <c r="J24" s="211"/>
      <c r="K24" s="211"/>
    </row>
    <row r="25" spans="1:15" ht="14.25" customHeight="1">
      <c r="A25" s="816"/>
      <c r="B25" s="720"/>
      <c r="C25" s="720"/>
      <c r="D25" s="211"/>
      <c r="E25" s="211"/>
      <c r="F25" s="211"/>
      <c r="G25" s="211"/>
      <c r="H25" s="211"/>
      <c r="I25" s="211"/>
      <c r="J25" s="211"/>
      <c r="K25" s="211"/>
    </row>
    <row r="26" spans="1:15" ht="18.75" customHeight="1">
      <c r="A26" s="211" t="s">
        <v>128</v>
      </c>
      <c r="B26" s="720"/>
      <c r="C26" s="720"/>
      <c r="D26" s="211"/>
      <c r="E26" s="211"/>
      <c r="F26" s="211"/>
      <c r="G26" s="211"/>
      <c r="H26" s="211"/>
      <c r="I26" s="211"/>
      <c r="J26" s="211"/>
      <c r="K26" s="211"/>
    </row>
    <row r="27" spans="1:15" ht="31" customHeight="1">
      <c r="A27" s="211"/>
      <c r="B27" s="720"/>
      <c r="C27" s="720"/>
      <c r="D27" s="211"/>
      <c r="E27" s="211"/>
      <c r="F27" s="211"/>
      <c r="G27" s="211"/>
      <c r="H27" s="211"/>
      <c r="I27" s="211"/>
      <c r="J27" s="211"/>
      <c r="K27" s="211"/>
      <c r="O27" s="1"/>
    </row>
    <row r="28" spans="1:15" ht="31" customHeight="1">
      <c r="A28" s="211"/>
      <c r="B28" s="720"/>
      <c r="C28" s="720"/>
      <c r="D28" s="211"/>
      <c r="E28" s="211"/>
      <c r="F28" s="211"/>
      <c r="G28" s="211"/>
      <c r="H28" s="211"/>
      <c r="I28" s="211"/>
      <c r="J28" s="211"/>
      <c r="K28" s="211"/>
    </row>
    <row r="29" spans="1:15" ht="31" customHeight="1">
      <c r="A29" s="211"/>
      <c r="B29" s="720"/>
      <c r="C29" s="720"/>
      <c r="D29" s="211"/>
      <c r="E29" s="211"/>
      <c r="F29" s="211"/>
      <c r="G29" s="211"/>
      <c r="H29" s="211"/>
      <c r="I29" s="211"/>
      <c r="J29" s="211"/>
      <c r="K29" s="211"/>
    </row>
    <row r="30" spans="1:15" ht="31" customHeight="1">
      <c r="A30" s="211"/>
      <c r="B30" s="720"/>
      <c r="C30" s="720"/>
      <c r="D30" s="211"/>
      <c r="E30" s="211"/>
      <c r="F30" s="211"/>
      <c r="G30" s="211"/>
      <c r="H30" s="211"/>
      <c r="I30" s="211"/>
      <c r="J30" s="211"/>
      <c r="K30" s="211"/>
    </row>
    <row r="31" spans="1:15" ht="31" customHeight="1">
      <c r="A31" s="211"/>
      <c r="B31" s="720"/>
      <c r="C31" s="720"/>
      <c r="D31" s="211"/>
      <c r="E31" s="211"/>
      <c r="F31" s="211"/>
      <c r="G31" s="211"/>
      <c r="H31" s="211"/>
      <c r="I31" s="211"/>
      <c r="J31" s="211"/>
      <c r="K31" s="211"/>
    </row>
    <row r="32" spans="1:15" ht="31" customHeight="1">
      <c r="A32" s="211"/>
      <c r="B32" s="720"/>
      <c r="C32" s="720"/>
      <c r="D32" s="211"/>
      <c r="E32" s="211"/>
      <c r="F32" s="211"/>
      <c r="G32" s="211"/>
      <c r="H32" s="211"/>
      <c r="I32" s="211"/>
      <c r="J32" s="211"/>
      <c r="K32" s="211"/>
    </row>
    <row r="33" spans="1:11" ht="31" customHeight="1">
      <c r="A33" s="211"/>
      <c r="B33" s="720"/>
      <c r="C33" s="720"/>
      <c r="D33" s="211"/>
      <c r="E33" s="211"/>
      <c r="F33" s="211"/>
      <c r="G33" s="211"/>
      <c r="H33" s="211"/>
      <c r="I33" s="211"/>
      <c r="J33" s="211"/>
      <c r="K33" s="211"/>
    </row>
    <row r="34" spans="1:11">
      <c r="A34" s="211"/>
      <c r="B34" s="720"/>
      <c r="C34" s="720"/>
      <c r="D34" s="211"/>
      <c r="E34" s="211"/>
      <c r="F34" s="211"/>
      <c r="G34" s="211"/>
      <c r="H34" s="211"/>
      <c r="I34" s="211"/>
      <c r="J34" s="211"/>
      <c r="K34" s="211"/>
    </row>
    <row r="35" spans="1:11">
      <c r="A35" s="211"/>
      <c r="B35" s="720"/>
      <c r="C35" s="720"/>
      <c r="D35" s="211"/>
      <c r="E35" s="211"/>
      <c r="F35" s="211"/>
      <c r="G35" s="211"/>
      <c r="H35" s="211"/>
      <c r="I35" s="211"/>
      <c r="J35" s="211"/>
      <c r="K35" s="211"/>
    </row>
    <row r="36" spans="1:11">
      <c r="A36" s="211"/>
      <c r="B36" s="720"/>
      <c r="C36" s="720"/>
      <c r="D36" s="211"/>
      <c r="E36" s="211"/>
      <c r="F36" s="211"/>
      <c r="G36" s="211"/>
      <c r="H36" s="211"/>
      <c r="I36" s="211"/>
      <c r="J36" s="211"/>
      <c r="K36" s="211"/>
    </row>
    <row r="37" spans="1:11">
      <c r="A37" s="211"/>
      <c r="B37" s="720"/>
      <c r="C37" s="720"/>
      <c r="D37" s="211"/>
      <c r="E37" s="211"/>
      <c r="F37" s="211"/>
      <c r="G37" s="211"/>
      <c r="H37" s="211"/>
      <c r="I37" s="211"/>
      <c r="J37" s="211"/>
      <c r="K37" s="211"/>
    </row>
    <row r="38" spans="1:11">
      <c r="A38" s="211"/>
      <c r="B38" s="720"/>
      <c r="C38" s="720"/>
      <c r="D38" s="211"/>
      <c r="E38" s="211"/>
      <c r="F38" s="211"/>
      <c r="G38" s="211"/>
      <c r="H38" s="211"/>
      <c r="I38" s="211"/>
      <c r="J38" s="211"/>
      <c r="K38" s="211"/>
    </row>
    <row r="39" spans="1:11">
      <c r="A39" s="211"/>
      <c r="B39" s="720"/>
      <c r="C39" s="720"/>
      <c r="D39" s="211"/>
      <c r="E39" s="211"/>
      <c r="F39" s="211"/>
      <c r="G39" s="211"/>
      <c r="H39" s="211"/>
      <c r="I39" s="211"/>
      <c r="J39" s="211"/>
      <c r="K39" s="211"/>
    </row>
    <row r="40" spans="1:11">
      <c r="A40" s="211"/>
      <c r="B40" s="720"/>
      <c r="C40" s="720"/>
      <c r="D40" s="211"/>
      <c r="E40" s="211"/>
      <c r="F40" s="211"/>
      <c r="G40" s="211"/>
      <c r="H40" s="211"/>
      <c r="I40" s="211"/>
      <c r="J40" s="211"/>
      <c r="K40" s="211"/>
    </row>
    <row r="41" spans="1:11">
      <c r="A41" s="211"/>
      <c r="B41" s="720"/>
      <c r="C41" s="720"/>
      <c r="D41" s="211"/>
      <c r="E41" s="211"/>
      <c r="F41" s="211"/>
      <c r="G41" s="211"/>
      <c r="H41" s="211"/>
      <c r="I41" s="211"/>
      <c r="J41" s="211"/>
      <c r="K41" s="211"/>
    </row>
    <row r="42" spans="1:11">
      <c r="A42" s="211"/>
      <c r="B42" s="720"/>
      <c r="C42" s="720"/>
      <c r="D42" s="211"/>
      <c r="E42" s="211"/>
      <c r="F42" s="211"/>
      <c r="G42" s="211"/>
      <c r="H42" s="211"/>
      <c r="I42" s="211"/>
      <c r="J42" s="211"/>
      <c r="K42" s="211"/>
    </row>
    <row r="43" spans="1:11">
      <c r="A43" s="211"/>
      <c r="B43" s="720"/>
      <c r="C43" s="720"/>
      <c r="D43" s="211"/>
      <c r="E43" s="211"/>
      <c r="F43" s="211"/>
      <c r="G43" s="211"/>
      <c r="H43" s="211"/>
      <c r="I43" s="211"/>
      <c r="J43" s="211"/>
      <c r="K43" s="211"/>
    </row>
    <row r="44" spans="1:11">
      <c r="A44" s="211"/>
      <c r="B44" s="720"/>
      <c r="C44" s="720"/>
      <c r="D44" s="211"/>
      <c r="E44" s="211"/>
      <c r="F44" s="211"/>
      <c r="G44" s="211"/>
      <c r="H44" s="211"/>
      <c r="I44" s="211"/>
      <c r="J44" s="211"/>
      <c r="K44" s="211"/>
    </row>
    <row r="45" spans="1:11">
      <c r="A45" s="211"/>
      <c r="B45" s="720"/>
      <c r="C45" s="720"/>
      <c r="D45" s="211"/>
      <c r="E45" s="211"/>
      <c r="F45" s="211"/>
      <c r="G45" s="211"/>
      <c r="H45" s="211"/>
      <c r="I45" s="211"/>
      <c r="J45" s="211"/>
      <c r="K45" s="211"/>
    </row>
    <row r="46" spans="1:11">
      <c r="A46" s="211"/>
      <c r="B46" s="720"/>
      <c r="C46" s="720"/>
      <c r="D46" s="211"/>
      <c r="E46" s="211"/>
      <c r="F46" s="211"/>
      <c r="G46" s="211"/>
      <c r="H46" s="211"/>
      <c r="I46" s="211"/>
      <c r="J46" s="211"/>
      <c r="K46" s="211"/>
    </row>
    <row r="47" spans="1:11">
      <c r="A47" s="211"/>
      <c r="B47" s="720"/>
      <c r="C47" s="720"/>
      <c r="D47" s="211"/>
      <c r="E47" s="211"/>
      <c r="F47" s="211"/>
      <c r="G47" s="211"/>
      <c r="H47" s="211"/>
      <c r="I47" s="211"/>
      <c r="J47" s="211"/>
      <c r="K47" s="211"/>
    </row>
    <row r="48" spans="1:11">
      <c r="A48" s="211"/>
      <c r="B48" s="720"/>
      <c r="C48" s="720"/>
      <c r="D48" s="211"/>
      <c r="E48" s="211"/>
      <c r="F48" s="211"/>
      <c r="G48" s="211"/>
      <c r="H48" s="211"/>
      <c r="I48" s="211"/>
      <c r="J48" s="211"/>
      <c r="K48" s="211"/>
    </row>
    <row r="49" spans="1:11">
      <c r="A49" s="211"/>
      <c r="B49" s="720"/>
      <c r="C49" s="720"/>
      <c r="D49" s="211"/>
      <c r="E49" s="211"/>
      <c r="F49" s="211"/>
      <c r="G49" s="211"/>
      <c r="H49" s="211"/>
      <c r="I49" s="211"/>
      <c r="J49" s="211"/>
      <c r="K49" s="211"/>
    </row>
    <row r="50" spans="1:11">
      <c r="A50" s="211"/>
      <c r="B50" s="720"/>
      <c r="C50" s="720"/>
      <c r="D50" s="211"/>
      <c r="E50" s="211"/>
      <c r="F50" s="211"/>
      <c r="G50" s="211"/>
      <c r="H50" s="211"/>
      <c r="I50" s="211"/>
      <c r="J50" s="211"/>
      <c r="K50" s="211"/>
    </row>
    <row r="51" spans="1:11">
      <c r="A51" s="211"/>
      <c r="B51" s="720"/>
      <c r="C51" s="720"/>
      <c r="D51" s="211"/>
      <c r="E51" s="211"/>
      <c r="F51" s="211"/>
      <c r="G51" s="211"/>
      <c r="H51" s="211"/>
      <c r="I51" s="211"/>
      <c r="J51" s="211"/>
      <c r="K51" s="211"/>
    </row>
    <row r="52" spans="1:11">
      <c r="A52" s="211"/>
      <c r="B52" s="720"/>
      <c r="C52" s="720"/>
      <c r="D52" s="211"/>
      <c r="E52" s="211"/>
      <c r="F52" s="211"/>
      <c r="G52" s="211"/>
      <c r="H52" s="211"/>
      <c r="I52" s="211"/>
      <c r="J52" s="211"/>
      <c r="K52" s="211"/>
    </row>
    <row r="53" spans="1:11">
      <c r="A53" s="211"/>
      <c r="B53" s="720"/>
      <c r="C53" s="720"/>
      <c r="D53" s="211"/>
      <c r="E53" s="211"/>
      <c r="F53" s="211"/>
      <c r="G53" s="211"/>
      <c r="H53" s="211"/>
      <c r="I53" s="211"/>
      <c r="J53" s="211"/>
      <c r="K53" s="211"/>
    </row>
    <row r="54" spans="1:11">
      <c r="A54" s="211"/>
      <c r="B54" s="720"/>
      <c r="C54" s="720"/>
      <c r="D54" s="211"/>
      <c r="E54" s="211"/>
      <c r="F54" s="211"/>
      <c r="G54" s="211"/>
      <c r="H54" s="211"/>
      <c r="I54" s="211"/>
      <c r="J54" s="211"/>
      <c r="K54" s="211"/>
    </row>
    <row r="55" spans="1:11">
      <c r="A55" s="211"/>
      <c r="B55" s="720"/>
      <c r="C55" s="720"/>
      <c r="D55" s="211"/>
      <c r="E55" s="211"/>
      <c r="F55" s="211"/>
      <c r="G55" s="211"/>
      <c r="H55" s="211"/>
      <c r="I55" s="211"/>
      <c r="J55" s="211"/>
      <c r="K55" s="211"/>
    </row>
    <row r="56" spans="1:11">
      <c r="A56" s="211"/>
      <c r="B56" s="720"/>
      <c r="C56" s="720"/>
      <c r="D56" s="211"/>
      <c r="E56" s="211"/>
      <c r="F56" s="211"/>
      <c r="G56" s="211"/>
      <c r="H56" s="211"/>
      <c r="I56" s="211"/>
      <c r="J56" s="211"/>
      <c r="K56" s="211"/>
    </row>
    <row r="57" spans="1:11">
      <c r="A57" s="211"/>
      <c r="B57" s="720"/>
      <c r="C57" s="720"/>
      <c r="D57" s="211"/>
      <c r="E57" s="211"/>
      <c r="F57" s="211"/>
      <c r="G57" s="211"/>
      <c r="H57" s="211"/>
      <c r="I57" s="211"/>
      <c r="J57" s="211"/>
      <c r="K57" s="211"/>
    </row>
    <row r="58" spans="1:11">
      <c r="A58" s="211"/>
      <c r="B58" s="720"/>
      <c r="C58" s="720"/>
      <c r="D58" s="211"/>
      <c r="E58" s="211"/>
      <c r="F58" s="211"/>
      <c r="G58" s="211"/>
      <c r="H58" s="211"/>
      <c r="I58" s="211"/>
      <c r="J58" s="211"/>
      <c r="K58" s="211"/>
    </row>
    <row r="59" spans="1:11">
      <c r="A59" s="211"/>
      <c r="B59" s="720"/>
      <c r="C59" s="720"/>
      <c r="D59" s="211"/>
      <c r="E59" s="211"/>
      <c r="F59" s="211"/>
      <c r="G59" s="211"/>
      <c r="H59" s="211"/>
      <c r="I59" s="211"/>
      <c r="J59" s="211"/>
      <c r="K59" s="211"/>
    </row>
    <row r="60" spans="1:11">
      <c r="A60" s="211"/>
      <c r="B60" s="720"/>
      <c r="C60" s="720"/>
      <c r="D60" s="211"/>
      <c r="E60" s="211"/>
      <c r="F60" s="211"/>
      <c r="G60" s="211"/>
      <c r="H60" s="211"/>
      <c r="I60" s="211"/>
      <c r="J60" s="211"/>
      <c r="K60" s="211"/>
    </row>
    <row r="61" spans="1:11">
      <c r="A61" s="211"/>
      <c r="B61" s="720"/>
      <c r="C61" s="720"/>
      <c r="D61" s="211"/>
      <c r="E61" s="211"/>
      <c r="F61" s="211"/>
      <c r="G61" s="211"/>
      <c r="H61" s="211"/>
      <c r="I61" s="211"/>
      <c r="J61" s="211"/>
      <c r="K61" s="211"/>
    </row>
    <row r="62" spans="1:11">
      <c r="A62" s="211"/>
      <c r="B62" s="720"/>
      <c r="C62" s="720"/>
      <c r="D62" s="211"/>
      <c r="E62" s="211"/>
      <c r="F62" s="211"/>
      <c r="G62" s="211"/>
      <c r="H62" s="211"/>
      <c r="I62" s="211"/>
      <c r="J62" s="211"/>
      <c r="K62" s="211"/>
    </row>
    <row r="63" spans="1:11">
      <c r="A63" s="211"/>
      <c r="B63" s="720"/>
      <c r="C63" s="720"/>
      <c r="D63" s="211"/>
      <c r="E63" s="211"/>
      <c r="F63" s="211"/>
      <c r="G63" s="211"/>
      <c r="H63" s="211"/>
      <c r="I63" s="211"/>
      <c r="J63" s="211"/>
      <c r="K63" s="211"/>
    </row>
    <row r="64" spans="1:11">
      <c r="A64" s="211"/>
      <c r="B64" s="720"/>
      <c r="C64" s="720"/>
      <c r="D64" s="211"/>
      <c r="E64" s="211"/>
      <c r="F64" s="211"/>
      <c r="G64" s="211"/>
      <c r="H64" s="211"/>
      <c r="I64" s="211"/>
      <c r="J64" s="211"/>
      <c r="K64" s="211"/>
    </row>
    <row r="65" spans="1:11">
      <c r="A65" s="211"/>
      <c r="B65" s="720"/>
      <c r="C65" s="720"/>
      <c r="D65" s="211"/>
      <c r="E65" s="211"/>
      <c r="F65" s="211"/>
      <c r="G65" s="211"/>
      <c r="H65" s="211"/>
      <c r="I65" s="211"/>
      <c r="J65" s="211"/>
      <c r="K65" s="211"/>
    </row>
    <row r="66" spans="1:11">
      <c r="A66" s="211"/>
      <c r="B66" s="720"/>
      <c r="C66" s="720"/>
      <c r="D66" s="211"/>
      <c r="E66" s="211"/>
      <c r="F66" s="211"/>
      <c r="G66" s="211"/>
      <c r="H66" s="211"/>
      <c r="I66" s="211"/>
      <c r="J66" s="211"/>
      <c r="K66" s="211"/>
    </row>
    <row r="67" spans="1:11">
      <c r="A67" s="211"/>
      <c r="B67" s="720"/>
      <c r="C67" s="720"/>
      <c r="D67" s="211"/>
      <c r="E67" s="211"/>
      <c r="F67" s="211"/>
      <c r="G67" s="211"/>
      <c r="H67" s="211"/>
      <c r="I67" s="211"/>
      <c r="J67" s="211"/>
      <c r="K67" s="211"/>
    </row>
    <row r="68" spans="1:11">
      <c r="A68" s="211"/>
      <c r="B68" s="720"/>
      <c r="C68" s="720"/>
      <c r="D68" s="211"/>
      <c r="E68" s="211"/>
      <c r="F68" s="211"/>
      <c r="G68" s="211"/>
      <c r="H68" s="211"/>
      <c r="I68" s="211"/>
      <c r="J68" s="211"/>
      <c r="K68" s="211"/>
    </row>
    <row r="69" spans="1:11">
      <c r="A69" s="211"/>
      <c r="B69" s="720"/>
      <c r="C69" s="720"/>
      <c r="D69" s="211"/>
      <c r="E69" s="211"/>
      <c r="F69" s="211"/>
      <c r="G69" s="211"/>
      <c r="H69" s="211"/>
      <c r="I69" s="211"/>
      <c r="J69" s="211"/>
      <c r="K69" s="211"/>
    </row>
    <row r="70" spans="1:11">
      <c r="A70" s="211"/>
      <c r="B70" s="720"/>
      <c r="C70" s="720"/>
      <c r="D70" s="211"/>
      <c r="E70" s="211"/>
      <c r="F70" s="211"/>
      <c r="G70" s="211"/>
      <c r="H70" s="211"/>
      <c r="I70" s="211"/>
      <c r="J70" s="211"/>
      <c r="K70" s="211"/>
    </row>
    <row r="71" spans="1:11">
      <c r="A71" s="211"/>
      <c r="B71" s="720"/>
      <c r="C71" s="720"/>
      <c r="D71" s="211"/>
      <c r="E71" s="211"/>
      <c r="F71" s="211"/>
      <c r="G71" s="211"/>
      <c r="H71" s="211"/>
      <c r="I71" s="211"/>
      <c r="J71" s="211"/>
      <c r="K71" s="211"/>
    </row>
    <row r="72" spans="1:11">
      <c r="A72" s="211"/>
      <c r="B72" s="720"/>
      <c r="C72" s="720"/>
      <c r="D72" s="211"/>
      <c r="E72" s="211"/>
      <c r="F72" s="211"/>
      <c r="G72" s="211"/>
      <c r="H72" s="211"/>
      <c r="I72" s="211"/>
      <c r="J72" s="211"/>
      <c r="K72" s="211"/>
    </row>
    <row r="73" spans="1:11">
      <c r="A73" s="211"/>
      <c r="B73" s="720"/>
      <c r="C73" s="720"/>
      <c r="D73" s="211"/>
      <c r="E73" s="211"/>
      <c r="F73" s="211"/>
      <c r="G73" s="211"/>
      <c r="H73" s="211"/>
      <c r="I73" s="211"/>
      <c r="J73" s="211"/>
      <c r="K73" s="211"/>
    </row>
    <row r="74" spans="1:11">
      <c r="A74" s="211"/>
      <c r="B74" s="720"/>
      <c r="C74" s="720"/>
      <c r="D74" s="211"/>
      <c r="E74" s="211"/>
      <c r="F74" s="211"/>
      <c r="G74" s="211"/>
      <c r="H74" s="211"/>
      <c r="I74" s="211"/>
      <c r="J74" s="211"/>
      <c r="K74" s="211"/>
    </row>
    <row r="75" spans="1:11">
      <c r="A75" s="211"/>
      <c r="B75" s="720"/>
      <c r="C75" s="720"/>
      <c r="D75" s="211"/>
      <c r="E75" s="211"/>
      <c r="F75" s="211"/>
      <c r="G75" s="211"/>
      <c r="H75" s="211"/>
      <c r="I75" s="211"/>
      <c r="J75" s="211"/>
      <c r="K75" s="211"/>
    </row>
    <row r="76" spans="1:11">
      <c r="A76" s="211"/>
      <c r="B76" s="720"/>
      <c r="C76" s="720"/>
      <c r="D76" s="211"/>
      <c r="E76" s="211"/>
      <c r="F76" s="211"/>
      <c r="G76" s="211"/>
      <c r="H76" s="211"/>
      <c r="I76" s="211"/>
      <c r="J76" s="211"/>
      <c r="K76" s="211"/>
    </row>
    <row r="77" spans="1:11">
      <c r="A77" s="211"/>
      <c r="B77" s="720"/>
      <c r="C77" s="720"/>
      <c r="D77" s="211"/>
      <c r="E77" s="211"/>
      <c r="F77" s="211"/>
      <c r="G77" s="211"/>
      <c r="H77" s="211"/>
      <c r="I77" s="211"/>
      <c r="J77" s="211"/>
      <c r="K77" s="211"/>
    </row>
    <row r="78" spans="1:11">
      <c r="A78" s="211"/>
      <c r="B78" s="720"/>
      <c r="C78" s="720"/>
      <c r="D78" s="211"/>
      <c r="E78" s="211"/>
      <c r="F78" s="211"/>
      <c r="G78" s="211"/>
      <c r="H78" s="211"/>
      <c r="I78" s="211"/>
      <c r="J78" s="211"/>
      <c r="K78" s="211"/>
    </row>
    <row r="79" spans="1:11">
      <c r="A79" s="211"/>
      <c r="B79" s="720"/>
      <c r="C79" s="720"/>
      <c r="D79" s="211"/>
      <c r="E79" s="211"/>
      <c r="F79" s="211"/>
      <c r="G79" s="211"/>
      <c r="H79" s="211"/>
      <c r="I79" s="211"/>
      <c r="J79" s="211"/>
      <c r="K79" s="211"/>
    </row>
    <row r="80" spans="1:11">
      <c r="A80" s="211"/>
      <c r="B80" s="720"/>
      <c r="C80" s="720"/>
      <c r="D80" s="211"/>
      <c r="E80" s="211"/>
      <c r="F80" s="211"/>
      <c r="G80" s="211"/>
      <c r="H80" s="211"/>
      <c r="I80" s="211"/>
      <c r="J80" s="211"/>
      <c r="K80" s="211"/>
    </row>
    <row r="81" spans="1:11">
      <c r="A81" s="211"/>
      <c r="B81" s="720"/>
      <c r="C81" s="720"/>
      <c r="D81" s="211"/>
      <c r="E81" s="211"/>
      <c r="F81" s="211"/>
      <c r="G81" s="211"/>
      <c r="H81" s="211"/>
      <c r="I81" s="211"/>
      <c r="J81" s="211"/>
      <c r="K81" s="211"/>
    </row>
    <row r="82" spans="1:11">
      <c r="A82" s="211"/>
      <c r="B82" s="720"/>
      <c r="C82" s="720"/>
      <c r="D82" s="211"/>
      <c r="E82" s="211"/>
      <c r="F82" s="211"/>
      <c r="G82" s="211"/>
      <c r="H82" s="211"/>
      <c r="I82" s="211"/>
      <c r="J82" s="211"/>
      <c r="K82" s="211"/>
    </row>
    <row r="83" spans="1:11">
      <c r="A83" s="211"/>
      <c r="B83" s="720"/>
      <c r="C83" s="720"/>
      <c r="D83" s="211"/>
      <c r="E83" s="211"/>
      <c r="F83" s="211"/>
      <c r="G83" s="211"/>
      <c r="H83" s="211"/>
      <c r="I83" s="211"/>
      <c r="J83" s="211"/>
      <c r="K83" s="211"/>
    </row>
    <row r="84" spans="1:11">
      <c r="A84" s="211"/>
      <c r="B84" s="720"/>
      <c r="C84" s="720"/>
      <c r="D84" s="211"/>
      <c r="E84" s="211"/>
      <c r="F84" s="211"/>
      <c r="G84" s="211"/>
      <c r="H84" s="211"/>
      <c r="I84" s="211"/>
      <c r="J84" s="211"/>
      <c r="K84" s="211"/>
    </row>
    <row r="85" spans="1:11">
      <c r="A85" s="211"/>
      <c r="B85" s="720"/>
      <c r="C85" s="720"/>
      <c r="D85" s="211"/>
      <c r="E85" s="211"/>
      <c r="F85" s="211"/>
      <c r="G85" s="211"/>
      <c r="H85" s="211"/>
      <c r="I85" s="211"/>
      <c r="J85" s="211"/>
      <c r="K85" s="211"/>
    </row>
    <row r="86" spans="1:11">
      <c r="A86" s="211"/>
      <c r="B86" s="720"/>
      <c r="C86" s="720"/>
      <c r="D86" s="211"/>
      <c r="E86" s="211"/>
      <c r="F86" s="211"/>
      <c r="G86" s="211"/>
      <c r="H86" s="211"/>
      <c r="I86" s="211"/>
      <c r="J86" s="211"/>
      <c r="K86" s="211"/>
    </row>
    <row r="87" spans="1:11">
      <c r="A87" s="211"/>
      <c r="B87" s="720"/>
      <c r="C87" s="720"/>
      <c r="D87" s="211"/>
      <c r="E87" s="211"/>
      <c r="F87" s="211"/>
      <c r="G87" s="211"/>
      <c r="H87" s="211"/>
      <c r="I87" s="211"/>
      <c r="J87" s="211"/>
      <c r="K87" s="211"/>
    </row>
    <row r="88" spans="1:11">
      <c r="A88" s="211"/>
      <c r="B88" s="720"/>
      <c r="C88" s="720"/>
      <c r="D88" s="211"/>
      <c r="E88" s="211"/>
      <c r="F88" s="211"/>
      <c r="G88" s="211"/>
      <c r="H88" s="211"/>
      <c r="I88" s="211"/>
      <c r="J88" s="211"/>
      <c r="K88" s="211"/>
    </row>
    <row r="89" spans="1:11">
      <c r="A89" s="211"/>
      <c r="B89" s="720"/>
      <c r="C89" s="720"/>
      <c r="D89" s="211"/>
      <c r="E89" s="211"/>
      <c r="F89" s="211"/>
      <c r="G89" s="211"/>
      <c r="H89" s="211"/>
      <c r="I89" s="211"/>
      <c r="J89" s="211"/>
      <c r="K89" s="211"/>
    </row>
  </sheetData>
  <mergeCells count="1">
    <mergeCell ref="A2:L2"/>
  </mergeCells>
  <phoneticPr fontId="0" type="noConversion"/>
  <pageMargins left="0.49" right="0.51" top="0.9" bottom="0.49" header="0.47" footer="0.4921259845"/>
  <pageSetup paperSize="9" scale="87" orientation="portrait" horizontalDpi="1200" verticalDpi="1200"/>
  <headerFooter alignWithMargins="0"/>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7A904-0976-9D49-92DC-2A0C892526D7}">
  <sheetPr>
    <pageSetUpPr fitToPage="1"/>
  </sheetPr>
  <dimension ref="A1:O104"/>
  <sheetViews>
    <sheetView zoomScale="75" workbookViewId="0">
      <selection activeCell="P8" sqref="P8"/>
    </sheetView>
  </sheetViews>
  <sheetFormatPr baseColWidth="10" defaultColWidth="11.3984375" defaultRowHeight="13"/>
  <cols>
    <col min="1" max="1" width="29.59765625" style="2" customWidth="1"/>
    <col min="2" max="3" width="9.59765625" style="170" hidden="1" customWidth="1"/>
    <col min="4" max="6" width="9.59765625" style="2" hidden="1" customWidth="1"/>
    <col min="7" max="15" width="9.59765625" style="2" customWidth="1"/>
    <col min="16" max="16384" width="11.3984375" style="2"/>
  </cols>
  <sheetData>
    <row r="1" spans="1:14" s="1" customFormat="1" ht="13.5" customHeight="1">
      <c r="A1" s="404"/>
      <c r="B1" s="690"/>
      <c r="C1" s="690"/>
      <c r="D1" s="404"/>
      <c r="E1" s="404"/>
      <c r="F1" s="404"/>
      <c r="G1" s="404"/>
      <c r="H1" s="404"/>
      <c r="I1" s="404"/>
      <c r="J1" s="404"/>
    </row>
    <row r="2" spans="1:14" s="1" customFormat="1" ht="36" customHeight="1">
      <c r="A2" s="1611" t="s">
        <v>402</v>
      </c>
      <c r="B2" s="1610"/>
      <c r="C2" s="1610"/>
      <c r="D2" s="1610"/>
      <c r="E2" s="1610"/>
      <c r="F2" s="1610"/>
      <c r="G2" s="1610"/>
      <c r="H2" s="1610"/>
      <c r="I2" s="1610"/>
      <c r="J2" s="1610"/>
      <c r="K2" s="1610"/>
      <c r="L2" s="1610"/>
      <c r="M2" s="192"/>
      <c r="N2" s="192">
        <v>2005</v>
      </c>
    </row>
    <row r="3" spans="1:14" ht="78" customHeight="1">
      <c r="A3" s="1001" t="s">
        <v>886</v>
      </c>
      <c r="B3" s="996">
        <v>1991</v>
      </c>
      <c r="C3" s="997">
        <v>1992</v>
      </c>
      <c r="D3" s="998">
        <v>1993</v>
      </c>
      <c r="E3" s="997">
        <v>1994</v>
      </c>
      <c r="F3" s="998">
        <v>1995</v>
      </c>
      <c r="G3" s="997">
        <v>1996</v>
      </c>
      <c r="H3" s="998">
        <v>1997</v>
      </c>
      <c r="I3" s="997">
        <v>1998</v>
      </c>
      <c r="J3" s="998">
        <v>1999</v>
      </c>
      <c r="K3" s="997">
        <v>2000</v>
      </c>
      <c r="L3" s="998">
        <v>2001</v>
      </c>
      <c r="M3" s="997">
        <v>2002</v>
      </c>
      <c r="N3" s="998">
        <v>2003</v>
      </c>
    </row>
    <row r="4" spans="1:14" ht="30" customHeight="1" thickBot="1">
      <c r="A4" s="1002" t="s">
        <v>920</v>
      </c>
      <c r="B4" s="373">
        <v>7.0999999999999994E-2</v>
      </c>
      <c r="C4" s="356">
        <v>7.458999999999999E-2</v>
      </c>
      <c r="D4" s="373">
        <v>7.5229999999999991E-2</v>
      </c>
      <c r="E4" s="356">
        <v>7.4069999999999997E-2</v>
      </c>
      <c r="F4" s="373">
        <v>7.3840000000000003E-2</v>
      </c>
      <c r="G4" s="356">
        <v>7.2950000000000001E-2</v>
      </c>
      <c r="H4" s="373">
        <v>7.0449999999999999E-2</v>
      </c>
      <c r="I4" s="356">
        <v>7.0330000000000004E-2</v>
      </c>
      <c r="J4" s="373">
        <v>7.0660000000000001E-2</v>
      </c>
      <c r="K4" s="356">
        <v>7.1510000000000004E-2</v>
      </c>
      <c r="L4" s="373">
        <v>7.4299999999999991E-2</v>
      </c>
      <c r="M4" s="356">
        <v>7.4999999999999997E-2</v>
      </c>
      <c r="N4" s="373">
        <v>7.6999999999999999E-2</v>
      </c>
    </row>
    <row r="5" spans="1:14" ht="18" customHeight="1" thickBot="1">
      <c r="A5" s="1003" t="s">
        <v>921</v>
      </c>
      <c r="B5" s="301">
        <v>7.2999999999999995E-2</v>
      </c>
      <c r="C5" s="160">
        <v>7.6159999999999992E-2</v>
      </c>
      <c r="D5" s="301">
        <v>7.6569999999999999E-2</v>
      </c>
      <c r="E5" s="160">
        <v>7.5679999999999997E-2</v>
      </c>
      <c r="F5" s="301">
        <v>7.5689999999999993E-2</v>
      </c>
      <c r="G5" s="160">
        <v>7.4819999999999998E-2</v>
      </c>
      <c r="H5" s="301">
        <v>7.2169999999999998E-2</v>
      </c>
      <c r="I5" s="160">
        <v>7.145E-2</v>
      </c>
      <c r="J5" s="301">
        <v>7.1900000000000006E-2</v>
      </c>
      <c r="K5" s="160">
        <v>7.2529999999999997E-2</v>
      </c>
      <c r="L5" s="301">
        <v>7.4299999999999991E-2</v>
      </c>
      <c r="M5" s="160">
        <v>7.4999999999999997E-2</v>
      </c>
      <c r="N5" s="301">
        <v>7.6999999999999999E-2</v>
      </c>
    </row>
    <row r="6" spans="1:14" ht="18" customHeight="1" thickBot="1">
      <c r="A6" s="1003" t="s">
        <v>904</v>
      </c>
      <c r="B6" s="301">
        <v>6.8000000000000005E-2</v>
      </c>
      <c r="C6" s="160">
        <v>7.3539999999999994E-2</v>
      </c>
      <c r="D6" s="301">
        <v>6.8690000000000001E-2</v>
      </c>
      <c r="E6" s="160">
        <v>6.6650000000000001E-2</v>
      </c>
      <c r="F6" s="301">
        <v>6.2869999999999995E-2</v>
      </c>
      <c r="G6" s="160">
        <v>6.6659999999999997E-2</v>
      </c>
      <c r="H6" s="301">
        <v>6.2449999999999999E-2</v>
      </c>
      <c r="I6" s="160">
        <v>6.2640000000000001E-2</v>
      </c>
      <c r="J6" s="301">
        <v>6.3099999999999989E-2</v>
      </c>
      <c r="K6" s="160">
        <v>6.1089999999999998E-2</v>
      </c>
      <c r="L6" s="301">
        <v>6.472E-2</v>
      </c>
      <c r="M6" s="160">
        <v>6.5000000000000002E-2</v>
      </c>
      <c r="N6" s="301">
        <v>7.5999999999999998E-2</v>
      </c>
    </row>
    <row r="7" spans="1:14" ht="18" customHeight="1" thickBot="1">
      <c r="A7" s="1003" t="s">
        <v>889</v>
      </c>
      <c r="B7" s="301">
        <v>5.8000000000000003E-2</v>
      </c>
      <c r="C7" s="160">
        <v>5.781E-2</v>
      </c>
      <c r="D7" s="301">
        <v>5.9400000000000001E-2</v>
      </c>
      <c r="E7" s="160">
        <v>5.5970000000000006E-2</v>
      </c>
      <c r="F7" s="301">
        <v>5.5650000000000005E-2</v>
      </c>
      <c r="G7" s="160">
        <v>5.4299999999999994E-2</v>
      </c>
      <c r="H7" s="301">
        <v>5.3589999999999999E-2</v>
      </c>
      <c r="I7" s="160">
        <v>5.6749999999999995E-2</v>
      </c>
      <c r="J7" s="301">
        <v>5.7050000000000003E-2</v>
      </c>
      <c r="K7" s="160">
        <v>5.7210000000000004E-2</v>
      </c>
      <c r="L7" s="301">
        <v>5.7980000000000004E-2</v>
      </c>
      <c r="M7" s="160">
        <v>6.0999999999999999E-2</v>
      </c>
      <c r="N7" s="301">
        <v>6.0999999999999999E-2</v>
      </c>
    </row>
    <row r="8" spans="1:14" ht="18" customHeight="1" thickBot="1">
      <c r="A8" s="1003" t="s">
        <v>890</v>
      </c>
      <c r="B8" s="301">
        <v>7.9000000000000001E-2</v>
      </c>
      <c r="C8" s="160">
        <v>8.4600000000000009E-2</v>
      </c>
      <c r="D8" s="301">
        <v>8.2750000000000004E-2</v>
      </c>
      <c r="E8" s="160">
        <v>8.3780000000000007E-2</v>
      </c>
      <c r="F8" s="301">
        <v>8.6129999999999998E-2</v>
      </c>
      <c r="G8" s="160">
        <v>8.5550000000000001E-2</v>
      </c>
      <c r="H8" s="301">
        <v>8.0909999999999996E-2</v>
      </c>
      <c r="I8" s="160">
        <v>7.9699999999999993E-2</v>
      </c>
      <c r="J8" s="301">
        <v>8.0700000000000008E-2</v>
      </c>
      <c r="K8" s="160">
        <v>8.0950000000000008E-2</v>
      </c>
      <c r="L8" s="301">
        <v>8.2629999999999995E-2</v>
      </c>
      <c r="M8" s="160">
        <v>8.1000000000000003E-2</v>
      </c>
      <c r="N8" s="301">
        <v>8.1000000000000003E-2</v>
      </c>
    </row>
    <row r="9" spans="1:14" ht="18" customHeight="1" thickBot="1">
      <c r="A9" s="1003" t="s">
        <v>905</v>
      </c>
      <c r="B9" s="301">
        <v>0.05</v>
      </c>
      <c r="C9" s="160">
        <v>5.3109999999999997E-2</v>
      </c>
      <c r="D9" s="301">
        <v>5.5320000000000001E-2</v>
      </c>
      <c r="E9" s="160">
        <v>5.5940000000000004E-2</v>
      </c>
      <c r="F9" s="301">
        <v>5.6009999999999997E-2</v>
      </c>
      <c r="G9" s="160">
        <v>5.5359999999999993E-2</v>
      </c>
      <c r="H9" s="301">
        <v>5.6669999999999998E-2</v>
      </c>
      <c r="I9" s="160">
        <v>5.6730000000000003E-2</v>
      </c>
      <c r="J9" s="301">
        <v>6.0299999999999999E-2</v>
      </c>
      <c r="K9" s="160">
        <v>6.7500000000000004E-2</v>
      </c>
      <c r="L9" s="301">
        <v>6.8170000000000008E-2</v>
      </c>
      <c r="M9" s="160">
        <v>6.7000000000000004E-2</v>
      </c>
      <c r="N9" s="301">
        <v>6.7000000000000004E-2</v>
      </c>
    </row>
    <row r="10" spans="1:14" ht="18" customHeight="1" thickBot="1">
      <c r="A10" s="1003" t="s">
        <v>900</v>
      </c>
      <c r="B10" s="301">
        <v>0.06</v>
      </c>
      <c r="C10" s="160">
        <v>6.4430000000000001E-2</v>
      </c>
      <c r="D10" s="301">
        <v>6.6070000000000004E-2</v>
      </c>
      <c r="E10" s="160">
        <v>6.3520000000000007E-2</v>
      </c>
      <c r="F10" s="301">
        <v>6.1189999999999994E-2</v>
      </c>
      <c r="G10" s="160">
        <v>6.1689999999999995E-2</v>
      </c>
      <c r="H10" s="301">
        <v>5.9400000000000001E-2</v>
      </c>
      <c r="I10" s="160">
        <v>5.7969999999999994E-2</v>
      </c>
      <c r="J10" s="301">
        <v>5.8400000000000001E-2</v>
      </c>
      <c r="K10" s="160">
        <v>5.8380000000000001E-2</v>
      </c>
      <c r="L10" s="301">
        <v>5.8659999999999997E-2</v>
      </c>
      <c r="M10" s="160">
        <v>5.7999999999999996E-2</v>
      </c>
      <c r="N10" s="301">
        <v>5.9000000000000004E-2</v>
      </c>
    </row>
    <row r="11" spans="1:14" ht="18" customHeight="1" thickBot="1">
      <c r="A11" s="1003" t="s">
        <v>892</v>
      </c>
      <c r="B11" s="301">
        <v>7.5999999999999998E-2</v>
      </c>
      <c r="C11" s="160">
        <v>7.9039999999999999E-2</v>
      </c>
      <c r="D11" s="301">
        <v>8.208E-2</v>
      </c>
      <c r="E11" s="160">
        <v>8.1500000000000003E-2</v>
      </c>
      <c r="F11" s="301">
        <v>8.2089999999999996E-2</v>
      </c>
      <c r="G11" s="160">
        <v>8.2979999999999998E-2</v>
      </c>
      <c r="H11" s="301">
        <v>8.1759999999999999E-2</v>
      </c>
      <c r="I11" s="160">
        <v>8.163999999999999E-2</v>
      </c>
      <c r="J11" s="301">
        <v>8.0640000000000003E-2</v>
      </c>
      <c r="K11" s="160">
        <v>8.1729999999999997E-2</v>
      </c>
      <c r="L11" s="301">
        <v>8.3119999999999999E-2</v>
      </c>
      <c r="M11" s="160">
        <v>8.5000000000000006E-2</v>
      </c>
      <c r="N11" s="301">
        <v>8.900000000000001E-2</v>
      </c>
    </row>
    <row r="12" spans="1:14" ht="18" customHeight="1" thickBot="1">
      <c r="A12" s="1003" t="s">
        <v>906</v>
      </c>
      <c r="B12" s="301">
        <v>6.3E-2</v>
      </c>
      <c r="C12" s="160">
        <v>6.6199999999999995E-2</v>
      </c>
      <c r="D12" s="301">
        <v>6.7140000000000005E-2</v>
      </c>
      <c r="E12" s="160">
        <v>6.5790000000000001E-2</v>
      </c>
      <c r="F12" s="301">
        <v>6.5720000000000001E-2</v>
      </c>
      <c r="G12" s="160">
        <v>6.0060000000000002E-2</v>
      </c>
      <c r="H12" s="301">
        <v>5.824E-2</v>
      </c>
      <c r="I12" s="160">
        <v>5.5650000000000005E-2</v>
      </c>
      <c r="J12" s="301">
        <v>5.6270000000000001E-2</v>
      </c>
      <c r="K12" s="160">
        <v>5.5559999999999998E-2</v>
      </c>
      <c r="L12" s="301">
        <v>6.0609999999999997E-2</v>
      </c>
      <c r="M12" s="160">
        <v>6.3E-2</v>
      </c>
      <c r="N12" s="301">
        <v>6.6000000000000003E-2</v>
      </c>
    </row>
    <row r="13" spans="1:14" ht="18" customHeight="1" thickBot="1">
      <c r="A13" s="1003" t="s">
        <v>894</v>
      </c>
      <c r="B13" s="301">
        <v>6.7000000000000004E-2</v>
      </c>
      <c r="C13" s="160">
        <v>6.6040000000000001E-2</v>
      </c>
      <c r="D13" s="301">
        <v>6.3689999999999997E-2</v>
      </c>
      <c r="E13" s="160">
        <v>5.9960000000000006E-2</v>
      </c>
      <c r="F13" s="301">
        <v>5.5309999999999998E-2</v>
      </c>
      <c r="G13" s="160">
        <v>5.561E-2</v>
      </c>
      <c r="H13" s="301">
        <v>5.7180000000000002E-2</v>
      </c>
      <c r="I13" s="160">
        <v>5.6860000000000001E-2</v>
      </c>
      <c r="J13" s="301">
        <v>5.731E-2</v>
      </c>
      <c r="K13" s="160">
        <v>6.0979999999999999E-2</v>
      </c>
      <c r="L13" s="301">
        <v>6.4149999999999999E-2</v>
      </c>
      <c r="M13" s="160">
        <v>6.5000000000000002E-2</v>
      </c>
      <c r="N13" s="301">
        <v>6.5000000000000002E-2</v>
      </c>
    </row>
    <row r="14" spans="1:14" ht="18" customHeight="1" thickBot="1">
      <c r="A14" s="1003" t="s">
        <v>907</v>
      </c>
      <c r="B14" s="301">
        <v>5.3999999999999999E-2</v>
      </c>
      <c r="C14" s="160">
        <v>5.6009999999999997E-2</v>
      </c>
      <c r="D14" s="301">
        <v>6.0570000000000006E-2</v>
      </c>
      <c r="E14" s="160">
        <v>5.4610000000000006E-2</v>
      </c>
      <c r="F14" s="301">
        <v>5.6950000000000001E-2</v>
      </c>
      <c r="G14" s="160">
        <v>6.0350000000000001E-2</v>
      </c>
      <c r="H14" s="301">
        <v>5.6009999999999997E-2</v>
      </c>
      <c r="I14" s="160">
        <v>5.2600000000000001E-2</v>
      </c>
      <c r="J14" s="301">
        <v>5.4269999999999999E-2</v>
      </c>
      <c r="K14" s="160">
        <v>4.9579999999999999E-2</v>
      </c>
      <c r="L14" s="301">
        <v>5.212E-2</v>
      </c>
      <c r="M14" s="160">
        <v>5.5999999999999994E-2</v>
      </c>
      <c r="N14" s="301">
        <v>5.7999999999999996E-2</v>
      </c>
    </row>
    <row r="15" spans="1:14" ht="18" customHeight="1" thickBot="1">
      <c r="A15" s="1003" t="s">
        <v>896</v>
      </c>
      <c r="B15" s="301">
        <v>8.7999999999999995E-2</v>
      </c>
      <c r="C15" s="160">
        <v>8.8889999999999997E-2</v>
      </c>
      <c r="D15" s="301">
        <v>9.0540000000000009E-2</v>
      </c>
      <c r="E15" s="160">
        <v>8.499000000000001E-2</v>
      </c>
      <c r="F15" s="301">
        <v>8.3140000000000006E-2</v>
      </c>
      <c r="G15" s="160">
        <v>7.8449999999999992E-2</v>
      </c>
      <c r="H15" s="301">
        <v>7.5600000000000001E-2</v>
      </c>
      <c r="I15" s="160">
        <v>7.5149999999999995E-2</v>
      </c>
      <c r="J15" s="301">
        <v>7.6619999999999994E-2</v>
      </c>
      <c r="K15" s="160">
        <v>7.535E-2</v>
      </c>
      <c r="L15" s="301">
        <v>7.843E-2</v>
      </c>
      <c r="M15" s="160">
        <v>7.9000000000000001E-2</v>
      </c>
      <c r="N15" s="301">
        <v>8.199999999999999E-2</v>
      </c>
    </row>
    <row r="16" spans="1:14" ht="18" customHeight="1" thickBot="1">
      <c r="A16" s="1003" t="s">
        <v>898</v>
      </c>
      <c r="B16" s="301">
        <v>6.8000000000000005E-2</v>
      </c>
      <c r="C16" s="160">
        <v>7.5429999999999997E-2</v>
      </c>
      <c r="D16" s="301">
        <v>7.7890000000000001E-2</v>
      </c>
      <c r="E16" s="160">
        <v>7.8730000000000008E-2</v>
      </c>
      <c r="F16" s="301">
        <v>7.8979999999999995E-2</v>
      </c>
      <c r="G16" s="160">
        <v>7.8030000000000002E-2</v>
      </c>
      <c r="H16" s="301">
        <v>7.0220000000000005E-2</v>
      </c>
      <c r="I16" s="160">
        <v>7.0529999999999995E-2</v>
      </c>
      <c r="J16" s="301">
        <v>7.2989999999999999E-2</v>
      </c>
      <c r="K16" s="160">
        <v>6.812E-2</v>
      </c>
      <c r="L16" s="301">
        <v>6.8129999999999996E-2</v>
      </c>
      <c r="M16" s="160">
        <v>7.2000000000000008E-2</v>
      </c>
      <c r="N16" s="301">
        <v>7.0999999999999994E-2</v>
      </c>
    </row>
    <row r="17" spans="1:14" ht="18" customHeight="1" thickBot="1">
      <c r="A17" s="1003" t="s">
        <v>908</v>
      </c>
      <c r="B17" s="301">
        <v>5.0999999999999997E-2</v>
      </c>
      <c r="C17" s="160">
        <v>5.6390000000000003E-2</v>
      </c>
      <c r="D17" s="301">
        <v>6.3399999999999998E-2</v>
      </c>
      <c r="E17" s="160">
        <v>6.8460000000000007E-2</v>
      </c>
      <c r="F17" s="301">
        <v>7.2690000000000005E-2</v>
      </c>
      <c r="G17" s="160">
        <v>5.9960000000000006E-2</v>
      </c>
      <c r="H17" s="301">
        <v>6.0080000000000001E-2</v>
      </c>
      <c r="I17" s="160">
        <v>6.173E-2</v>
      </c>
      <c r="J17" s="301">
        <v>6.4059999999999992E-2</v>
      </c>
      <c r="K17" s="160">
        <v>6.5709999999999991E-2</v>
      </c>
      <c r="L17" s="301">
        <v>6.5750000000000003E-2</v>
      </c>
      <c r="M17" s="160">
        <v>6.7000000000000004E-2</v>
      </c>
      <c r="N17" s="301">
        <v>6.5000000000000002E-2</v>
      </c>
    </row>
    <row r="18" spans="1:14" ht="18" customHeight="1" thickBot="1">
      <c r="A18" s="1003" t="s">
        <v>891</v>
      </c>
      <c r="B18" s="301">
        <v>7.6999999999999999E-2</v>
      </c>
      <c r="C18" s="160">
        <v>7.6299999999999993E-2</v>
      </c>
      <c r="D18" s="301">
        <v>7.1599999999999997E-2</v>
      </c>
      <c r="E18" s="160">
        <v>6.6720000000000002E-2</v>
      </c>
      <c r="F18" s="301">
        <v>6.4489999999999992E-2</v>
      </c>
      <c r="G18" s="160">
        <v>6.5519999999999995E-2</v>
      </c>
      <c r="H18" s="301">
        <v>6.2380000000000005E-2</v>
      </c>
      <c r="I18" s="160">
        <v>5.969E-2</v>
      </c>
      <c r="J18" s="301">
        <v>5.9980000000000006E-2</v>
      </c>
      <c r="K18" s="160">
        <v>5.8680000000000003E-2</v>
      </c>
      <c r="L18" s="301">
        <v>6.1109999999999998E-2</v>
      </c>
      <c r="M18" s="160">
        <v>6.3E-2</v>
      </c>
      <c r="N18" s="301">
        <v>6.5000000000000002E-2</v>
      </c>
    </row>
    <row r="19" spans="1:14" ht="18" customHeight="1" thickBot="1">
      <c r="A19" s="1003" t="s">
        <v>899</v>
      </c>
      <c r="B19" s="301" t="s">
        <v>1646</v>
      </c>
      <c r="C19" s="160" t="s">
        <v>1646</v>
      </c>
      <c r="D19" s="301">
        <v>8.6319999999999994E-2</v>
      </c>
      <c r="E19" s="160">
        <v>7.8479999999999994E-2</v>
      </c>
      <c r="F19" s="301">
        <v>7.5650000000000009E-2</v>
      </c>
      <c r="G19" s="160">
        <v>7.4480000000000005E-2</v>
      </c>
      <c r="H19" s="301">
        <v>7.51E-2</v>
      </c>
      <c r="I19" s="160">
        <v>7.8129999999999991E-2</v>
      </c>
      <c r="J19" s="301">
        <v>8.1270000000000009E-2</v>
      </c>
      <c r="K19" s="160">
        <v>8.410999999999999E-2</v>
      </c>
      <c r="L19" s="301">
        <v>8.9410000000000003E-2</v>
      </c>
      <c r="M19" s="160">
        <v>8.5000000000000006E-2</v>
      </c>
      <c r="N19" s="301">
        <v>8.5000000000000006E-2</v>
      </c>
    </row>
    <row r="20" spans="1:14" ht="18" customHeight="1" thickBot="1">
      <c r="A20" s="1003" t="s">
        <v>909</v>
      </c>
      <c r="B20" s="301">
        <v>6.2E-2</v>
      </c>
      <c r="C20" s="160">
        <v>6.583E-2</v>
      </c>
      <c r="D20" s="301">
        <v>6.724999999999999E-2</v>
      </c>
      <c r="E20" s="160">
        <v>6.6349999999999992E-2</v>
      </c>
      <c r="F20" s="301">
        <v>6.4780000000000004E-2</v>
      </c>
      <c r="G20" s="160">
        <v>6.4240000000000005E-2</v>
      </c>
      <c r="H20" s="301">
        <v>6.3250000000000001E-2</v>
      </c>
      <c r="I20" s="160">
        <v>6.5329999999999999E-2</v>
      </c>
      <c r="J20" s="301">
        <v>6.4770000000000008E-2</v>
      </c>
      <c r="K20" s="160">
        <v>6.6720000000000002E-2</v>
      </c>
      <c r="L20" s="301">
        <v>7.3779999999999998E-2</v>
      </c>
      <c r="M20" s="160">
        <v>7.2999999999999995E-2</v>
      </c>
      <c r="N20" s="301">
        <v>7.6999999999999999E-2</v>
      </c>
    </row>
    <row r="21" spans="1:14" ht="18" customHeight="1" thickBot="1">
      <c r="A21" s="1003" t="s">
        <v>910</v>
      </c>
      <c r="B21" s="301">
        <v>7.3999999999999996E-2</v>
      </c>
      <c r="C21" s="160">
        <v>7.22E-2</v>
      </c>
      <c r="D21" s="301">
        <v>7.1919999999999998E-2</v>
      </c>
      <c r="E21" s="160">
        <v>6.8849999999999995E-2</v>
      </c>
      <c r="F21" s="301">
        <v>7.0550000000000002E-2</v>
      </c>
      <c r="G21" s="160">
        <v>6.8970000000000004E-2</v>
      </c>
      <c r="H21" s="301">
        <v>6.9850000000000009E-2</v>
      </c>
      <c r="I21" s="160">
        <v>7.0499999999999993E-2</v>
      </c>
      <c r="J21" s="301">
        <v>7.6490000000000002E-2</v>
      </c>
      <c r="K21" s="160">
        <v>7.644999999999999E-2</v>
      </c>
      <c r="L21" s="301">
        <v>7.6179999999999998E-2</v>
      </c>
      <c r="M21" s="160">
        <v>8.1000000000000003E-2</v>
      </c>
      <c r="N21" s="301">
        <v>8.5000000000000006E-2</v>
      </c>
    </row>
    <row r="22" spans="1:14" ht="18" customHeight="1" thickBot="1">
      <c r="A22" s="1003" t="s">
        <v>897</v>
      </c>
      <c r="B22" s="301">
        <v>0.08</v>
      </c>
      <c r="C22" s="160">
        <v>7.9259999999999997E-2</v>
      </c>
      <c r="D22" s="301">
        <v>7.6369999999999993E-2</v>
      </c>
      <c r="E22" s="160">
        <v>7.3959999999999998E-2</v>
      </c>
      <c r="F22" s="301">
        <v>7.3779999999999998E-2</v>
      </c>
      <c r="G22" s="160">
        <v>7.6289999999999997E-2</v>
      </c>
      <c r="H22" s="301">
        <v>7.7850000000000003E-2</v>
      </c>
      <c r="I22" s="160">
        <v>8.6449999999999999E-2</v>
      </c>
      <c r="J22" s="301">
        <v>8.6899999999999991E-2</v>
      </c>
      <c r="K22" s="160">
        <v>8.2400000000000001E-2</v>
      </c>
      <c r="L22" s="301">
        <v>8.6549999999999988E-2</v>
      </c>
      <c r="M22" s="160">
        <v>8.8000000000000009E-2</v>
      </c>
      <c r="N22" s="301">
        <v>9.4E-2</v>
      </c>
    </row>
    <row r="23" spans="1:14" s="280" customFormat="1" ht="30" customHeight="1" thickBot="1">
      <c r="A23" s="1004" t="s">
        <v>401</v>
      </c>
      <c r="B23" s="209">
        <v>5.1999999999999998E-2</v>
      </c>
      <c r="C23" s="803">
        <v>5.4150000000000004E-2</v>
      </c>
      <c r="D23" s="209">
        <v>5.3689999999999995E-2</v>
      </c>
      <c r="E23" s="803">
        <v>5.484E-2</v>
      </c>
      <c r="F23" s="209">
        <v>5.5039999999999999E-2</v>
      </c>
      <c r="G23" s="803">
        <v>5.7709999999999997E-2</v>
      </c>
      <c r="H23" s="209">
        <v>5.9180000000000003E-2</v>
      </c>
      <c r="I23" s="803">
        <v>6.0579999999999995E-2</v>
      </c>
      <c r="J23" s="209">
        <v>6.1900000000000004E-2</v>
      </c>
      <c r="K23" s="803">
        <v>6.3939999999999997E-2</v>
      </c>
      <c r="L23" s="209">
        <v>6.4930000000000002E-2</v>
      </c>
      <c r="M23" s="803">
        <v>6.9000000000000006E-2</v>
      </c>
      <c r="N23" s="209">
        <v>7.0999999999999994E-2</v>
      </c>
    </row>
    <row r="24" spans="1:14" ht="20" customHeight="1">
      <c r="A24" s="999" t="s">
        <v>590</v>
      </c>
      <c r="B24" s="718"/>
      <c r="C24" s="718"/>
      <c r="D24" s="211"/>
      <c r="E24" s="211"/>
      <c r="F24" s="211"/>
      <c r="G24" s="211"/>
      <c r="H24" s="211"/>
      <c r="I24" s="211"/>
      <c r="J24" s="211"/>
      <c r="K24" s="211"/>
    </row>
    <row r="25" spans="1:14" ht="15" customHeight="1">
      <c r="A25" s="999"/>
      <c r="B25" s="718"/>
      <c r="C25" s="718"/>
      <c r="D25" s="211"/>
      <c r="E25" s="211"/>
      <c r="F25" s="211"/>
      <c r="G25" s="211"/>
      <c r="H25" s="211"/>
      <c r="I25" s="211"/>
      <c r="J25" s="211"/>
      <c r="K25" s="211"/>
    </row>
    <row r="26" spans="1:14" s="211" customFormat="1" ht="13.5" customHeight="1">
      <c r="A26" s="999" t="s">
        <v>911</v>
      </c>
      <c r="B26" s="718"/>
      <c r="C26" s="718"/>
    </row>
    <row r="27" spans="1:14" s="211" customFormat="1" ht="13.5" customHeight="1">
      <c r="A27" s="999" t="s">
        <v>912</v>
      </c>
      <c r="B27" s="718"/>
      <c r="C27" s="718"/>
    </row>
    <row r="28" spans="1:14" s="211" customFormat="1" ht="13.5" customHeight="1">
      <c r="A28" s="999" t="s">
        <v>913</v>
      </c>
      <c r="B28" s="718"/>
      <c r="C28" s="718"/>
    </row>
    <row r="29" spans="1:14" s="211" customFormat="1" ht="13.5" customHeight="1">
      <c r="A29" s="1578" t="s">
        <v>398</v>
      </c>
      <c r="B29" s="718"/>
      <c r="C29" s="718"/>
    </row>
    <row r="30" spans="1:14" s="211" customFormat="1" ht="13.5" customHeight="1">
      <c r="A30" s="1578" t="s">
        <v>399</v>
      </c>
      <c r="B30" s="718"/>
      <c r="C30" s="718"/>
    </row>
    <row r="31" spans="1:14" ht="13.5" customHeight="1">
      <c r="A31" s="1005" t="s">
        <v>400</v>
      </c>
      <c r="B31" s="714"/>
      <c r="C31" s="714"/>
      <c r="D31" s="227"/>
      <c r="E31" s="227"/>
      <c r="F31" s="227"/>
      <c r="G31" s="227"/>
      <c r="H31" s="227"/>
      <c r="I31" s="227"/>
      <c r="J31" s="227"/>
    </row>
    <row r="32" spans="1:14" ht="13.5" customHeight="1">
      <c r="A32" s="1005" t="s">
        <v>914</v>
      </c>
      <c r="B32" s="714"/>
      <c r="C32" s="714"/>
      <c r="D32" s="227"/>
      <c r="E32" s="227"/>
      <c r="F32" s="227"/>
      <c r="G32" s="227"/>
      <c r="H32" s="227"/>
      <c r="I32" s="227"/>
      <c r="J32" s="227"/>
    </row>
    <row r="33" spans="1:15" ht="13.5" customHeight="1">
      <c r="A33" s="1005" t="s">
        <v>915</v>
      </c>
      <c r="B33" s="714"/>
      <c r="C33" s="714"/>
      <c r="D33" s="227"/>
      <c r="E33" s="227"/>
      <c r="F33" s="227"/>
      <c r="G33" s="227"/>
      <c r="H33" s="227"/>
      <c r="I33" s="227"/>
      <c r="J33" s="227"/>
    </row>
    <row r="34" spans="1:15" ht="13.5" customHeight="1">
      <c r="A34" s="1005" t="s">
        <v>916</v>
      </c>
      <c r="B34" s="714"/>
      <c r="C34" s="714"/>
      <c r="D34" s="227"/>
      <c r="E34" s="227"/>
      <c r="F34" s="227"/>
      <c r="G34" s="227"/>
      <c r="H34" s="227"/>
      <c r="I34" s="227"/>
      <c r="J34" s="227"/>
    </row>
    <row r="35" spans="1:15" ht="13.5" customHeight="1">
      <c r="A35" s="1005" t="s">
        <v>917</v>
      </c>
      <c r="B35" s="714"/>
      <c r="C35" s="714"/>
      <c r="D35" s="227"/>
      <c r="E35" s="227"/>
      <c r="F35" s="227"/>
      <c r="G35" s="227"/>
      <c r="H35" s="227"/>
      <c r="I35" s="227"/>
      <c r="J35" s="227"/>
    </row>
    <row r="36" spans="1:15" ht="13.5" customHeight="1">
      <c r="A36" s="1005" t="s">
        <v>918</v>
      </c>
      <c r="B36" s="714"/>
      <c r="C36" s="714"/>
      <c r="D36" s="227"/>
      <c r="E36" s="227"/>
      <c r="F36" s="227"/>
      <c r="G36" s="227"/>
      <c r="H36" s="227"/>
      <c r="I36" s="227"/>
      <c r="J36" s="227"/>
    </row>
    <row r="37" spans="1:15" ht="13.5" customHeight="1">
      <c r="A37" s="1005"/>
      <c r="B37" s="714"/>
      <c r="C37" s="714"/>
      <c r="D37" s="227"/>
      <c r="E37" s="227"/>
      <c r="F37" s="227"/>
      <c r="G37" s="227"/>
      <c r="H37" s="227"/>
      <c r="I37" s="227"/>
      <c r="J37" s="227"/>
    </row>
    <row r="38" spans="1:15" ht="12.75" customHeight="1">
      <c r="A38" s="999" t="s">
        <v>919</v>
      </c>
      <c r="B38" s="718"/>
      <c r="C38" s="718"/>
      <c r="D38" s="211"/>
      <c r="E38" s="211"/>
      <c r="F38" s="211"/>
      <c r="G38" s="211"/>
      <c r="H38" s="211"/>
      <c r="I38" s="211"/>
      <c r="J38" s="211"/>
      <c r="K38" s="211"/>
    </row>
    <row r="39" spans="1:15" ht="18.75" customHeight="1">
      <c r="A39" s="1000"/>
      <c r="B39" s="720"/>
      <c r="C39" s="720"/>
      <c r="D39" s="211"/>
      <c r="E39" s="211"/>
      <c r="F39" s="211"/>
      <c r="G39" s="211"/>
      <c r="H39" s="211"/>
      <c r="I39" s="211"/>
      <c r="J39" s="211"/>
      <c r="K39" s="211"/>
    </row>
    <row r="40" spans="1:15" ht="17.25" customHeight="1">
      <c r="A40" s="816"/>
      <c r="B40" s="720"/>
      <c r="C40" s="720"/>
      <c r="D40" s="211"/>
      <c r="E40" s="211"/>
      <c r="F40" s="211"/>
      <c r="G40" s="211"/>
      <c r="H40" s="211"/>
      <c r="I40" s="211"/>
      <c r="J40" s="211"/>
      <c r="K40" s="211"/>
    </row>
    <row r="41" spans="1:15" ht="18.75" customHeight="1">
      <c r="A41" s="935" t="s">
        <v>128</v>
      </c>
      <c r="B41" s="720"/>
      <c r="C41" s="720"/>
      <c r="D41" s="211"/>
      <c r="E41" s="211"/>
      <c r="F41" s="211"/>
      <c r="G41" s="211"/>
      <c r="H41" s="211"/>
      <c r="I41" s="211"/>
      <c r="J41" s="211"/>
      <c r="K41" s="211"/>
    </row>
    <row r="42" spans="1:15" ht="31" customHeight="1">
      <c r="A42" s="211"/>
      <c r="B42" s="720"/>
      <c r="C42" s="720"/>
      <c r="D42" s="211"/>
      <c r="E42" s="211"/>
      <c r="F42" s="211"/>
      <c r="G42" s="211"/>
      <c r="H42" s="211"/>
      <c r="I42" s="211"/>
      <c r="J42" s="211"/>
      <c r="K42" s="211"/>
      <c r="O42" s="1"/>
    </row>
    <row r="43" spans="1:15" ht="31" customHeight="1">
      <c r="A43" s="211"/>
      <c r="B43" s="720"/>
      <c r="C43" s="720"/>
      <c r="D43" s="211"/>
      <c r="E43" s="211"/>
      <c r="F43" s="211"/>
      <c r="G43" s="211"/>
      <c r="H43" s="211"/>
      <c r="I43" s="211"/>
      <c r="J43" s="211"/>
      <c r="K43" s="211"/>
    </row>
    <row r="44" spans="1:15" ht="31" customHeight="1">
      <c r="A44" s="211"/>
      <c r="B44" s="720"/>
      <c r="C44" s="720"/>
      <c r="D44" s="211"/>
      <c r="E44" s="211"/>
      <c r="F44" s="211"/>
      <c r="G44" s="211"/>
      <c r="H44" s="211"/>
      <c r="I44" s="211"/>
      <c r="J44" s="211"/>
      <c r="K44" s="211"/>
    </row>
    <row r="45" spans="1:15" ht="31" customHeight="1">
      <c r="A45" s="211"/>
      <c r="B45" s="720"/>
      <c r="C45" s="720"/>
      <c r="D45" s="211"/>
      <c r="E45" s="211"/>
      <c r="F45" s="211"/>
      <c r="G45" s="211"/>
      <c r="H45" s="211"/>
      <c r="I45" s="211"/>
      <c r="J45" s="211"/>
      <c r="K45" s="211"/>
    </row>
    <row r="46" spans="1:15" ht="31" customHeight="1">
      <c r="A46" s="211"/>
      <c r="B46" s="720"/>
      <c r="C46" s="720"/>
      <c r="D46" s="211"/>
      <c r="E46" s="211"/>
      <c r="F46" s="211"/>
      <c r="G46" s="211"/>
      <c r="H46" s="211"/>
      <c r="I46" s="211"/>
      <c r="J46" s="211"/>
      <c r="K46" s="211"/>
    </row>
    <row r="47" spans="1:15" ht="31" customHeight="1">
      <c r="A47" s="211"/>
      <c r="B47" s="720"/>
      <c r="C47" s="720"/>
      <c r="D47" s="211"/>
      <c r="E47" s="211"/>
      <c r="F47" s="211"/>
      <c r="G47" s="211"/>
      <c r="H47" s="211"/>
      <c r="I47" s="211"/>
      <c r="J47" s="211"/>
      <c r="K47" s="211"/>
    </row>
    <row r="48" spans="1:15" ht="31" customHeight="1">
      <c r="A48" s="211"/>
      <c r="B48" s="720"/>
      <c r="C48" s="720"/>
      <c r="D48" s="211"/>
      <c r="E48" s="211"/>
      <c r="F48" s="211"/>
      <c r="G48" s="211"/>
      <c r="H48" s="211"/>
      <c r="I48" s="211"/>
      <c r="J48" s="211"/>
      <c r="K48" s="211"/>
    </row>
    <row r="49" spans="1:11">
      <c r="A49" s="211"/>
      <c r="B49" s="720"/>
      <c r="C49" s="720"/>
      <c r="D49" s="211"/>
      <c r="E49" s="211"/>
      <c r="F49" s="211"/>
      <c r="G49" s="211"/>
      <c r="H49" s="211"/>
      <c r="I49" s="211"/>
      <c r="J49" s="211"/>
      <c r="K49" s="211"/>
    </row>
    <row r="50" spans="1:11">
      <c r="A50" s="211"/>
      <c r="B50" s="720"/>
      <c r="C50" s="720"/>
      <c r="D50" s="211"/>
      <c r="E50" s="211"/>
      <c r="F50" s="211"/>
      <c r="G50" s="211"/>
      <c r="H50" s="211"/>
      <c r="I50" s="211"/>
      <c r="J50" s="211"/>
      <c r="K50" s="211"/>
    </row>
    <row r="51" spans="1:11">
      <c r="A51" s="211"/>
      <c r="B51" s="720"/>
      <c r="C51" s="720"/>
      <c r="D51" s="211"/>
      <c r="E51" s="211"/>
      <c r="F51" s="211"/>
      <c r="G51" s="211"/>
      <c r="H51" s="211"/>
      <c r="I51" s="211"/>
      <c r="J51" s="211"/>
      <c r="K51" s="211"/>
    </row>
    <row r="52" spans="1:11">
      <c r="A52" s="211"/>
      <c r="B52" s="720"/>
      <c r="C52" s="720"/>
      <c r="D52" s="211"/>
      <c r="E52" s="211"/>
      <c r="F52" s="211"/>
      <c r="G52" s="211"/>
      <c r="H52" s="211"/>
      <c r="I52" s="211"/>
      <c r="J52" s="211"/>
      <c r="K52" s="211"/>
    </row>
    <row r="53" spans="1:11">
      <c r="A53" s="211"/>
      <c r="B53" s="720"/>
      <c r="C53" s="720"/>
      <c r="D53" s="211"/>
      <c r="E53" s="211"/>
      <c r="F53" s="211"/>
      <c r="G53" s="211"/>
      <c r="H53" s="211"/>
      <c r="I53" s="211"/>
      <c r="J53" s="211"/>
      <c r="K53" s="211"/>
    </row>
    <row r="54" spans="1:11">
      <c r="A54" s="211"/>
      <c r="B54" s="720"/>
      <c r="C54" s="720"/>
      <c r="D54" s="211"/>
      <c r="E54" s="211"/>
      <c r="F54" s="211"/>
      <c r="G54" s="211"/>
      <c r="H54" s="211"/>
      <c r="I54" s="211"/>
      <c r="J54" s="211"/>
      <c r="K54" s="211"/>
    </row>
    <row r="55" spans="1:11">
      <c r="A55" s="211"/>
      <c r="B55" s="720"/>
      <c r="C55" s="720"/>
      <c r="D55" s="211"/>
      <c r="E55" s="211"/>
      <c r="F55" s="211"/>
      <c r="G55" s="211"/>
      <c r="H55" s="211"/>
      <c r="I55" s="211"/>
      <c r="J55" s="211"/>
      <c r="K55" s="211"/>
    </row>
    <row r="56" spans="1:11">
      <c r="A56" s="211"/>
      <c r="B56" s="720"/>
      <c r="C56" s="720"/>
      <c r="D56" s="211"/>
      <c r="E56" s="211"/>
      <c r="F56" s="211"/>
      <c r="G56" s="211"/>
      <c r="H56" s="211"/>
      <c r="I56" s="211"/>
      <c r="J56" s="211"/>
      <c r="K56" s="211"/>
    </row>
    <row r="57" spans="1:11">
      <c r="A57" s="211"/>
      <c r="B57" s="720"/>
      <c r="C57" s="720"/>
      <c r="D57" s="211"/>
      <c r="E57" s="211"/>
      <c r="F57" s="211"/>
      <c r="G57" s="211"/>
      <c r="H57" s="211"/>
      <c r="I57" s="211"/>
      <c r="J57" s="211"/>
      <c r="K57" s="211"/>
    </row>
    <row r="58" spans="1:11">
      <c r="A58" s="211"/>
      <c r="B58" s="720"/>
      <c r="C58" s="720"/>
      <c r="D58" s="211"/>
      <c r="E58" s="211"/>
      <c r="F58" s="211"/>
      <c r="G58" s="211"/>
      <c r="H58" s="211"/>
      <c r="I58" s="211"/>
      <c r="J58" s="211"/>
      <c r="K58" s="211"/>
    </row>
    <row r="59" spans="1:11">
      <c r="A59" s="211"/>
      <c r="B59" s="720"/>
      <c r="C59" s="720"/>
      <c r="D59" s="211"/>
      <c r="E59" s="211"/>
      <c r="F59" s="211"/>
      <c r="G59" s="211"/>
      <c r="H59" s="211"/>
      <c r="I59" s="211"/>
      <c r="J59" s="211"/>
      <c r="K59" s="211"/>
    </row>
    <row r="60" spans="1:11">
      <c r="A60" s="211"/>
      <c r="B60" s="720"/>
      <c r="C60" s="720"/>
      <c r="D60" s="211"/>
      <c r="E60" s="211"/>
      <c r="F60" s="211"/>
      <c r="G60" s="211"/>
      <c r="H60" s="211"/>
      <c r="I60" s="211"/>
      <c r="J60" s="211"/>
      <c r="K60" s="211"/>
    </row>
    <row r="61" spans="1:11">
      <c r="A61" s="211"/>
      <c r="B61" s="720"/>
      <c r="C61" s="720"/>
      <c r="D61" s="211"/>
      <c r="E61" s="211"/>
      <c r="F61" s="211"/>
      <c r="G61" s="211"/>
      <c r="H61" s="211"/>
      <c r="I61" s="211"/>
      <c r="J61" s="211"/>
      <c r="K61" s="211"/>
    </row>
    <row r="62" spans="1:11">
      <c r="A62" s="211"/>
      <c r="B62" s="720"/>
      <c r="C62" s="720"/>
      <c r="D62" s="211"/>
      <c r="E62" s="211"/>
      <c r="F62" s="211"/>
      <c r="G62" s="211"/>
      <c r="H62" s="211"/>
      <c r="I62" s="211"/>
      <c r="J62" s="211"/>
      <c r="K62" s="211"/>
    </row>
    <row r="63" spans="1:11">
      <c r="A63" s="211"/>
      <c r="B63" s="720"/>
      <c r="C63" s="720"/>
      <c r="D63" s="211"/>
      <c r="E63" s="211"/>
      <c r="F63" s="211"/>
      <c r="G63" s="211"/>
      <c r="H63" s="211"/>
      <c r="I63" s="211"/>
      <c r="J63" s="211"/>
      <c r="K63" s="211"/>
    </row>
    <row r="64" spans="1:11">
      <c r="A64" s="211"/>
      <c r="B64" s="720"/>
      <c r="C64" s="720"/>
      <c r="D64" s="211"/>
      <c r="E64" s="211"/>
      <c r="F64" s="211"/>
      <c r="G64" s="211"/>
      <c r="H64" s="211"/>
      <c r="I64" s="211"/>
      <c r="J64" s="211"/>
      <c r="K64" s="211"/>
    </row>
    <row r="65" spans="1:11">
      <c r="A65" s="211"/>
      <c r="B65" s="720"/>
      <c r="C65" s="720"/>
      <c r="D65" s="211"/>
      <c r="E65" s="211"/>
      <c r="F65" s="211"/>
      <c r="G65" s="211"/>
      <c r="H65" s="211"/>
      <c r="I65" s="211"/>
      <c r="J65" s="211"/>
      <c r="K65" s="211"/>
    </row>
    <row r="66" spans="1:11">
      <c r="A66" s="211"/>
      <c r="B66" s="720"/>
      <c r="C66" s="720"/>
      <c r="D66" s="211"/>
      <c r="E66" s="211"/>
      <c r="F66" s="211"/>
      <c r="G66" s="211"/>
      <c r="H66" s="211"/>
      <c r="I66" s="211"/>
      <c r="J66" s="211"/>
      <c r="K66" s="211"/>
    </row>
    <row r="67" spans="1:11">
      <c r="A67" s="211"/>
      <c r="B67" s="720"/>
      <c r="C67" s="720"/>
      <c r="D67" s="211"/>
      <c r="E67" s="211"/>
      <c r="F67" s="211"/>
      <c r="G67" s="211"/>
      <c r="H67" s="211"/>
      <c r="I67" s="211"/>
      <c r="J67" s="211"/>
      <c r="K67" s="211"/>
    </row>
    <row r="68" spans="1:11">
      <c r="A68" s="211"/>
      <c r="B68" s="720"/>
      <c r="C68" s="720"/>
      <c r="D68" s="211"/>
      <c r="E68" s="211"/>
      <c r="F68" s="211"/>
      <c r="G68" s="211"/>
      <c r="H68" s="211"/>
      <c r="I68" s="211"/>
      <c r="J68" s="211"/>
      <c r="K68" s="211"/>
    </row>
    <row r="69" spans="1:11">
      <c r="A69" s="211"/>
      <c r="B69" s="720"/>
      <c r="C69" s="720"/>
      <c r="D69" s="211"/>
      <c r="E69" s="211"/>
      <c r="F69" s="211"/>
      <c r="G69" s="211"/>
      <c r="H69" s="211"/>
      <c r="I69" s="211"/>
      <c r="J69" s="211"/>
      <c r="K69" s="211"/>
    </row>
    <row r="70" spans="1:11">
      <c r="A70" s="211"/>
      <c r="B70" s="720"/>
      <c r="C70" s="720"/>
      <c r="D70" s="211"/>
      <c r="E70" s="211"/>
      <c r="F70" s="211"/>
      <c r="G70" s="211"/>
      <c r="H70" s="211"/>
      <c r="I70" s="211"/>
      <c r="J70" s="211"/>
      <c r="K70" s="211"/>
    </row>
    <row r="71" spans="1:11">
      <c r="A71" s="211"/>
      <c r="B71" s="720"/>
      <c r="C71" s="720"/>
      <c r="D71" s="211"/>
      <c r="E71" s="211"/>
      <c r="F71" s="211"/>
      <c r="G71" s="211"/>
      <c r="H71" s="211"/>
      <c r="I71" s="211"/>
      <c r="J71" s="211"/>
      <c r="K71" s="211"/>
    </row>
    <row r="72" spans="1:11">
      <c r="A72" s="211"/>
      <c r="B72" s="720"/>
      <c r="C72" s="720"/>
      <c r="D72" s="211"/>
      <c r="E72" s="211"/>
      <c r="F72" s="211"/>
      <c r="G72" s="211"/>
      <c r="H72" s="211"/>
      <c r="I72" s="211"/>
      <c r="J72" s="211"/>
      <c r="K72" s="211"/>
    </row>
    <row r="73" spans="1:11">
      <c r="A73" s="211"/>
      <c r="B73" s="720"/>
      <c r="C73" s="720"/>
      <c r="D73" s="211"/>
      <c r="E73" s="211"/>
      <c r="F73" s="211"/>
      <c r="G73" s="211"/>
      <c r="H73" s="211"/>
      <c r="I73" s="211"/>
      <c r="J73" s="211"/>
      <c r="K73" s="211"/>
    </row>
    <row r="74" spans="1:11">
      <c r="A74" s="211"/>
      <c r="B74" s="720"/>
      <c r="C74" s="720"/>
      <c r="D74" s="211"/>
      <c r="E74" s="211"/>
      <c r="F74" s="211"/>
      <c r="G74" s="211"/>
      <c r="H74" s="211"/>
      <c r="I74" s="211"/>
      <c r="J74" s="211"/>
      <c r="K74" s="211"/>
    </row>
    <row r="75" spans="1:11">
      <c r="A75" s="211"/>
      <c r="B75" s="720"/>
      <c r="C75" s="720"/>
      <c r="D75" s="211"/>
      <c r="E75" s="211"/>
      <c r="F75" s="211"/>
      <c r="G75" s="211"/>
      <c r="H75" s="211"/>
      <c r="I75" s="211"/>
      <c r="J75" s="211"/>
      <c r="K75" s="211"/>
    </row>
    <row r="76" spans="1:11">
      <c r="A76" s="211"/>
      <c r="B76" s="720"/>
      <c r="C76" s="720"/>
      <c r="D76" s="211"/>
      <c r="E76" s="211"/>
      <c r="F76" s="211"/>
      <c r="G76" s="211"/>
      <c r="H76" s="211"/>
      <c r="I76" s="211"/>
      <c r="J76" s="211"/>
      <c r="K76" s="211"/>
    </row>
    <row r="77" spans="1:11">
      <c r="A77" s="211"/>
      <c r="B77" s="720"/>
      <c r="C77" s="720"/>
      <c r="D77" s="211"/>
      <c r="E77" s="211"/>
      <c r="F77" s="211"/>
      <c r="G77" s="211"/>
      <c r="H77" s="211"/>
      <c r="I77" s="211"/>
      <c r="J77" s="211"/>
      <c r="K77" s="211"/>
    </row>
    <row r="78" spans="1:11">
      <c r="A78" s="211"/>
      <c r="B78" s="720"/>
      <c r="C78" s="720"/>
      <c r="D78" s="211"/>
      <c r="E78" s="211"/>
      <c r="F78" s="211"/>
      <c r="G78" s="211"/>
      <c r="H78" s="211"/>
      <c r="I78" s="211"/>
      <c r="J78" s="211"/>
      <c r="K78" s="211"/>
    </row>
    <row r="79" spans="1:11">
      <c r="A79" s="211"/>
      <c r="B79" s="720"/>
      <c r="C79" s="720"/>
      <c r="D79" s="211"/>
      <c r="E79" s="211"/>
      <c r="F79" s="211"/>
      <c r="G79" s="211"/>
      <c r="H79" s="211"/>
      <c r="I79" s="211"/>
      <c r="J79" s="211"/>
      <c r="K79" s="211"/>
    </row>
    <row r="80" spans="1:11">
      <c r="A80" s="211"/>
      <c r="B80" s="720"/>
      <c r="C80" s="720"/>
      <c r="D80" s="211"/>
      <c r="E80" s="211"/>
      <c r="F80" s="211"/>
      <c r="G80" s="211"/>
      <c r="H80" s="211"/>
      <c r="I80" s="211"/>
      <c r="J80" s="211"/>
      <c r="K80" s="211"/>
    </row>
    <row r="81" spans="1:11">
      <c r="A81" s="211"/>
      <c r="B81" s="720"/>
      <c r="C81" s="720"/>
      <c r="D81" s="211"/>
      <c r="E81" s="211"/>
      <c r="F81" s="211"/>
      <c r="G81" s="211"/>
      <c r="H81" s="211"/>
      <c r="I81" s="211"/>
      <c r="J81" s="211"/>
      <c r="K81" s="211"/>
    </row>
    <row r="82" spans="1:11">
      <c r="A82" s="211"/>
      <c r="B82" s="720"/>
      <c r="C82" s="720"/>
      <c r="D82" s="211"/>
      <c r="E82" s="211"/>
      <c r="F82" s="211"/>
      <c r="G82" s="211"/>
      <c r="H82" s="211"/>
      <c r="I82" s="211"/>
      <c r="J82" s="211"/>
      <c r="K82" s="211"/>
    </row>
    <row r="83" spans="1:11">
      <c r="A83" s="211"/>
      <c r="B83" s="720"/>
      <c r="C83" s="720"/>
      <c r="D83" s="211"/>
      <c r="E83" s="211"/>
      <c r="F83" s="211"/>
      <c r="G83" s="211"/>
      <c r="H83" s="211"/>
      <c r="I83" s="211"/>
      <c r="J83" s="211"/>
      <c r="K83" s="211"/>
    </row>
    <row r="84" spans="1:11">
      <c r="A84" s="211"/>
      <c r="B84" s="720"/>
      <c r="C84" s="720"/>
      <c r="D84" s="211"/>
      <c r="E84" s="211"/>
      <c r="F84" s="211"/>
      <c r="G84" s="211"/>
      <c r="H84" s="211"/>
      <c r="I84" s="211"/>
      <c r="J84" s="211"/>
      <c r="K84" s="211"/>
    </row>
    <row r="85" spans="1:11">
      <c r="A85" s="211"/>
      <c r="B85" s="720"/>
      <c r="C85" s="720"/>
      <c r="D85" s="211"/>
      <c r="E85" s="211"/>
      <c r="F85" s="211"/>
      <c r="G85" s="211"/>
      <c r="H85" s="211"/>
      <c r="I85" s="211"/>
      <c r="J85" s="211"/>
      <c r="K85" s="211"/>
    </row>
    <row r="86" spans="1:11">
      <c r="A86" s="211"/>
      <c r="B86" s="720"/>
      <c r="C86" s="720"/>
      <c r="D86" s="211"/>
      <c r="E86" s="211"/>
      <c r="F86" s="211"/>
      <c r="G86" s="211"/>
      <c r="H86" s="211"/>
      <c r="I86" s="211"/>
      <c r="J86" s="211"/>
      <c r="K86" s="211"/>
    </row>
    <row r="87" spans="1:11">
      <c r="A87" s="211"/>
      <c r="B87" s="720"/>
      <c r="C87" s="720"/>
      <c r="D87" s="211"/>
      <c r="E87" s="211"/>
      <c r="F87" s="211"/>
      <c r="G87" s="211"/>
      <c r="H87" s="211"/>
      <c r="I87" s="211"/>
      <c r="J87" s="211"/>
      <c r="K87" s="211"/>
    </row>
    <row r="88" spans="1:11">
      <c r="A88" s="211"/>
      <c r="B88" s="720"/>
      <c r="C88" s="720"/>
      <c r="D88" s="211"/>
      <c r="E88" s="211"/>
      <c r="F88" s="211"/>
      <c r="G88" s="211"/>
      <c r="H88" s="211"/>
      <c r="I88" s="211"/>
      <c r="J88" s="211"/>
      <c r="K88" s="211"/>
    </row>
    <row r="89" spans="1:11">
      <c r="A89" s="211"/>
      <c r="B89" s="720"/>
      <c r="C89" s="720"/>
      <c r="D89" s="211"/>
      <c r="E89" s="211"/>
      <c r="F89" s="211"/>
      <c r="G89" s="211"/>
      <c r="H89" s="211"/>
      <c r="I89" s="211"/>
      <c r="J89" s="211"/>
      <c r="K89" s="211"/>
    </row>
    <row r="90" spans="1:11">
      <c r="A90" s="211"/>
      <c r="B90" s="720"/>
      <c r="C90" s="720"/>
      <c r="D90" s="211"/>
      <c r="E90" s="211"/>
      <c r="F90" s="211"/>
      <c r="G90" s="211"/>
      <c r="H90" s="211"/>
      <c r="I90" s="211"/>
      <c r="J90" s="211"/>
      <c r="K90" s="211"/>
    </row>
    <row r="91" spans="1:11">
      <c r="A91" s="211"/>
      <c r="B91" s="720"/>
      <c r="C91" s="720"/>
      <c r="D91" s="211"/>
      <c r="E91" s="211"/>
      <c r="F91" s="211"/>
      <c r="G91" s="211"/>
      <c r="H91" s="211"/>
      <c r="I91" s="211"/>
      <c r="J91" s="211"/>
      <c r="K91" s="211"/>
    </row>
    <row r="92" spans="1:11">
      <c r="A92" s="211"/>
      <c r="B92" s="720"/>
      <c r="C92" s="720"/>
      <c r="D92" s="211"/>
      <c r="E92" s="211"/>
      <c r="F92" s="211"/>
      <c r="G92" s="211"/>
      <c r="H92" s="211"/>
      <c r="I92" s="211"/>
      <c r="J92" s="211"/>
      <c r="K92" s="211"/>
    </row>
    <row r="93" spans="1:11">
      <c r="A93" s="211"/>
      <c r="B93" s="720"/>
      <c r="C93" s="720"/>
      <c r="D93" s="211"/>
      <c r="E93" s="211"/>
      <c r="F93" s="211"/>
      <c r="G93" s="211"/>
      <c r="H93" s="211"/>
      <c r="I93" s="211"/>
      <c r="J93" s="211"/>
      <c r="K93" s="211"/>
    </row>
    <row r="94" spans="1:11">
      <c r="A94" s="211"/>
      <c r="B94" s="720"/>
      <c r="C94" s="720"/>
      <c r="D94" s="211"/>
      <c r="E94" s="211"/>
      <c r="F94" s="211"/>
      <c r="G94" s="211"/>
      <c r="H94" s="211"/>
      <c r="I94" s="211"/>
      <c r="J94" s="211"/>
      <c r="K94" s="211"/>
    </row>
    <row r="95" spans="1:11">
      <c r="A95" s="211"/>
      <c r="B95" s="720"/>
      <c r="C95" s="720"/>
      <c r="D95" s="211"/>
      <c r="E95" s="211"/>
      <c r="F95" s="211"/>
      <c r="G95" s="211"/>
      <c r="H95" s="211"/>
      <c r="I95" s="211"/>
      <c r="J95" s="211"/>
      <c r="K95" s="211"/>
    </row>
    <row r="96" spans="1:11">
      <c r="A96" s="211"/>
      <c r="B96" s="720"/>
      <c r="C96" s="720"/>
      <c r="D96" s="211"/>
      <c r="E96" s="211"/>
      <c r="F96" s="211"/>
      <c r="G96" s="211"/>
      <c r="H96" s="211"/>
      <c r="I96" s="211"/>
      <c r="J96" s="211"/>
      <c r="K96" s="211"/>
    </row>
    <row r="97" spans="1:11">
      <c r="A97" s="211"/>
      <c r="B97" s="720"/>
      <c r="C97" s="720"/>
      <c r="D97" s="211"/>
      <c r="E97" s="211"/>
      <c r="F97" s="211"/>
      <c r="G97" s="211"/>
      <c r="H97" s="211"/>
      <c r="I97" s="211"/>
      <c r="J97" s="211"/>
      <c r="K97" s="211"/>
    </row>
    <row r="98" spans="1:11">
      <c r="A98" s="211"/>
      <c r="B98" s="720"/>
      <c r="C98" s="720"/>
      <c r="D98" s="211"/>
      <c r="E98" s="211"/>
      <c r="F98" s="211"/>
      <c r="G98" s="211"/>
      <c r="H98" s="211"/>
      <c r="I98" s="211"/>
      <c r="J98" s="211"/>
      <c r="K98" s="211"/>
    </row>
    <row r="99" spans="1:11">
      <c r="A99" s="211"/>
      <c r="B99" s="720"/>
      <c r="C99" s="720"/>
      <c r="D99" s="211"/>
      <c r="E99" s="211"/>
      <c r="F99" s="211"/>
      <c r="G99" s="211"/>
      <c r="H99" s="211"/>
      <c r="I99" s="211"/>
      <c r="J99" s="211"/>
      <c r="K99" s="211"/>
    </row>
    <row r="100" spans="1:11">
      <c r="A100" s="211"/>
      <c r="B100" s="720"/>
      <c r="C100" s="720"/>
      <c r="D100" s="211"/>
      <c r="E100" s="211"/>
      <c r="F100" s="211"/>
      <c r="G100" s="211"/>
      <c r="H100" s="211"/>
      <c r="I100" s="211"/>
      <c r="J100" s="211"/>
      <c r="K100" s="211"/>
    </row>
    <row r="101" spans="1:11">
      <c r="A101" s="211"/>
      <c r="B101" s="720"/>
      <c r="C101" s="720"/>
      <c r="D101" s="211"/>
      <c r="E101" s="211"/>
      <c r="F101" s="211"/>
      <c r="G101" s="211"/>
      <c r="H101" s="211"/>
      <c r="I101" s="211"/>
      <c r="J101" s="211"/>
      <c r="K101" s="211"/>
    </row>
    <row r="102" spans="1:11">
      <c r="A102" s="211"/>
      <c r="B102" s="720"/>
      <c r="C102" s="720"/>
      <c r="D102" s="211"/>
      <c r="E102" s="211"/>
      <c r="F102" s="211"/>
      <c r="G102" s="211"/>
      <c r="H102" s="211"/>
      <c r="I102" s="211"/>
      <c r="J102" s="211"/>
      <c r="K102" s="211"/>
    </row>
    <row r="103" spans="1:11">
      <c r="A103" s="211"/>
      <c r="B103" s="720"/>
      <c r="C103" s="720"/>
      <c r="D103" s="211"/>
      <c r="E103" s="211"/>
      <c r="F103" s="211"/>
      <c r="G103" s="211"/>
      <c r="H103" s="211"/>
      <c r="I103" s="211"/>
      <c r="J103" s="211"/>
      <c r="K103" s="211"/>
    </row>
    <row r="104" spans="1:11">
      <c r="A104" s="211"/>
      <c r="B104" s="720"/>
      <c r="C104" s="720"/>
      <c r="D104" s="211"/>
      <c r="E104" s="211"/>
      <c r="F104" s="211"/>
      <c r="G104" s="211"/>
      <c r="H104" s="211"/>
      <c r="I104" s="211"/>
      <c r="J104" s="211"/>
      <c r="K104" s="211"/>
    </row>
  </sheetData>
  <mergeCells count="1">
    <mergeCell ref="A2:L2"/>
  </mergeCells>
  <phoneticPr fontId="0" type="noConversion"/>
  <pageMargins left="0.49" right="0.51" top="0.77" bottom="0.49" header="0.47" footer="0.4921259845"/>
  <pageSetup paperSize="9" scale="81" orientation="portrait" horizontalDpi="1200" verticalDpi="1200"/>
  <headerFooter alignWithMargins="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C0724-A623-5342-AFD9-4E1533172CA1}">
  <sheetPr>
    <pageSetUpPr fitToPage="1"/>
  </sheetPr>
  <dimension ref="A1:G35"/>
  <sheetViews>
    <sheetView zoomScale="75" workbookViewId="0">
      <selection activeCell="A3" sqref="A3"/>
    </sheetView>
  </sheetViews>
  <sheetFormatPr baseColWidth="10" defaultColWidth="10.796875" defaultRowHeight="13"/>
  <cols>
    <col min="1" max="1" width="35.796875" style="2" customWidth="1"/>
    <col min="2" max="3" width="12.796875" style="9" customWidth="1"/>
    <col min="4" max="4" width="14.19921875" style="9" customWidth="1"/>
    <col min="5" max="5" width="12.796875" style="9" customWidth="1"/>
    <col min="6" max="6" width="14.19921875" style="9" customWidth="1"/>
    <col min="7" max="7" width="12.796875" style="2" customWidth="1"/>
    <col min="8" max="16384" width="10.796875" style="2"/>
  </cols>
  <sheetData>
    <row r="1" spans="1:7" ht="14" customHeight="1">
      <c r="A1" s="242"/>
    </row>
    <row r="2" spans="1:7" ht="28" customHeight="1">
      <c r="A2" s="19" t="s">
        <v>1540</v>
      </c>
      <c r="G2" s="192">
        <v>2005</v>
      </c>
    </row>
    <row r="3" spans="1:7" s="21" customFormat="1" ht="25" customHeight="1">
      <c r="A3" s="729" t="s">
        <v>1311</v>
      </c>
      <c r="B3" s="154" t="s">
        <v>224</v>
      </c>
      <c r="C3" s="262" t="s">
        <v>225</v>
      </c>
      <c r="D3" s="154" t="s">
        <v>229</v>
      </c>
      <c r="E3" s="127" t="s">
        <v>1171</v>
      </c>
      <c r="F3" s="268" t="s">
        <v>43</v>
      </c>
      <c r="G3" s="127" t="s">
        <v>265</v>
      </c>
    </row>
    <row r="4" spans="1:7" s="21" customFormat="1" ht="15" customHeight="1">
      <c r="A4" s="730"/>
      <c r="B4" s="155"/>
      <c r="C4" s="213"/>
      <c r="D4" s="155"/>
      <c r="E4" s="213"/>
      <c r="F4" s="129"/>
      <c r="G4" s="131" t="s">
        <v>267</v>
      </c>
    </row>
    <row r="5" spans="1:7" s="21" customFormat="1" ht="15" customHeight="1">
      <c r="A5" s="730"/>
      <c r="B5" s="155"/>
      <c r="C5" s="213"/>
      <c r="D5" s="155"/>
      <c r="E5" s="213"/>
      <c r="F5" s="129"/>
      <c r="G5" s="131" t="s">
        <v>268</v>
      </c>
    </row>
    <row r="6" spans="1:7" s="21" customFormat="1" ht="24" customHeight="1">
      <c r="A6" s="731"/>
      <c r="B6" s="732"/>
      <c r="C6" s="733"/>
      <c r="D6" s="732"/>
      <c r="E6" s="733"/>
      <c r="F6" s="245"/>
      <c r="G6" s="134"/>
    </row>
    <row r="7" spans="1:7" ht="30" customHeight="1" thickBot="1">
      <c r="A7" s="734" t="s">
        <v>1172</v>
      </c>
      <c r="B7" s="310">
        <v>2858735</v>
      </c>
      <c r="C7" s="311">
        <v>3042765</v>
      </c>
      <c r="D7" s="310">
        <v>5901500</v>
      </c>
      <c r="E7" s="311">
        <v>1556975</v>
      </c>
      <c r="F7" s="312">
        <v>7458475</v>
      </c>
      <c r="G7" s="235">
        <v>5.1888321980643063E-3</v>
      </c>
    </row>
    <row r="8" spans="1:7" ht="24" customHeight="1" thickBot="1">
      <c r="A8" s="735" t="s">
        <v>1173</v>
      </c>
      <c r="B8" s="159">
        <v>2051823</v>
      </c>
      <c r="C8" s="219">
        <v>2710373</v>
      </c>
      <c r="D8" s="159">
        <v>4762196</v>
      </c>
      <c r="E8" s="219">
        <v>1341861</v>
      </c>
      <c r="F8" s="313">
        <v>6104057</v>
      </c>
      <c r="G8" s="235">
        <v>4.5794835647295171E-3</v>
      </c>
    </row>
    <row r="9" spans="1:7" ht="20" customHeight="1" thickBot="1">
      <c r="A9" s="735" t="s">
        <v>1312</v>
      </c>
      <c r="B9" s="700">
        <v>71.8</v>
      </c>
      <c r="C9" s="701">
        <v>89.1</v>
      </c>
      <c r="D9" s="700">
        <v>80.694670846394985</v>
      </c>
      <c r="E9" s="701">
        <v>86.2</v>
      </c>
      <c r="F9" s="736">
        <v>81.8</v>
      </c>
      <c r="G9" s="235">
        <v>-1.2210012210013251E-3</v>
      </c>
    </row>
    <row r="10" spans="1:7" ht="24" customHeight="1" thickBot="1">
      <c r="A10" s="735" t="s">
        <v>1174</v>
      </c>
      <c r="B10" s="159">
        <v>487596</v>
      </c>
      <c r="C10" s="219">
        <v>654547</v>
      </c>
      <c r="D10" s="159">
        <v>1142143</v>
      </c>
      <c r="E10" s="219">
        <v>77312</v>
      </c>
      <c r="F10" s="313">
        <v>1219455</v>
      </c>
      <c r="G10" s="235">
        <v>1.948675161727749E-2</v>
      </c>
    </row>
    <row r="11" spans="1:7" ht="20" customHeight="1" thickBot="1">
      <c r="A11" s="735" t="s">
        <v>1165</v>
      </c>
      <c r="B11" s="159" t="s">
        <v>1646</v>
      </c>
      <c r="C11" s="219">
        <v>90397</v>
      </c>
      <c r="D11" s="159">
        <v>90397</v>
      </c>
      <c r="E11" s="219">
        <v>638</v>
      </c>
      <c r="F11" s="313">
        <v>91035</v>
      </c>
      <c r="G11" s="235">
        <v>1.6049644519347747E-2</v>
      </c>
    </row>
    <row r="12" spans="1:7" ht="20" customHeight="1" thickBot="1">
      <c r="A12" s="737" t="s">
        <v>1313</v>
      </c>
      <c r="B12" s="700">
        <v>17.100000000000001</v>
      </c>
      <c r="C12" s="701">
        <v>21.7</v>
      </c>
      <c r="D12" s="700">
        <v>19.353435567228672</v>
      </c>
      <c r="E12" s="701">
        <v>5.0999999999999996</v>
      </c>
      <c r="F12" s="736">
        <v>16.8</v>
      </c>
      <c r="G12" s="235">
        <v>4.3478260869565168E-2</v>
      </c>
    </row>
    <row r="13" spans="1:7" ht="24" customHeight="1" thickBot="1">
      <c r="A13" s="735" t="s">
        <v>1175</v>
      </c>
      <c r="B13" s="159">
        <v>4791517</v>
      </c>
      <c r="C13" s="219">
        <v>6260083</v>
      </c>
      <c r="D13" s="159">
        <v>11051600</v>
      </c>
      <c r="E13" s="219">
        <v>441262</v>
      </c>
      <c r="F13" s="313">
        <v>11492862</v>
      </c>
      <c r="G13" s="235">
        <v>-2.2296384801132798E-2</v>
      </c>
    </row>
    <row r="14" spans="1:7" ht="20" customHeight="1" thickBot="1">
      <c r="A14" s="735" t="s">
        <v>1165</v>
      </c>
      <c r="B14" s="738" t="s">
        <v>1646</v>
      </c>
      <c r="C14" s="219">
        <v>509103</v>
      </c>
      <c r="D14" s="159">
        <v>509103</v>
      </c>
      <c r="E14" s="219">
        <v>3286</v>
      </c>
      <c r="F14" s="313">
        <v>512389</v>
      </c>
      <c r="G14" s="235">
        <v>-2.2014685364070675E-2</v>
      </c>
    </row>
    <row r="15" spans="1:7" ht="20" customHeight="1" thickBot="1">
      <c r="A15" s="735" t="s">
        <v>1314</v>
      </c>
      <c r="B15" s="700">
        <v>167.6</v>
      </c>
      <c r="C15" s="701">
        <v>205.7</v>
      </c>
      <c r="D15" s="700">
        <v>187.26764381936795</v>
      </c>
      <c r="E15" s="701">
        <v>28.3</v>
      </c>
      <c r="F15" s="736">
        <v>154.1</v>
      </c>
      <c r="G15" s="235">
        <v>-2.7146464646464717E-2</v>
      </c>
    </row>
    <row r="16" spans="1:7" ht="30" customHeight="1" thickBot="1">
      <c r="A16" s="257" t="s">
        <v>1315</v>
      </c>
      <c r="B16" s="706">
        <v>9.8268176933362863</v>
      </c>
      <c r="C16" s="707">
        <v>9.563993112794039</v>
      </c>
      <c r="D16" s="706">
        <v>9.6761964132337202</v>
      </c>
      <c r="E16" s="707">
        <v>5.7075486341059607</v>
      </c>
      <c r="F16" s="739">
        <v>9.424588853217216</v>
      </c>
      <c r="G16" s="237">
        <v>-4.0984481997561058E-2</v>
      </c>
    </row>
    <row r="17" spans="1:7" ht="20" customHeight="1">
      <c r="A17" s="146" t="s">
        <v>596</v>
      </c>
      <c r="B17" s="345"/>
      <c r="C17" s="345"/>
      <c r="D17" s="345"/>
      <c r="E17" s="345"/>
      <c r="F17" s="345"/>
      <c r="G17" s="146"/>
    </row>
    <row r="18" spans="1:7" ht="13.5" customHeight="1">
      <c r="A18" s="4"/>
      <c r="B18" s="449"/>
      <c r="C18" s="449"/>
      <c r="D18" s="449"/>
      <c r="E18" s="449"/>
      <c r="F18" s="449"/>
      <c r="G18" s="4"/>
    </row>
    <row r="19" spans="1:7" ht="13.5" customHeight="1">
      <c r="A19" s="4" t="s">
        <v>1316</v>
      </c>
      <c r="B19" s="449"/>
      <c r="C19" s="449"/>
      <c r="D19" s="449"/>
      <c r="E19" s="449"/>
      <c r="F19" s="449"/>
      <c r="G19" s="4"/>
    </row>
    <row r="20" spans="1:7" ht="12.75" customHeight="1">
      <c r="A20" s="4" t="s">
        <v>1317</v>
      </c>
      <c r="B20" s="449"/>
      <c r="C20" s="449"/>
      <c r="D20" s="449"/>
      <c r="E20" s="449"/>
      <c r="F20" s="449"/>
      <c r="G20" s="4"/>
    </row>
    <row r="21" spans="1:7" ht="12.75" customHeight="1">
      <c r="A21" s="4" t="s">
        <v>1318</v>
      </c>
      <c r="B21" s="449"/>
      <c r="C21" s="449"/>
      <c r="D21" s="449"/>
      <c r="E21" s="449"/>
      <c r="F21" s="449"/>
      <c r="G21" s="4"/>
    </row>
    <row r="22" spans="1:7" ht="12.75" customHeight="1">
      <c r="A22" s="740" t="s">
        <v>1319</v>
      </c>
    </row>
    <row r="23" spans="1:7" ht="12.75" customHeight="1">
      <c r="A23" s="740" t="s">
        <v>1320</v>
      </c>
    </row>
    <row r="24" spans="1:7" ht="12.75" customHeight="1">
      <c r="A24" s="740" t="s">
        <v>1321</v>
      </c>
    </row>
    <row r="25" spans="1:7" ht="12.75" customHeight="1">
      <c r="A25" s="740" t="s">
        <v>1322</v>
      </c>
    </row>
    <row r="26" spans="1:7" ht="12.75" customHeight="1">
      <c r="A26" s="740" t="s">
        <v>1323</v>
      </c>
    </row>
    <row r="27" spans="1:7" ht="12.75" customHeight="1">
      <c r="A27" s="740" t="s">
        <v>1166</v>
      </c>
    </row>
    <row r="28" spans="1:7" ht="12.75" customHeight="1">
      <c r="A28" s="740" t="s">
        <v>1167</v>
      </c>
    </row>
    <row r="29" spans="1:7" ht="12.75" customHeight="1">
      <c r="A29" s="740" t="s">
        <v>1168</v>
      </c>
    </row>
    <row r="30" spans="1:7" ht="12.75" customHeight="1">
      <c r="A30" s="740" t="s">
        <v>1169</v>
      </c>
    </row>
    <row r="32" spans="1:7">
      <c r="A32" s="2" t="s">
        <v>1170</v>
      </c>
    </row>
    <row r="35" spans="1:1">
      <c r="A35" s="211" t="s">
        <v>128</v>
      </c>
    </row>
  </sheetData>
  <phoneticPr fontId="0" type="noConversion"/>
  <pageMargins left="0.57999999999999996" right="0.65" top="0.85" bottom="0.47244094488188981" header="0.49" footer="0.51181102362204722"/>
  <pageSetup paperSize="9" scale="79" orientation="portrait" horizontalDpi="1200" verticalDpi="1200"/>
  <headerFooter alignWithMargins="0"/>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17739-B2D9-AB49-B219-BB4C0A70D102}">
  <sheetPr>
    <pageSetUpPr fitToPage="1"/>
  </sheetPr>
  <dimension ref="A1:K29"/>
  <sheetViews>
    <sheetView topLeftCell="A8" zoomScale="75" workbookViewId="0">
      <selection activeCell="A27" sqref="A27"/>
    </sheetView>
  </sheetViews>
  <sheetFormatPr baseColWidth="10" defaultColWidth="11.3984375" defaultRowHeight="13"/>
  <cols>
    <col min="1" max="1" width="20.796875" style="2" customWidth="1"/>
    <col min="2" max="7" width="14.19921875" style="2" customWidth="1"/>
    <col min="8" max="16384" width="11.3984375" style="2"/>
  </cols>
  <sheetData>
    <row r="1" spans="1:11" s="1" customFormat="1" ht="14" customHeight="1"/>
    <row r="2" spans="1:11" s="1" customFormat="1" ht="28" customHeight="1">
      <c r="A2" s="19" t="s">
        <v>481</v>
      </c>
      <c r="G2" s="192">
        <v>2005</v>
      </c>
    </row>
    <row r="3" spans="1:11" ht="24" customHeight="1">
      <c r="A3" s="125" t="s">
        <v>1254</v>
      </c>
      <c r="B3" s="126" t="s">
        <v>1277</v>
      </c>
      <c r="C3" s="127" t="s">
        <v>265</v>
      </c>
      <c r="D3" s="126" t="s">
        <v>1176</v>
      </c>
      <c r="E3" s="127" t="s">
        <v>265</v>
      </c>
      <c r="F3" s="126" t="s">
        <v>1278</v>
      </c>
      <c r="G3" s="127" t="s">
        <v>265</v>
      </c>
    </row>
    <row r="4" spans="1:11" ht="15" customHeight="1">
      <c r="A4" s="212"/>
      <c r="B4" s="129"/>
      <c r="C4" s="131" t="s">
        <v>267</v>
      </c>
      <c r="D4" s="129" t="s">
        <v>1279</v>
      </c>
      <c r="E4" s="131" t="s">
        <v>267</v>
      </c>
      <c r="F4" s="129"/>
      <c r="G4" s="131" t="s">
        <v>267</v>
      </c>
    </row>
    <row r="5" spans="1:11" ht="15" customHeight="1">
      <c r="A5" s="212"/>
      <c r="B5" s="129"/>
      <c r="C5" s="131" t="s">
        <v>268</v>
      </c>
      <c r="D5" s="129"/>
      <c r="E5" s="131" t="s">
        <v>268</v>
      </c>
      <c r="F5" s="129"/>
      <c r="G5" s="131" t="s">
        <v>268</v>
      </c>
    </row>
    <row r="6" spans="1:11" ht="24" customHeight="1">
      <c r="A6" s="214"/>
      <c r="B6" s="135"/>
      <c r="C6" s="134"/>
      <c r="D6" s="135"/>
      <c r="E6" s="134"/>
      <c r="F6" s="135"/>
      <c r="G6" s="134"/>
    </row>
    <row r="7" spans="1:11" ht="23.25" customHeight="1" thickBot="1">
      <c r="A7" s="216">
        <v>1996</v>
      </c>
      <c r="B7" s="157">
        <v>5599991</v>
      </c>
      <c r="C7" s="158">
        <v>-1.7950663164953688E-2</v>
      </c>
      <c r="D7" s="157">
        <v>1117084</v>
      </c>
      <c r="E7" s="158">
        <v>-7.0395014962435803E-2</v>
      </c>
      <c r="F7" s="157">
        <v>18812841</v>
      </c>
      <c r="G7" s="158">
        <v>-0.15548674078736344</v>
      </c>
    </row>
    <row r="8" spans="1:11" ht="20" customHeight="1" thickBot="1">
      <c r="A8" s="218">
        <v>1997</v>
      </c>
      <c r="B8" s="159">
        <v>5669325</v>
      </c>
      <c r="C8" s="160">
        <v>1.2381091326753918E-2</v>
      </c>
      <c r="D8" s="159">
        <v>1150122</v>
      </c>
      <c r="E8" s="160">
        <v>2.9575215471710273E-2</v>
      </c>
      <c r="F8" s="159">
        <v>18987651</v>
      </c>
      <c r="G8" s="160">
        <v>9.2920574835028899E-3</v>
      </c>
      <c r="I8" s="10"/>
      <c r="J8" s="10"/>
      <c r="K8" s="10"/>
    </row>
    <row r="9" spans="1:11" ht="20" customHeight="1" thickBot="1">
      <c r="A9" s="218">
        <v>1998</v>
      </c>
      <c r="B9" s="159">
        <v>5768621</v>
      </c>
      <c r="C9" s="160">
        <v>1.7514607118131346E-2</v>
      </c>
      <c r="D9" s="159">
        <v>1154759</v>
      </c>
      <c r="E9" s="160">
        <v>4.0317461973599323E-3</v>
      </c>
      <c r="F9" s="159">
        <v>17067058</v>
      </c>
      <c r="G9" s="160">
        <v>-0.10114958401120813</v>
      </c>
    </row>
    <row r="10" spans="1:11" ht="20" customHeight="1" thickBot="1">
      <c r="A10" s="218">
        <v>1999</v>
      </c>
      <c r="B10" s="159">
        <v>5833167</v>
      </c>
      <c r="C10" s="160">
        <v>1.1189155952523141E-2</v>
      </c>
      <c r="D10" s="159">
        <v>1096033</v>
      </c>
      <c r="E10" s="160">
        <v>-5.085563308014919E-2</v>
      </c>
      <c r="F10" s="159">
        <v>12747160</v>
      </c>
      <c r="G10" s="160">
        <v>-0.25311321963047173</v>
      </c>
    </row>
    <row r="11" spans="1:11" ht="19.5" customHeight="1" thickBot="1">
      <c r="A11" s="218">
        <v>2000</v>
      </c>
      <c r="B11" s="159">
        <v>5947035</v>
      </c>
      <c r="C11" s="160">
        <v>1.9520785192674923E-2</v>
      </c>
      <c r="D11" s="159">
        <v>1097932</v>
      </c>
      <c r="E11" s="160">
        <v>1.7326120655126261E-3</v>
      </c>
      <c r="F11" s="159">
        <v>12447351</v>
      </c>
      <c r="G11" s="160">
        <v>-2.3519670263807781E-2</v>
      </c>
    </row>
    <row r="12" spans="1:11" ht="19.5" customHeight="1" thickBot="1">
      <c r="A12" s="218">
        <v>2001</v>
      </c>
      <c r="B12" s="159">
        <v>6043905</v>
      </c>
      <c r="C12" s="160">
        <v>1.6288789287434831E-2</v>
      </c>
      <c r="D12" s="159">
        <v>1193315</v>
      </c>
      <c r="E12" s="160">
        <v>8.6875143451507014E-2</v>
      </c>
      <c r="F12" s="159">
        <v>12514126</v>
      </c>
      <c r="G12" s="160">
        <v>5.3645952460085683E-3</v>
      </c>
    </row>
    <row r="13" spans="1:11" ht="19.5" customHeight="1" thickBot="1">
      <c r="A13" s="218">
        <v>2002</v>
      </c>
      <c r="B13" s="159">
        <v>6170788</v>
      </c>
      <c r="C13" s="160">
        <v>2.0993546390950885E-2</v>
      </c>
      <c r="D13" s="159">
        <v>1207239</v>
      </c>
      <c r="E13" s="160">
        <v>1.1668335686721444E-2</v>
      </c>
      <c r="F13" s="159">
        <v>12391461</v>
      </c>
      <c r="G13" s="160">
        <v>-9.8021228170469109E-3</v>
      </c>
    </row>
    <row r="14" spans="1:11" ht="19.5" customHeight="1" thickBot="1">
      <c r="A14" s="218">
        <v>2003</v>
      </c>
      <c r="B14" s="159">
        <v>6105077</v>
      </c>
      <c r="C14" s="160">
        <v>-1.0648721038544834E-2</v>
      </c>
      <c r="D14" s="159">
        <v>1148028</v>
      </c>
      <c r="E14" s="160">
        <v>-4.904662622728391E-2</v>
      </c>
      <c r="F14" s="159">
        <v>11395671</v>
      </c>
      <c r="G14" s="160">
        <v>-8.0360984067980368E-2</v>
      </c>
    </row>
    <row r="15" spans="1:11" ht="19.5" customHeight="1" thickBot="1">
      <c r="A15" s="218">
        <v>2004</v>
      </c>
      <c r="B15" s="159">
        <v>6076231</v>
      </c>
      <c r="C15" s="160">
        <v>-4.7249199313948043E-3</v>
      </c>
      <c r="D15" s="159">
        <v>1196146</v>
      </c>
      <c r="E15" s="160">
        <v>4.191361186312529E-2</v>
      </c>
      <c r="F15" s="159">
        <v>11754955</v>
      </c>
      <c r="G15" s="160">
        <v>3.1528112736845422E-2</v>
      </c>
    </row>
    <row r="16" spans="1:11" ht="30" customHeight="1" thickBot="1">
      <c r="A16" s="220">
        <v>2005</v>
      </c>
      <c r="B16" s="221">
        <v>6104057</v>
      </c>
      <c r="C16" s="162">
        <v>4.5794835647295171E-3</v>
      </c>
      <c r="D16" s="221">
        <v>1219455</v>
      </c>
      <c r="E16" s="162">
        <v>1.948675161727749E-2</v>
      </c>
      <c r="F16" s="221">
        <v>11492862</v>
      </c>
      <c r="G16" s="162">
        <v>-2.2296384801132798E-2</v>
      </c>
    </row>
    <row r="17" spans="1:7" ht="19.5" customHeight="1">
      <c r="A17" s="146" t="s">
        <v>596</v>
      </c>
      <c r="B17" s="146"/>
      <c r="C17" s="146"/>
      <c r="D17" s="146"/>
      <c r="E17" s="146"/>
      <c r="F17" s="146"/>
      <c r="G17" s="146"/>
    </row>
    <row r="18" spans="1:7" ht="12.75" customHeight="1">
      <c r="A18" s="4"/>
      <c r="B18" s="4"/>
      <c r="C18" s="4"/>
      <c r="D18" s="4"/>
      <c r="E18" s="4"/>
      <c r="F18" s="4"/>
      <c r="G18" s="4"/>
    </row>
    <row r="19" spans="1:7" ht="12.75" customHeight="1">
      <c r="A19" s="4" t="s">
        <v>1177</v>
      </c>
      <c r="B19" s="4"/>
      <c r="C19" s="4"/>
      <c r="D19" s="4"/>
      <c r="E19" s="4"/>
      <c r="F19" s="4"/>
      <c r="G19" s="4"/>
    </row>
    <row r="20" spans="1:7" ht="12.75" customHeight="1">
      <c r="A20" s="4" t="s">
        <v>1178</v>
      </c>
      <c r="B20" s="4"/>
      <c r="C20" s="4"/>
      <c r="D20" s="4"/>
      <c r="E20" s="4"/>
      <c r="F20" s="4"/>
      <c r="G20" s="4"/>
    </row>
    <row r="21" spans="1:7" ht="12.75" customHeight="1">
      <c r="A21" s="2" t="s">
        <v>1273</v>
      </c>
    </row>
    <row r="22" spans="1:7" ht="12.75" customHeight="1">
      <c r="A22" s="2" t="s">
        <v>1274</v>
      </c>
    </row>
    <row r="23" spans="1:7" ht="12.75" customHeight="1">
      <c r="A23" s="2" t="s">
        <v>1275</v>
      </c>
    </row>
    <row r="24" spans="1:7" ht="12.75" customHeight="1">
      <c r="A24" s="2" t="s">
        <v>1276</v>
      </c>
    </row>
    <row r="26" spans="1:7">
      <c r="A26" s="2" t="s">
        <v>2087</v>
      </c>
    </row>
    <row r="29" spans="1:7">
      <c r="A29" s="2" t="s">
        <v>128</v>
      </c>
    </row>
  </sheetData>
  <phoneticPr fontId="0" type="noConversion"/>
  <pageMargins left="0.53" right="0.47" top="0.92" bottom="0.49" header="0.54" footer="0.4921259845"/>
  <pageSetup paperSize="9" scale="88" orientation="portrait" horizontalDpi="4294967292" verticalDpi="4294967292"/>
  <headerFooter alignWithMargins="0"/>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9EDB5-DF90-4D41-B865-219DC3087748}">
  <dimension ref="A1:B18"/>
  <sheetViews>
    <sheetView workbookViewId="0">
      <selection activeCell="B5" sqref="B5"/>
    </sheetView>
  </sheetViews>
  <sheetFormatPr baseColWidth="10" defaultColWidth="11.3984375" defaultRowHeight="13"/>
  <cols>
    <col min="1" max="1" width="5.59765625" style="621" customWidth="1"/>
    <col min="2" max="16384" width="11.3984375" style="621"/>
  </cols>
  <sheetData>
    <row r="1" spans="1:2" ht="16">
      <c r="A1" s="622" t="s">
        <v>368</v>
      </c>
    </row>
    <row r="2" spans="1:2" ht="16">
      <c r="A2" s="622"/>
    </row>
    <row r="3" spans="1:2" s="625" customFormat="1">
      <c r="A3" s="623" t="s">
        <v>1653</v>
      </c>
      <c r="B3" s="624" t="s">
        <v>369</v>
      </c>
    </row>
    <row r="4" spans="1:2" s="625" customFormat="1">
      <c r="A4" s="623" t="s">
        <v>1654</v>
      </c>
      <c r="B4" s="624" t="s">
        <v>1281</v>
      </c>
    </row>
    <row r="5" spans="1:2">
      <c r="A5" s="623" t="s">
        <v>1655</v>
      </c>
      <c r="B5" s="624" t="s">
        <v>1282</v>
      </c>
    </row>
    <row r="6" spans="1:2" s="625" customFormat="1">
      <c r="A6" s="624"/>
      <c r="B6" s="624"/>
    </row>
    <row r="7" spans="1:2" s="625" customFormat="1">
      <c r="A7" s="624"/>
      <c r="B7" s="624"/>
    </row>
    <row r="8" spans="1:2" s="625" customFormat="1">
      <c r="A8" s="624"/>
      <c r="B8" s="624"/>
    </row>
    <row r="9" spans="1:2" s="625" customFormat="1">
      <c r="A9" s="624"/>
      <c r="B9" s="624"/>
    </row>
    <row r="10" spans="1:2" s="625" customFormat="1">
      <c r="A10" s="624"/>
      <c r="B10" s="624"/>
    </row>
    <row r="11" spans="1:2" s="625" customFormat="1">
      <c r="A11" s="624"/>
      <c r="B11" s="624"/>
    </row>
    <row r="12" spans="1:2" s="625" customFormat="1">
      <c r="A12" s="624"/>
      <c r="B12" s="624"/>
    </row>
    <row r="13" spans="1:2">
      <c r="A13" s="626"/>
      <c r="B13" s="627"/>
    </row>
    <row r="14" spans="1:2">
      <c r="A14" s="626"/>
      <c r="B14" s="627"/>
    </row>
    <row r="15" spans="1:2">
      <c r="A15" s="624"/>
      <c r="B15" s="624"/>
    </row>
    <row r="18" spans="1:1">
      <c r="A18" s="628" t="s">
        <v>128</v>
      </c>
    </row>
  </sheetData>
  <phoneticPr fontId="37" type="noConversion"/>
  <pageMargins left="0.46" right="0.35" top="0.88" bottom="0.984251969" header="0.4921259845" footer="0.4921259845"/>
  <pageSetup paperSize="9" orientation="portrait"/>
  <headerFooter alignWithMargins="0"/>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3CEA9-08A3-CC45-8DC5-CCDD64BBB366}">
  <dimension ref="A1:K25"/>
  <sheetViews>
    <sheetView topLeftCell="A4" zoomScale="75" workbookViewId="0">
      <selection activeCell="A23" sqref="A23"/>
    </sheetView>
  </sheetViews>
  <sheetFormatPr baseColWidth="10" defaultColWidth="11.3984375" defaultRowHeight="13"/>
  <cols>
    <col min="1" max="1" width="21.796875" style="2" customWidth="1"/>
    <col min="2" max="7" width="12.796875" style="2" customWidth="1"/>
    <col min="8" max="16384" width="11.3984375" style="2"/>
  </cols>
  <sheetData>
    <row r="1" spans="1:11" s="1" customFormat="1" ht="14" customHeight="1"/>
    <row r="2" spans="1:11" s="1" customFormat="1" ht="28" customHeight="1">
      <c r="A2" s="19" t="s">
        <v>1283</v>
      </c>
      <c r="G2" s="629">
        <v>2005</v>
      </c>
    </row>
    <row r="3" spans="1:11" ht="24" customHeight="1">
      <c r="A3" s="125" t="s">
        <v>1284</v>
      </c>
      <c r="B3" s="126" t="s">
        <v>1285</v>
      </c>
      <c r="C3" s="127" t="s">
        <v>1286</v>
      </c>
      <c r="D3" s="126" t="s">
        <v>1285</v>
      </c>
      <c r="E3" s="127" t="s">
        <v>1286</v>
      </c>
      <c r="F3" s="126" t="s">
        <v>43</v>
      </c>
      <c r="G3" s="127" t="s">
        <v>265</v>
      </c>
    </row>
    <row r="4" spans="1:11" ht="15" customHeight="1">
      <c r="A4" s="212" t="s">
        <v>1287</v>
      </c>
      <c r="B4" s="129" t="s">
        <v>1290</v>
      </c>
      <c r="C4" s="131" t="s">
        <v>346</v>
      </c>
      <c r="D4" s="129" t="s">
        <v>1291</v>
      </c>
      <c r="E4" s="131" t="s">
        <v>346</v>
      </c>
      <c r="F4" s="129"/>
      <c r="G4" s="131" t="s">
        <v>267</v>
      </c>
    </row>
    <row r="5" spans="1:11" ht="15" customHeight="1">
      <c r="A5" s="212" t="s">
        <v>1288</v>
      </c>
      <c r="B5" s="129"/>
      <c r="C5" s="131"/>
      <c r="D5" s="129"/>
      <c r="E5" s="131"/>
      <c r="F5" s="129"/>
      <c r="G5" s="131" t="s">
        <v>268</v>
      </c>
    </row>
    <row r="6" spans="1:11" ht="14.25" customHeight="1">
      <c r="A6" s="214"/>
      <c r="B6" s="135"/>
      <c r="C6" s="134"/>
      <c r="D6" s="135"/>
      <c r="E6" s="134"/>
      <c r="F6" s="135"/>
      <c r="G6" s="134"/>
    </row>
    <row r="7" spans="1:11" ht="24.75" customHeight="1" thickBot="1">
      <c r="A7" s="216">
        <v>1996</v>
      </c>
      <c r="B7" s="248">
        <v>82</v>
      </c>
      <c r="C7" s="158">
        <v>0.56551724137931036</v>
      </c>
      <c r="D7" s="157">
        <v>63</v>
      </c>
      <c r="E7" s="158">
        <v>0.43448275862068964</v>
      </c>
      <c r="F7" s="157">
        <v>145</v>
      </c>
      <c r="G7" s="158">
        <v>-0.12650602409638553</v>
      </c>
      <c r="I7" s="10"/>
      <c r="J7" s="10"/>
      <c r="K7" s="10"/>
    </row>
    <row r="8" spans="1:11" ht="20" customHeight="1" thickBot="1">
      <c r="A8" s="218">
        <v>1997</v>
      </c>
      <c r="B8" s="197">
        <v>60</v>
      </c>
      <c r="C8" s="160">
        <v>0.46511627906976744</v>
      </c>
      <c r="D8" s="159">
        <v>69</v>
      </c>
      <c r="E8" s="160">
        <v>0.53488372093023251</v>
      </c>
      <c r="F8" s="159">
        <v>129</v>
      </c>
      <c r="G8" s="160">
        <v>-0.1103448275862069</v>
      </c>
    </row>
    <row r="9" spans="1:11" ht="20" customHeight="1" thickBot="1">
      <c r="A9" s="218">
        <v>1998</v>
      </c>
      <c r="B9" s="197">
        <v>62</v>
      </c>
      <c r="C9" s="160">
        <v>0.52542372881355937</v>
      </c>
      <c r="D9" s="159">
        <v>56</v>
      </c>
      <c r="E9" s="160">
        <v>0.47457627118644069</v>
      </c>
      <c r="F9" s="159">
        <v>118</v>
      </c>
      <c r="G9" s="160">
        <v>-8.5271317829457363E-2</v>
      </c>
    </row>
    <row r="10" spans="1:11" ht="20" customHeight="1" thickBot="1">
      <c r="A10" s="218">
        <v>1999</v>
      </c>
      <c r="B10" s="197">
        <v>59</v>
      </c>
      <c r="C10" s="160">
        <v>0.54128440366972475</v>
      </c>
      <c r="D10" s="159">
        <v>50</v>
      </c>
      <c r="E10" s="160">
        <v>0.45871559633027525</v>
      </c>
      <c r="F10" s="159">
        <v>109</v>
      </c>
      <c r="G10" s="160">
        <v>-7.6271186440677971E-2</v>
      </c>
    </row>
    <row r="11" spans="1:11" ht="19.5" customHeight="1" thickBot="1">
      <c r="A11" s="218">
        <v>2000</v>
      </c>
      <c r="B11" s="197">
        <v>59</v>
      </c>
      <c r="C11" s="160">
        <v>0.58415841584158412</v>
      </c>
      <c r="D11" s="159">
        <v>42</v>
      </c>
      <c r="E11" s="160">
        <v>0.41584158415841582</v>
      </c>
      <c r="F11" s="159">
        <v>101</v>
      </c>
      <c r="G11" s="160">
        <v>-7.3394495412844041E-2</v>
      </c>
    </row>
    <row r="12" spans="1:11" ht="20" customHeight="1" thickBot="1">
      <c r="A12" s="218">
        <v>2001</v>
      </c>
      <c r="B12" s="197">
        <v>64</v>
      </c>
      <c r="C12" s="160">
        <v>0.64646464646464652</v>
      </c>
      <c r="D12" s="159">
        <v>35</v>
      </c>
      <c r="E12" s="160">
        <v>0.35353535353535354</v>
      </c>
      <c r="F12" s="159">
        <v>99</v>
      </c>
      <c r="G12" s="160">
        <v>-1.9801980198019802E-2</v>
      </c>
    </row>
    <row r="13" spans="1:11" ht="20" customHeight="1" thickBot="1">
      <c r="A13" s="218">
        <v>2002</v>
      </c>
      <c r="B13" s="197">
        <v>68</v>
      </c>
      <c r="C13" s="160">
        <v>0.73118279569892475</v>
      </c>
      <c r="D13" s="159">
        <v>25</v>
      </c>
      <c r="E13" s="160">
        <v>0.26881720430107525</v>
      </c>
      <c r="F13" s="159">
        <v>93</v>
      </c>
      <c r="G13" s="160">
        <v>-6.0606060606060608E-2</v>
      </c>
    </row>
    <row r="14" spans="1:11" ht="20" customHeight="1" thickBot="1">
      <c r="A14" s="218">
        <v>2003</v>
      </c>
      <c r="B14" s="197">
        <v>70</v>
      </c>
      <c r="C14" s="160">
        <v>0.75268817204301075</v>
      </c>
      <c r="D14" s="159">
        <v>23</v>
      </c>
      <c r="E14" s="160">
        <v>0.24731182795698925</v>
      </c>
      <c r="F14" s="159">
        <v>93</v>
      </c>
      <c r="G14" s="160">
        <v>0</v>
      </c>
    </row>
    <row r="15" spans="1:11" ht="20" customHeight="1" thickBot="1">
      <c r="A15" s="218">
        <v>2004</v>
      </c>
      <c r="B15" s="197">
        <v>72</v>
      </c>
      <c r="C15" s="160">
        <v>0.77419354838709675</v>
      </c>
      <c r="D15" s="159">
        <v>21</v>
      </c>
      <c r="E15" s="160">
        <v>0.22580645161290322</v>
      </c>
      <c r="F15" s="159">
        <v>93</v>
      </c>
      <c r="G15" s="160">
        <v>0</v>
      </c>
    </row>
    <row r="16" spans="1:11" ht="24.75" customHeight="1" thickBot="1">
      <c r="A16" s="630">
        <v>2005</v>
      </c>
      <c r="B16" s="631">
        <v>65</v>
      </c>
      <c r="C16" s="632">
        <v>0.76470588235294112</v>
      </c>
      <c r="D16" s="313">
        <v>20</v>
      </c>
      <c r="E16" s="632">
        <v>0.23529411764705882</v>
      </c>
      <c r="F16" s="313">
        <v>85</v>
      </c>
      <c r="G16" s="632">
        <v>-8.6021505376344093E-2</v>
      </c>
    </row>
    <row r="17" spans="1:7">
      <c r="A17" s="146" t="s">
        <v>688</v>
      </c>
      <c r="B17" s="146"/>
      <c r="C17" s="146"/>
      <c r="D17" s="146"/>
      <c r="E17" s="146"/>
      <c r="F17" s="146"/>
      <c r="G17" s="146"/>
    </row>
    <row r="18" spans="1:7">
      <c r="A18" s="4"/>
      <c r="B18" s="4"/>
      <c r="C18" s="4"/>
      <c r="D18" s="4"/>
      <c r="E18" s="4"/>
      <c r="F18" s="4"/>
      <c r="G18" s="4"/>
    </row>
    <row r="19" spans="1:7">
      <c r="A19" s="4" t="s">
        <v>257</v>
      </c>
      <c r="B19" s="4"/>
      <c r="C19" s="4"/>
      <c r="D19" s="4"/>
      <c r="E19" s="4"/>
      <c r="F19" s="4"/>
      <c r="G19" s="4"/>
    </row>
    <row r="20" spans="1:7">
      <c r="A20" s="4"/>
      <c r="B20" s="4"/>
      <c r="C20" s="4"/>
      <c r="D20" s="4"/>
      <c r="E20" s="4"/>
      <c r="F20" s="4"/>
      <c r="G20" s="4"/>
    </row>
    <row r="21" spans="1:7">
      <c r="A21" s="2" t="s">
        <v>1289</v>
      </c>
    </row>
    <row r="22" spans="1:7">
      <c r="A22" s="2" t="s">
        <v>2088</v>
      </c>
    </row>
    <row r="25" spans="1:7">
      <c r="A25" s="4" t="s">
        <v>128</v>
      </c>
    </row>
  </sheetData>
  <phoneticPr fontId="0" type="noConversion"/>
  <pageMargins left="0.56000000000000005" right="0.56999999999999995" top="0.81" bottom="0.49" header="0.47" footer="0.4921259845"/>
  <pageSetup paperSize="9" scale="80" orientation="portrait" horizontalDpi="1200" verticalDpi="1200"/>
  <headerFooter alignWithMargins="0"/>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34A0C-C26E-D446-9083-26CE73A6B897}">
  <dimension ref="A1:K26"/>
  <sheetViews>
    <sheetView topLeftCell="A4" zoomScale="75" workbookViewId="0">
      <selection activeCell="H22" sqref="H22"/>
    </sheetView>
  </sheetViews>
  <sheetFormatPr baseColWidth="10" defaultColWidth="11.3984375" defaultRowHeight="13"/>
  <cols>
    <col min="1" max="1" width="21.796875" style="2" customWidth="1"/>
    <col min="2" max="2" width="15.19921875" style="2" customWidth="1"/>
    <col min="3" max="4" width="12.796875" style="2" customWidth="1"/>
    <col min="5" max="5" width="13" style="2" customWidth="1"/>
    <col min="6" max="6" width="15.19921875" style="2" customWidth="1"/>
    <col min="7" max="7" width="13" style="2" customWidth="1"/>
    <col min="8" max="16384" width="11.3984375" style="2"/>
  </cols>
  <sheetData>
    <row r="1" spans="1:11" s="1" customFormat="1" ht="14" customHeight="1"/>
    <row r="2" spans="1:11" s="1" customFormat="1" ht="39" customHeight="1">
      <c r="A2" s="1606" t="s">
        <v>1295</v>
      </c>
      <c r="B2" s="1610"/>
      <c r="C2" s="1610"/>
      <c r="D2" s="1610"/>
      <c r="E2" s="1610"/>
      <c r="F2" s="1610"/>
      <c r="G2" s="629">
        <v>2005</v>
      </c>
    </row>
    <row r="3" spans="1:11" ht="24" customHeight="1">
      <c r="A3" s="125" t="s">
        <v>1284</v>
      </c>
      <c r="B3" s="504" t="s">
        <v>1305</v>
      </c>
      <c r="C3" s="127"/>
      <c r="D3" s="126"/>
      <c r="E3" s="127"/>
      <c r="F3" s="504" t="s">
        <v>1306</v>
      </c>
      <c r="G3" s="127"/>
    </row>
    <row r="4" spans="1:11" ht="15" customHeight="1">
      <c r="A4" s="212" t="s">
        <v>1287</v>
      </c>
      <c r="B4" s="129" t="s">
        <v>1296</v>
      </c>
      <c r="C4" s="131" t="s">
        <v>265</v>
      </c>
      <c r="D4" s="129" t="s">
        <v>1297</v>
      </c>
      <c r="E4" s="131" t="s">
        <v>265</v>
      </c>
      <c r="F4" s="129" t="s">
        <v>1298</v>
      </c>
      <c r="G4" s="131" t="s">
        <v>265</v>
      </c>
    </row>
    <row r="5" spans="1:11" ht="15" customHeight="1">
      <c r="A5" s="212" t="s">
        <v>1288</v>
      </c>
      <c r="B5" s="129" t="s">
        <v>1299</v>
      </c>
      <c r="C5" s="131" t="s">
        <v>267</v>
      </c>
      <c r="D5" s="129" t="s">
        <v>344</v>
      </c>
      <c r="E5" s="131" t="s">
        <v>267</v>
      </c>
      <c r="F5" s="129" t="s">
        <v>1300</v>
      </c>
      <c r="G5" s="131" t="s">
        <v>267</v>
      </c>
    </row>
    <row r="6" spans="1:11" ht="24" customHeight="1">
      <c r="A6" s="214"/>
      <c r="B6" s="135"/>
      <c r="C6" s="134" t="s">
        <v>268</v>
      </c>
      <c r="D6" s="135"/>
      <c r="E6" s="134" t="s">
        <v>1301</v>
      </c>
      <c r="F6" s="135"/>
      <c r="G6" s="134" t="s">
        <v>1301</v>
      </c>
    </row>
    <row r="7" spans="1:11" ht="23.25" customHeight="1" thickBot="1">
      <c r="A7" s="216">
        <v>1996</v>
      </c>
      <c r="B7" s="157">
        <v>913.21658500000001</v>
      </c>
      <c r="C7" s="158">
        <v>0.93069045454545452</v>
      </c>
      <c r="D7" s="157">
        <v>2674.048675</v>
      </c>
      <c r="E7" s="633" t="s">
        <v>861</v>
      </c>
      <c r="F7" s="157">
        <v>530</v>
      </c>
      <c r="G7" s="158">
        <v>0.4887640449438202</v>
      </c>
      <c r="I7" s="10"/>
      <c r="J7" s="10"/>
      <c r="K7" s="10"/>
    </row>
    <row r="8" spans="1:11" ht="20" customHeight="1" thickBot="1">
      <c r="A8" s="218">
        <v>1997</v>
      </c>
      <c r="B8" s="159">
        <v>951.20448216581099</v>
      </c>
      <c r="C8" s="160">
        <v>4.1597905458332182E-2</v>
      </c>
      <c r="D8" s="159">
        <v>2894.7924399622598</v>
      </c>
      <c r="E8" s="160">
        <v>8.2550391481658339E-2</v>
      </c>
      <c r="F8" s="159">
        <v>532</v>
      </c>
      <c r="G8" s="160">
        <v>3.7735849056603774E-3</v>
      </c>
    </row>
    <row r="9" spans="1:11" ht="20" customHeight="1" thickBot="1">
      <c r="A9" s="218">
        <v>1998</v>
      </c>
      <c r="B9" s="159">
        <v>1005.42211</v>
      </c>
      <c r="C9" s="160">
        <v>5.6998919633704945E-2</v>
      </c>
      <c r="D9" s="159">
        <v>3172.9022279999999</v>
      </c>
      <c r="E9" s="160">
        <v>9.6072445194504488E-2</v>
      </c>
      <c r="F9" s="159">
        <v>609.28660000000002</v>
      </c>
      <c r="G9" s="160">
        <v>0.14527556390977447</v>
      </c>
    </row>
    <row r="10" spans="1:11" ht="20" customHeight="1" thickBot="1">
      <c r="A10" s="218">
        <v>1999</v>
      </c>
      <c r="B10" s="159">
        <v>1043.283537</v>
      </c>
      <c r="C10" s="160">
        <v>3.7657245273828376E-2</v>
      </c>
      <c r="D10" s="159">
        <v>3340.3853559999998</v>
      </c>
      <c r="E10" s="160">
        <v>5.2785467677512014E-2</v>
      </c>
      <c r="F10" s="159">
        <v>659.60795700000006</v>
      </c>
      <c r="G10" s="160">
        <v>8.2590618273896119E-2</v>
      </c>
    </row>
    <row r="11" spans="1:11" ht="23.25" customHeight="1" thickBot="1">
      <c r="A11" s="218">
        <v>2000</v>
      </c>
      <c r="B11" s="159">
        <v>1090.4996369999999</v>
      </c>
      <c r="C11" s="160">
        <v>4.5257207964549594E-2</v>
      </c>
      <c r="D11" s="159">
        <v>3554.1311930000002</v>
      </c>
      <c r="E11" s="160">
        <v>6.3988376854805129E-2</v>
      </c>
      <c r="F11" s="159">
        <v>732.09943699999997</v>
      </c>
      <c r="G11" s="160">
        <v>0.10990085736640061</v>
      </c>
    </row>
    <row r="12" spans="1:11" ht="20" customHeight="1" thickBot="1">
      <c r="A12" s="218">
        <v>2001</v>
      </c>
      <c r="B12" s="159">
        <v>1148.4065562125586</v>
      </c>
      <c r="C12" s="160">
        <v>5.3101273258432738E-2</v>
      </c>
      <c r="D12" s="159">
        <v>3804.1073437743612</v>
      </c>
      <c r="E12" s="160">
        <v>7.0333968331472624E-2</v>
      </c>
      <c r="F12" s="159">
        <v>844.73803099999998</v>
      </c>
      <c r="G12" s="160">
        <v>0.15385696028065654</v>
      </c>
    </row>
    <row r="13" spans="1:11" ht="20" customHeight="1" thickBot="1">
      <c r="A13" s="218">
        <v>2002</v>
      </c>
      <c r="B13" s="159">
        <v>1176.9857406315903</v>
      </c>
      <c r="C13" s="160">
        <v>2.4885946761994921E-2</v>
      </c>
      <c r="D13" s="159">
        <v>3992.1493332093432</v>
      </c>
      <c r="E13" s="160">
        <v>4.9431304756087785E-2</v>
      </c>
      <c r="F13" s="159">
        <v>928.34341900000004</v>
      </c>
      <c r="G13" s="160">
        <v>9.8971971110414073E-2</v>
      </c>
    </row>
    <row r="14" spans="1:11" ht="20" customHeight="1" thickBot="1">
      <c r="A14" s="218">
        <v>2003</v>
      </c>
      <c r="B14" s="159">
        <v>1165.5985248499421</v>
      </c>
      <c r="C14" s="160">
        <v>-9.6748969749944191E-3</v>
      </c>
      <c r="D14" s="159">
        <v>4231.4747261964076</v>
      </c>
      <c r="E14" s="160">
        <v>5.9949008168656705E-2</v>
      </c>
      <c r="F14" s="159">
        <v>1008.669965</v>
      </c>
      <c r="G14" s="160">
        <v>8.652675761576116E-2</v>
      </c>
    </row>
    <row r="15" spans="1:11" ht="20" customHeight="1" thickBot="1">
      <c r="A15" s="218">
        <v>2004</v>
      </c>
      <c r="B15" s="159">
        <v>1233.4256947047143</v>
      </c>
      <c r="C15" s="160">
        <v>5.8190850802169757E-2</v>
      </c>
      <c r="D15" s="159">
        <v>4554.5751523643485</v>
      </c>
      <c r="E15" s="160">
        <v>7.6356458935622609E-2</v>
      </c>
      <c r="F15" s="159">
        <v>1102.909758</v>
      </c>
      <c r="G15" s="160">
        <v>9.3429760248685462E-2</v>
      </c>
    </row>
    <row r="16" spans="1:11" ht="25.5" customHeight="1" thickBot="1">
      <c r="A16" s="630">
        <v>2005</v>
      </c>
      <c r="B16" s="313">
        <v>1249.2878390447622</v>
      </c>
      <c r="C16" s="632">
        <v>1.286023504143507E-2</v>
      </c>
      <c r="D16" s="313">
        <v>4844.6728040822618</v>
      </c>
      <c r="E16" s="632">
        <v>6.3693679874251119E-2</v>
      </c>
      <c r="F16" s="313">
        <v>1201.552809</v>
      </c>
      <c r="G16" s="632">
        <v>8.9438914004059442E-2</v>
      </c>
    </row>
    <row r="17" spans="1:7">
      <c r="A17" s="146" t="s">
        <v>688</v>
      </c>
      <c r="B17" s="146"/>
      <c r="C17" s="146"/>
      <c r="D17" s="146"/>
      <c r="E17" s="146"/>
      <c r="F17" s="146"/>
      <c r="G17" s="146"/>
    </row>
    <row r="18" spans="1:7">
      <c r="A18" s="4"/>
      <c r="B18" s="4"/>
      <c r="C18" s="4"/>
      <c r="D18" s="4"/>
      <c r="E18" s="4"/>
      <c r="F18" s="4"/>
      <c r="G18" s="4"/>
    </row>
    <row r="19" spans="1:7">
      <c r="A19" s="4" t="s">
        <v>257</v>
      </c>
      <c r="B19" s="4"/>
      <c r="C19" s="4"/>
      <c r="D19" s="4"/>
      <c r="E19" s="4"/>
      <c r="F19" s="4"/>
      <c r="G19" s="4"/>
    </row>
    <row r="20" spans="1:7">
      <c r="A20" s="4"/>
      <c r="B20" s="4"/>
      <c r="C20" s="4"/>
      <c r="D20" s="4"/>
      <c r="E20" s="4"/>
      <c r="F20" s="4"/>
      <c r="G20" s="4"/>
    </row>
    <row r="21" spans="1:7">
      <c r="A21" s="4" t="s">
        <v>1302</v>
      </c>
    </row>
    <row r="22" spans="1:7">
      <c r="A22" s="20" t="s">
        <v>1303</v>
      </c>
    </row>
    <row r="23" spans="1:7">
      <c r="A23" s="20" t="s">
        <v>1304</v>
      </c>
    </row>
    <row r="26" spans="1:7">
      <c r="A26" s="4" t="s">
        <v>128</v>
      </c>
    </row>
  </sheetData>
  <mergeCells count="1">
    <mergeCell ref="A2:F2"/>
  </mergeCells>
  <phoneticPr fontId="0" type="noConversion"/>
  <pageMargins left="0.62" right="0.66" top="0.89" bottom="0.49" header="0.53" footer="0.4921259845"/>
  <pageSetup paperSize="9" scale="80" orientation="portrait" horizontalDpi="1200" verticalDpi="1200"/>
  <headerFooter alignWithMargins="0"/>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93DE4-E5B7-364E-A5A8-1DB9ED0E4513}">
  <dimension ref="A1:J34"/>
  <sheetViews>
    <sheetView zoomScale="75" workbookViewId="0">
      <selection activeCell="A3" sqref="A3"/>
    </sheetView>
  </sheetViews>
  <sheetFormatPr baseColWidth="10" defaultColWidth="11.3984375" defaultRowHeight="13"/>
  <cols>
    <col min="1" max="1" width="14.796875" style="2" customWidth="1"/>
    <col min="2" max="2" width="14.796875" style="169" customWidth="1"/>
    <col min="3" max="3" width="14.3984375" style="170" customWidth="1"/>
    <col min="4" max="4" width="14.796875" style="169" customWidth="1"/>
    <col min="5" max="5" width="14.796875" style="170" customWidth="1"/>
    <col min="6" max="6" width="14.796875" style="169" customWidth="1"/>
    <col min="7" max="7" width="14.796875" style="170" customWidth="1"/>
    <col min="8" max="8" width="7.59765625" style="2" customWidth="1"/>
    <col min="9" max="9" width="6.3984375" style="2" customWidth="1"/>
    <col min="10" max="10" width="8.796875" style="2" customWidth="1"/>
    <col min="11" max="16384" width="11.3984375" style="2"/>
  </cols>
  <sheetData>
    <row r="1" spans="1:10" s="1" customFormat="1" ht="18.75" customHeight="1">
      <c r="A1" s="148"/>
      <c r="B1" s="149"/>
      <c r="C1" s="634"/>
      <c r="D1" s="635"/>
      <c r="E1" s="634"/>
      <c r="F1" s="635"/>
      <c r="G1" s="634"/>
    </row>
    <row r="2" spans="1:10" s="1" customFormat="1" ht="40.5" customHeight="1">
      <c r="A2" s="1612" t="s">
        <v>1382</v>
      </c>
      <c r="B2" s="1610"/>
      <c r="C2" s="1610"/>
      <c r="D2" s="1610"/>
      <c r="E2" s="1610"/>
      <c r="F2" s="1610"/>
      <c r="G2" s="629">
        <v>2005</v>
      </c>
    </row>
    <row r="3" spans="1:10" ht="27" customHeight="1">
      <c r="A3" s="125" t="s">
        <v>261</v>
      </c>
      <c r="B3" s="154" t="s">
        <v>262</v>
      </c>
      <c r="C3" s="127" t="s">
        <v>265</v>
      </c>
      <c r="D3" s="154" t="s">
        <v>264</v>
      </c>
      <c r="E3" s="127" t="s">
        <v>265</v>
      </c>
      <c r="F3" s="154" t="s">
        <v>43</v>
      </c>
      <c r="G3" s="127" t="s">
        <v>265</v>
      </c>
    </row>
    <row r="4" spans="1:10" ht="15" customHeight="1">
      <c r="A4" s="128"/>
      <c r="B4" s="155"/>
      <c r="C4" s="131" t="s">
        <v>1376</v>
      </c>
      <c r="D4" s="155"/>
      <c r="E4" s="131" t="s">
        <v>1376</v>
      </c>
      <c r="F4" s="155"/>
      <c r="G4" s="131" t="s">
        <v>1376</v>
      </c>
    </row>
    <row r="5" spans="1:10" ht="15" customHeight="1">
      <c r="A5" s="128"/>
      <c r="B5" s="155"/>
      <c r="C5" s="131" t="s">
        <v>268</v>
      </c>
      <c r="D5" s="155"/>
      <c r="E5" s="131" t="s">
        <v>268</v>
      </c>
      <c r="F5" s="155"/>
      <c r="G5" s="131" t="s">
        <v>268</v>
      </c>
    </row>
    <row r="6" spans="1:10" ht="23" customHeight="1">
      <c r="A6" s="132"/>
      <c r="B6" s="156"/>
      <c r="C6" s="134"/>
      <c r="D6" s="156"/>
      <c r="E6" s="134"/>
      <c r="F6" s="156"/>
      <c r="G6" s="134"/>
    </row>
    <row r="7" spans="1:10" ht="30" customHeight="1" thickBot="1">
      <c r="A7" s="137" t="s">
        <v>269</v>
      </c>
      <c r="B7" s="157">
        <v>0</v>
      </c>
      <c r="C7" s="158">
        <v>0</v>
      </c>
      <c r="D7" s="157">
        <v>0</v>
      </c>
      <c r="E7" s="158">
        <v>0</v>
      </c>
      <c r="F7" s="157">
        <v>0</v>
      </c>
      <c r="G7" s="158">
        <v>0</v>
      </c>
      <c r="H7" s="636"/>
      <c r="I7" s="636"/>
      <c r="J7" s="636"/>
    </row>
    <row r="8" spans="1:10" ht="20" customHeight="1" thickBot="1">
      <c r="A8" s="141" t="s">
        <v>270</v>
      </c>
      <c r="B8" s="159">
        <v>-174.60878756568206</v>
      </c>
      <c r="C8" s="160">
        <v>-6.872253920735559E-2</v>
      </c>
      <c r="D8" s="159">
        <v>-132.02476499426649</v>
      </c>
      <c r="E8" s="160">
        <v>-7.2929466878163693E-2</v>
      </c>
      <c r="F8" s="159">
        <v>-153.45413788197448</v>
      </c>
      <c r="G8" s="160">
        <v>-6.9901878316633456E-2</v>
      </c>
      <c r="H8" s="636"/>
      <c r="I8" s="636"/>
      <c r="J8" s="636"/>
    </row>
    <row r="9" spans="1:10" ht="20" customHeight="1" thickBot="1">
      <c r="A9" s="141" t="s">
        <v>271</v>
      </c>
      <c r="B9" s="159">
        <v>-167.35341503076759</v>
      </c>
      <c r="C9" s="160">
        <v>-5.7419001682116388E-2</v>
      </c>
      <c r="D9" s="159">
        <v>-86.978012598522696</v>
      </c>
      <c r="E9" s="160">
        <v>-6.3105700436888998E-2</v>
      </c>
      <c r="F9" s="159">
        <v>-127.11567726721712</v>
      </c>
      <c r="G9" s="160">
        <v>-5.9019945779255296E-2</v>
      </c>
      <c r="H9" s="636"/>
      <c r="I9" s="636"/>
      <c r="J9" s="636"/>
    </row>
    <row r="10" spans="1:10" ht="20" customHeight="1" thickBot="1">
      <c r="A10" s="141" t="s">
        <v>272</v>
      </c>
      <c r="B10" s="159">
        <v>-155.96652215163235</v>
      </c>
      <c r="C10" s="160">
        <v>-5.9997004419769517E-2</v>
      </c>
      <c r="D10" s="159">
        <v>-67.650421130170059</v>
      </c>
      <c r="E10" s="160">
        <v>-6.6494520454003198E-2</v>
      </c>
      <c r="F10" s="159">
        <v>-111.69996711137743</v>
      </c>
      <c r="G10" s="160">
        <v>-6.2352670249363834E-2</v>
      </c>
      <c r="H10" s="636"/>
      <c r="I10" s="636"/>
      <c r="J10" s="636"/>
    </row>
    <row r="11" spans="1:10" ht="20" customHeight="1" thickBot="1">
      <c r="A11" s="141" t="s">
        <v>273</v>
      </c>
      <c r="B11" s="159">
        <v>-140.97892887995829</v>
      </c>
      <c r="C11" s="160">
        <v>-5.6370888134135613E-2</v>
      </c>
      <c r="D11" s="159">
        <v>-78.232430381229562</v>
      </c>
      <c r="E11" s="160">
        <v>-4.1817908586583068E-2</v>
      </c>
      <c r="F11" s="159">
        <v>-109.67609199820355</v>
      </c>
      <c r="G11" s="160">
        <v>-5.0272131135044362E-2</v>
      </c>
      <c r="H11" s="636"/>
      <c r="I11" s="636"/>
      <c r="J11" s="636"/>
    </row>
    <row r="12" spans="1:10" ht="20" customHeight="1" thickBot="1">
      <c r="A12" s="141" t="s">
        <v>274</v>
      </c>
      <c r="B12" s="159">
        <v>-122.12475848585302</v>
      </c>
      <c r="C12" s="160">
        <v>-6.1848679429020836E-2</v>
      </c>
      <c r="D12" s="159">
        <v>-80.784168839371119</v>
      </c>
      <c r="E12" s="160">
        <v>-6.913702605066821E-2</v>
      </c>
      <c r="F12" s="159">
        <v>-101.66982304462333</v>
      </c>
      <c r="G12" s="160">
        <v>-6.501967738864578E-2</v>
      </c>
      <c r="H12" s="636"/>
      <c r="I12" s="636"/>
      <c r="J12" s="636"/>
    </row>
    <row r="13" spans="1:10" ht="20" customHeight="1" thickBot="1">
      <c r="A13" s="141" t="s">
        <v>275</v>
      </c>
      <c r="B13" s="159">
        <v>-95.164911758333346</v>
      </c>
      <c r="C13" s="160">
        <v>-5.5409584905148565E-2</v>
      </c>
      <c r="D13" s="159">
        <v>-53.897462788821883</v>
      </c>
      <c r="E13" s="160">
        <v>-6.5609127535952064E-2</v>
      </c>
      <c r="F13" s="159">
        <v>-74.81939592741</v>
      </c>
      <c r="G13" s="160">
        <v>-5.9243575210344367E-2</v>
      </c>
      <c r="H13" s="636"/>
      <c r="I13" s="636"/>
      <c r="J13" s="636"/>
    </row>
    <row r="14" spans="1:10" ht="20" customHeight="1" thickBot="1">
      <c r="A14" s="141" t="s">
        <v>276</v>
      </c>
      <c r="B14" s="159">
        <v>-56.561050958371453</v>
      </c>
      <c r="C14" s="160">
        <v>-8.8670233421321326E-2</v>
      </c>
      <c r="D14" s="159">
        <v>-19.887708958286623</v>
      </c>
      <c r="E14" s="160">
        <v>-0.22291803487988873</v>
      </c>
      <c r="F14" s="159">
        <v>-38.276682971477896</v>
      </c>
      <c r="G14" s="160">
        <v>-0.12093612234813222</v>
      </c>
      <c r="H14" s="636"/>
      <c r="I14" s="636"/>
      <c r="J14" s="636"/>
    </row>
    <row r="15" spans="1:10" ht="20" customHeight="1" thickBot="1">
      <c r="A15" s="141" t="s">
        <v>277</v>
      </c>
      <c r="B15" s="159">
        <v>-0.61555024229042488</v>
      </c>
      <c r="C15" s="160">
        <v>-1.3871605644653686</v>
      </c>
      <c r="D15" s="159">
        <v>19.069903141750046</v>
      </c>
      <c r="E15" s="160">
        <v>-0.15210561593528751</v>
      </c>
      <c r="F15" s="159">
        <v>9.2408706709209483</v>
      </c>
      <c r="G15" s="160">
        <v>-0.233033243112299</v>
      </c>
      <c r="H15" s="636"/>
      <c r="I15" s="636"/>
      <c r="J15" s="636"/>
    </row>
    <row r="16" spans="1:10" ht="20" customHeight="1" thickBot="1">
      <c r="A16" s="141" t="s">
        <v>278</v>
      </c>
      <c r="B16" s="159">
        <v>65.379492016970403</v>
      </c>
      <c r="C16" s="160">
        <v>0.11168408990633683</v>
      </c>
      <c r="D16" s="159">
        <v>69.261790719073019</v>
      </c>
      <c r="E16" s="160">
        <v>6.6574927266371514E-2</v>
      </c>
      <c r="F16" s="159">
        <v>67.360959535499489</v>
      </c>
      <c r="G16" s="160">
        <v>8.7314698271190677E-2</v>
      </c>
      <c r="H16" s="636"/>
      <c r="I16" s="636"/>
      <c r="J16" s="636"/>
    </row>
    <row r="17" spans="1:10" ht="20" customHeight="1" thickBot="1">
      <c r="A17" s="141" t="s">
        <v>279</v>
      </c>
      <c r="B17" s="159">
        <v>147.98496927620806</v>
      </c>
      <c r="C17" s="160">
        <v>4.7967725969662069E-2</v>
      </c>
      <c r="D17" s="159">
        <v>128.41043289299455</v>
      </c>
      <c r="E17" s="160">
        <v>3.4504013756776447E-2</v>
      </c>
      <c r="F17" s="159">
        <v>137.56711558012591</v>
      </c>
      <c r="G17" s="160">
        <v>4.1353276187752031E-2</v>
      </c>
      <c r="H17" s="636"/>
      <c r="I17" s="636"/>
      <c r="J17" s="636"/>
    </row>
    <row r="18" spans="1:10" ht="20" customHeight="1" thickBot="1">
      <c r="A18" s="141" t="s">
        <v>280</v>
      </c>
      <c r="B18" s="159">
        <v>250.98970764540951</v>
      </c>
      <c r="C18" s="160">
        <v>8.5621854650339543E-2</v>
      </c>
      <c r="D18" s="159">
        <v>213.32797117956846</v>
      </c>
      <c r="E18" s="160">
        <v>3.5409583588534473E-2</v>
      </c>
      <c r="F18" s="159">
        <v>230.01481458846908</v>
      </c>
      <c r="G18" s="160">
        <v>5.9612521376465971E-2</v>
      </c>
      <c r="H18" s="636"/>
      <c r="I18" s="636"/>
      <c r="J18" s="636"/>
    </row>
    <row r="19" spans="1:10" ht="20" customHeight="1" thickBot="1">
      <c r="A19" s="141" t="s">
        <v>281</v>
      </c>
      <c r="B19" s="159">
        <v>349.78114441290472</v>
      </c>
      <c r="C19" s="160">
        <v>9.3535151211611767E-2</v>
      </c>
      <c r="D19" s="159">
        <v>325.13411950859427</v>
      </c>
      <c r="E19" s="160">
        <v>3.8590386144582017E-2</v>
      </c>
      <c r="F19" s="159">
        <v>335.10902937693822</v>
      </c>
      <c r="G19" s="160">
        <v>6.1197411425055664E-2</v>
      </c>
      <c r="H19" s="636"/>
      <c r="I19" s="636"/>
      <c r="J19" s="636"/>
    </row>
    <row r="20" spans="1:10" ht="20" customHeight="1" thickBot="1">
      <c r="A20" s="141" t="s">
        <v>282</v>
      </c>
      <c r="B20" s="159">
        <v>448.9374255635023</v>
      </c>
      <c r="C20" s="160">
        <v>6.5210192982601098E-2</v>
      </c>
      <c r="D20" s="159">
        <v>489.90093807114658</v>
      </c>
      <c r="E20" s="160">
        <v>3.6573498913434664E-2</v>
      </c>
      <c r="F20" s="159">
        <v>475.0031420570204</v>
      </c>
      <c r="G20" s="160">
        <v>4.6371854679677402E-2</v>
      </c>
      <c r="H20" s="636"/>
      <c r="I20" s="636"/>
      <c r="J20" s="636"/>
    </row>
    <row r="21" spans="1:10" ht="20" customHeight="1" thickBot="1">
      <c r="A21" s="141" t="s">
        <v>283</v>
      </c>
      <c r="B21" s="159">
        <v>596.75588022224406</v>
      </c>
      <c r="C21" s="160">
        <v>4.1325080971202702E-2</v>
      </c>
      <c r="D21" s="159">
        <v>736.54193028118368</v>
      </c>
      <c r="E21" s="160">
        <v>1.8713896754792368E-2</v>
      </c>
      <c r="F21" s="159">
        <v>691.87971128651225</v>
      </c>
      <c r="G21" s="160">
        <v>2.419700790019497E-2</v>
      </c>
      <c r="H21" s="636"/>
      <c r="I21" s="636"/>
      <c r="J21" s="636"/>
    </row>
    <row r="22" spans="1:10" ht="20" customHeight="1" thickBot="1">
      <c r="A22" s="141" t="s">
        <v>284</v>
      </c>
      <c r="B22" s="159">
        <v>847.50269658447087</v>
      </c>
      <c r="C22" s="160">
        <v>5.1670768281137411E-2</v>
      </c>
      <c r="D22" s="159">
        <v>1109.9905789920729</v>
      </c>
      <c r="E22" s="160">
        <v>2.6844783337148667E-2</v>
      </c>
      <c r="F22" s="159">
        <v>1045.5403282137377</v>
      </c>
      <c r="G22" s="160">
        <v>3.107210389158337E-2</v>
      </c>
      <c r="H22" s="636"/>
      <c r="I22" s="636"/>
      <c r="J22" s="636"/>
    </row>
    <row r="23" spans="1:10" ht="20" customHeight="1">
      <c r="A23" s="146" t="s">
        <v>688</v>
      </c>
      <c r="B23" s="165"/>
      <c r="C23" s="166"/>
      <c r="D23" s="165"/>
      <c r="E23" s="166"/>
      <c r="F23" s="165"/>
      <c r="G23" s="166"/>
    </row>
    <row r="24" spans="1:10" ht="11.25" customHeight="1">
      <c r="A24" s="4"/>
      <c r="B24" s="167"/>
      <c r="C24" s="168"/>
      <c r="D24" s="167"/>
      <c r="E24" s="168"/>
      <c r="F24" s="167"/>
      <c r="G24" s="168"/>
    </row>
    <row r="25" spans="1:10" ht="15.75" customHeight="1">
      <c r="A25" s="4" t="s">
        <v>257</v>
      </c>
      <c r="B25" s="167"/>
      <c r="C25" s="168"/>
      <c r="D25" s="167"/>
      <c r="E25" s="168"/>
      <c r="F25" s="167"/>
      <c r="G25" s="168"/>
    </row>
    <row r="26" spans="1:10">
      <c r="A26" s="637"/>
      <c r="B26" s="167"/>
      <c r="C26" s="168"/>
      <c r="D26" s="167"/>
      <c r="E26" s="168"/>
      <c r="F26" s="167"/>
      <c r="G26" s="168"/>
    </row>
    <row r="27" spans="1:10">
      <c r="A27" s="637" t="s">
        <v>1377</v>
      </c>
      <c r="B27" s="167"/>
      <c r="C27" s="168"/>
      <c r="D27" s="167"/>
      <c r="E27" s="168"/>
      <c r="F27" s="167"/>
      <c r="G27" s="168"/>
    </row>
    <row r="28" spans="1:10">
      <c r="A28" s="637" t="s">
        <v>1378</v>
      </c>
      <c r="B28" s="167"/>
      <c r="C28" s="168"/>
      <c r="D28" s="167"/>
      <c r="E28" s="168"/>
      <c r="F28" s="167"/>
      <c r="G28" s="168"/>
    </row>
    <row r="29" spans="1:10">
      <c r="A29" s="637" t="s">
        <v>1379</v>
      </c>
      <c r="B29" s="167"/>
      <c r="C29" s="168"/>
      <c r="D29" s="167"/>
      <c r="E29" s="168"/>
      <c r="F29" s="167"/>
      <c r="G29" s="168"/>
    </row>
    <row r="30" spans="1:10">
      <c r="A30" s="637" t="s">
        <v>1380</v>
      </c>
      <c r="B30" s="167"/>
      <c r="C30" s="168"/>
      <c r="D30" s="167"/>
      <c r="E30" s="168"/>
      <c r="F30" s="167"/>
      <c r="G30" s="168"/>
    </row>
    <row r="31" spans="1:10">
      <c r="A31" s="637" t="s">
        <v>1381</v>
      </c>
      <c r="B31" s="167"/>
      <c r="C31" s="168"/>
      <c r="D31" s="167"/>
      <c r="E31" s="168"/>
      <c r="F31" s="167"/>
      <c r="G31" s="168"/>
    </row>
    <row r="32" spans="1:10">
      <c r="A32" s="637"/>
      <c r="B32" s="167"/>
      <c r="C32" s="168"/>
      <c r="D32" s="167"/>
      <c r="E32" s="168"/>
      <c r="F32" s="167"/>
      <c r="G32" s="168"/>
    </row>
    <row r="33" spans="1:7">
      <c r="A33" s="637"/>
      <c r="B33" s="167"/>
      <c r="C33" s="168"/>
      <c r="D33" s="167"/>
      <c r="E33" s="168"/>
      <c r="F33" s="167"/>
      <c r="G33" s="168"/>
    </row>
    <row r="34" spans="1:7">
      <c r="A34" s="4" t="s">
        <v>128</v>
      </c>
    </row>
  </sheetData>
  <mergeCells count="1">
    <mergeCell ref="A2:F2"/>
  </mergeCells>
  <phoneticPr fontId="0" type="noConversion"/>
  <pageMargins left="0.62" right="0.54" top="0.74" bottom="0.86614173228346458" header="0.4" footer="0.51181102362204722"/>
  <pageSetup paperSize="9" scale="80" orientation="portrait" horizontalDpi="1200" verticalDpi="1200"/>
  <headerFooter alignWithMargins="0"/>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9B857-5436-284A-B287-8270704A2E64}">
  <sheetPr>
    <pageSetUpPr fitToPage="1"/>
  </sheetPr>
  <dimension ref="A1:B23"/>
  <sheetViews>
    <sheetView workbookViewId="0">
      <selection activeCell="B20" sqref="B20"/>
    </sheetView>
  </sheetViews>
  <sheetFormatPr baseColWidth="10" defaultColWidth="11.3984375" defaultRowHeight="13"/>
  <cols>
    <col min="1" max="1" width="5.59765625" style="119" customWidth="1"/>
    <col min="2" max="16384" width="11.3984375" style="119"/>
  </cols>
  <sheetData>
    <row r="1" spans="1:2" ht="16">
      <c r="A1" s="118" t="s">
        <v>90</v>
      </c>
    </row>
    <row r="3" spans="1:2">
      <c r="A3" s="120">
        <v>11.01</v>
      </c>
      <c r="B3" s="121" t="s">
        <v>91</v>
      </c>
    </row>
    <row r="4" spans="1:2">
      <c r="A4" s="120">
        <v>11.02</v>
      </c>
      <c r="B4" s="121" t="s">
        <v>92</v>
      </c>
    </row>
    <row r="5" spans="1:2">
      <c r="A5" s="120">
        <v>11.03</v>
      </c>
      <c r="B5" s="121" t="s">
        <v>93</v>
      </c>
    </row>
    <row r="6" spans="1:2">
      <c r="A6" s="120">
        <v>11.04</v>
      </c>
      <c r="B6" s="121" t="s">
        <v>208</v>
      </c>
    </row>
    <row r="7" spans="1:2">
      <c r="A7" s="120">
        <v>11.05</v>
      </c>
      <c r="B7" s="121" t="s">
        <v>209</v>
      </c>
    </row>
    <row r="8" spans="1:2">
      <c r="A8" s="120">
        <v>11.06</v>
      </c>
      <c r="B8" s="121" t="s">
        <v>210</v>
      </c>
    </row>
    <row r="9" spans="1:2">
      <c r="A9" s="120">
        <v>11.07</v>
      </c>
      <c r="B9" s="121" t="s">
        <v>211</v>
      </c>
    </row>
    <row r="10" spans="1:2">
      <c r="A10" s="120">
        <v>11.08</v>
      </c>
      <c r="B10" s="121" t="s">
        <v>212</v>
      </c>
    </row>
    <row r="11" spans="1:2">
      <c r="A11" s="120">
        <v>11.09</v>
      </c>
      <c r="B11" s="121" t="s">
        <v>213</v>
      </c>
    </row>
    <row r="12" spans="1:2">
      <c r="A12" s="120">
        <v>11.1</v>
      </c>
      <c r="B12" s="121" t="s">
        <v>214</v>
      </c>
    </row>
    <row r="13" spans="1:2">
      <c r="A13" s="120">
        <v>11.11</v>
      </c>
      <c r="B13" s="121" t="s">
        <v>215</v>
      </c>
    </row>
    <row r="14" spans="1:2">
      <c r="A14" s="120">
        <v>11.12</v>
      </c>
      <c r="B14" s="121" t="s">
        <v>216</v>
      </c>
    </row>
    <row r="15" spans="1:2">
      <c r="A15" s="120">
        <v>11.13</v>
      </c>
      <c r="B15" s="121" t="s">
        <v>217</v>
      </c>
    </row>
    <row r="16" spans="1:2">
      <c r="A16" s="120">
        <v>11.14</v>
      </c>
      <c r="B16" s="122" t="s">
        <v>218</v>
      </c>
    </row>
    <row r="17" spans="1:2">
      <c r="A17" s="120">
        <v>11.15</v>
      </c>
      <c r="B17" s="122" t="s">
        <v>219</v>
      </c>
    </row>
    <row r="18" spans="1:2">
      <c r="A18" s="120">
        <v>11.16</v>
      </c>
      <c r="B18" s="122" t="s">
        <v>220</v>
      </c>
    </row>
    <row r="19" spans="1:2">
      <c r="A19" s="120">
        <v>11.17</v>
      </c>
      <c r="B19" s="121" t="s">
        <v>221</v>
      </c>
    </row>
    <row r="20" spans="1:2">
      <c r="A20" s="814">
        <v>11.18</v>
      </c>
      <c r="B20" s="815" t="s">
        <v>375</v>
      </c>
    </row>
    <row r="21" spans="1:2">
      <c r="A21" s="814"/>
      <c r="B21" s="76"/>
    </row>
    <row r="23" spans="1:2">
      <c r="A23" s="123" t="s">
        <v>128</v>
      </c>
    </row>
  </sheetData>
  <phoneticPr fontId="37" type="noConversion"/>
  <pageMargins left="0.46" right="0.46" top="0.63" bottom="0.984251969" header="0.38" footer="0.4921259845"/>
  <pageSetup paperSize="9" orientation="portrait"/>
  <headerFooter alignWithMargins="0"/>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9BFF2-9F22-A64E-A737-E611EF85F473}">
  <sheetPr>
    <pageSetUpPr fitToPage="1"/>
  </sheetPr>
  <dimension ref="A1:K25"/>
  <sheetViews>
    <sheetView topLeftCell="A5" zoomScale="75" workbookViewId="0">
      <selection activeCell="H18" sqref="H18"/>
    </sheetView>
  </sheetViews>
  <sheetFormatPr baseColWidth="10" defaultColWidth="11.3984375" defaultRowHeight="13"/>
  <cols>
    <col min="1" max="1" width="20.796875" style="2" customWidth="1"/>
    <col min="2" max="5" width="14" style="2" customWidth="1"/>
    <col min="6" max="6" width="14.796875" style="2" customWidth="1"/>
    <col min="7" max="7" width="13.796875" style="2" customWidth="1"/>
    <col min="8" max="16384" width="11.3984375" style="2"/>
  </cols>
  <sheetData>
    <row r="1" spans="1:11" s="1" customFormat="1" ht="14" customHeight="1"/>
    <row r="2" spans="1:11" s="1" customFormat="1" ht="28" customHeight="1">
      <c r="A2" s="124" t="s">
        <v>692</v>
      </c>
      <c r="G2" s="243">
        <v>2005</v>
      </c>
    </row>
    <row r="3" spans="1:11" ht="24" customHeight="1">
      <c r="A3" s="125" t="s">
        <v>1800</v>
      </c>
      <c r="B3" s="126" t="s">
        <v>224</v>
      </c>
      <c r="C3" s="127" t="s">
        <v>225</v>
      </c>
      <c r="D3" s="126" t="s">
        <v>229</v>
      </c>
      <c r="E3" s="127" t="s">
        <v>223</v>
      </c>
      <c r="F3" s="126" t="s">
        <v>43</v>
      </c>
      <c r="G3" s="127" t="s">
        <v>265</v>
      </c>
    </row>
    <row r="4" spans="1:11" ht="15" customHeight="1">
      <c r="A4" s="212"/>
      <c r="B4" s="129"/>
      <c r="C4" s="131"/>
      <c r="D4" s="129"/>
      <c r="E4" s="213"/>
      <c r="F4" s="129"/>
      <c r="G4" s="131" t="s">
        <v>267</v>
      </c>
    </row>
    <row r="5" spans="1:11" ht="15" customHeight="1">
      <c r="A5" s="212"/>
      <c r="B5" s="129"/>
      <c r="C5" s="131"/>
      <c r="D5" s="129"/>
      <c r="E5" s="213"/>
      <c r="F5" s="129"/>
      <c r="G5" s="131" t="s">
        <v>268</v>
      </c>
    </row>
    <row r="6" spans="1:11" ht="24" customHeight="1">
      <c r="A6" s="214"/>
      <c r="B6" s="135"/>
      <c r="C6" s="134"/>
      <c r="D6" s="135"/>
      <c r="E6" s="215"/>
      <c r="F6" s="135"/>
      <c r="G6" s="134"/>
    </row>
    <row r="7" spans="1:11" ht="21.75" customHeight="1" thickBot="1">
      <c r="A7" s="216">
        <v>1996</v>
      </c>
      <c r="B7" s="157">
        <v>2792349</v>
      </c>
      <c r="C7" s="217">
        <v>2968829</v>
      </c>
      <c r="D7" s="157">
        <v>5761178</v>
      </c>
      <c r="E7" s="217">
        <v>1471489</v>
      </c>
      <c r="F7" s="157">
        <v>7232667</v>
      </c>
      <c r="G7" s="158">
        <v>1.8350297937143788E-2</v>
      </c>
    </row>
    <row r="8" spans="1:11" ht="20" customHeight="1" thickBot="1">
      <c r="A8" s="218">
        <v>1997</v>
      </c>
      <c r="B8" s="159">
        <v>2750986</v>
      </c>
      <c r="C8" s="219">
        <v>2929423</v>
      </c>
      <c r="D8" s="159">
        <v>5680409</v>
      </c>
      <c r="E8" s="219">
        <v>1556062</v>
      </c>
      <c r="F8" s="159">
        <v>7236471</v>
      </c>
      <c r="G8" s="160">
        <v>5.2594706765844463E-4</v>
      </c>
      <c r="I8" s="10"/>
      <c r="J8" s="10"/>
      <c r="K8" s="10"/>
    </row>
    <row r="9" spans="1:11" ht="20" customHeight="1" thickBot="1">
      <c r="A9" s="218">
        <v>1998</v>
      </c>
      <c r="B9" s="159">
        <v>2746839</v>
      </c>
      <c r="C9" s="219">
        <v>2927739</v>
      </c>
      <c r="D9" s="159">
        <v>5674578</v>
      </c>
      <c r="E9" s="219">
        <v>1572038</v>
      </c>
      <c r="F9" s="159">
        <v>7246616</v>
      </c>
      <c r="G9" s="160">
        <v>1.401926436242196E-3</v>
      </c>
    </row>
    <row r="10" spans="1:11" ht="20" customHeight="1" thickBot="1">
      <c r="A10" s="218">
        <v>1999</v>
      </c>
      <c r="B10" s="159">
        <v>2760031</v>
      </c>
      <c r="C10" s="219">
        <v>2940891</v>
      </c>
      <c r="D10" s="159">
        <v>5700922</v>
      </c>
      <c r="E10" s="219">
        <v>1569600</v>
      </c>
      <c r="F10" s="159">
        <v>7270522</v>
      </c>
      <c r="G10" s="160">
        <v>3.298919109278041E-3</v>
      </c>
    </row>
    <row r="11" spans="1:11" ht="20" customHeight="1" thickBot="1">
      <c r="A11" s="218">
        <v>2000</v>
      </c>
      <c r="B11" s="159">
        <v>2758998</v>
      </c>
      <c r="C11" s="219">
        <v>2947662</v>
      </c>
      <c r="D11" s="159">
        <v>5706660</v>
      </c>
      <c r="E11" s="219">
        <v>1558453</v>
      </c>
      <c r="F11" s="159">
        <v>7265113</v>
      </c>
      <c r="G11" s="160">
        <v>-7.4396308820742166E-4</v>
      </c>
    </row>
    <row r="12" spans="1:11" ht="20" customHeight="1" thickBot="1">
      <c r="A12" s="218">
        <v>2001</v>
      </c>
      <c r="B12" s="159">
        <v>2778660</v>
      </c>
      <c r="C12" s="219">
        <v>2968477</v>
      </c>
      <c r="D12" s="159">
        <v>5747137</v>
      </c>
      <c r="E12" s="219">
        <v>1553913</v>
      </c>
      <c r="F12" s="159">
        <v>7301050</v>
      </c>
      <c r="G12" s="160">
        <v>4.9465163170896312E-3</v>
      </c>
    </row>
    <row r="13" spans="1:11" ht="20" customHeight="1" thickBot="1">
      <c r="A13" s="218">
        <v>2002</v>
      </c>
      <c r="B13" s="159">
        <v>2803463</v>
      </c>
      <c r="C13" s="219">
        <v>2992002</v>
      </c>
      <c r="D13" s="159">
        <v>5795465</v>
      </c>
      <c r="E13" s="219">
        <v>1549167</v>
      </c>
      <c r="F13" s="159">
        <v>7344632</v>
      </c>
      <c r="G13" s="160">
        <v>5.9692783914642418E-3</v>
      </c>
    </row>
    <row r="14" spans="1:11" ht="20" customHeight="1" thickBot="1">
      <c r="A14" s="218">
        <v>2003</v>
      </c>
      <c r="B14" s="159">
        <v>2880411</v>
      </c>
      <c r="C14" s="219">
        <v>2950352</v>
      </c>
      <c r="D14" s="159">
        <v>5830763</v>
      </c>
      <c r="E14" s="219">
        <v>1541742</v>
      </c>
      <c r="F14" s="159">
        <v>7372505</v>
      </c>
      <c r="G14" s="160">
        <v>3.7950165508632699E-3</v>
      </c>
    </row>
    <row r="15" spans="1:11" ht="20" customHeight="1" thickBot="1">
      <c r="A15" s="218">
        <v>2004</v>
      </c>
      <c r="B15" s="159">
        <v>2832331</v>
      </c>
      <c r="C15" s="219">
        <v>3021580</v>
      </c>
      <c r="D15" s="159">
        <v>5853911</v>
      </c>
      <c r="E15" s="219">
        <v>1529663</v>
      </c>
      <c r="F15" s="159">
        <v>7383574</v>
      </c>
      <c r="G15" s="160">
        <v>1.5013892835610148E-3</v>
      </c>
    </row>
    <row r="16" spans="1:11" ht="30" customHeight="1" thickBot="1">
      <c r="A16" s="220">
        <v>2005</v>
      </c>
      <c r="B16" s="221">
        <v>2861206</v>
      </c>
      <c r="C16" s="222">
        <v>3049366</v>
      </c>
      <c r="D16" s="221">
        <v>5910572</v>
      </c>
      <c r="E16" s="222">
        <v>1525293</v>
      </c>
      <c r="F16" s="221">
        <v>7435865</v>
      </c>
      <c r="G16" s="162">
        <v>7.0820716363105456E-3</v>
      </c>
    </row>
    <row r="17" spans="1:7" ht="20" customHeight="1">
      <c r="A17" s="146" t="s">
        <v>693</v>
      </c>
      <c r="B17" s="223"/>
      <c r="C17" s="223"/>
      <c r="D17" s="223"/>
      <c r="E17" s="223"/>
      <c r="F17" s="223"/>
      <c r="G17" s="224"/>
    </row>
    <row r="18" spans="1:7" ht="20" customHeight="1">
      <c r="A18" s="4"/>
      <c r="B18" s="225"/>
      <c r="C18" s="225"/>
      <c r="D18" s="225"/>
      <c r="E18" s="225"/>
      <c r="F18" s="225"/>
      <c r="G18" s="226"/>
    </row>
    <row r="19" spans="1:7" ht="12.75" customHeight="1">
      <c r="A19" s="304" t="s">
        <v>367</v>
      </c>
      <c r="B19" s="225"/>
      <c r="C19" s="225"/>
      <c r="D19" s="225"/>
      <c r="E19" s="225"/>
      <c r="F19" s="225"/>
      <c r="G19" s="226"/>
    </row>
    <row r="20" spans="1:7" ht="12.75" customHeight="1">
      <c r="A20" s="1540" t="s">
        <v>1612</v>
      </c>
    </row>
    <row r="22" spans="1:7">
      <c r="A22" s="2" t="s">
        <v>691</v>
      </c>
    </row>
    <row r="25" spans="1:7">
      <c r="A25" s="2" t="s">
        <v>128</v>
      </c>
    </row>
  </sheetData>
  <phoneticPr fontId="0" type="noConversion"/>
  <pageMargins left="0.5" right="0.49" top="1.03" bottom="0.49" header="0.56000000000000005" footer="0.4921259845"/>
  <pageSetup paperSize="9" scale="89" orientation="portrait" horizontalDpi="1200" verticalDpi="1200"/>
  <headerFooter alignWithMargins="0"/>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75D6D-AE8B-9343-AF45-E08069386A20}">
  <sheetPr>
    <pageSetUpPr fitToPage="1"/>
  </sheetPr>
  <dimension ref="A1:K27"/>
  <sheetViews>
    <sheetView topLeftCell="A9" zoomScale="75" workbookViewId="0">
      <selection activeCell="A16" sqref="A16"/>
    </sheetView>
  </sheetViews>
  <sheetFormatPr baseColWidth="10" defaultColWidth="11.3984375" defaultRowHeight="13"/>
  <cols>
    <col min="1" max="1" width="20.796875" style="2" customWidth="1"/>
    <col min="2" max="3" width="14" style="2" customWidth="1"/>
    <col min="4" max="4" width="15.3984375" style="2" customWidth="1"/>
    <col min="5" max="5" width="14" style="2" customWidth="1"/>
    <col min="6" max="6" width="14.796875" style="2" customWidth="1"/>
    <col min="7" max="7" width="13.796875" style="2" customWidth="1"/>
    <col min="8" max="16384" width="11.3984375" style="2"/>
  </cols>
  <sheetData>
    <row r="1" spans="1:11" s="1" customFormat="1" ht="14" customHeight="1"/>
    <row r="2" spans="1:11" s="1" customFormat="1" ht="28" customHeight="1">
      <c r="A2" s="124" t="s">
        <v>1794</v>
      </c>
      <c r="G2" s="192">
        <v>2005</v>
      </c>
    </row>
    <row r="3" spans="1:11" ht="24" customHeight="1">
      <c r="A3" s="125" t="s">
        <v>1800</v>
      </c>
      <c r="B3" s="126" t="s">
        <v>224</v>
      </c>
      <c r="C3" s="127" t="s">
        <v>225</v>
      </c>
      <c r="D3" s="126" t="s">
        <v>229</v>
      </c>
      <c r="E3" s="127" t="s">
        <v>1801</v>
      </c>
      <c r="F3" s="126" t="s">
        <v>43</v>
      </c>
      <c r="G3" s="127" t="s">
        <v>265</v>
      </c>
    </row>
    <row r="4" spans="1:11" ht="15" customHeight="1">
      <c r="A4" s="212"/>
      <c r="B4" s="129"/>
      <c r="C4" s="131"/>
      <c r="D4" s="129"/>
      <c r="E4" s="213"/>
      <c r="F4" s="129"/>
      <c r="G4" s="131" t="s">
        <v>267</v>
      </c>
    </row>
    <row r="5" spans="1:11" ht="15" customHeight="1">
      <c r="A5" s="212"/>
      <c r="B5" s="129"/>
      <c r="C5" s="131"/>
      <c r="D5" s="129"/>
      <c r="E5" s="213"/>
      <c r="F5" s="129"/>
      <c r="G5" s="131" t="s">
        <v>268</v>
      </c>
    </row>
    <row r="6" spans="1:11" ht="24" customHeight="1">
      <c r="A6" s="214"/>
      <c r="B6" s="135"/>
      <c r="C6" s="134"/>
      <c r="D6" s="135"/>
      <c r="E6" s="215"/>
      <c r="F6" s="135"/>
      <c r="G6" s="134"/>
    </row>
    <row r="7" spans="1:11" ht="21.75" customHeight="1" thickBot="1">
      <c r="A7" s="216">
        <v>1996</v>
      </c>
      <c r="B7" s="157">
        <v>2760146</v>
      </c>
      <c r="C7" s="217">
        <v>2938608</v>
      </c>
      <c r="D7" s="157">
        <v>5698754</v>
      </c>
      <c r="E7" s="217">
        <v>1496000</v>
      </c>
      <c r="F7" s="157">
        <v>7194754</v>
      </c>
      <c r="G7" s="158">
        <v>4.3855246833913626E-3</v>
      </c>
    </row>
    <row r="8" spans="1:11" ht="20" customHeight="1" thickBot="1">
      <c r="A8" s="218">
        <v>1997</v>
      </c>
      <c r="B8" s="159">
        <v>2725064</v>
      </c>
      <c r="C8" s="219">
        <v>2902973</v>
      </c>
      <c r="D8" s="159">
        <v>5628037</v>
      </c>
      <c r="E8" s="219">
        <v>1586768</v>
      </c>
      <c r="F8" s="159">
        <v>7214805</v>
      </c>
      <c r="G8" s="160">
        <v>2.7868916713483186E-3</v>
      </c>
      <c r="I8" s="10"/>
      <c r="J8" s="10"/>
      <c r="K8" s="10"/>
    </row>
    <row r="9" spans="1:11" ht="20" customHeight="1" thickBot="1">
      <c r="A9" s="218">
        <v>1998</v>
      </c>
      <c r="B9" s="159">
        <v>2736949</v>
      </c>
      <c r="C9" s="219">
        <v>2915969</v>
      </c>
      <c r="D9" s="159">
        <v>5652918</v>
      </c>
      <c r="E9" s="219">
        <v>1595685</v>
      </c>
      <c r="F9" s="159">
        <v>7248603</v>
      </c>
      <c r="G9" s="160">
        <v>4.6845340934370365E-3</v>
      </c>
    </row>
    <row r="10" spans="1:11" ht="20" customHeight="1" thickBot="1">
      <c r="A10" s="218">
        <v>1999</v>
      </c>
      <c r="B10" s="159">
        <v>2741177</v>
      </c>
      <c r="C10" s="219">
        <v>2926032</v>
      </c>
      <c r="D10" s="159">
        <v>5667209</v>
      </c>
      <c r="E10" s="219">
        <v>1599325</v>
      </c>
      <c r="F10" s="159">
        <v>7266534</v>
      </c>
      <c r="G10" s="160">
        <v>2.4737180391863093E-3</v>
      </c>
    </row>
    <row r="11" spans="1:11" ht="20" customHeight="1" thickBot="1">
      <c r="A11" s="218">
        <v>2000</v>
      </c>
      <c r="B11" s="159">
        <v>2746615</v>
      </c>
      <c r="C11" s="219">
        <v>2936748</v>
      </c>
      <c r="D11" s="159">
        <v>5683363</v>
      </c>
      <c r="E11" s="219">
        <v>1584748</v>
      </c>
      <c r="F11" s="159">
        <v>7268111</v>
      </c>
      <c r="G11" s="160">
        <v>2.1702231077429761E-4</v>
      </c>
    </row>
    <row r="12" spans="1:11" ht="20" customHeight="1" thickBot="1">
      <c r="A12" s="218">
        <v>2001</v>
      </c>
      <c r="B12" s="159">
        <v>2775829</v>
      </c>
      <c r="C12" s="219">
        <v>2962533</v>
      </c>
      <c r="D12" s="159">
        <v>5738362</v>
      </c>
      <c r="E12" s="219">
        <v>1582925</v>
      </c>
      <c r="F12" s="159">
        <v>7321287</v>
      </c>
      <c r="G12" s="160">
        <v>7.3163439578729601E-3</v>
      </c>
    </row>
    <row r="13" spans="1:11" ht="20" customHeight="1" thickBot="1">
      <c r="A13" s="218">
        <v>2002</v>
      </c>
      <c r="B13" s="159">
        <v>2798041</v>
      </c>
      <c r="C13" s="219">
        <v>2982916</v>
      </c>
      <c r="D13" s="159">
        <v>5780957</v>
      </c>
      <c r="E13" s="219">
        <v>1578408</v>
      </c>
      <c r="F13" s="159">
        <v>7359365</v>
      </c>
      <c r="G13" s="160">
        <v>5.2009981305199482E-3</v>
      </c>
    </row>
    <row r="14" spans="1:11" ht="19.5" customHeight="1" thickBot="1">
      <c r="A14" s="218">
        <v>2003</v>
      </c>
      <c r="B14" s="159">
        <v>2818135</v>
      </c>
      <c r="C14" s="219">
        <v>3002978</v>
      </c>
      <c r="D14" s="159">
        <v>5821113</v>
      </c>
      <c r="E14" s="219">
        <v>1572075</v>
      </c>
      <c r="F14" s="159">
        <v>7393188</v>
      </c>
      <c r="G14" s="160">
        <v>4.5959128267180661E-3</v>
      </c>
    </row>
    <row r="15" spans="1:11" ht="19.5" customHeight="1" thickBot="1">
      <c r="A15" s="218">
        <v>2004</v>
      </c>
      <c r="B15" s="159">
        <v>2834642</v>
      </c>
      <c r="C15" s="219">
        <v>3021025</v>
      </c>
      <c r="D15" s="159">
        <v>5855667</v>
      </c>
      <c r="E15" s="219">
        <v>1564307</v>
      </c>
      <c r="F15" s="159">
        <v>7419974</v>
      </c>
      <c r="G15" s="160">
        <v>3.623064907858423E-3</v>
      </c>
    </row>
    <row r="16" spans="1:11" ht="30" customHeight="1" thickBot="1">
      <c r="A16" s="220">
        <v>2005</v>
      </c>
      <c r="B16" s="221">
        <v>2858735</v>
      </c>
      <c r="C16" s="222">
        <v>3042765</v>
      </c>
      <c r="D16" s="221">
        <v>5901500</v>
      </c>
      <c r="E16" s="222">
        <v>1556975</v>
      </c>
      <c r="F16" s="221">
        <v>7458475</v>
      </c>
      <c r="G16" s="162">
        <v>5.1888321980643063E-3</v>
      </c>
    </row>
    <row r="17" spans="1:7" ht="20" customHeight="1">
      <c r="A17" s="146" t="s">
        <v>693</v>
      </c>
      <c r="B17" s="223"/>
      <c r="C17" s="223"/>
      <c r="D17" s="223"/>
      <c r="E17" s="223"/>
      <c r="F17" s="223"/>
      <c r="G17" s="224"/>
    </row>
    <row r="18" spans="1:7" ht="13.5" customHeight="1">
      <c r="A18" s="4"/>
      <c r="B18" s="225"/>
      <c r="C18" s="225"/>
      <c r="D18" s="225"/>
      <c r="E18" s="225"/>
      <c r="F18" s="225"/>
      <c r="G18" s="226"/>
    </row>
    <row r="19" spans="1:7" ht="12.75" customHeight="1">
      <c r="A19" s="2" t="s">
        <v>1795</v>
      </c>
    </row>
    <row r="20" spans="1:7" ht="12.75" customHeight="1">
      <c r="A20" s="147" t="s">
        <v>1796</v>
      </c>
    </row>
    <row r="21" spans="1:7" ht="12.75" customHeight="1">
      <c r="A21" s="227" t="s">
        <v>1797</v>
      </c>
    </row>
    <row r="22" spans="1:7">
      <c r="A22" s="227" t="s">
        <v>1798</v>
      </c>
    </row>
    <row r="23" spans="1:7">
      <c r="A23" s="228"/>
    </row>
    <row r="24" spans="1:7">
      <c r="A24" s="2" t="s">
        <v>1799</v>
      </c>
    </row>
    <row r="27" spans="1:7">
      <c r="A27" s="2" t="s">
        <v>128</v>
      </c>
    </row>
  </sheetData>
  <phoneticPr fontId="0" type="noConversion"/>
  <pageMargins left="0.49" right="0.56000000000000005" top="0.96" bottom="0.49" header="0.53" footer="0.4921259845"/>
  <pageSetup paperSize="9" scale="87" orientation="portrait" horizontalDpi="1200" verticalDpi="1200"/>
  <headerFooter alignWithMargins="0">
    <oddHeader>&amp;L&amp;"Arial,Bold"Versicherte und Finanzen in der OKP</oddHead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40CAD-BB90-6B43-B35B-D2DD6ED96ACF}">
  <sheetPr>
    <pageSetUpPr fitToPage="1"/>
  </sheetPr>
  <dimension ref="A1:F43"/>
  <sheetViews>
    <sheetView zoomScale="75" workbookViewId="0">
      <selection activeCell="A3" sqref="A3"/>
    </sheetView>
  </sheetViews>
  <sheetFormatPr baseColWidth="10" defaultColWidth="11.3984375" defaultRowHeight="13"/>
  <cols>
    <col min="1" max="1" width="16.19921875" style="2" customWidth="1"/>
    <col min="2" max="5" width="17.3984375" style="2" customWidth="1"/>
    <col min="6" max="6" width="17.3984375" style="210" customWidth="1"/>
    <col min="7" max="8" width="11.3984375" style="2"/>
    <col min="9" max="9" width="14.796875" style="2" customWidth="1"/>
    <col min="10" max="16384" width="11.3984375" style="2"/>
  </cols>
  <sheetData>
    <row r="1" spans="1:6" s="1" customFormat="1" ht="14" customHeight="1">
      <c r="F1" s="191"/>
    </row>
    <row r="2" spans="1:6" s="1" customFormat="1" ht="28" customHeight="1">
      <c r="A2" s="124" t="s">
        <v>1785</v>
      </c>
      <c r="F2" s="192">
        <v>2005</v>
      </c>
    </row>
    <row r="3" spans="1:6" ht="27" customHeight="1">
      <c r="A3" s="125" t="s">
        <v>222</v>
      </c>
      <c r="B3" s="126" t="s">
        <v>224</v>
      </c>
      <c r="C3" s="127" t="s">
        <v>225</v>
      </c>
      <c r="D3" s="126" t="s">
        <v>223</v>
      </c>
      <c r="E3" s="127" t="s">
        <v>43</v>
      </c>
      <c r="F3" s="193" t="s">
        <v>1786</v>
      </c>
    </row>
    <row r="4" spans="1:6" ht="12" customHeight="1">
      <c r="A4" s="128"/>
      <c r="B4" s="130"/>
      <c r="C4" s="128"/>
      <c r="D4" s="130"/>
      <c r="E4" s="128"/>
      <c r="F4" s="194" t="s">
        <v>1787</v>
      </c>
    </row>
    <row r="5" spans="1:6" ht="30.75" customHeight="1">
      <c r="A5" s="132"/>
      <c r="B5" s="133"/>
      <c r="C5" s="132"/>
      <c r="D5" s="133"/>
      <c r="E5" s="132"/>
      <c r="F5" s="195" t="s">
        <v>268</v>
      </c>
    </row>
    <row r="6" spans="1:6" ht="30" customHeight="1" thickBot="1">
      <c r="A6" s="137" t="s">
        <v>230</v>
      </c>
      <c r="B6" s="138">
        <v>499744</v>
      </c>
      <c r="C6" s="139">
        <v>531676</v>
      </c>
      <c r="D6" s="138">
        <v>247375</v>
      </c>
      <c r="E6" s="139">
        <v>1278795</v>
      </c>
      <c r="F6" s="196">
        <v>8.4450108273412816E-3</v>
      </c>
    </row>
    <row r="7" spans="1:6" ht="20" customHeight="1" thickBot="1">
      <c r="A7" s="141" t="s">
        <v>231</v>
      </c>
      <c r="B7" s="197">
        <v>368609</v>
      </c>
      <c r="C7" s="198">
        <v>400282</v>
      </c>
      <c r="D7" s="197">
        <v>190836</v>
      </c>
      <c r="E7" s="198">
        <v>959727</v>
      </c>
      <c r="F7" s="199">
        <v>1.401317217315734E-3</v>
      </c>
    </row>
    <row r="8" spans="1:6" ht="20" customHeight="1" thickBot="1">
      <c r="A8" s="141" t="s">
        <v>232</v>
      </c>
      <c r="B8" s="197">
        <v>136228</v>
      </c>
      <c r="C8" s="198">
        <v>143320</v>
      </c>
      <c r="D8" s="197">
        <v>79827</v>
      </c>
      <c r="E8" s="198">
        <v>359375</v>
      </c>
      <c r="F8" s="199">
        <v>2.9247028552132903E-3</v>
      </c>
    </row>
    <row r="9" spans="1:6" ht="20" customHeight="1" thickBot="1">
      <c r="A9" s="141" t="s">
        <v>233</v>
      </c>
      <c r="B9" s="197">
        <v>13715</v>
      </c>
      <c r="C9" s="198">
        <v>13779</v>
      </c>
      <c r="D9" s="197">
        <v>7766</v>
      </c>
      <c r="E9" s="198">
        <v>35260</v>
      </c>
      <c r="F9" s="199">
        <v>-3.5044087723264949E-3</v>
      </c>
    </row>
    <row r="10" spans="1:6" ht="20" customHeight="1" thickBot="1">
      <c r="A10" s="141" t="s">
        <v>234</v>
      </c>
      <c r="B10" s="197">
        <v>53972</v>
      </c>
      <c r="C10" s="198">
        <v>52914</v>
      </c>
      <c r="D10" s="197">
        <v>30852</v>
      </c>
      <c r="E10" s="198">
        <v>137738</v>
      </c>
      <c r="F10" s="199">
        <v>8.0652243918146738E-3</v>
      </c>
    </row>
    <row r="11" spans="1:6" ht="20" customHeight="1" thickBot="1">
      <c r="A11" s="141" t="s">
        <v>235</v>
      </c>
      <c r="B11" s="197">
        <v>13057</v>
      </c>
      <c r="C11" s="198">
        <v>13076</v>
      </c>
      <c r="D11" s="197">
        <v>7866</v>
      </c>
      <c r="E11" s="198">
        <v>33999</v>
      </c>
      <c r="F11" s="199">
        <v>8.5369443626737151E-4</v>
      </c>
    </row>
    <row r="12" spans="1:6" ht="20" customHeight="1" thickBot="1">
      <c r="A12" s="141" t="s">
        <v>236</v>
      </c>
      <c r="B12" s="197">
        <v>15678</v>
      </c>
      <c r="C12" s="198">
        <v>15537</v>
      </c>
      <c r="D12" s="197">
        <v>8300</v>
      </c>
      <c r="E12" s="198">
        <v>39515</v>
      </c>
      <c r="F12" s="199">
        <v>1.0355407824085949E-2</v>
      </c>
    </row>
    <row r="13" spans="1:6" ht="20" customHeight="1" thickBot="1">
      <c r="A13" s="141" t="s">
        <v>237</v>
      </c>
      <c r="B13" s="197">
        <v>14860</v>
      </c>
      <c r="C13" s="198">
        <v>15368</v>
      </c>
      <c r="D13" s="197">
        <v>8325</v>
      </c>
      <c r="E13" s="198">
        <v>38553</v>
      </c>
      <c r="F13" s="199">
        <v>-2.7161260282476674E-3</v>
      </c>
    </row>
    <row r="14" spans="1:6" ht="20" customHeight="1" thickBot="1">
      <c r="A14" s="141" t="s">
        <v>238</v>
      </c>
      <c r="B14" s="197">
        <v>42264</v>
      </c>
      <c r="C14" s="198">
        <v>42098</v>
      </c>
      <c r="D14" s="197">
        <v>21828</v>
      </c>
      <c r="E14" s="198">
        <v>106190</v>
      </c>
      <c r="F14" s="199">
        <v>1.4357083496518097E-2</v>
      </c>
    </row>
    <row r="15" spans="1:6" ht="20" customHeight="1" thickBot="1">
      <c r="A15" s="141" t="s">
        <v>239</v>
      </c>
      <c r="B15" s="197">
        <v>95583</v>
      </c>
      <c r="C15" s="198">
        <v>98822</v>
      </c>
      <c r="D15" s="197">
        <v>61020</v>
      </c>
      <c r="E15" s="198">
        <v>255425</v>
      </c>
      <c r="F15" s="199">
        <v>1.5420638769847228E-2</v>
      </c>
    </row>
    <row r="16" spans="1:6" ht="20" customHeight="1" thickBot="1">
      <c r="A16" s="141" t="s">
        <v>240</v>
      </c>
      <c r="B16" s="197">
        <v>96651</v>
      </c>
      <c r="C16" s="198">
        <v>101560</v>
      </c>
      <c r="D16" s="197">
        <v>51943</v>
      </c>
      <c r="E16" s="198">
        <v>250154</v>
      </c>
      <c r="F16" s="199">
        <v>1.8703416677681162E-3</v>
      </c>
    </row>
    <row r="17" spans="1:6" ht="20" customHeight="1" thickBot="1">
      <c r="A17" s="141" t="s">
        <v>241</v>
      </c>
      <c r="B17" s="197">
        <v>68888</v>
      </c>
      <c r="C17" s="198">
        <v>79522</v>
      </c>
      <c r="D17" s="197">
        <v>29045</v>
      </c>
      <c r="E17" s="198">
        <v>177455</v>
      </c>
      <c r="F17" s="199">
        <v>-8.1104043464165221E-3</v>
      </c>
    </row>
    <row r="18" spans="1:6" ht="20" customHeight="1" thickBot="1">
      <c r="A18" s="141" t="s">
        <v>242</v>
      </c>
      <c r="B18" s="197">
        <v>103557</v>
      </c>
      <c r="C18" s="198">
        <v>110516</v>
      </c>
      <c r="D18" s="197">
        <v>52042</v>
      </c>
      <c r="E18" s="198">
        <v>266115</v>
      </c>
      <c r="F18" s="199">
        <v>2.6562676613541836E-3</v>
      </c>
    </row>
    <row r="19" spans="1:6" ht="20" customHeight="1" thickBot="1">
      <c r="A19" s="141" t="s">
        <v>243</v>
      </c>
      <c r="B19" s="197">
        <v>28562</v>
      </c>
      <c r="C19" s="198">
        <v>30831</v>
      </c>
      <c r="D19" s="197">
        <v>14884</v>
      </c>
      <c r="E19" s="198">
        <v>74277</v>
      </c>
      <c r="F19" s="199">
        <v>-2.7389535586257452E-3</v>
      </c>
    </row>
    <row r="20" spans="1:6" ht="20" customHeight="1" thickBot="1">
      <c r="A20" s="141" t="s">
        <v>244</v>
      </c>
      <c r="B20" s="197">
        <v>20342</v>
      </c>
      <c r="C20" s="198">
        <v>21115</v>
      </c>
      <c r="D20" s="197">
        <v>11939</v>
      </c>
      <c r="E20" s="198">
        <v>53396</v>
      </c>
      <c r="F20" s="199">
        <v>-1.6640179489576523E-3</v>
      </c>
    </row>
    <row r="21" spans="1:6" ht="20" customHeight="1" thickBot="1">
      <c r="A21" s="141" t="s">
        <v>245</v>
      </c>
      <c r="B21" s="197">
        <v>5802</v>
      </c>
      <c r="C21" s="198">
        <v>5565</v>
      </c>
      <c r="D21" s="197">
        <v>3837</v>
      </c>
      <c r="E21" s="198">
        <v>15204</v>
      </c>
      <c r="F21" s="199">
        <v>1.5427769985974837E-2</v>
      </c>
    </row>
    <row r="22" spans="1:6" ht="20" customHeight="1" thickBot="1">
      <c r="A22" s="141" t="s">
        <v>246</v>
      </c>
      <c r="B22" s="197">
        <v>175320</v>
      </c>
      <c r="C22" s="198">
        <v>183574</v>
      </c>
      <c r="D22" s="197">
        <v>105178</v>
      </c>
      <c r="E22" s="198">
        <v>464072</v>
      </c>
      <c r="F22" s="199">
        <v>3.963309103496071E-3</v>
      </c>
    </row>
    <row r="23" spans="1:6" ht="20" customHeight="1" thickBot="1">
      <c r="A23" s="141" t="s">
        <v>247</v>
      </c>
      <c r="B23" s="197">
        <v>77498</v>
      </c>
      <c r="C23" s="198">
        <v>79193</v>
      </c>
      <c r="D23" s="197">
        <v>38503</v>
      </c>
      <c r="E23" s="198">
        <v>195194</v>
      </c>
      <c r="F23" s="199">
        <v>-4.1478110475646757E-3</v>
      </c>
    </row>
    <row r="24" spans="1:6" ht="20" customHeight="1" thickBot="1">
      <c r="A24" s="141" t="s">
        <v>248</v>
      </c>
      <c r="B24" s="197">
        <v>222332</v>
      </c>
      <c r="C24" s="198">
        <v>228892</v>
      </c>
      <c r="D24" s="197">
        <v>123609</v>
      </c>
      <c r="E24" s="198">
        <v>574833</v>
      </c>
      <c r="F24" s="199">
        <v>7.1113961042374996E-3</v>
      </c>
    </row>
    <row r="25" spans="1:6" ht="20" customHeight="1" thickBot="1">
      <c r="A25" s="141" t="s">
        <v>249</v>
      </c>
      <c r="B25" s="197">
        <v>89116</v>
      </c>
      <c r="C25" s="198">
        <v>91805</v>
      </c>
      <c r="D25" s="197">
        <v>54414</v>
      </c>
      <c r="E25" s="198">
        <v>235335</v>
      </c>
      <c r="F25" s="199">
        <v>6.2039301534093649E-3</v>
      </c>
    </row>
    <row r="26" spans="1:6" ht="20" customHeight="1" thickBot="1">
      <c r="A26" s="141" t="s">
        <v>250</v>
      </c>
      <c r="B26" s="197">
        <v>122527</v>
      </c>
      <c r="C26" s="198">
        <v>136668</v>
      </c>
      <c r="D26" s="197">
        <v>58920</v>
      </c>
      <c r="E26" s="198">
        <v>318115</v>
      </c>
      <c r="F26" s="199">
        <v>4.9661499385549313E-3</v>
      </c>
    </row>
    <row r="27" spans="1:6" ht="20" customHeight="1" thickBot="1">
      <c r="A27" s="141" t="s">
        <v>251</v>
      </c>
      <c r="B27" s="197">
        <v>240776</v>
      </c>
      <c r="C27" s="198">
        <v>263620</v>
      </c>
      <c r="D27" s="197">
        <v>144656</v>
      </c>
      <c r="E27" s="198">
        <v>649052</v>
      </c>
      <c r="F27" s="199">
        <v>9.1406200198080878E-3</v>
      </c>
    </row>
    <row r="28" spans="1:6" ht="20" customHeight="1" thickBot="1">
      <c r="A28" s="141" t="s">
        <v>252</v>
      </c>
      <c r="B28" s="197">
        <v>114134</v>
      </c>
      <c r="C28" s="198">
        <v>119564</v>
      </c>
      <c r="D28" s="197">
        <v>63257</v>
      </c>
      <c r="E28" s="198">
        <v>296955</v>
      </c>
      <c r="F28" s="199">
        <v>1.0030407542703124E-2</v>
      </c>
    </row>
    <row r="29" spans="1:6" ht="20" customHeight="1" thickBot="1">
      <c r="A29" s="141" t="s">
        <v>253</v>
      </c>
      <c r="B29" s="197">
        <v>63109</v>
      </c>
      <c r="C29" s="198">
        <v>69209</v>
      </c>
      <c r="D29" s="197">
        <v>36745</v>
      </c>
      <c r="E29" s="198">
        <v>169063</v>
      </c>
      <c r="F29" s="199">
        <v>9.8877415687770309E-4</v>
      </c>
    </row>
    <row r="30" spans="1:6" ht="20" customHeight="1" thickBot="1">
      <c r="A30" s="141" t="s">
        <v>254</v>
      </c>
      <c r="B30" s="197">
        <v>148238</v>
      </c>
      <c r="C30" s="198">
        <v>165534</v>
      </c>
      <c r="D30" s="197">
        <v>87522</v>
      </c>
      <c r="E30" s="198">
        <v>401294</v>
      </c>
      <c r="F30" s="199">
        <v>3.8247470388852456E-3</v>
      </c>
    </row>
    <row r="31" spans="1:6" ht="22" customHeight="1" thickBot="1">
      <c r="A31" s="142" t="s">
        <v>255</v>
      </c>
      <c r="B31" s="200">
        <v>25946</v>
      </c>
      <c r="C31" s="201">
        <v>27602</v>
      </c>
      <c r="D31" s="200">
        <v>15977</v>
      </c>
      <c r="E31" s="201">
        <v>69525</v>
      </c>
      <c r="F31" s="202">
        <v>-1.2354369280717092E-3</v>
      </c>
    </row>
    <row r="32" spans="1:6" ht="21.75" customHeight="1" thickBot="1">
      <c r="A32" s="142" t="s">
        <v>1788</v>
      </c>
      <c r="B32" s="200">
        <v>2856508</v>
      </c>
      <c r="C32" s="201">
        <v>3041642</v>
      </c>
      <c r="D32" s="200">
        <v>1556466</v>
      </c>
      <c r="E32" s="201">
        <v>7454616</v>
      </c>
      <c r="F32" s="202">
        <v>5.1218687088163684E-3</v>
      </c>
    </row>
    <row r="33" spans="1:6" ht="18.75" customHeight="1" thickBot="1">
      <c r="A33" s="203" t="s">
        <v>1793</v>
      </c>
      <c r="B33" s="200">
        <v>2227</v>
      </c>
      <c r="C33" s="201">
        <v>1123</v>
      </c>
      <c r="D33" s="200">
        <v>509</v>
      </c>
      <c r="E33" s="201">
        <v>3859</v>
      </c>
      <c r="F33" s="202">
        <v>0.15400717703349276</v>
      </c>
    </row>
    <row r="34" spans="1:6" ht="22" customHeight="1" thickBot="1">
      <c r="A34" s="142" t="s">
        <v>1789</v>
      </c>
      <c r="B34" s="200">
        <v>0</v>
      </c>
      <c r="C34" s="201">
        <v>0</v>
      </c>
      <c r="D34" s="200">
        <v>0</v>
      </c>
      <c r="E34" s="201">
        <v>0</v>
      </c>
      <c r="F34" s="204">
        <v>-1</v>
      </c>
    </row>
    <row r="35" spans="1:6" s="163" customFormat="1" ht="30" customHeight="1" thickBot="1">
      <c r="A35" s="205" t="s">
        <v>1790</v>
      </c>
      <c r="B35" s="206">
        <v>2858735</v>
      </c>
      <c r="C35" s="207">
        <v>3042765</v>
      </c>
      <c r="D35" s="206">
        <v>1556975</v>
      </c>
      <c r="E35" s="208">
        <v>7458475</v>
      </c>
      <c r="F35" s="209">
        <v>5.64205036519283E-3</v>
      </c>
    </row>
    <row r="36" spans="1:6">
      <c r="A36" s="4" t="s">
        <v>693</v>
      </c>
    </row>
    <row r="38" spans="1:6">
      <c r="A38" s="4" t="s">
        <v>1791</v>
      </c>
    </row>
    <row r="40" spans="1:6">
      <c r="A40" s="2" t="s">
        <v>1792</v>
      </c>
    </row>
    <row r="43" spans="1:6">
      <c r="A43" s="211" t="s">
        <v>128</v>
      </c>
    </row>
  </sheetData>
  <phoneticPr fontId="0" type="noConversion"/>
  <pageMargins left="0.62" right="0.52" top="0.74803149606299213" bottom="0.47244094488188981" header="0.43307086614173229" footer="0.31496062992125984"/>
  <pageSetup paperSize="9" scale="89" orientation="portrait" horizontalDpi="1200" verticalDpi="1200"/>
  <headerFooter alignWithMargins="0">
    <oddHeader>&amp;L&amp;"Arial,Bold"Versicherte und Finanzen in der OKP</oddHead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0CE20-260A-5D40-9DEC-0FFE61D809A9}">
  <sheetPr>
    <pageSetUpPr fitToPage="1"/>
  </sheetPr>
  <dimension ref="A1:G41"/>
  <sheetViews>
    <sheetView topLeftCell="A23" zoomScale="75" workbookViewId="0">
      <selection activeCell="E39" sqref="E39"/>
    </sheetView>
  </sheetViews>
  <sheetFormatPr baseColWidth="10" defaultColWidth="11.3984375" defaultRowHeight="13"/>
  <cols>
    <col min="1" max="1" width="18.3984375" style="2" customWidth="1"/>
    <col min="2" max="7" width="14.3984375" style="2" customWidth="1"/>
    <col min="8" max="16384" width="11.3984375" style="2"/>
  </cols>
  <sheetData>
    <row r="1" spans="1:7" ht="14" customHeight="1">
      <c r="A1" s="1"/>
      <c r="B1" s="4"/>
      <c r="C1" s="4"/>
      <c r="D1" s="4"/>
      <c r="E1" s="4"/>
      <c r="F1" s="4"/>
      <c r="G1" s="4"/>
    </row>
    <row r="2" spans="1:7" ht="28" customHeight="1">
      <c r="A2" s="124" t="s">
        <v>319</v>
      </c>
      <c r="G2" s="192">
        <v>2005</v>
      </c>
    </row>
    <row r="3" spans="1:7" ht="36" customHeight="1">
      <c r="A3" s="229" t="s">
        <v>1802</v>
      </c>
      <c r="B3" s="230" t="s">
        <v>1803</v>
      </c>
      <c r="C3" s="231"/>
      <c r="D3" s="230" t="s">
        <v>1804</v>
      </c>
      <c r="E3" s="231"/>
      <c r="F3" s="230" t="s">
        <v>43</v>
      </c>
      <c r="G3" s="231"/>
    </row>
    <row r="4" spans="1:7" ht="15" customHeight="1">
      <c r="A4" s="232"/>
      <c r="B4" s="233" t="s">
        <v>1805</v>
      </c>
      <c r="C4" s="234" t="s">
        <v>1806</v>
      </c>
      <c r="D4" s="233" t="s">
        <v>1805</v>
      </c>
      <c r="E4" s="234" t="s">
        <v>1806</v>
      </c>
      <c r="F4" s="233" t="s">
        <v>1805</v>
      </c>
      <c r="G4" s="234" t="s">
        <v>1806</v>
      </c>
    </row>
    <row r="5" spans="1:7" ht="15" customHeight="1">
      <c r="A5" s="212"/>
      <c r="B5" s="129" t="s">
        <v>72</v>
      </c>
      <c r="C5" s="131" t="s">
        <v>1807</v>
      </c>
      <c r="D5" s="129" t="s">
        <v>72</v>
      </c>
      <c r="E5" s="131" t="s">
        <v>1807</v>
      </c>
      <c r="F5" s="155" t="s">
        <v>72</v>
      </c>
      <c r="G5" s="131" t="s">
        <v>1807</v>
      </c>
    </row>
    <row r="6" spans="1:7" ht="21" customHeight="1">
      <c r="A6" s="214"/>
      <c r="B6" s="135"/>
      <c r="C6" s="134" t="s">
        <v>1808</v>
      </c>
      <c r="D6" s="135"/>
      <c r="E6" s="134" t="s">
        <v>1808</v>
      </c>
      <c r="F6" s="135"/>
      <c r="G6" s="134" t="s">
        <v>1808</v>
      </c>
    </row>
    <row r="7" spans="1:7" ht="30" customHeight="1" thickBot="1">
      <c r="A7" s="137" t="s">
        <v>305</v>
      </c>
      <c r="B7" s="138">
        <v>227704</v>
      </c>
      <c r="C7" s="235">
        <v>3.0529565360211036E-2</v>
      </c>
      <c r="D7" s="138">
        <v>216245</v>
      </c>
      <c r="E7" s="235">
        <v>2.8993192308079063E-2</v>
      </c>
      <c r="F7" s="138">
        <v>443949</v>
      </c>
      <c r="G7" s="235">
        <v>5.9522757668290099E-2</v>
      </c>
    </row>
    <row r="8" spans="1:7" ht="20" customHeight="1" thickBot="1">
      <c r="A8" s="236" t="s">
        <v>306</v>
      </c>
      <c r="B8" s="197">
        <v>208970</v>
      </c>
      <c r="C8" s="235">
        <v>2.8017791840825371E-2</v>
      </c>
      <c r="D8" s="197">
        <v>198498</v>
      </c>
      <c r="E8" s="235">
        <v>2.6613751470642457E-2</v>
      </c>
      <c r="F8" s="197">
        <v>407468</v>
      </c>
      <c r="G8" s="235">
        <v>5.4631543311467828E-2</v>
      </c>
    </row>
    <row r="9" spans="1:7" ht="20" customHeight="1" thickBot="1">
      <c r="A9" s="141" t="s">
        <v>307</v>
      </c>
      <c r="B9" s="197">
        <v>226136</v>
      </c>
      <c r="C9" s="235">
        <v>3.0319334716547283E-2</v>
      </c>
      <c r="D9" s="197">
        <v>215407</v>
      </c>
      <c r="E9" s="235">
        <v>2.8880836900304688E-2</v>
      </c>
      <c r="F9" s="197">
        <v>441543</v>
      </c>
      <c r="G9" s="235">
        <v>5.9200171616851968E-2</v>
      </c>
    </row>
    <row r="10" spans="1:7" ht="20" customHeight="1" thickBot="1">
      <c r="A10" s="141" t="s">
        <v>308</v>
      </c>
      <c r="B10" s="197">
        <v>135181</v>
      </c>
      <c r="C10" s="235">
        <v>1.8124482551728067E-2</v>
      </c>
      <c r="D10" s="197">
        <v>128834</v>
      </c>
      <c r="E10" s="235">
        <v>1.7273504302152919E-2</v>
      </c>
      <c r="F10" s="197">
        <v>264015</v>
      </c>
      <c r="G10" s="235">
        <v>3.5397986853880986E-2</v>
      </c>
    </row>
    <row r="11" spans="1:7" ht="31" customHeight="1" thickBot="1">
      <c r="A11" s="142" t="s">
        <v>309</v>
      </c>
      <c r="B11" s="200">
        <v>797991</v>
      </c>
      <c r="C11" s="237">
        <v>0.10699117446931175</v>
      </c>
      <c r="D11" s="200">
        <v>758984</v>
      </c>
      <c r="E11" s="237">
        <v>0.10176128498117913</v>
      </c>
      <c r="F11" s="200">
        <v>1556975</v>
      </c>
      <c r="G11" s="237">
        <v>0.2087524594504909</v>
      </c>
    </row>
    <row r="12" spans="1:7" ht="19" customHeight="1" thickBot="1">
      <c r="A12" s="141" t="s">
        <v>310</v>
      </c>
      <c r="B12" s="197">
        <v>88722</v>
      </c>
      <c r="C12" s="235">
        <v>1.1895461203530213E-2</v>
      </c>
      <c r="D12" s="197">
        <v>85563</v>
      </c>
      <c r="E12" s="235">
        <v>1.1471916175893866E-2</v>
      </c>
      <c r="F12" s="197">
        <v>174285</v>
      </c>
      <c r="G12" s="235">
        <v>2.3367377379424077E-2</v>
      </c>
    </row>
    <row r="13" spans="1:7" ht="19" customHeight="1" thickBot="1">
      <c r="A13" s="141" t="s">
        <v>311</v>
      </c>
      <c r="B13" s="197">
        <v>230557</v>
      </c>
      <c r="C13" s="235">
        <v>3.0912083234173205E-2</v>
      </c>
      <c r="D13" s="197">
        <v>224957</v>
      </c>
      <c r="E13" s="235">
        <v>3.0161259506802665E-2</v>
      </c>
      <c r="F13" s="197">
        <v>455514</v>
      </c>
      <c r="G13" s="235">
        <v>6.1073342740975867E-2</v>
      </c>
    </row>
    <row r="14" spans="1:7" ht="19" customHeight="1" thickBot="1">
      <c r="A14" s="141" t="s">
        <v>271</v>
      </c>
      <c r="B14" s="197">
        <v>237266</v>
      </c>
      <c r="C14" s="235">
        <v>3.1811596874696237E-2</v>
      </c>
      <c r="D14" s="197">
        <v>237678</v>
      </c>
      <c r="E14" s="235">
        <v>3.1866836048924208E-2</v>
      </c>
      <c r="F14" s="197">
        <v>474944</v>
      </c>
      <c r="G14" s="235">
        <v>6.3678432923620451E-2</v>
      </c>
    </row>
    <row r="15" spans="1:7" ht="19" customHeight="1" thickBot="1">
      <c r="A15" s="141" t="s">
        <v>272</v>
      </c>
      <c r="B15" s="197">
        <v>268300</v>
      </c>
      <c r="C15" s="235">
        <v>3.5972501080985056E-2</v>
      </c>
      <c r="D15" s="197">
        <v>269539</v>
      </c>
      <c r="E15" s="235">
        <v>3.6138620830665789E-2</v>
      </c>
      <c r="F15" s="197">
        <v>537839</v>
      </c>
      <c r="G15" s="235">
        <v>7.2111121911650838E-2</v>
      </c>
    </row>
    <row r="16" spans="1:7" ht="19" customHeight="1" thickBot="1">
      <c r="A16" s="141" t="s">
        <v>273</v>
      </c>
      <c r="B16" s="197">
        <v>311186</v>
      </c>
      <c r="C16" s="235">
        <v>4.1722470075987381E-2</v>
      </c>
      <c r="D16" s="197">
        <v>310173</v>
      </c>
      <c r="E16" s="235">
        <v>4.1586651426732679E-2</v>
      </c>
      <c r="F16" s="197">
        <v>621359</v>
      </c>
      <c r="G16" s="235">
        <v>8.330912150272006E-2</v>
      </c>
    </row>
    <row r="17" spans="1:7" ht="19" customHeight="1" thickBot="1">
      <c r="A17" s="141" t="s">
        <v>274</v>
      </c>
      <c r="B17" s="197">
        <v>314404</v>
      </c>
      <c r="C17" s="235">
        <v>4.215392556789424E-2</v>
      </c>
      <c r="D17" s="197">
        <v>308497</v>
      </c>
      <c r="E17" s="235">
        <v>4.1361940611183923E-2</v>
      </c>
      <c r="F17" s="197">
        <v>622901</v>
      </c>
      <c r="G17" s="235">
        <v>8.3515866179078163E-2</v>
      </c>
    </row>
    <row r="18" spans="1:7" ht="19" customHeight="1" thickBot="1">
      <c r="A18" s="141" t="s">
        <v>275</v>
      </c>
      <c r="B18" s="197">
        <v>277200</v>
      </c>
      <c r="C18" s="235">
        <v>3.7165774504841806E-2</v>
      </c>
      <c r="D18" s="197">
        <v>269951</v>
      </c>
      <c r="E18" s="235">
        <v>3.619386000489376E-2</v>
      </c>
      <c r="F18" s="197">
        <v>547151</v>
      </c>
      <c r="G18" s="235">
        <v>7.3359634509735566E-2</v>
      </c>
    </row>
    <row r="19" spans="1:7" ht="19" customHeight="1" thickBot="1">
      <c r="A19" s="141" t="s">
        <v>276</v>
      </c>
      <c r="B19" s="197">
        <v>243796</v>
      </c>
      <c r="C19" s="235">
        <v>3.268711097107653E-2</v>
      </c>
      <c r="D19" s="197">
        <v>242860</v>
      </c>
      <c r="E19" s="235">
        <v>3.2561616148073166E-2</v>
      </c>
      <c r="F19" s="197">
        <v>486656</v>
      </c>
      <c r="G19" s="235">
        <v>6.5248727119149696E-2</v>
      </c>
    </row>
    <row r="20" spans="1:7" ht="19" customHeight="1" thickBot="1">
      <c r="A20" s="141" t="s">
        <v>277</v>
      </c>
      <c r="B20" s="197">
        <v>234255</v>
      </c>
      <c r="C20" s="235">
        <v>3.1407895045568963E-2</v>
      </c>
      <c r="D20" s="197">
        <v>235478</v>
      </c>
      <c r="E20" s="235">
        <v>3.1571869584600072E-2</v>
      </c>
      <c r="F20" s="197">
        <v>469733</v>
      </c>
      <c r="G20" s="235">
        <v>6.2979764630169036E-2</v>
      </c>
    </row>
    <row r="21" spans="1:7" ht="19" customHeight="1" thickBot="1">
      <c r="A21" s="141" t="s">
        <v>278</v>
      </c>
      <c r="B21" s="197">
        <v>194717</v>
      </c>
      <c r="C21" s="235">
        <v>2.610681137900174E-2</v>
      </c>
      <c r="D21" s="197">
        <v>203842</v>
      </c>
      <c r="E21" s="235">
        <v>2.7330251827618918E-2</v>
      </c>
      <c r="F21" s="197">
        <v>398559</v>
      </c>
      <c r="G21" s="235">
        <v>5.3437063206620658E-2</v>
      </c>
    </row>
    <row r="22" spans="1:7" ht="30" customHeight="1" thickBot="1">
      <c r="A22" s="142" t="s">
        <v>312</v>
      </c>
      <c r="B22" s="200">
        <v>2400403</v>
      </c>
      <c r="C22" s="237">
        <v>0.32183562993775539</v>
      </c>
      <c r="D22" s="200">
        <v>2388538</v>
      </c>
      <c r="E22" s="237">
        <v>0.32024482216538902</v>
      </c>
      <c r="F22" s="200">
        <v>4788941</v>
      </c>
      <c r="G22" s="237">
        <v>0.64208045210314446</v>
      </c>
    </row>
    <row r="23" spans="1:7" ht="20" customHeight="1" thickBot="1">
      <c r="A23" s="141" t="s">
        <v>279</v>
      </c>
      <c r="B23" s="197">
        <v>147822</v>
      </c>
      <c r="C23" s="235">
        <v>1.9819333040601465E-2</v>
      </c>
      <c r="D23" s="197">
        <v>168864</v>
      </c>
      <c r="E23" s="235">
        <v>2.2640553196196272E-2</v>
      </c>
      <c r="F23" s="197">
        <v>316686</v>
      </c>
      <c r="G23" s="235">
        <v>4.2459886236797736E-2</v>
      </c>
    </row>
    <row r="24" spans="1:7" ht="20" customHeight="1" thickBot="1">
      <c r="A24" s="141" t="s">
        <v>280</v>
      </c>
      <c r="B24" s="197">
        <v>122997</v>
      </c>
      <c r="C24" s="235">
        <v>1.6490904642034732E-2</v>
      </c>
      <c r="D24" s="197">
        <v>155524</v>
      </c>
      <c r="E24" s="235">
        <v>2.0851983817067161E-2</v>
      </c>
      <c r="F24" s="197">
        <v>278521</v>
      </c>
      <c r="G24" s="235">
        <v>3.7342888459101893E-2</v>
      </c>
    </row>
    <row r="25" spans="1:7" ht="20" customHeight="1" thickBot="1">
      <c r="A25" s="141" t="s">
        <v>281</v>
      </c>
      <c r="B25" s="197">
        <v>91669</v>
      </c>
      <c r="C25" s="235">
        <v>1.2290582190058959E-2</v>
      </c>
      <c r="D25" s="197">
        <v>136115</v>
      </c>
      <c r="E25" s="235">
        <v>1.8249709223400225E-2</v>
      </c>
      <c r="F25" s="197">
        <v>227784</v>
      </c>
      <c r="G25" s="235">
        <v>3.0540291413459184E-2</v>
      </c>
    </row>
    <row r="26" spans="1:7" ht="20" customHeight="1" thickBot="1">
      <c r="A26" s="141" t="s">
        <v>282</v>
      </c>
      <c r="B26" s="197">
        <v>60195</v>
      </c>
      <c r="C26" s="235">
        <v>8.070684690905312E-3</v>
      </c>
      <c r="D26" s="197">
        <v>106770</v>
      </c>
      <c r="E26" s="235">
        <v>1.4315258816312987E-2</v>
      </c>
      <c r="F26" s="197">
        <v>166965</v>
      </c>
      <c r="G26" s="235">
        <v>2.2385943507218297E-2</v>
      </c>
    </row>
    <row r="27" spans="1:7" ht="20" customHeight="1" thickBot="1">
      <c r="A27" s="141" t="s">
        <v>283</v>
      </c>
      <c r="B27" s="197">
        <v>25537</v>
      </c>
      <c r="C27" s="235">
        <v>3.4238902724752713E-3</v>
      </c>
      <c r="D27" s="197">
        <v>55302</v>
      </c>
      <c r="E27" s="235">
        <v>7.4146524591153021E-3</v>
      </c>
      <c r="F27" s="197">
        <v>80839</v>
      </c>
      <c r="G27" s="235">
        <v>1.0838542731590572E-2</v>
      </c>
    </row>
    <row r="28" spans="1:7" ht="20" customHeight="1" thickBot="1">
      <c r="A28" s="141" t="s">
        <v>313</v>
      </c>
      <c r="B28" s="197">
        <v>8792</v>
      </c>
      <c r="C28" s="235">
        <v>1.1787932519717504E-3</v>
      </c>
      <c r="D28" s="197">
        <v>25915</v>
      </c>
      <c r="E28" s="235">
        <v>3.4745708740727831E-3</v>
      </c>
      <c r="F28" s="197">
        <v>34707</v>
      </c>
      <c r="G28" s="235">
        <v>4.6533641260445334E-3</v>
      </c>
    </row>
    <row r="29" spans="1:7" ht="20" customHeight="1" thickBot="1">
      <c r="A29" s="141" t="s">
        <v>314</v>
      </c>
      <c r="B29" s="197">
        <v>1235</v>
      </c>
      <c r="C29" s="235">
        <v>1.655834470183248E-4</v>
      </c>
      <c r="D29" s="197">
        <v>5231</v>
      </c>
      <c r="E29" s="235">
        <v>7.0134980676344694E-4</v>
      </c>
      <c r="F29" s="197">
        <v>6466</v>
      </c>
      <c r="G29" s="235">
        <v>8.6693325378177171E-4</v>
      </c>
    </row>
    <row r="30" spans="1:7" ht="20" customHeight="1" thickBot="1">
      <c r="A30" s="141" t="s">
        <v>315</v>
      </c>
      <c r="B30" s="197">
        <v>85</v>
      </c>
      <c r="C30" s="235">
        <v>1.1396431576160006E-5</v>
      </c>
      <c r="D30" s="197">
        <v>506</v>
      </c>
      <c r="E30" s="235">
        <v>6.7842286794552508E-5</v>
      </c>
      <c r="F30" s="197">
        <v>591</v>
      </c>
      <c r="G30" s="235">
        <v>7.9238718370712514E-5</v>
      </c>
    </row>
    <row r="31" spans="1:7" ht="30" customHeight="1" thickBot="1">
      <c r="A31" s="142" t="s">
        <v>316</v>
      </c>
      <c r="B31" s="200">
        <v>458332</v>
      </c>
      <c r="C31" s="237">
        <v>6.1451167966641976E-2</v>
      </c>
      <c r="D31" s="200">
        <v>654227</v>
      </c>
      <c r="E31" s="237">
        <v>8.7715920479722737E-2</v>
      </c>
      <c r="F31" s="200">
        <v>1112559</v>
      </c>
      <c r="G31" s="237">
        <v>0.1491670884463647</v>
      </c>
    </row>
    <row r="32" spans="1:7" ht="30" customHeight="1" thickBot="1">
      <c r="A32" s="142" t="s">
        <v>1789</v>
      </c>
      <c r="B32" s="200">
        <v>0</v>
      </c>
      <c r="C32" s="237">
        <v>0</v>
      </c>
      <c r="D32" s="200">
        <v>0</v>
      </c>
      <c r="E32" s="237">
        <v>0</v>
      </c>
      <c r="F32" s="200">
        <v>0</v>
      </c>
      <c r="G32" s="237">
        <v>0</v>
      </c>
    </row>
    <row r="33" spans="1:7" s="163" customFormat="1" ht="30" customHeight="1" thickBot="1">
      <c r="A33" s="238" t="s">
        <v>43</v>
      </c>
      <c r="B33" s="239">
        <v>3656726</v>
      </c>
      <c r="C33" s="240">
        <v>0.49027797237370913</v>
      </c>
      <c r="D33" s="239">
        <v>3801749</v>
      </c>
      <c r="E33" s="240">
        <v>0.50972202762629093</v>
      </c>
      <c r="F33" s="239">
        <v>7458475</v>
      </c>
      <c r="G33" s="240">
        <v>1</v>
      </c>
    </row>
    <row r="34" spans="1:7" ht="19.5" customHeight="1">
      <c r="A34" s="146" t="s">
        <v>693</v>
      </c>
    </row>
    <row r="35" spans="1:7" ht="10.5" customHeight="1"/>
    <row r="36" spans="1:7">
      <c r="A36" s="1540" t="s">
        <v>1613</v>
      </c>
    </row>
    <row r="38" spans="1:7">
      <c r="A38" s="2" t="s">
        <v>318</v>
      </c>
    </row>
    <row r="41" spans="1:7">
      <c r="A41" s="211" t="s">
        <v>128</v>
      </c>
    </row>
  </sheetData>
  <phoneticPr fontId="0" type="noConversion"/>
  <pageMargins left="0.57999999999999996" right="0.65" top="0.74" bottom="0.49" header="0.42" footer="0.4921259845"/>
  <pageSetup paperSize="9" scale="87" orientation="portrait" horizontalDpi="1200" verticalDpi="1200"/>
  <headerFooter alignWithMargins="0"/>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0DD23-5C23-904D-B593-6B73B4B62276}">
  <sheetPr>
    <pageSetUpPr fitToPage="1"/>
  </sheetPr>
  <dimension ref="A1:G22"/>
  <sheetViews>
    <sheetView zoomScale="75" workbookViewId="0">
      <selection activeCell="G11" sqref="G11"/>
    </sheetView>
  </sheetViews>
  <sheetFormatPr baseColWidth="10" defaultColWidth="11.3984375" defaultRowHeight="13"/>
  <cols>
    <col min="1" max="1" width="18.19921875" style="2" customWidth="1"/>
    <col min="2" max="7" width="14.796875" style="2" customWidth="1"/>
    <col min="8" max="16384" width="11.3984375" style="2"/>
  </cols>
  <sheetData>
    <row r="1" spans="1:7" s="1" customFormat="1" ht="14" customHeight="1"/>
    <row r="2" spans="1:7" s="1" customFormat="1" ht="28" customHeight="1">
      <c r="A2" s="124" t="s">
        <v>327</v>
      </c>
      <c r="G2" s="192">
        <v>2005</v>
      </c>
    </row>
    <row r="3" spans="1:7" ht="24" customHeight="1">
      <c r="A3" s="125" t="s">
        <v>328</v>
      </c>
      <c r="B3" s="126" t="s">
        <v>329</v>
      </c>
      <c r="C3" s="127" t="s">
        <v>330</v>
      </c>
      <c r="D3" s="126" t="s">
        <v>331</v>
      </c>
      <c r="E3" s="262" t="s">
        <v>332</v>
      </c>
      <c r="F3" s="126" t="s">
        <v>43</v>
      </c>
      <c r="G3" s="127" t="s">
        <v>265</v>
      </c>
    </row>
    <row r="4" spans="1:7" ht="15" customHeight="1">
      <c r="A4" s="212"/>
      <c r="B4" s="129" t="s">
        <v>333</v>
      </c>
      <c r="C4" s="131" t="s">
        <v>334</v>
      </c>
      <c r="D4" s="129" t="s">
        <v>335</v>
      </c>
      <c r="E4" s="213" t="s">
        <v>336</v>
      </c>
      <c r="F4" s="129"/>
      <c r="G4" s="131" t="s">
        <v>267</v>
      </c>
    </row>
    <row r="5" spans="1:7" ht="15" customHeight="1">
      <c r="A5" s="212"/>
      <c r="B5" s="129" t="s">
        <v>337</v>
      </c>
      <c r="C5" s="131" t="s">
        <v>338</v>
      </c>
      <c r="D5" s="129" t="s">
        <v>339</v>
      </c>
      <c r="E5" s="213" t="s">
        <v>340</v>
      </c>
      <c r="F5" s="129"/>
      <c r="G5" s="131" t="s">
        <v>268</v>
      </c>
    </row>
    <row r="6" spans="1:7" ht="24" customHeight="1">
      <c r="A6" s="214"/>
      <c r="B6" s="135"/>
      <c r="C6" s="134"/>
      <c r="D6" s="135"/>
      <c r="E6" s="215" t="s">
        <v>341</v>
      </c>
      <c r="F6" s="135"/>
      <c r="G6" s="134"/>
    </row>
    <row r="7" spans="1:7" ht="22.5" customHeight="1" thickBot="1">
      <c r="A7" s="216">
        <v>1996</v>
      </c>
      <c r="B7" s="157">
        <v>4739640</v>
      </c>
      <c r="C7" s="217">
        <v>2305688</v>
      </c>
      <c r="D7" s="157">
        <v>27828</v>
      </c>
      <c r="E7" s="217">
        <v>121598</v>
      </c>
      <c r="F7" s="248">
        <v>7194754</v>
      </c>
      <c r="G7" s="158">
        <v>3.9681470970374319E-3</v>
      </c>
    </row>
    <row r="8" spans="1:7" ht="20" customHeight="1" thickBot="1">
      <c r="A8" s="218">
        <v>1997</v>
      </c>
      <c r="B8" s="159">
        <v>4083854</v>
      </c>
      <c r="C8" s="219">
        <v>2736364</v>
      </c>
      <c r="D8" s="159">
        <v>11494</v>
      </c>
      <c r="E8" s="219">
        <v>383093</v>
      </c>
      <c r="F8" s="159">
        <v>7214805</v>
      </c>
      <c r="G8" s="160">
        <v>2.7868916713483186E-3</v>
      </c>
    </row>
    <row r="9" spans="1:7" ht="20" customHeight="1" thickBot="1">
      <c r="A9" s="218">
        <v>1998</v>
      </c>
      <c r="B9" s="159">
        <v>4016267</v>
      </c>
      <c r="C9" s="219">
        <v>2726468</v>
      </c>
      <c r="D9" s="159">
        <v>11828</v>
      </c>
      <c r="E9" s="219">
        <v>494040</v>
      </c>
      <c r="F9" s="159">
        <v>7248603</v>
      </c>
      <c r="G9" s="160">
        <v>4.6845340934370365E-3</v>
      </c>
    </row>
    <row r="10" spans="1:7" ht="20" customHeight="1" thickBot="1">
      <c r="A10" s="218">
        <v>1999</v>
      </c>
      <c r="B10" s="159">
        <v>3998744</v>
      </c>
      <c r="C10" s="219">
        <v>2715642</v>
      </c>
      <c r="D10" s="159">
        <v>10258</v>
      </c>
      <c r="E10" s="219">
        <v>541890</v>
      </c>
      <c r="F10" s="159">
        <v>7266534</v>
      </c>
      <c r="G10" s="160">
        <v>2.4737180391863093E-3</v>
      </c>
    </row>
    <row r="11" spans="1:7" ht="20" customHeight="1" thickBot="1">
      <c r="A11" s="218">
        <v>2000</v>
      </c>
      <c r="B11" s="159">
        <v>3921920</v>
      </c>
      <c r="C11" s="219">
        <v>2758539</v>
      </c>
      <c r="D11" s="159">
        <v>9811</v>
      </c>
      <c r="E11" s="219">
        <v>577841</v>
      </c>
      <c r="F11" s="159">
        <v>7268111</v>
      </c>
      <c r="G11" s="160">
        <v>2.1702231077429761E-4</v>
      </c>
    </row>
    <row r="12" spans="1:7" ht="20" customHeight="1" thickBot="1">
      <c r="A12" s="218">
        <v>2001</v>
      </c>
      <c r="B12" s="159">
        <v>3882191</v>
      </c>
      <c r="C12" s="219">
        <v>2833816</v>
      </c>
      <c r="D12" s="159">
        <v>9341</v>
      </c>
      <c r="E12" s="219">
        <v>595939</v>
      </c>
      <c r="F12" s="159">
        <v>7321287</v>
      </c>
      <c r="G12" s="160">
        <v>7.3163439578729601E-3</v>
      </c>
    </row>
    <row r="13" spans="1:7" ht="20" customHeight="1" thickBot="1">
      <c r="A13" s="218">
        <v>2002</v>
      </c>
      <c r="B13" s="159">
        <v>3812675</v>
      </c>
      <c r="C13" s="219">
        <v>2980820</v>
      </c>
      <c r="D13" s="159">
        <v>8835</v>
      </c>
      <c r="E13" s="219">
        <v>557035</v>
      </c>
      <c r="F13" s="159">
        <v>7359365</v>
      </c>
      <c r="G13" s="160">
        <v>5.2009981305199482E-3</v>
      </c>
    </row>
    <row r="14" spans="1:7" ht="20" customHeight="1" thickBot="1">
      <c r="A14" s="218">
        <v>2003</v>
      </c>
      <c r="B14" s="159">
        <v>3674270</v>
      </c>
      <c r="C14" s="219">
        <v>3107097</v>
      </c>
      <c r="D14" s="159">
        <v>8317</v>
      </c>
      <c r="E14" s="219">
        <v>603504</v>
      </c>
      <c r="F14" s="159">
        <v>7393188</v>
      </c>
      <c r="G14" s="160">
        <v>4.5959128267180661E-3</v>
      </c>
    </row>
    <row r="15" spans="1:7" ht="20" customHeight="1" thickBot="1">
      <c r="A15" s="218">
        <v>2004</v>
      </c>
      <c r="B15" s="159">
        <v>3639287</v>
      </c>
      <c r="C15" s="219">
        <v>3024823</v>
      </c>
      <c r="D15" s="159">
        <v>8098</v>
      </c>
      <c r="E15" s="219">
        <v>747766</v>
      </c>
      <c r="F15" s="159">
        <v>7419974</v>
      </c>
      <c r="G15" s="160">
        <v>3.623064907858423E-3</v>
      </c>
    </row>
    <row r="16" spans="1:7" ht="30" customHeight="1" thickBot="1">
      <c r="A16" s="220">
        <v>2005</v>
      </c>
      <c r="B16" s="221">
        <v>3605578</v>
      </c>
      <c r="C16" s="222">
        <v>2939073</v>
      </c>
      <c r="D16" s="221">
        <v>7711</v>
      </c>
      <c r="E16" s="222">
        <v>906113</v>
      </c>
      <c r="F16" s="221">
        <v>7458475</v>
      </c>
      <c r="G16" s="162">
        <v>5.1888321980643063E-3</v>
      </c>
    </row>
    <row r="17" spans="1:7" ht="19.5" customHeight="1">
      <c r="A17" s="146" t="s">
        <v>693</v>
      </c>
      <c r="B17" s="146"/>
      <c r="C17" s="146"/>
      <c r="D17" s="146"/>
      <c r="E17" s="146"/>
      <c r="F17" s="146"/>
      <c r="G17" s="146"/>
    </row>
    <row r="19" spans="1:7">
      <c r="A19" s="2" t="s">
        <v>342</v>
      </c>
    </row>
    <row r="22" spans="1:7">
      <c r="A22" s="2" t="s">
        <v>128</v>
      </c>
    </row>
  </sheetData>
  <phoneticPr fontId="0" type="noConversion"/>
  <pageMargins left="0.56000000000000005" right="0.54" top="0.96" bottom="0.49" header="0.57999999999999996" footer="0.4921259845"/>
  <pageSetup paperSize="9" scale="87" orientation="portrait" horizontalDpi="4294967292" verticalDpi="4294967292"/>
  <headerFooter alignWithMargins="0"/>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6676D-B52A-AC49-8DE8-2A9131CD2F5E}">
  <sheetPr>
    <pageSetUpPr fitToPage="1"/>
  </sheetPr>
  <dimension ref="A1:G18"/>
  <sheetViews>
    <sheetView zoomScale="75" workbookViewId="0">
      <selection activeCell="A3" sqref="A3"/>
    </sheetView>
  </sheetViews>
  <sheetFormatPr baseColWidth="10" defaultColWidth="11.3984375" defaultRowHeight="13"/>
  <cols>
    <col min="1" max="1" width="19.3984375" style="2" customWidth="1"/>
    <col min="2" max="7" width="14.3984375" style="2" customWidth="1"/>
    <col min="8" max="16384" width="11.3984375" style="2"/>
  </cols>
  <sheetData>
    <row r="1" spans="1:7" ht="14" customHeight="1">
      <c r="A1" s="242"/>
      <c r="B1" s="4"/>
      <c r="C1" s="4"/>
      <c r="D1" s="4"/>
      <c r="E1" s="4"/>
      <c r="F1" s="4"/>
      <c r="G1" s="4"/>
    </row>
    <row r="2" spans="1:7" ht="30" customHeight="1">
      <c r="A2" s="1606" t="s">
        <v>320</v>
      </c>
      <c r="B2" s="1610"/>
      <c r="C2" s="1610"/>
      <c r="D2" s="1610"/>
      <c r="E2" s="1610"/>
      <c r="F2" s="1610"/>
      <c r="G2" s="243">
        <v>2005</v>
      </c>
    </row>
    <row r="3" spans="1:7" ht="24" customHeight="1">
      <c r="A3" s="125" t="s">
        <v>321</v>
      </c>
      <c r="B3" s="126" t="s">
        <v>224</v>
      </c>
      <c r="C3" s="127" t="s">
        <v>225</v>
      </c>
      <c r="D3" s="126" t="s">
        <v>223</v>
      </c>
      <c r="E3" s="127" t="s">
        <v>43</v>
      </c>
      <c r="F3" s="126" t="s">
        <v>1806</v>
      </c>
      <c r="G3" s="127" t="s">
        <v>265</v>
      </c>
    </row>
    <row r="4" spans="1:7" ht="15" customHeight="1">
      <c r="A4" s="212"/>
      <c r="B4" s="129"/>
      <c r="C4" s="131"/>
      <c r="D4" s="129"/>
      <c r="E4" s="213"/>
      <c r="F4" s="129" t="s">
        <v>1807</v>
      </c>
      <c r="G4" s="131" t="s">
        <v>267</v>
      </c>
    </row>
    <row r="5" spans="1:7" ht="15" customHeight="1">
      <c r="A5" s="128"/>
      <c r="B5" s="129"/>
      <c r="C5" s="131"/>
      <c r="D5" s="129"/>
      <c r="E5" s="131"/>
      <c r="F5" s="129" t="s">
        <v>1808</v>
      </c>
      <c r="G5" s="131" t="s">
        <v>268</v>
      </c>
    </row>
    <row r="6" spans="1:7" ht="24" customHeight="1">
      <c r="A6" s="244"/>
      <c r="B6" s="245"/>
      <c r="C6" s="246"/>
      <c r="D6" s="245"/>
      <c r="E6" s="246"/>
      <c r="F6" s="245"/>
      <c r="G6" s="134"/>
    </row>
    <row r="7" spans="1:7" ht="37.5" customHeight="1" thickBot="1">
      <c r="A7" s="247" t="s">
        <v>322</v>
      </c>
      <c r="B7" s="248">
        <v>1053442</v>
      </c>
      <c r="C7" s="249">
        <v>1356443</v>
      </c>
      <c r="D7" s="248">
        <v>1195693</v>
      </c>
      <c r="E7" s="249">
        <v>3605578</v>
      </c>
      <c r="F7" s="250">
        <v>0.48342027022950401</v>
      </c>
      <c r="G7" s="251">
        <v>-9.2625286216778176E-3</v>
      </c>
    </row>
    <row r="8" spans="1:7" ht="34.5" customHeight="1" thickBot="1">
      <c r="A8" s="247" t="s">
        <v>323</v>
      </c>
      <c r="B8" s="248">
        <v>1436716</v>
      </c>
      <c r="C8" s="249">
        <v>1325563</v>
      </c>
      <c r="D8" s="248">
        <v>176794</v>
      </c>
      <c r="E8" s="249">
        <v>2939073</v>
      </c>
      <c r="F8" s="250">
        <v>0.39405816872752136</v>
      </c>
      <c r="G8" s="251">
        <v>-2.8348766192269764E-2</v>
      </c>
    </row>
    <row r="9" spans="1:7" ht="31.5" customHeight="1" thickBot="1">
      <c r="A9" s="247" t="s">
        <v>324</v>
      </c>
      <c r="B9" s="248">
        <v>4889</v>
      </c>
      <c r="C9" s="249">
        <v>2620</v>
      </c>
      <c r="D9" s="248">
        <v>202</v>
      </c>
      <c r="E9" s="249">
        <v>7711</v>
      </c>
      <c r="F9" s="250">
        <v>1.0338574574561153E-3</v>
      </c>
      <c r="G9" s="251">
        <v>-4.7789577673499631E-2</v>
      </c>
    </row>
    <row r="10" spans="1:7" ht="33" customHeight="1" thickBot="1">
      <c r="A10" s="247" t="s">
        <v>325</v>
      </c>
      <c r="B10" s="248">
        <v>363688</v>
      </c>
      <c r="C10" s="249">
        <v>358139</v>
      </c>
      <c r="D10" s="248">
        <v>184286</v>
      </c>
      <c r="E10" s="249">
        <v>906113</v>
      </c>
      <c r="F10" s="250">
        <v>0.12148770358551848</v>
      </c>
      <c r="G10" s="251">
        <v>0.21176009607283561</v>
      </c>
    </row>
    <row r="11" spans="1:7" ht="15" customHeight="1">
      <c r="A11" s="252"/>
      <c r="B11" s="253"/>
      <c r="C11" s="254"/>
      <c r="D11" s="253"/>
      <c r="E11" s="254"/>
      <c r="F11" s="255"/>
      <c r="G11" s="256" t="s">
        <v>695</v>
      </c>
    </row>
    <row r="12" spans="1:7" ht="23.25" customHeight="1" thickBot="1">
      <c r="A12" s="257" t="s">
        <v>43</v>
      </c>
      <c r="B12" s="258">
        <v>2858735</v>
      </c>
      <c r="C12" s="259">
        <v>3042765</v>
      </c>
      <c r="D12" s="258">
        <v>1556975</v>
      </c>
      <c r="E12" s="259">
        <v>7458475</v>
      </c>
      <c r="F12" s="260">
        <v>1</v>
      </c>
      <c r="G12" s="261">
        <v>5.1888321980643063E-3</v>
      </c>
    </row>
    <row r="13" spans="1:7" ht="19.5" customHeight="1">
      <c r="A13" s="146" t="s">
        <v>693</v>
      </c>
      <c r="B13" s="146"/>
      <c r="C13" s="146"/>
      <c r="D13" s="146"/>
      <c r="E13" s="146"/>
      <c r="F13" s="146"/>
      <c r="G13" s="146"/>
    </row>
    <row r="15" spans="1:7">
      <c r="A15" s="2" t="s">
        <v>326</v>
      </c>
    </row>
    <row r="18" spans="1:1">
      <c r="A18" s="2" t="s">
        <v>128</v>
      </c>
    </row>
  </sheetData>
  <mergeCells count="1">
    <mergeCell ref="A2:F2"/>
  </mergeCells>
  <phoneticPr fontId="0" type="noConversion"/>
  <pageMargins left="0.53" right="0.54" top="0.79" bottom="0.49" header="0.42" footer="0.4921259845"/>
  <pageSetup paperSize="9" scale="88" orientation="portrait" horizontalDpi="1200" verticalDpi="1200"/>
  <headerFooter alignWithMargins="0"/>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DCE97-1F1A-974B-822E-9951DCC2194A}">
  <sheetPr>
    <pageSetUpPr fitToPage="1"/>
  </sheetPr>
  <dimension ref="A1:J27"/>
  <sheetViews>
    <sheetView zoomScale="75" workbookViewId="0">
      <selection activeCell="K14" sqref="K14"/>
    </sheetView>
  </sheetViews>
  <sheetFormatPr baseColWidth="10" defaultColWidth="11.3984375" defaultRowHeight="13"/>
  <cols>
    <col min="1" max="1" width="14.796875" style="2" customWidth="1"/>
    <col min="2" max="2" width="14.796875" style="163" customWidth="1"/>
    <col min="3" max="3" width="12.3984375" style="2" customWidth="1"/>
    <col min="4" max="4" width="13.19921875" style="2" customWidth="1"/>
    <col min="5" max="5" width="12.796875" style="2" customWidth="1"/>
    <col min="6" max="6" width="13.59765625" style="2" customWidth="1"/>
    <col min="7" max="7" width="12.796875" style="2" customWidth="1"/>
    <col min="8" max="8" width="14.796875" style="644" customWidth="1"/>
    <col min="9" max="9" width="15.19921875" style="163" customWidth="1"/>
    <col min="10" max="10" width="11.59765625" style="2" customWidth="1"/>
    <col min="11" max="16384" width="11.3984375" style="2"/>
  </cols>
  <sheetData>
    <row r="1" spans="1:10" s="1" customFormat="1" ht="14" customHeight="1">
      <c r="B1" s="18"/>
      <c r="H1" s="801"/>
      <c r="I1" s="18"/>
    </row>
    <row r="2" spans="1:10" s="1" customFormat="1" ht="28" customHeight="1">
      <c r="A2" s="124" t="s">
        <v>466</v>
      </c>
      <c r="B2" s="18"/>
      <c r="H2" s="801"/>
      <c r="I2" s="18"/>
      <c r="J2" s="124">
        <v>2005</v>
      </c>
    </row>
    <row r="3" spans="1:10" ht="27" customHeight="1">
      <c r="A3" s="125" t="s">
        <v>1746</v>
      </c>
      <c r="B3" s="268" t="s">
        <v>329</v>
      </c>
      <c r="C3" s="1628" t="s">
        <v>323</v>
      </c>
      <c r="D3" s="1615"/>
      <c r="E3" s="1615"/>
      <c r="F3" s="1615"/>
      <c r="G3" s="1615"/>
      <c r="H3" s="1615"/>
      <c r="I3" s="269" t="s">
        <v>2106</v>
      </c>
      <c r="J3" s="126" t="s">
        <v>43</v>
      </c>
    </row>
    <row r="4" spans="1:10" ht="15" customHeight="1">
      <c r="A4" s="128"/>
      <c r="B4" s="587" t="s">
        <v>333</v>
      </c>
      <c r="C4" s="128"/>
      <c r="D4" s="130"/>
      <c r="E4" s="131"/>
      <c r="F4" s="129"/>
      <c r="G4" s="131"/>
      <c r="H4" s="587" t="s">
        <v>43</v>
      </c>
      <c r="I4" s="614" t="s">
        <v>335</v>
      </c>
      <c r="J4" s="130"/>
    </row>
    <row r="5" spans="1:10" ht="15" customHeight="1">
      <c r="A5" s="128"/>
      <c r="B5" s="587" t="s">
        <v>337</v>
      </c>
      <c r="C5" s="131" t="s">
        <v>2119</v>
      </c>
      <c r="D5" s="129" t="s">
        <v>2120</v>
      </c>
      <c r="E5" s="131" t="s">
        <v>2121</v>
      </c>
      <c r="F5" s="129" t="s">
        <v>2122</v>
      </c>
      <c r="G5" s="131" t="s">
        <v>2123</v>
      </c>
      <c r="H5" s="802"/>
      <c r="I5" s="614" t="s">
        <v>2113</v>
      </c>
      <c r="J5" s="130"/>
    </row>
    <row r="6" spans="1:10" ht="24" customHeight="1">
      <c r="A6" s="132"/>
      <c r="B6" s="588"/>
      <c r="C6" s="132"/>
      <c r="D6" s="133"/>
      <c r="E6" s="134"/>
      <c r="F6" s="135"/>
      <c r="G6" s="134"/>
      <c r="H6" s="792"/>
      <c r="I6" s="616"/>
      <c r="J6" s="133"/>
    </row>
    <row r="7" spans="1:10" ht="20" customHeight="1" thickBot="1">
      <c r="A7" s="331">
        <v>1996</v>
      </c>
      <c r="B7" s="793">
        <v>0.60572223331626529</v>
      </c>
      <c r="C7" s="356" t="s">
        <v>1646</v>
      </c>
      <c r="D7" s="373" t="s">
        <v>1646</v>
      </c>
      <c r="E7" s="356" t="s">
        <v>1646</v>
      </c>
      <c r="F7" s="373" t="s">
        <v>1646</v>
      </c>
      <c r="G7" s="356" t="s">
        <v>1646</v>
      </c>
      <c r="H7" s="793">
        <v>0.37321719800503761</v>
      </c>
      <c r="I7" s="794">
        <v>2.1060568678697135E-2</v>
      </c>
      <c r="J7" s="373">
        <v>1</v>
      </c>
    </row>
    <row r="8" spans="1:10" ht="20" customHeight="1" thickBot="1">
      <c r="A8" s="331">
        <v>1997</v>
      </c>
      <c r="B8" s="793">
        <v>0.47310000000000002</v>
      </c>
      <c r="C8" s="356">
        <v>0.2923</v>
      </c>
      <c r="D8" s="373">
        <v>8.3000000000000004E-2</v>
      </c>
      <c r="E8" s="356">
        <v>2.1299999999999999E-2</v>
      </c>
      <c r="F8" s="373">
        <v>5.2400000000000002E-2</v>
      </c>
      <c r="G8" s="356" t="s">
        <v>1646</v>
      </c>
      <c r="H8" s="793">
        <v>0.44900000000000001</v>
      </c>
      <c r="I8" s="794">
        <v>7.7799999999999994E-2</v>
      </c>
      <c r="J8" s="373">
        <v>1</v>
      </c>
    </row>
    <row r="9" spans="1:10" ht="20" customHeight="1" thickBot="1">
      <c r="A9" s="141">
        <v>1998</v>
      </c>
      <c r="B9" s="793">
        <v>0.47549999999999998</v>
      </c>
      <c r="C9" s="356">
        <v>0.30769999999999997</v>
      </c>
      <c r="D9" s="373">
        <v>7.5800000000000006E-2</v>
      </c>
      <c r="E9" s="356">
        <v>3.1699999999999999E-2</v>
      </c>
      <c r="F9" s="373">
        <v>3.9199999999999999E-2</v>
      </c>
      <c r="G9" s="356" t="s">
        <v>1646</v>
      </c>
      <c r="H9" s="793">
        <v>0.45440000000000003</v>
      </c>
      <c r="I9" s="794">
        <v>7.0099999999999996E-2</v>
      </c>
      <c r="J9" s="373">
        <v>1</v>
      </c>
    </row>
    <row r="10" spans="1:10" ht="20" customHeight="1" thickBot="1">
      <c r="A10" s="141">
        <v>1999</v>
      </c>
      <c r="B10" s="793">
        <v>0.47310000000000002</v>
      </c>
      <c r="C10" s="356">
        <v>0.2923</v>
      </c>
      <c r="D10" s="373">
        <v>8.3000000000000004E-2</v>
      </c>
      <c r="E10" s="356">
        <v>2.1299999999999999E-2</v>
      </c>
      <c r="F10" s="373">
        <v>5.2400000000000002E-2</v>
      </c>
      <c r="G10" s="356" t="s">
        <v>1646</v>
      </c>
      <c r="H10" s="793">
        <v>0.44900000000000001</v>
      </c>
      <c r="I10" s="794">
        <v>7.7799999999999994E-2</v>
      </c>
      <c r="J10" s="373">
        <v>1</v>
      </c>
    </row>
    <row r="11" spans="1:10" ht="20" customHeight="1" thickBot="1">
      <c r="A11" s="141">
        <v>2000</v>
      </c>
      <c r="B11" s="793">
        <v>0.45929999999999999</v>
      </c>
      <c r="C11" s="356">
        <v>0.27900000000000003</v>
      </c>
      <c r="D11" s="373">
        <v>8.9399999999999993E-2</v>
      </c>
      <c r="E11" s="356">
        <v>2.23E-2</v>
      </c>
      <c r="F11" s="373">
        <v>6.8099999999999994E-2</v>
      </c>
      <c r="G11" s="356" t="s">
        <v>1646</v>
      </c>
      <c r="H11" s="793">
        <v>0.4587</v>
      </c>
      <c r="I11" s="794">
        <v>8.2000000000000003E-2</v>
      </c>
      <c r="J11" s="373">
        <v>1</v>
      </c>
    </row>
    <row r="12" spans="1:10" ht="20" customHeight="1" thickBot="1">
      <c r="A12" s="141">
        <v>2001</v>
      </c>
      <c r="B12" s="793">
        <v>0.45299999999999996</v>
      </c>
      <c r="C12" s="356">
        <v>0.26100000000000001</v>
      </c>
      <c r="D12" s="373">
        <v>9.1999999999999998E-2</v>
      </c>
      <c r="E12" s="356">
        <v>2.3E-2</v>
      </c>
      <c r="F12" s="373">
        <v>8.8000000000000009E-2</v>
      </c>
      <c r="G12" s="356" t="s">
        <v>1646</v>
      </c>
      <c r="H12" s="793">
        <v>0.46299999999999997</v>
      </c>
      <c r="I12" s="794">
        <v>8.4000000000000005E-2</v>
      </c>
      <c r="J12" s="373">
        <v>1</v>
      </c>
    </row>
    <row r="13" spans="1:10" ht="20" customHeight="1" thickBot="1">
      <c r="A13" s="141">
        <v>2002</v>
      </c>
      <c r="B13" s="793">
        <v>0.436</v>
      </c>
      <c r="C13" s="356">
        <v>0.24199999999999999</v>
      </c>
      <c r="D13" s="373">
        <v>9.9000000000000005E-2</v>
      </c>
      <c r="E13" s="356">
        <v>2.5000000000000001E-2</v>
      </c>
      <c r="F13" s="373">
        <v>0.114</v>
      </c>
      <c r="G13" s="356" t="s">
        <v>1646</v>
      </c>
      <c r="H13" s="793">
        <v>0.47899999999999998</v>
      </c>
      <c r="I13" s="794">
        <v>8.4000000000000005E-2</v>
      </c>
      <c r="J13" s="373">
        <v>1</v>
      </c>
    </row>
    <row r="14" spans="1:10" ht="20" customHeight="1" thickBot="1">
      <c r="A14" s="141">
        <v>2003</v>
      </c>
      <c r="B14" s="793">
        <v>0.41799999999999998</v>
      </c>
      <c r="C14" s="356">
        <v>0.221</v>
      </c>
      <c r="D14" s="373">
        <v>0.10199999999999999</v>
      </c>
      <c r="E14" s="356">
        <v>2.6000000000000002E-2</v>
      </c>
      <c r="F14" s="373">
        <v>0.15</v>
      </c>
      <c r="G14" s="356" t="s">
        <v>1646</v>
      </c>
      <c r="H14" s="793">
        <v>0.5</v>
      </c>
      <c r="I14" s="794">
        <v>8.3000000000000004E-2</v>
      </c>
      <c r="J14" s="373">
        <v>1</v>
      </c>
    </row>
    <row r="15" spans="1:10" ht="20" customHeight="1" thickBot="1">
      <c r="A15" s="141">
        <v>2004</v>
      </c>
      <c r="B15" s="793">
        <v>0.42599999999999999</v>
      </c>
      <c r="C15" s="356">
        <v>0.19</v>
      </c>
      <c r="D15" s="373">
        <v>9.9000000000000005E-2</v>
      </c>
      <c r="E15" s="356">
        <v>2.4E-2</v>
      </c>
      <c r="F15" s="373">
        <v>0.17</v>
      </c>
      <c r="G15" s="356" t="s">
        <v>1646</v>
      </c>
      <c r="H15" s="793">
        <v>0.48399999999999999</v>
      </c>
      <c r="I15" s="794">
        <v>0.09</v>
      </c>
      <c r="J15" s="373">
        <v>1</v>
      </c>
    </row>
    <row r="16" spans="1:10" ht="30" customHeight="1" thickBot="1">
      <c r="A16" s="205">
        <v>2005</v>
      </c>
      <c r="B16" s="795">
        <v>0.43010910660017726</v>
      </c>
      <c r="C16" s="358">
        <v>0.24137084865070785</v>
      </c>
      <c r="D16" s="795">
        <v>2.7927552911429284E-2</v>
      </c>
      <c r="E16" s="358">
        <v>0.14970772549575295</v>
      </c>
      <c r="F16" s="795">
        <v>7.737346283222017E-3</v>
      </c>
      <c r="G16" s="358">
        <v>4.3513188407514357E-2</v>
      </c>
      <c r="H16" s="795">
        <v>0.47025666174862646</v>
      </c>
      <c r="I16" s="803">
        <v>9.963405737620637E-2</v>
      </c>
      <c r="J16" s="209">
        <v>1</v>
      </c>
    </row>
    <row r="17" spans="1:10" ht="20" customHeight="1">
      <c r="A17" s="227" t="s">
        <v>471</v>
      </c>
      <c r="B17" s="596"/>
      <c r="C17" s="146"/>
      <c r="D17" s="146"/>
      <c r="E17" s="146"/>
      <c r="F17" s="146"/>
      <c r="G17" s="146"/>
      <c r="H17" s="804"/>
      <c r="J17" s="136"/>
    </row>
    <row r="18" spans="1:10" ht="17.25" customHeight="1">
      <c r="A18" s="4"/>
    </row>
    <row r="19" spans="1:10" ht="12" customHeight="1">
      <c r="A19" s="2" t="s">
        <v>461</v>
      </c>
    </row>
    <row r="20" spans="1:10" ht="12" customHeight="1">
      <c r="A20" s="2" t="s">
        <v>462</v>
      </c>
    </row>
    <row r="21" spans="1:10" ht="12" customHeight="1">
      <c r="A21" s="2" t="s">
        <v>463</v>
      </c>
    </row>
    <row r="22" spans="1:10" ht="12" customHeight="1">
      <c r="A22" s="2" t="s">
        <v>464</v>
      </c>
    </row>
    <row r="23" spans="1:10" ht="12" customHeight="1"/>
    <row r="24" spans="1:10" ht="12" customHeight="1">
      <c r="A24" s="2" t="s">
        <v>465</v>
      </c>
    </row>
    <row r="27" spans="1:10">
      <c r="A27" s="2" t="s">
        <v>128</v>
      </c>
    </row>
  </sheetData>
  <mergeCells count="1">
    <mergeCell ref="C3:H3"/>
  </mergeCells>
  <phoneticPr fontId="0" type="noConversion"/>
  <pageMargins left="0.51" right="0.57999999999999996" top="0.85" bottom="0.49" header="0.4" footer="0.4921259845"/>
  <pageSetup paperSize="9" scale="68" orientation="portrait" horizontalDpi="4294967292" verticalDpi="4294967292"/>
  <headerFooter alignWithMargins="0"/>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93ECB-E7EB-C349-B8E9-DAF867FBDF08}">
  <sheetPr>
    <pageSetUpPr fitToPage="1"/>
  </sheetPr>
  <dimension ref="A1:L42"/>
  <sheetViews>
    <sheetView topLeftCell="A21" zoomScale="75" workbookViewId="0">
      <selection activeCell="A40" sqref="A40"/>
    </sheetView>
  </sheetViews>
  <sheetFormatPr baseColWidth="10" defaultColWidth="11.3984375" defaultRowHeight="13"/>
  <cols>
    <col min="1" max="1" width="11.19921875" style="2" customWidth="1"/>
    <col min="2" max="2" width="14.796875" style="163" customWidth="1"/>
    <col min="3" max="3" width="12.3984375" style="2" customWidth="1"/>
    <col min="4" max="4" width="13.19921875" style="2" customWidth="1"/>
    <col min="5" max="5" width="12.796875" style="2" customWidth="1"/>
    <col min="6" max="6" width="13.59765625" style="2" customWidth="1"/>
    <col min="7" max="7" width="12.796875" style="2" customWidth="1"/>
    <col min="8" max="8" width="14.796875" style="644" customWidth="1"/>
    <col min="9" max="9" width="15.19921875" style="163" customWidth="1"/>
    <col min="10" max="10" width="12.19921875" style="2" customWidth="1"/>
    <col min="11" max="16384" width="11.3984375" style="2"/>
  </cols>
  <sheetData>
    <row r="1" spans="1:10" s="1" customFormat="1" ht="14" customHeight="1">
      <c r="B1" s="18"/>
      <c r="H1" s="801"/>
      <c r="I1" s="18"/>
    </row>
    <row r="2" spans="1:10" s="1" customFormat="1" ht="28" customHeight="1">
      <c r="A2" s="124" t="s">
        <v>474</v>
      </c>
      <c r="B2" s="18"/>
      <c r="H2" s="801"/>
      <c r="I2" s="18"/>
      <c r="J2" s="124">
        <v>2005</v>
      </c>
    </row>
    <row r="3" spans="1:10" ht="27" customHeight="1">
      <c r="A3" s="125" t="s">
        <v>222</v>
      </c>
      <c r="B3" s="268" t="s">
        <v>2105</v>
      </c>
      <c r="C3" s="1629" t="s">
        <v>323</v>
      </c>
      <c r="D3" s="1630"/>
      <c r="E3" s="1630"/>
      <c r="F3" s="1630"/>
      <c r="G3" s="1630"/>
      <c r="H3" s="1630"/>
      <c r="I3" s="269" t="s">
        <v>2106</v>
      </c>
      <c r="J3" s="126" t="s">
        <v>43</v>
      </c>
    </row>
    <row r="4" spans="1:10" ht="15" customHeight="1">
      <c r="A4" s="128"/>
      <c r="B4" s="587" t="s">
        <v>333</v>
      </c>
      <c r="C4" s="128"/>
      <c r="D4" s="130"/>
      <c r="E4" s="131"/>
      <c r="F4" s="129"/>
      <c r="G4" s="131"/>
      <c r="H4" s="587" t="s">
        <v>43</v>
      </c>
      <c r="I4" s="614" t="s">
        <v>335</v>
      </c>
      <c r="J4" s="130"/>
    </row>
    <row r="5" spans="1:10" ht="15" customHeight="1">
      <c r="A5" s="128"/>
      <c r="B5" s="587" t="s">
        <v>337</v>
      </c>
      <c r="C5" s="128" t="s">
        <v>2111</v>
      </c>
      <c r="D5" s="130" t="s">
        <v>467</v>
      </c>
      <c r="E5" s="131" t="s">
        <v>468</v>
      </c>
      <c r="F5" s="129" t="s">
        <v>469</v>
      </c>
      <c r="G5" s="131" t="s">
        <v>470</v>
      </c>
      <c r="H5" s="802"/>
      <c r="I5" s="614" t="s">
        <v>2113</v>
      </c>
      <c r="J5" s="130"/>
    </row>
    <row r="6" spans="1:10" ht="24" customHeight="1">
      <c r="A6" s="132"/>
      <c r="B6" s="588" t="s">
        <v>2109</v>
      </c>
      <c r="C6" s="132"/>
      <c r="D6" s="133"/>
      <c r="E6" s="134"/>
      <c r="F6" s="135"/>
      <c r="G6" s="134"/>
      <c r="H6" s="792"/>
      <c r="I6" s="616"/>
      <c r="J6" s="133"/>
    </row>
    <row r="7" spans="1:10" ht="30" customHeight="1" thickBot="1">
      <c r="A7" s="137" t="s">
        <v>230</v>
      </c>
      <c r="B7" s="793">
        <v>0.43319660896998213</v>
      </c>
      <c r="C7" s="356">
        <v>0.21127133511349816</v>
      </c>
      <c r="D7" s="373">
        <v>2.6901788782026613E-2</v>
      </c>
      <c r="E7" s="356">
        <v>0.14489217932577633</v>
      </c>
      <c r="F7" s="373">
        <v>9.8695950257777828E-3</v>
      </c>
      <c r="G7" s="356">
        <v>5.3947437397112198E-2</v>
      </c>
      <c r="H7" s="793">
        <v>0.44688233564419105</v>
      </c>
      <c r="I7" s="794">
        <v>0.11992205216125834</v>
      </c>
      <c r="J7" s="373">
        <v>1</v>
      </c>
    </row>
    <row r="8" spans="1:10" ht="20" customHeight="1" thickBot="1">
      <c r="A8" s="141" t="s">
        <v>231</v>
      </c>
      <c r="B8" s="793">
        <v>0.36085350518704812</v>
      </c>
      <c r="C8" s="356">
        <v>0.31909873361097657</v>
      </c>
      <c r="D8" s="373">
        <v>3.440478437660132E-2</v>
      </c>
      <c r="E8" s="356">
        <v>0.14887045416963793</v>
      </c>
      <c r="F8" s="373">
        <v>6.6253014227057802E-3</v>
      </c>
      <c r="G8" s="356">
        <v>3.8246496021916897E-2</v>
      </c>
      <c r="H8" s="793">
        <v>0.54724576960183846</v>
      </c>
      <c r="I8" s="794">
        <v>9.1900725211113407E-2</v>
      </c>
      <c r="J8" s="373">
        <v>1</v>
      </c>
    </row>
    <row r="9" spans="1:10" ht="20" customHeight="1" thickBot="1">
      <c r="A9" s="141" t="s">
        <v>232</v>
      </c>
      <c r="B9" s="793">
        <v>0.54667231815956208</v>
      </c>
      <c r="C9" s="356">
        <v>0.15782520555930651</v>
      </c>
      <c r="D9" s="373">
        <v>2.065174894235771E-2</v>
      </c>
      <c r="E9" s="356">
        <v>0.14431533553384554</v>
      </c>
      <c r="F9" s="373">
        <v>6.3643059285245834E-3</v>
      </c>
      <c r="G9" s="356">
        <v>3.6428004692220912E-2</v>
      </c>
      <c r="H9" s="793">
        <v>0.36558460065625525</v>
      </c>
      <c r="I9" s="794">
        <v>8.7743081184182642E-2</v>
      </c>
      <c r="J9" s="373">
        <v>1</v>
      </c>
    </row>
    <row r="10" spans="1:10" ht="20" customHeight="1" thickBot="1">
      <c r="A10" s="141" t="s">
        <v>233</v>
      </c>
      <c r="B10" s="793">
        <v>0.52275639852074252</v>
      </c>
      <c r="C10" s="356">
        <v>0.25882702621505549</v>
      </c>
      <c r="D10" s="373">
        <v>3.5413027122859569E-2</v>
      </c>
      <c r="E10" s="356">
        <v>0.13768878524867265</v>
      </c>
      <c r="F10" s="373">
        <v>7.8532516106652305E-3</v>
      </c>
      <c r="G10" s="356">
        <v>3.4532288624467208E-2</v>
      </c>
      <c r="H10" s="793">
        <v>0.47431437882172017</v>
      </c>
      <c r="I10" s="794">
        <v>2.9658379407564717E-3</v>
      </c>
      <c r="J10" s="373">
        <v>1</v>
      </c>
    </row>
    <row r="11" spans="1:10" ht="20" customHeight="1" thickBot="1">
      <c r="A11" s="141" t="s">
        <v>234</v>
      </c>
      <c r="B11" s="793">
        <v>0.52854960963069075</v>
      </c>
      <c r="C11" s="356">
        <v>0.20526452624495226</v>
      </c>
      <c r="D11" s="373">
        <v>2.4611939345201613E-2</v>
      </c>
      <c r="E11" s="356">
        <v>0.15297486632857035</v>
      </c>
      <c r="F11" s="373">
        <v>7.6263688261146972E-3</v>
      </c>
      <c r="G11" s="356">
        <v>4.3311300611730039E-2</v>
      </c>
      <c r="H11" s="793">
        <v>0.43378900135656895</v>
      </c>
      <c r="I11" s="794">
        <v>3.7661389012740361E-2</v>
      </c>
      <c r="J11" s="373">
        <v>1</v>
      </c>
    </row>
    <row r="12" spans="1:10" ht="20" customHeight="1" thickBot="1">
      <c r="A12" s="141" t="s">
        <v>235</v>
      </c>
      <c r="B12" s="793">
        <v>0.54083456368016158</v>
      </c>
      <c r="C12" s="356">
        <v>0.23837398325652601</v>
      </c>
      <c r="D12" s="373">
        <v>3.1234673742594032E-2</v>
      </c>
      <c r="E12" s="356">
        <v>0.13827484780429269</v>
      </c>
      <c r="F12" s="373">
        <v>5.7322060426483442E-3</v>
      </c>
      <c r="G12" s="356">
        <v>3.5953020213073283E-2</v>
      </c>
      <c r="H12" s="793">
        <v>0.44956873105913436</v>
      </c>
      <c r="I12" s="794">
        <v>9.6355583184396607E-3</v>
      </c>
      <c r="J12" s="373">
        <v>1</v>
      </c>
    </row>
    <row r="13" spans="1:10" ht="20" customHeight="1" thickBot="1">
      <c r="A13" s="141" t="s">
        <v>236</v>
      </c>
      <c r="B13" s="793">
        <v>0.56068890998984966</v>
      </c>
      <c r="C13" s="356">
        <v>0.1869686876378778</v>
      </c>
      <c r="D13" s="373">
        <v>3.032996205187698E-2</v>
      </c>
      <c r="E13" s="356">
        <v>0.15957921210301285</v>
      </c>
      <c r="F13" s="373">
        <v>6.3765606492508248E-3</v>
      </c>
      <c r="G13" s="356">
        <v>4.3909062709089876E-2</v>
      </c>
      <c r="H13" s="793">
        <v>0.42716348515110836</v>
      </c>
      <c r="I13" s="794">
        <v>1.2147604859041945E-2</v>
      </c>
      <c r="J13" s="373">
        <v>1</v>
      </c>
    </row>
    <row r="14" spans="1:10" ht="20" customHeight="1" thickBot="1">
      <c r="A14" s="141" t="s">
        <v>237</v>
      </c>
      <c r="B14" s="793">
        <v>0.57096443228454175</v>
      </c>
      <c r="C14" s="356">
        <v>0.20536702451303704</v>
      </c>
      <c r="D14" s="373">
        <v>3.3919268719537161E-2</v>
      </c>
      <c r="E14" s="356">
        <v>0.12917966604000866</v>
      </c>
      <c r="F14" s="373">
        <v>1.1492728536279842E-2</v>
      </c>
      <c r="G14" s="356">
        <v>2.773625063162977E-2</v>
      </c>
      <c r="H14" s="793">
        <v>0.40769493844049248</v>
      </c>
      <c r="I14" s="794">
        <v>2.13406292749658E-2</v>
      </c>
      <c r="J14" s="373">
        <v>1</v>
      </c>
    </row>
    <row r="15" spans="1:10" ht="20" customHeight="1" thickBot="1">
      <c r="A15" s="141" t="s">
        <v>238</v>
      </c>
      <c r="B15" s="793">
        <v>0.49874865495520548</v>
      </c>
      <c r="C15" s="356">
        <v>0.21002573004800429</v>
      </c>
      <c r="D15" s="373">
        <v>2.7634645240533343E-2</v>
      </c>
      <c r="E15" s="356">
        <v>0.15934199527410248</v>
      </c>
      <c r="F15" s="373">
        <v>1.305306333573919E-2</v>
      </c>
      <c r="G15" s="356">
        <v>4.2786388833784501E-2</v>
      </c>
      <c r="H15" s="793">
        <v>0.45284182273216378</v>
      </c>
      <c r="I15" s="794">
        <v>4.840952231263073E-2</v>
      </c>
      <c r="J15" s="373">
        <v>1</v>
      </c>
    </row>
    <row r="16" spans="1:10" ht="20" customHeight="1" thickBot="1">
      <c r="A16" s="141" t="s">
        <v>239</v>
      </c>
      <c r="B16" s="793">
        <v>0.39619215577829142</v>
      </c>
      <c r="C16" s="356">
        <v>0.34641624663736148</v>
      </c>
      <c r="D16" s="373">
        <v>3.1812828382929405E-2</v>
      </c>
      <c r="E16" s="356">
        <v>0.15758715515073757</v>
      </c>
      <c r="F16" s="373">
        <v>5.2951546748669131E-3</v>
      </c>
      <c r="G16" s="356">
        <v>2.5030211860721047E-2</v>
      </c>
      <c r="H16" s="793">
        <v>0.56614159670661646</v>
      </c>
      <c r="I16" s="794">
        <v>3.7666247515092059E-2</v>
      </c>
      <c r="J16" s="373">
        <v>1</v>
      </c>
    </row>
    <row r="17" spans="1:10" ht="20" customHeight="1" thickBot="1">
      <c r="A17" s="141" t="s">
        <v>240</v>
      </c>
      <c r="B17" s="793">
        <v>0.45839112704226082</v>
      </c>
      <c r="C17" s="356">
        <v>0.28311487968756599</v>
      </c>
      <c r="D17" s="373">
        <v>2.490988810596436E-2</v>
      </c>
      <c r="E17" s="356">
        <v>0.14678966571167798</v>
      </c>
      <c r="F17" s="373">
        <v>1.0804037039247965E-2</v>
      </c>
      <c r="G17" s="356">
        <v>3.2046403867866065E-2</v>
      </c>
      <c r="H17" s="793">
        <v>0.49766487441232238</v>
      </c>
      <c r="I17" s="794">
        <v>4.3943998545416765E-2</v>
      </c>
      <c r="J17" s="373">
        <v>1</v>
      </c>
    </row>
    <row r="18" spans="1:10" ht="20" customHeight="1" thickBot="1">
      <c r="A18" s="141" t="s">
        <v>241</v>
      </c>
      <c r="B18" s="793">
        <v>0.44702031541645249</v>
      </c>
      <c r="C18" s="356">
        <v>0.1660437869638629</v>
      </c>
      <c r="D18" s="373">
        <v>2.3144306074985833E-2</v>
      </c>
      <c r="E18" s="356">
        <v>0.16630139786920839</v>
      </c>
      <c r="F18" s="373">
        <v>6.2097786656962568E-3</v>
      </c>
      <c r="G18" s="356">
        <v>4.2519357850706249E-2</v>
      </c>
      <c r="H18" s="793">
        <v>0.40421862742445963</v>
      </c>
      <c r="I18" s="794">
        <v>0.14876105715908786</v>
      </c>
      <c r="J18" s="373">
        <v>1</v>
      </c>
    </row>
    <row r="19" spans="1:10" ht="20" customHeight="1" thickBot="1">
      <c r="A19" s="141" t="s">
        <v>242</v>
      </c>
      <c r="B19" s="793">
        <v>0.40601129834387523</v>
      </c>
      <c r="C19" s="356">
        <v>0.23207414417439987</v>
      </c>
      <c r="D19" s="373">
        <v>2.9140723555885026E-2</v>
      </c>
      <c r="E19" s="356">
        <v>0.16392081050295279</v>
      </c>
      <c r="F19" s="373">
        <v>8.5633890775401369E-3</v>
      </c>
      <c r="G19" s="356">
        <v>5.0343229053473083E-2</v>
      </c>
      <c r="H19" s="793">
        <v>0.48404229636425089</v>
      </c>
      <c r="I19" s="794">
        <v>0.10994640529187388</v>
      </c>
      <c r="J19" s="373">
        <v>1</v>
      </c>
    </row>
    <row r="20" spans="1:10" ht="20" customHeight="1" thickBot="1">
      <c r="A20" s="141" t="s">
        <v>243</v>
      </c>
      <c r="B20" s="793">
        <v>0.39554738065904321</v>
      </c>
      <c r="C20" s="356">
        <v>0.19982572188259159</v>
      </c>
      <c r="D20" s="373">
        <v>2.4362194763725108E-2</v>
      </c>
      <c r="E20" s="356">
        <v>0.12022629924857622</v>
      </c>
      <c r="F20" s="373">
        <v>9.2294233200674106E-3</v>
      </c>
      <c r="G20" s="356">
        <v>3.8589437881640341E-2</v>
      </c>
      <c r="H20" s="793">
        <v>0.39223307709660066</v>
      </c>
      <c r="I20" s="794">
        <v>0.21221954224435613</v>
      </c>
      <c r="J20" s="373">
        <v>1</v>
      </c>
    </row>
    <row r="21" spans="1:10" ht="20" customHeight="1" thickBot="1">
      <c r="A21" s="141" t="s">
        <v>244</v>
      </c>
      <c r="B21" s="793">
        <v>0.52222472641674811</v>
      </c>
      <c r="C21" s="356">
        <v>0.16047286239822475</v>
      </c>
      <c r="D21" s="373">
        <v>2.6649013843456172E-2</v>
      </c>
      <c r="E21" s="356">
        <v>0.10151286293154126</v>
      </c>
      <c r="F21" s="373">
        <v>7.4234741112554972E-3</v>
      </c>
      <c r="G21" s="356">
        <v>2.8360187536898118E-2</v>
      </c>
      <c r="H21" s="793">
        <v>0.3244184008213758</v>
      </c>
      <c r="I21" s="794">
        <v>0.15335687276187615</v>
      </c>
      <c r="J21" s="373">
        <v>1</v>
      </c>
    </row>
    <row r="22" spans="1:10" ht="20" customHeight="1" thickBot="1">
      <c r="A22" s="141" t="s">
        <v>245</v>
      </c>
      <c r="B22" s="793">
        <v>0.57423070001799537</v>
      </c>
      <c r="C22" s="356">
        <v>0.14794418525462436</v>
      </c>
      <c r="D22" s="373">
        <v>2.41007306058479E-2</v>
      </c>
      <c r="E22" s="356">
        <v>0.10190908185019579</v>
      </c>
      <c r="F22" s="373">
        <v>5.5964243354403361E-3</v>
      </c>
      <c r="G22" s="356">
        <v>3.0329009301741178E-2</v>
      </c>
      <c r="H22" s="793">
        <v>0.30987943134784957</v>
      </c>
      <c r="I22" s="794">
        <v>0.11597984524023754</v>
      </c>
      <c r="J22" s="373">
        <v>1</v>
      </c>
    </row>
    <row r="23" spans="1:10" ht="20" customHeight="1" thickBot="1">
      <c r="A23" s="141" t="s">
        <v>246</v>
      </c>
      <c r="B23" s="793">
        <v>0.46581570055253968</v>
      </c>
      <c r="C23" s="356">
        <v>0.15910573194025485</v>
      </c>
      <c r="D23" s="373">
        <v>2.1379832729471741E-2</v>
      </c>
      <c r="E23" s="356">
        <v>0.11089692508393557</v>
      </c>
      <c r="F23" s="373">
        <v>6.9896159696296927E-3</v>
      </c>
      <c r="G23" s="356">
        <v>3.4933709749526691E-2</v>
      </c>
      <c r="H23" s="793">
        <v>0.33330581547281851</v>
      </c>
      <c r="I23" s="794">
        <v>0.20088133064986749</v>
      </c>
      <c r="J23" s="373">
        <v>1</v>
      </c>
    </row>
    <row r="24" spans="1:10" ht="20" customHeight="1" thickBot="1">
      <c r="A24" s="141" t="s">
        <v>247</v>
      </c>
      <c r="B24" s="793">
        <v>0.57498498698872358</v>
      </c>
      <c r="C24" s="356">
        <v>0.1124611461698065</v>
      </c>
      <c r="D24" s="373">
        <v>2.024974051093462E-2</v>
      </c>
      <c r="E24" s="356">
        <v>0.11153856071919192</v>
      </c>
      <c r="F24" s="373">
        <v>5.2930814903873E-3</v>
      </c>
      <c r="G24" s="356">
        <v>3.2061527958949031E-2</v>
      </c>
      <c r="H24" s="793">
        <v>0.28160405684926937</v>
      </c>
      <c r="I24" s="794">
        <v>0.14341762861146326</v>
      </c>
      <c r="J24" s="373">
        <v>1</v>
      </c>
    </row>
    <row r="25" spans="1:10" ht="20" customHeight="1" thickBot="1">
      <c r="A25" s="141" t="s">
        <v>248</v>
      </c>
      <c r="B25" s="793">
        <v>0.4625713517773597</v>
      </c>
      <c r="C25" s="356">
        <v>0.17088972666784391</v>
      </c>
      <c r="D25" s="373">
        <v>2.3626925332619033E-2</v>
      </c>
      <c r="E25" s="356">
        <v>0.12380793342565141</v>
      </c>
      <c r="F25" s="373">
        <v>8.1830510400477795E-3</v>
      </c>
      <c r="G25" s="356">
        <v>3.3631490957976018E-2</v>
      </c>
      <c r="H25" s="793">
        <v>0.36013912742413817</v>
      </c>
      <c r="I25" s="794">
        <v>0.17728724300832305</v>
      </c>
      <c r="J25" s="373">
        <v>1</v>
      </c>
    </row>
    <row r="26" spans="1:10" ht="20" customHeight="1" thickBot="1">
      <c r="A26" s="141" t="s">
        <v>249</v>
      </c>
      <c r="B26" s="793">
        <v>0.38647750974879841</v>
      </c>
      <c r="C26" s="356">
        <v>0.1307701748185382</v>
      </c>
      <c r="D26" s="373">
        <v>2.2235669217212688E-2</v>
      </c>
      <c r="E26" s="356">
        <v>0.12668164396093054</v>
      </c>
      <c r="F26" s="373">
        <v>7.4804126026062207E-3</v>
      </c>
      <c r="G26" s="356">
        <v>3.9292151998880462E-2</v>
      </c>
      <c r="H26" s="793">
        <v>0.32646005259816813</v>
      </c>
      <c r="I26" s="794">
        <v>0.28706243765303346</v>
      </c>
      <c r="J26" s="373">
        <v>1</v>
      </c>
    </row>
    <row r="27" spans="1:10" ht="20" customHeight="1" thickBot="1">
      <c r="A27" s="141" t="s">
        <v>250</v>
      </c>
      <c r="B27" s="793">
        <v>0.41276117408461332</v>
      </c>
      <c r="C27" s="356">
        <v>0.28014156578146976</v>
      </c>
      <c r="D27" s="373">
        <v>2.1147172276143156E-2</v>
      </c>
      <c r="E27" s="356">
        <v>0.17865892199256314</v>
      </c>
      <c r="F27" s="373">
        <v>5.9893865621841258E-3</v>
      </c>
      <c r="G27" s="356">
        <v>7.3081614855717222E-2</v>
      </c>
      <c r="H27" s="793">
        <v>0.55901866146807744</v>
      </c>
      <c r="I27" s="794">
        <v>2.8224094832329776E-2</v>
      </c>
      <c r="J27" s="373">
        <v>1</v>
      </c>
    </row>
    <row r="28" spans="1:10" ht="20" customHeight="1" thickBot="1">
      <c r="A28" s="141" t="s">
        <v>251</v>
      </c>
      <c r="B28" s="793">
        <v>0.33008426317263828</v>
      </c>
      <c r="C28" s="356">
        <v>0.31176279185738653</v>
      </c>
      <c r="D28" s="373">
        <v>4.1715840030926647E-2</v>
      </c>
      <c r="E28" s="356">
        <v>0.20567233056052076</v>
      </c>
      <c r="F28" s="373">
        <v>9.1338200895627383E-3</v>
      </c>
      <c r="G28" s="356">
        <v>5.741170237254526E-2</v>
      </c>
      <c r="H28" s="793">
        <v>0.62569648491094199</v>
      </c>
      <c r="I28" s="794">
        <v>4.4219251916419768E-2</v>
      </c>
      <c r="J28" s="373">
        <v>1</v>
      </c>
    </row>
    <row r="29" spans="1:10" ht="20" customHeight="1" thickBot="1">
      <c r="A29" s="141" t="s">
        <v>252</v>
      </c>
      <c r="B29" s="793">
        <v>0.56777881164429089</v>
      </c>
      <c r="C29" s="356">
        <v>0.29147266234109964</v>
      </c>
      <c r="D29" s="373">
        <v>2.2191835583141726E-2</v>
      </c>
      <c r="E29" s="356">
        <v>8.5312112715288019E-2</v>
      </c>
      <c r="F29" s="373">
        <v>5.3075176595314879E-3</v>
      </c>
      <c r="G29" s="356">
        <v>2.095846109346872E-2</v>
      </c>
      <c r="H29" s="793">
        <v>0.42524258939252957</v>
      </c>
      <c r="I29" s="794">
        <v>6.978598963179582E-3</v>
      </c>
      <c r="J29" s="373">
        <v>1</v>
      </c>
    </row>
    <row r="30" spans="1:10" ht="20" customHeight="1" thickBot="1">
      <c r="A30" s="141" t="s">
        <v>253</v>
      </c>
      <c r="B30" s="793">
        <v>0.38733342973036733</v>
      </c>
      <c r="C30" s="356">
        <v>0.31341079546482259</v>
      </c>
      <c r="D30" s="373">
        <v>2.9440327905214406E-2</v>
      </c>
      <c r="E30" s="356">
        <v>0.19107275413081601</v>
      </c>
      <c r="F30" s="373">
        <v>1.0173895002940105E-2</v>
      </c>
      <c r="G30" s="356">
        <v>5.9253800163081558E-2</v>
      </c>
      <c r="H30" s="793">
        <v>0.60335157266687467</v>
      </c>
      <c r="I30" s="794">
        <v>9.3226078949170867E-3</v>
      </c>
      <c r="J30" s="373">
        <v>1</v>
      </c>
    </row>
    <row r="31" spans="1:10" ht="20" customHeight="1" thickBot="1">
      <c r="A31" s="141" t="s">
        <v>254</v>
      </c>
      <c r="B31" s="793">
        <v>0.35851043711321384</v>
      </c>
      <c r="C31" s="356">
        <v>0.32471537047201759</v>
      </c>
      <c r="D31" s="373">
        <v>3.1719459882428538E-2</v>
      </c>
      <c r="E31" s="356">
        <v>0.17645340476898649</v>
      </c>
      <c r="F31" s="373">
        <v>4.8796651552518522E-3</v>
      </c>
      <c r="G31" s="356">
        <v>4.631590964260511E-2</v>
      </c>
      <c r="H31" s="793">
        <v>0.58408380992128961</v>
      </c>
      <c r="I31" s="794">
        <v>5.7409013544444949E-2</v>
      </c>
      <c r="J31" s="373">
        <v>1</v>
      </c>
    </row>
    <row r="32" spans="1:10" ht="20" customHeight="1" thickBot="1">
      <c r="A32" s="142" t="s">
        <v>255</v>
      </c>
      <c r="B32" s="793">
        <v>0.34824186267521978</v>
      </c>
      <c r="C32" s="356">
        <v>0.32055071529414592</v>
      </c>
      <c r="D32" s="373">
        <v>2.6944037594048661E-2</v>
      </c>
      <c r="E32" s="356">
        <v>0.25561121967903455</v>
      </c>
      <c r="F32" s="373">
        <v>4.9404015912504536E-3</v>
      </c>
      <c r="G32" s="356">
        <v>3.5376449948592605E-2</v>
      </c>
      <c r="H32" s="793">
        <v>0.64342282410707219</v>
      </c>
      <c r="I32" s="794">
        <v>8.3353132177080864E-3</v>
      </c>
      <c r="J32" s="373">
        <v>1</v>
      </c>
    </row>
    <row r="33" spans="1:12" ht="30" customHeight="1" thickBot="1">
      <c r="A33" s="205" t="s">
        <v>256</v>
      </c>
      <c r="B33" s="795">
        <v>0.43010910660017726</v>
      </c>
      <c r="C33" s="358">
        <v>0.24137084865070785</v>
      </c>
      <c r="D33" s="795">
        <v>2.7927552911429284E-2</v>
      </c>
      <c r="E33" s="358">
        <v>0.14970772549575295</v>
      </c>
      <c r="F33" s="795">
        <v>7.737346283222017E-3</v>
      </c>
      <c r="G33" s="358">
        <v>4.3513188407514357E-2</v>
      </c>
      <c r="H33" s="795">
        <v>0.47025666174862646</v>
      </c>
      <c r="I33" s="803">
        <v>9.963405737620637E-2</v>
      </c>
      <c r="J33" s="209">
        <v>1</v>
      </c>
    </row>
    <row r="34" spans="1:12" ht="20" customHeight="1">
      <c r="A34" s="227" t="s">
        <v>471</v>
      </c>
      <c r="B34" s="596"/>
      <c r="C34" s="146"/>
      <c r="D34" s="146"/>
      <c r="E34" s="146"/>
      <c r="F34" s="146"/>
      <c r="G34" s="146"/>
      <c r="H34" s="804"/>
      <c r="J34" s="136"/>
      <c r="L34" s="805" t="s">
        <v>472</v>
      </c>
    </row>
    <row r="35" spans="1:12" ht="11.25" customHeight="1">
      <c r="A35" s="211"/>
      <c r="B35" s="597"/>
      <c r="C35" s="4"/>
      <c r="D35" s="4"/>
      <c r="E35" s="4"/>
      <c r="F35" s="4"/>
      <c r="G35" s="4"/>
      <c r="H35" s="84"/>
      <c r="J35" s="136"/>
      <c r="L35" s="806"/>
    </row>
    <row r="36" spans="1:12" ht="12" customHeight="1">
      <c r="A36" s="4" t="s">
        <v>473</v>
      </c>
      <c r="L36" s="806"/>
    </row>
    <row r="37" spans="1:12" ht="12" customHeight="1">
      <c r="L37" s="806"/>
    </row>
    <row r="38" spans="1:12" ht="12" customHeight="1">
      <c r="A38" s="76" t="s">
        <v>2115</v>
      </c>
      <c r="F38" s="163"/>
      <c r="I38" s="2"/>
    </row>
    <row r="39" spans="1:12" ht="12" customHeight="1">
      <c r="A39" s="2" t="s">
        <v>2116</v>
      </c>
      <c r="F39" s="163"/>
      <c r="I39" s="2"/>
    </row>
    <row r="40" spans="1:12" ht="12" customHeight="1">
      <c r="F40" s="163"/>
      <c r="I40" s="2"/>
    </row>
    <row r="41" spans="1:12" ht="12" customHeight="1"/>
    <row r="42" spans="1:12" ht="12" customHeight="1">
      <c r="A42" s="2" t="s">
        <v>128</v>
      </c>
    </row>
  </sheetData>
  <mergeCells count="1">
    <mergeCell ref="C3:H3"/>
  </mergeCells>
  <phoneticPr fontId="0" type="noConversion"/>
  <pageMargins left="0.49" right="0.48" top="0.65" bottom="0.49" header="0.35" footer="0.4921259845"/>
  <pageSetup paperSize="9" scale="71" orientation="portrait" horizontalDpi="4294967292" verticalDpi="4294967292"/>
  <headerFooter alignWithMargins="0"/>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3BA20-A0C0-5040-903C-CD26DA2F8BB7}">
  <sheetPr>
    <pageSetUpPr fitToPage="1"/>
  </sheetPr>
  <dimension ref="A1:K26"/>
  <sheetViews>
    <sheetView topLeftCell="A2" zoomScale="75" workbookViewId="0">
      <selection activeCell="A21" sqref="A21"/>
    </sheetView>
  </sheetViews>
  <sheetFormatPr baseColWidth="10" defaultColWidth="11.3984375" defaultRowHeight="13"/>
  <cols>
    <col min="1" max="1" width="14.19921875" style="2" customWidth="1"/>
    <col min="2" max="2" width="14.19921875" style="163" customWidth="1"/>
    <col min="3" max="8" width="11" style="2" customWidth="1"/>
    <col min="9" max="9" width="14.796875" style="163" customWidth="1"/>
    <col min="10" max="10" width="16" style="644" customWidth="1"/>
    <col min="11" max="11" width="12.796875" style="2" customWidth="1"/>
    <col min="12" max="16384" width="11.3984375" style="2"/>
  </cols>
  <sheetData>
    <row r="1" spans="1:11" s="1" customFormat="1" ht="14" customHeight="1">
      <c r="A1" s="404"/>
      <c r="B1" s="788"/>
      <c r="C1" s="404"/>
      <c r="D1" s="404"/>
      <c r="E1" s="404"/>
      <c r="F1" s="404"/>
      <c r="G1" s="404"/>
      <c r="H1" s="404"/>
      <c r="I1" s="788"/>
      <c r="J1" s="789"/>
    </row>
    <row r="2" spans="1:11" s="1" customFormat="1" ht="28" customHeight="1">
      <c r="A2" s="405" t="s">
        <v>2118</v>
      </c>
      <c r="B2" s="788"/>
      <c r="C2" s="404"/>
      <c r="D2" s="404"/>
      <c r="E2" s="404"/>
      <c r="F2" s="404"/>
      <c r="G2" s="404"/>
      <c r="H2" s="404"/>
      <c r="I2" s="790"/>
      <c r="J2" s="791"/>
      <c r="K2" s="405">
        <v>2005</v>
      </c>
    </row>
    <row r="3" spans="1:11" ht="27" customHeight="1">
      <c r="A3" s="125" t="s">
        <v>1746</v>
      </c>
      <c r="B3" s="268" t="s">
        <v>2105</v>
      </c>
      <c r="C3" s="1628" t="s">
        <v>323</v>
      </c>
      <c r="D3" s="1631"/>
      <c r="E3" s="1631"/>
      <c r="F3" s="1631"/>
      <c r="G3" s="1631"/>
      <c r="H3" s="1631"/>
      <c r="I3" s="1631"/>
      <c r="J3" s="268" t="s">
        <v>2106</v>
      </c>
      <c r="K3" s="127" t="s">
        <v>43</v>
      </c>
    </row>
    <row r="4" spans="1:11" ht="15" customHeight="1">
      <c r="A4" s="128"/>
      <c r="B4" s="587" t="s">
        <v>333</v>
      </c>
      <c r="C4" s="128"/>
      <c r="D4" s="130"/>
      <c r="E4" s="131"/>
      <c r="F4" s="130"/>
      <c r="G4" s="128"/>
      <c r="H4" s="129"/>
      <c r="I4" s="614" t="s">
        <v>43</v>
      </c>
      <c r="J4" s="587" t="s">
        <v>335</v>
      </c>
      <c r="K4" s="131"/>
    </row>
    <row r="5" spans="1:11" ht="15" customHeight="1">
      <c r="A5" s="128"/>
      <c r="B5" s="587" t="s">
        <v>337</v>
      </c>
      <c r="C5" s="131" t="s">
        <v>2119</v>
      </c>
      <c r="D5" s="129" t="s">
        <v>2120</v>
      </c>
      <c r="E5" s="131" t="s">
        <v>2121</v>
      </c>
      <c r="F5" s="129" t="s">
        <v>2122</v>
      </c>
      <c r="G5" s="131" t="s">
        <v>2123</v>
      </c>
      <c r="H5" s="129" t="s">
        <v>2124</v>
      </c>
      <c r="I5" s="614"/>
      <c r="J5" s="587" t="s">
        <v>2113</v>
      </c>
      <c r="K5" s="131"/>
    </row>
    <row r="6" spans="1:11" ht="24" customHeight="1">
      <c r="A6" s="132"/>
      <c r="B6" s="588"/>
      <c r="C6" s="132"/>
      <c r="D6" s="133"/>
      <c r="E6" s="134"/>
      <c r="F6" s="133"/>
      <c r="G6" s="132"/>
      <c r="H6" s="135"/>
      <c r="I6" s="616"/>
      <c r="J6" s="792"/>
      <c r="K6" s="134"/>
    </row>
    <row r="7" spans="1:11" ht="22.5" customHeight="1" thickBot="1">
      <c r="A7" s="331">
        <v>1996</v>
      </c>
      <c r="B7" s="793">
        <v>0.86081417112299463</v>
      </c>
      <c r="C7" s="356" t="s">
        <v>1646</v>
      </c>
      <c r="D7" s="373" t="s">
        <v>1646</v>
      </c>
      <c r="E7" s="356" t="s">
        <v>1646</v>
      </c>
      <c r="F7" s="373" t="s">
        <v>1646</v>
      </c>
      <c r="G7" s="356" t="s">
        <v>1646</v>
      </c>
      <c r="H7" s="373" t="s">
        <v>1646</v>
      </c>
      <c r="I7" s="794">
        <v>0.11952874331550802</v>
      </c>
      <c r="J7" s="793">
        <v>1.9657085561497329E-2</v>
      </c>
      <c r="K7" s="356">
        <v>1</v>
      </c>
    </row>
    <row r="8" spans="1:11" ht="20" customHeight="1" thickBot="1">
      <c r="A8" s="331">
        <v>1997</v>
      </c>
      <c r="B8" s="793">
        <v>0.8206</v>
      </c>
      <c r="C8" s="356">
        <v>9.915910780669146E-2</v>
      </c>
      <c r="D8" s="373">
        <v>2.4563271375464685E-2</v>
      </c>
      <c r="E8" s="356">
        <v>1.1677620817843865E-2</v>
      </c>
      <c r="F8" s="373" t="s">
        <v>1646</v>
      </c>
      <c r="G8" s="356" t="s">
        <v>1646</v>
      </c>
      <c r="H8" s="373" t="s">
        <v>1646</v>
      </c>
      <c r="I8" s="794">
        <v>0.13550000000000001</v>
      </c>
      <c r="J8" s="793">
        <v>4.3900000000000002E-2</v>
      </c>
      <c r="K8" s="356">
        <v>1</v>
      </c>
    </row>
    <row r="9" spans="1:11" ht="20" customHeight="1" thickBot="1">
      <c r="A9" s="141">
        <v>1998</v>
      </c>
      <c r="B9" s="793">
        <v>0.8075</v>
      </c>
      <c r="C9" s="356">
        <v>8.9319669551534225E-2</v>
      </c>
      <c r="D9" s="373">
        <v>2.1300078678206137E-2</v>
      </c>
      <c r="E9" s="356">
        <v>1.7080251770259638E-2</v>
      </c>
      <c r="F9" s="373" t="s">
        <v>1646</v>
      </c>
      <c r="G9" s="356" t="s">
        <v>1646</v>
      </c>
      <c r="H9" s="373" t="s">
        <v>1646</v>
      </c>
      <c r="I9" s="794">
        <v>0.12759999999999999</v>
      </c>
      <c r="J9" s="793">
        <v>6.4899999999999999E-2</v>
      </c>
      <c r="K9" s="356">
        <v>1</v>
      </c>
    </row>
    <row r="10" spans="1:11" ht="20" customHeight="1" thickBot="1">
      <c r="A10" s="141">
        <v>1999</v>
      </c>
      <c r="B10" s="793">
        <v>0.80579999999999996</v>
      </c>
      <c r="C10" s="356">
        <v>8.0600000000000005E-2</v>
      </c>
      <c r="D10" s="373">
        <v>1.9599999999999999E-2</v>
      </c>
      <c r="E10" s="356">
        <v>2.2200000000000001E-2</v>
      </c>
      <c r="F10" s="373" t="s">
        <v>1646</v>
      </c>
      <c r="G10" s="356" t="s">
        <v>1646</v>
      </c>
      <c r="H10" s="373" t="s">
        <v>1646</v>
      </c>
      <c r="I10" s="794">
        <v>0.1226</v>
      </c>
      <c r="J10" s="793">
        <v>7.17E-2</v>
      </c>
      <c r="K10" s="356">
        <v>1</v>
      </c>
    </row>
    <row r="11" spans="1:11" ht="20" customHeight="1" thickBot="1">
      <c r="A11" s="141">
        <v>2000</v>
      </c>
      <c r="B11" s="793">
        <v>0.8034</v>
      </c>
      <c r="C11" s="356">
        <v>7.5622923588039861E-2</v>
      </c>
      <c r="D11" s="373">
        <v>1.9056976744186046E-2</v>
      </c>
      <c r="E11" s="356">
        <v>2.6720099667774087E-2</v>
      </c>
      <c r="F11" s="373" t="s">
        <v>1646</v>
      </c>
      <c r="G11" s="356" t="s">
        <v>1646</v>
      </c>
      <c r="H11" s="373" t="s">
        <v>1646</v>
      </c>
      <c r="I11" s="794">
        <v>0.12139999999999999</v>
      </c>
      <c r="J11" s="793">
        <v>7.5200000000000003E-2</v>
      </c>
      <c r="K11" s="356">
        <v>1</v>
      </c>
    </row>
    <row r="12" spans="1:11" ht="20" customHeight="1" thickBot="1">
      <c r="A12" s="141">
        <v>2001</v>
      </c>
      <c r="B12" s="793">
        <v>0.80599999999999994</v>
      </c>
      <c r="C12" s="356">
        <v>7.0999999999999994E-2</v>
      </c>
      <c r="D12" s="373">
        <v>1.6E-2</v>
      </c>
      <c r="E12" s="356">
        <v>2.8999999999999998E-2</v>
      </c>
      <c r="F12" s="373" t="s">
        <v>1646</v>
      </c>
      <c r="G12" s="356" t="s">
        <v>1646</v>
      </c>
      <c r="H12" s="373" t="s">
        <v>1646</v>
      </c>
      <c r="I12" s="794">
        <v>0.11599999999999999</v>
      </c>
      <c r="J12" s="793">
        <v>7.8E-2</v>
      </c>
      <c r="K12" s="356">
        <v>1</v>
      </c>
    </row>
    <row r="13" spans="1:11" ht="20" customHeight="1" thickBot="1">
      <c r="A13" s="141">
        <v>2002</v>
      </c>
      <c r="B13" s="793">
        <v>0.80900000000000005</v>
      </c>
      <c r="C13" s="356">
        <v>6.5000000000000002E-2</v>
      </c>
      <c r="D13" s="373">
        <v>1.4999999999999999E-2</v>
      </c>
      <c r="E13" s="356">
        <v>3.2000000000000001E-2</v>
      </c>
      <c r="F13" s="373" t="s">
        <v>1646</v>
      </c>
      <c r="G13" s="356" t="s">
        <v>1646</v>
      </c>
      <c r="H13" s="373" t="s">
        <v>1646</v>
      </c>
      <c r="I13" s="794">
        <v>0.111</v>
      </c>
      <c r="J13" s="793">
        <v>0.08</v>
      </c>
      <c r="K13" s="356">
        <v>1</v>
      </c>
    </row>
    <row r="14" spans="1:11" ht="20" customHeight="1" thickBot="1">
      <c r="A14" s="141">
        <v>2003</v>
      </c>
      <c r="B14" s="793">
        <v>0.80299999999999994</v>
      </c>
      <c r="C14" s="356">
        <v>6.0999999999999999E-2</v>
      </c>
      <c r="D14" s="373">
        <v>1.3999999999999999E-2</v>
      </c>
      <c r="E14" s="356">
        <v>0.04</v>
      </c>
      <c r="F14" s="373" t="s">
        <v>1646</v>
      </c>
      <c r="G14" s="356" t="s">
        <v>1646</v>
      </c>
      <c r="H14" s="373" t="s">
        <v>1646</v>
      </c>
      <c r="I14" s="794">
        <v>0.114</v>
      </c>
      <c r="J14" s="793">
        <v>8.3000000000000004E-2</v>
      </c>
      <c r="K14" s="356">
        <v>1</v>
      </c>
    </row>
    <row r="15" spans="1:11" ht="20" customHeight="1" thickBot="1">
      <c r="A15" s="141">
        <v>2004</v>
      </c>
      <c r="B15" s="793">
        <v>0.79900000000000004</v>
      </c>
      <c r="C15" s="356">
        <v>5.4000000000000006E-2</v>
      </c>
      <c r="D15" s="373">
        <v>1.3000000000000001E-2</v>
      </c>
      <c r="E15" s="356">
        <v>4.5999999999999999E-2</v>
      </c>
      <c r="F15" s="373" t="s">
        <v>1646</v>
      </c>
      <c r="G15" s="356" t="s">
        <v>1646</v>
      </c>
      <c r="H15" s="373" t="s">
        <v>1646</v>
      </c>
      <c r="I15" s="794">
        <v>0.113</v>
      </c>
      <c r="J15" s="793">
        <v>8.8000000000000009E-2</v>
      </c>
      <c r="K15" s="356">
        <v>1</v>
      </c>
    </row>
    <row r="16" spans="1:11" ht="30" customHeight="1" thickBot="1">
      <c r="A16" s="205">
        <v>2005</v>
      </c>
      <c r="B16" s="795">
        <v>0.78678222481464166</v>
      </c>
      <c r="C16" s="358">
        <v>1.0689053573474754E-2</v>
      </c>
      <c r="D16" s="795">
        <v>4.4155082812931047E-2</v>
      </c>
      <c r="E16" s="358">
        <v>1.2891775074074864E-2</v>
      </c>
      <c r="F16" s="795">
        <v>3.4716999765286694E-2</v>
      </c>
      <c r="G16" s="358">
        <v>2.0870050151784673E-3</v>
      </c>
      <c r="H16" s="795">
        <v>9.1977488086917164E-3</v>
      </c>
      <c r="I16" s="358">
        <v>0.11373766504963753</v>
      </c>
      <c r="J16" s="795">
        <v>9.948011013572082E-2</v>
      </c>
      <c r="K16" s="796">
        <v>1</v>
      </c>
    </row>
    <row r="17" spans="1:10" ht="20" customHeight="1">
      <c r="A17" s="227" t="s">
        <v>471</v>
      </c>
      <c r="B17" s="797"/>
      <c r="C17" s="406"/>
      <c r="D17" s="406"/>
      <c r="E17" s="406"/>
      <c r="F17" s="406"/>
      <c r="G17" s="406"/>
      <c r="H17" s="406"/>
      <c r="I17" s="797"/>
      <c r="J17" s="798"/>
    </row>
    <row r="18" spans="1:10" ht="12" customHeight="1"/>
    <row r="19" spans="1:10" ht="12" customHeight="1">
      <c r="A19" s="2" t="s">
        <v>2125</v>
      </c>
    </row>
    <row r="20" spans="1:10" ht="12" customHeight="1">
      <c r="A20" s="2" t="s">
        <v>2126</v>
      </c>
    </row>
    <row r="21" spans="1:10" ht="12" customHeight="1"/>
    <row r="22" spans="1:10" ht="12" customHeight="1"/>
    <row r="23" spans="1:10" ht="12" customHeight="1">
      <c r="A23" s="2" t="s">
        <v>2127</v>
      </c>
    </row>
    <row r="26" spans="1:10">
      <c r="A26" s="2" t="s">
        <v>128</v>
      </c>
    </row>
  </sheetData>
  <mergeCells count="1">
    <mergeCell ref="C3:I3"/>
  </mergeCells>
  <phoneticPr fontId="0" type="noConversion"/>
  <pageMargins left="0.6" right="0.62" top="0.9" bottom="0.49" header="0.49" footer="0.4921259845"/>
  <pageSetup paperSize="9" scale="66" orientation="portrait" horizontalDpi="4294967292" verticalDpi="4294967292"/>
  <headerFooter alignWithMargins="0"/>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C8817-CF88-564D-BAA3-D8F59C71E2FA}">
  <sheetPr>
    <pageSetUpPr fitToPage="1"/>
  </sheetPr>
  <dimension ref="A1:K42"/>
  <sheetViews>
    <sheetView topLeftCell="A22" zoomScale="75" workbookViewId="0">
      <selection activeCell="A40" sqref="A40"/>
    </sheetView>
  </sheetViews>
  <sheetFormatPr baseColWidth="10" defaultColWidth="11.3984375" defaultRowHeight="13"/>
  <cols>
    <col min="1" max="1" width="14.796875" style="2" customWidth="1"/>
    <col min="2" max="2" width="14.796875" style="163" customWidth="1"/>
    <col min="3" max="4" width="12.19921875" style="2" customWidth="1"/>
    <col min="5" max="5" width="12.59765625" style="2" customWidth="1"/>
    <col min="6" max="7" width="12.19921875" style="2" customWidth="1"/>
    <col min="8" max="8" width="12.59765625" style="2" customWidth="1"/>
    <col min="9" max="9" width="14.796875" style="163" customWidth="1"/>
    <col min="10" max="10" width="15.3984375" style="644" customWidth="1"/>
    <col min="11" max="11" width="13.796875" style="2" customWidth="1"/>
    <col min="12" max="16384" width="11.3984375" style="2"/>
  </cols>
  <sheetData>
    <row r="1" spans="1:11" s="1" customFormat="1" ht="14" customHeight="1">
      <c r="A1" s="404"/>
      <c r="B1" s="788"/>
      <c r="C1" s="404"/>
      <c r="D1" s="404"/>
      <c r="E1" s="404"/>
      <c r="F1" s="404"/>
      <c r="G1" s="404"/>
      <c r="H1" s="404"/>
      <c r="I1" s="788"/>
      <c r="J1" s="789"/>
    </row>
    <row r="2" spans="1:11" s="1" customFormat="1" ht="28" customHeight="1">
      <c r="A2" s="405" t="s">
        <v>2117</v>
      </c>
      <c r="B2" s="788"/>
      <c r="C2" s="404"/>
      <c r="D2" s="404"/>
      <c r="E2" s="404"/>
      <c r="F2" s="404"/>
      <c r="G2" s="404"/>
      <c r="H2" s="404"/>
      <c r="I2" s="790"/>
      <c r="J2" s="791"/>
      <c r="K2" s="405">
        <v>2005</v>
      </c>
    </row>
    <row r="3" spans="1:11" ht="27" customHeight="1">
      <c r="A3" s="125" t="s">
        <v>222</v>
      </c>
      <c r="B3" s="268" t="s">
        <v>2105</v>
      </c>
      <c r="C3" s="1628" t="s">
        <v>323</v>
      </c>
      <c r="D3" s="1631"/>
      <c r="E3" s="1631"/>
      <c r="F3" s="1631"/>
      <c r="G3" s="1631"/>
      <c r="H3" s="1631"/>
      <c r="I3" s="1631"/>
      <c r="J3" s="268" t="s">
        <v>2106</v>
      </c>
      <c r="K3" s="127" t="s">
        <v>43</v>
      </c>
    </row>
    <row r="4" spans="1:11" ht="15" customHeight="1">
      <c r="A4" s="128"/>
      <c r="B4" s="587" t="s">
        <v>333</v>
      </c>
      <c r="C4" s="128"/>
      <c r="D4" s="130"/>
      <c r="E4" s="131"/>
      <c r="F4" s="130"/>
      <c r="G4" s="128"/>
      <c r="H4" s="129"/>
      <c r="I4" s="614" t="s">
        <v>43</v>
      </c>
      <c r="J4" s="587" t="s">
        <v>335</v>
      </c>
      <c r="K4" s="131"/>
    </row>
    <row r="5" spans="1:11" ht="15" customHeight="1">
      <c r="A5" s="128"/>
      <c r="B5" s="587" t="s">
        <v>337</v>
      </c>
      <c r="C5" s="131" t="s">
        <v>2107</v>
      </c>
      <c r="D5" s="129" t="s">
        <v>2108</v>
      </c>
      <c r="E5" s="131" t="s">
        <v>2109</v>
      </c>
      <c r="F5" s="129" t="s">
        <v>2110</v>
      </c>
      <c r="G5" s="131" t="s">
        <v>2111</v>
      </c>
      <c r="H5" s="129" t="s">
        <v>2112</v>
      </c>
      <c r="I5" s="614"/>
      <c r="J5" s="587" t="s">
        <v>2113</v>
      </c>
      <c r="K5" s="131"/>
    </row>
    <row r="6" spans="1:11" ht="24" customHeight="1">
      <c r="A6" s="132"/>
      <c r="B6" s="588" t="s">
        <v>2114</v>
      </c>
      <c r="C6" s="132"/>
      <c r="D6" s="133"/>
      <c r="E6" s="134"/>
      <c r="F6" s="133"/>
      <c r="G6" s="132"/>
      <c r="H6" s="135"/>
      <c r="I6" s="616"/>
      <c r="J6" s="792"/>
      <c r="K6" s="134"/>
    </row>
    <row r="7" spans="1:11" ht="30" customHeight="1" thickBot="1">
      <c r="A7" s="137" t="s">
        <v>230</v>
      </c>
      <c r="B7" s="793">
        <v>0.78240710955560988</v>
      </c>
      <c r="C7" s="356">
        <v>1.1221120921831119E-2</v>
      </c>
      <c r="D7" s="373">
        <v>3.3472291047010168E-2</v>
      </c>
      <c r="E7" s="356">
        <v>8.9673431515407357E-3</v>
      </c>
      <c r="F7" s="373">
        <v>2.2424871687436496E-2</v>
      </c>
      <c r="G7" s="356">
        <v>2.6967167540468749E-3</v>
      </c>
      <c r="H7" s="373">
        <v>7.5994433487633359E-3</v>
      </c>
      <c r="I7" s="794">
        <v>8.6381786910628727E-2</v>
      </c>
      <c r="J7" s="793">
        <v>0.13120681446787705</v>
      </c>
      <c r="K7" s="356">
        <v>1</v>
      </c>
    </row>
    <row r="8" spans="1:11" ht="20" customHeight="1" thickBot="1">
      <c r="A8" s="141" t="s">
        <v>231</v>
      </c>
      <c r="B8" s="793">
        <v>0.80233538652266423</v>
      </c>
      <c r="C8" s="356">
        <v>9.1583647271252511E-3</v>
      </c>
      <c r="D8" s="373">
        <v>5.1950327718386632E-2</v>
      </c>
      <c r="E8" s="356">
        <v>1.0564726617111046E-2</v>
      </c>
      <c r="F8" s="373">
        <v>2.3301375023998545E-2</v>
      </c>
      <c r="G8" s="356">
        <v>2.7049783125936496E-3</v>
      </c>
      <c r="H8" s="373">
        <v>5.6367891880882348E-3</v>
      </c>
      <c r="I8" s="794">
        <v>0.10331656158730336</v>
      </c>
      <c r="J8" s="793">
        <v>9.4342467512885941E-2</v>
      </c>
      <c r="K8" s="356">
        <v>1</v>
      </c>
    </row>
    <row r="9" spans="1:11" ht="20" customHeight="1" thickBot="1">
      <c r="A9" s="141" t="s">
        <v>232</v>
      </c>
      <c r="B9" s="793">
        <v>0.82763881217286095</v>
      </c>
      <c r="C9" s="356">
        <v>3.98993701203227E-3</v>
      </c>
      <c r="D9" s="373">
        <v>1.1266500105162308E-2</v>
      </c>
      <c r="E9" s="356">
        <v>6.7220294745086052E-3</v>
      </c>
      <c r="F9" s="373">
        <v>4.5850462612845408E-2</v>
      </c>
      <c r="G9" s="356">
        <v>1.4742479129203981E-3</v>
      </c>
      <c r="H9" s="373">
        <v>4.4362689489714736E-3</v>
      </c>
      <c r="I9" s="794">
        <v>7.3739446066440464E-2</v>
      </c>
      <c r="J9" s="793">
        <v>9.86217417606986E-2</v>
      </c>
      <c r="K9" s="356">
        <v>1</v>
      </c>
    </row>
    <row r="10" spans="1:11" ht="20" customHeight="1" thickBot="1">
      <c r="A10" s="141" t="s">
        <v>233</v>
      </c>
      <c r="B10" s="793">
        <v>0.87818471337579618</v>
      </c>
      <c r="C10" s="356">
        <v>2.195031942986681E-3</v>
      </c>
      <c r="D10" s="373">
        <v>1.5776792090216773E-2</v>
      </c>
      <c r="E10" s="356">
        <v>2.4831298855036831E-2</v>
      </c>
      <c r="F10" s="373">
        <v>7.202448562925047E-2</v>
      </c>
      <c r="G10" s="356">
        <v>8.2313697862000548E-4</v>
      </c>
      <c r="H10" s="373">
        <v>5.8991483467767062E-3</v>
      </c>
      <c r="I10" s="794">
        <v>0.12154989384288747</v>
      </c>
      <c r="J10" s="793">
        <v>3.9808917197452231E-4</v>
      </c>
      <c r="K10" s="356">
        <v>1</v>
      </c>
    </row>
    <row r="11" spans="1:11" ht="20" customHeight="1" thickBot="1">
      <c r="A11" s="141" t="s">
        <v>234</v>
      </c>
      <c r="B11" s="793">
        <v>0.88360002700695428</v>
      </c>
      <c r="C11" s="356">
        <v>3.1583681745899522E-3</v>
      </c>
      <c r="D11" s="373">
        <v>1.8675568336705806E-2</v>
      </c>
      <c r="E11" s="356">
        <v>7.0033381262646762E-3</v>
      </c>
      <c r="F11" s="373">
        <v>3.8827330494143872E-2</v>
      </c>
      <c r="G11" s="356">
        <v>2.0941354201085552E-3</v>
      </c>
      <c r="H11" s="373">
        <v>5.286833683552746E-3</v>
      </c>
      <c r="I11" s="794">
        <v>7.5045574235365606E-2</v>
      </c>
      <c r="J11" s="793">
        <v>4.13543987576801E-2</v>
      </c>
      <c r="K11" s="356">
        <v>1</v>
      </c>
    </row>
    <row r="12" spans="1:11" ht="20" customHeight="1" thickBot="1">
      <c r="A12" s="141" t="s">
        <v>235</v>
      </c>
      <c r="B12" s="793">
        <v>0.92621436114044353</v>
      </c>
      <c r="C12" s="356">
        <v>4.6079019298542936E-3</v>
      </c>
      <c r="D12" s="373">
        <v>1.8025028137371207E-2</v>
      </c>
      <c r="E12" s="356">
        <v>9.893436496451866E-3</v>
      </c>
      <c r="F12" s="373">
        <v>2.7918464633823074E-2</v>
      </c>
      <c r="G12" s="356">
        <v>9.486856914405899E-4</v>
      </c>
      <c r="H12" s="373">
        <v>4.472375402505638E-3</v>
      </c>
      <c r="I12" s="794">
        <v>6.5865892291446668E-2</v>
      </c>
      <c r="J12" s="793">
        <v>8.0517423442449838E-3</v>
      </c>
      <c r="K12" s="356">
        <v>1</v>
      </c>
    </row>
    <row r="13" spans="1:11" ht="20" customHeight="1" thickBot="1">
      <c r="A13" s="141" t="s">
        <v>236</v>
      </c>
      <c r="B13" s="793">
        <v>0.90956039803501698</v>
      </c>
      <c r="C13" s="356">
        <v>6.4942451820128484E-3</v>
      </c>
      <c r="D13" s="373">
        <v>1.2479137800730572E-2</v>
      </c>
      <c r="E13" s="356">
        <v>5.4755400554225972E-3</v>
      </c>
      <c r="F13" s="373">
        <v>5.1062594470336321E-2</v>
      </c>
      <c r="G13" s="356">
        <v>2.5467628164756271E-4</v>
      </c>
      <c r="H13" s="373">
        <v>5.7302163370701606E-3</v>
      </c>
      <c r="I13" s="794">
        <v>8.1496410127220059E-2</v>
      </c>
      <c r="J13" s="793">
        <v>8.943191837762942E-3</v>
      </c>
      <c r="K13" s="356">
        <v>1</v>
      </c>
    </row>
    <row r="14" spans="1:11" ht="20" customHeight="1" thickBot="1">
      <c r="A14" s="141" t="s">
        <v>237</v>
      </c>
      <c r="B14" s="793">
        <v>0.90420319752449718</v>
      </c>
      <c r="C14" s="356">
        <v>3.9164093399673954E-3</v>
      </c>
      <c r="D14" s="373">
        <v>2.0495875545829371E-2</v>
      </c>
      <c r="E14" s="356">
        <v>7.7022717019358776E-3</v>
      </c>
      <c r="F14" s="373">
        <v>1.8146029941848933E-2</v>
      </c>
      <c r="G14" s="356">
        <v>7.8328186799347911E-4</v>
      </c>
      <c r="H14" s="373">
        <v>2.1931892303817417E-2</v>
      </c>
      <c r="I14" s="794">
        <v>7.2975760701392473E-2</v>
      </c>
      <c r="J14" s="793">
        <v>2.2821041774110366E-2</v>
      </c>
      <c r="K14" s="356">
        <v>1</v>
      </c>
    </row>
    <row r="15" spans="1:11" ht="20" customHeight="1" thickBot="1">
      <c r="A15" s="141" t="s">
        <v>238</v>
      </c>
      <c r="B15" s="793">
        <v>0.86318013734812471</v>
      </c>
      <c r="C15" s="356">
        <v>5.0532553350656866E-3</v>
      </c>
      <c r="D15" s="373">
        <v>2.4432244241385556E-2</v>
      </c>
      <c r="E15" s="356">
        <v>7.6044133683027329E-3</v>
      </c>
      <c r="F15" s="373">
        <v>3.4882180031375762E-2</v>
      </c>
      <c r="G15" s="356">
        <v>1.6190041364773562E-3</v>
      </c>
      <c r="H15" s="373">
        <v>5.9363485004169728E-3</v>
      </c>
      <c r="I15" s="794">
        <v>7.9527445613024064E-2</v>
      </c>
      <c r="J15" s="793">
        <v>5.7244393219036641E-2</v>
      </c>
      <c r="K15" s="356">
        <v>1</v>
      </c>
    </row>
    <row r="16" spans="1:11" ht="20" customHeight="1" thickBot="1">
      <c r="A16" s="141" t="s">
        <v>239</v>
      </c>
      <c r="B16" s="793">
        <v>0.84730407098828153</v>
      </c>
      <c r="C16" s="356">
        <v>5.7328484674529145E-3</v>
      </c>
      <c r="D16" s="373">
        <v>5.6504602260044896E-2</v>
      </c>
      <c r="E16" s="356">
        <v>1.5207496234021803E-2</v>
      </c>
      <c r="F16" s="373">
        <v>2.988290174202253E-2</v>
      </c>
      <c r="G16" s="356">
        <v>1.9223923004632526E-3</v>
      </c>
      <c r="H16" s="373">
        <v>7.0201647400845576E-3</v>
      </c>
      <c r="I16" s="794">
        <v>0.11627040574408995</v>
      </c>
      <c r="J16" s="793">
        <v>3.6442457495089071E-2</v>
      </c>
      <c r="K16" s="356">
        <v>1</v>
      </c>
    </row>
    <row r="17" spans="1:11" ht="20" customHeight="1" thickBot="1">
      <c r="A17" s="141" t="s">
        <v>240</v>
      </c>
      <c r="B17" s="793">
        <v>0.85039785644689836</v>
      </c>
      <c r="C17" s="356">
        <v>5.9430960560374266E-3</v>
      </c>
      <c r="D17" s="373">
        <v>2.8745600021042136E-2</v>
      </c>
      <c r="E17" s="356">
        <v>1.0482961098843795E-2</v>
      </c>
      <c r="F17" s="373">
        <v>2.8869414522209584E-2</v>
      </c>
      <c r="G17" s="356">
        <v>2.1461180202357374E-3</v>
      </c>
      <c r="H17" s="373">
        <v>5.860553055259129E-3</v>
      </c>
      <c r="I17" s="794">
        <v>8.2047742773627808E-2</v>
      </c>
      <c r="J17" s="793">
        <v>6.7554400779473861E-2</v>
      </c>
      <c r="K17" s="356">
        <v>1</v>
      </c>
    </row>
    <row r="18" spans="1:11" ht="20" customHeight="1" thickBot="1">
      <c r="A18" s="141" t="s">
        <v>241</v>
      </c>
      <c r="B18" s="793">
        <v>0.70066628863056424</v>
      </c>
      <c r="C18" s="356">
        <v>1.5746914170908843E-2</v>
      </c>
      <c r="D18" s="373">
        <v>3.2631302954614715E-2</v>
      </c>
      <c r="E18" s="356">
        <v>7.9978683712290961E-3</v>
      </c>
      <c r="F18" s="373">
        <v>5.0830896759367146E-2</v>
      </c>
      <c r="G18" s="356">
        <v>1.4218432659962839E-3</v>
      </c>
      <c r="H18" s="373">
        <v>1.1125923556420921E-2</v>
      </c>
      <c r="I18" s="794">
        <v>0.119754749078537</v>
      </c>
      <c r="J18" s="793">
        <v>0.17954352140629429</v>
      </c>
      <c r="K18" s="356">
        <v>1</v>
      </c>
    </row>
    <row r="19" spans="1:11" ht="20" customHeight="1" thickBot="1">
      <c r="A19" s="141" t="s">
        <v>242</v>
      </c>
      <c r="B19" s="793">
        <v>0.78310948228992572</v>
      </c>
      <c r="C19" s="356">
        <v>1.3464876480853531E-2</v>
      </c>
      <c r="D19" s="373">
        <v>2.9268817607172554E-2</v>
      </c>
      <c r="E19" s="356">
        <v>6.610400085011175E-3</v>
      </c>
      <c r="F19" s="373">
        <v>4.2631995625179761E-2</v>
      </c>
      <c r="G19" s="356">
        <v>2.8882363448356515E-3</v>
      </c>
      <c r="H19" s="373">
        <v>1.1980078923297175E-2</v>
      </c>
      <c r="I19" s="794">
        <v>0.10684440506634985</v>
      </c>
      <c r="J19" s="793">
        <v>0.11004611264372445</v>
      </c>
      <c r="K19" s="356">
        <v>1</v>
      </c>
    </row>
    <row r="20" spans="1:11" ht="20" customHeight="1" thickBot="1">
      <c r="A20" s="141" t="s">
        <v>243</v>
      </c>
      <c r="B20" s="793">
        <v>0.72712579058327476</v>
      </c>
      <c r="C20" s="356">
        <v>1.913435909982707E-2</v>
      </c>
      <c r="D20" s="373">
        <v>1.5957066998379774E-2</v>
      </c>
      <c r="E20" s="356">
        <v>5.0836673623156801E-3</v>
      </c>
      <c r="F20" s="373">
        <v>2.5771369267294765E-2</v>
      </c>
      <c r="G20" s="356">
        <v>2.75365315458766E-3</v>
      </c>
      <c r="H20" s="373">
        <v>5.9309452560349597E-3</v>
      </c>
      <c r="I20" s="794">
        <v>7.4631061138439911E-2</v>
      </c>
      <c r="J20" s="793">
        <v>0.19824314827828532</v>
      </c>
      <c r="K20" s="356">
        <v>1</v>
      </c>
    </row>
    <row r="21" spans="1:11" ht="20" customHeight="1" thickBot="1">
      <c r="A21" s="141" t="s">
        <v>244</v>
      </c>
      <c r="B21" s="793">
        <v>0.76794300979519148</v>
      </c>
      <c r="C21" s="356">
        <v>5.4723398186886357E-3</v>
      </c>
      <c r="D21" s="373">
        <v>1.4084546746460916E-2</v>
      </c>
      <c r="E21" s="356">
        <v>7.7151020394626664E-3</v>
      </c>
      <c r="F21" s="373">
        <v>1.4712520168277643E-2</v>
      </c>
      <c r="G21" s="356">
        <v>1.5250783101263411E-3</v>
      </c>
      <c r="H21" s="373">
        <v>4.6649454192099838E-3</v>
      </c>
      <c r="I21" s="794">
        <v>4.8174532502226183E-2</v>
      </c>
      <c r="J21" s="793">
        <v>0.18388245770258238</v>
      </c>
      <c r="K21" s="356">
        <v>1</v>
      </c>
    </row>
    <row r="22" spans="1:11" ht="20" customHeight="1" thickBot="1">
      <c r="A22" s="141" t="s">
        <v>245</v>
      </c>
      <c r="B22" s="793">
        <v>0.82394557823129255</v>
      </c>
      <c r="C22" s="356">
        <v>2.2408963585434172E-3</v>
      </c>
      <c r="D22" s="373">
        <v>5.8823529411764705E-3</v>
      </c>
      <c r="E22" s="356">
        <v>7.2829131652661057E-3</v>
      </c>
      <c r="F22" s="373">
        <v>5.3221288515406164E-3</v>
      </c>
      <c r="G22" s="356">
        <v>0</v>
      </c>
      <c r="H22" s="373">
        <v>7.8431372549019607E-3</v>
      </c>
      <c r="I22" s="794">
        <v>2.8571428571428571E-2</v>
      </c>
      <c r="J22" s="793">
        <v>0.14775510204081632</v>
      </c>
      <c r="K22" s="356">
        <v>1</v>
      </c>
    </row>
    <row r="23" spans="1:11" ht="20" customHeight="1" thickBot="1">
      <c r="A23" s="141" t="s">
        <v>246</v>
      </c>
      <c r="B23" s="793">
        <v>0.74417979675322732</v>
      </c>
      <c r="C23" s="356">
        <v>6.5174593166781427E-3</v>
      </c>
      <c r="D23" s="373">
        <v>1.3628345070353667E-2</v>
      </c>
      <c r="E23" s="356">
        <v>5.7807920155779451E-3</v>
      </c>
      <c r="F23" s="373">
        <v>3.5892067948048542E-2</v>
      </c>
      <c r="G23" s="356">
        <v>1.2277788351669969E-3</v>
      </c>
      <c r="H23" s="373">
        <v>7.2438951274852821E-3</v>
      </c>
      <c r="I23" s="794">
        <v>7.029033831331058E-2</v>
      </c>
      <c r="J23" s="793">
        <v>0.18552986493346207</v>
      </c>
      <c r="K23" s="356">
        <v>1</v>
      </c>
    </row>
    <row r="24" spans="1:11" ht="20" customHeight="1" thickBot="1">
      <c r="A24" s="141" t="s">
        <v>247</v>
      </c>
      <c r="B24" s="793">
        <v>0.79749347542409743</v>
      </c>
      <c r="C24" s="356">
        <v>5.7832386405719544E-3</v>
      </c>
      <c r="D24" s="373">
        <v>1.068522186924723E-2</v>
      </c>
      <c r="E24" s="356">
        <v>3.7453355005608842E-3</v>
      </c>
      <c r="F24" s="373">
        <v>1.4953802770621765E-2</v>
      </c>
      <c r="G24" s="356">
        <v>1.0740300332490772E-3</v>
      </c>
      <c r="H24" s="373">
        <v>8.2342302549095903E-3</v>
      </c>
      <c r="I24" s="794">
        <v>4.4475859069160503E-2</v>
      </c>
      <c r="J24" s="793">
        <v>0.15800347977381468</v>
      </c>
      <c r="K24" s="356">
        <v>1</v>
      </c>
    </row>
    <row r="25" spans="1:11" ht="20" customHeight="1" thickBot="1">
      <c r="A25" s="141" t="s">
        <v>248</v>
      </c>
      <c r="B25" s="793">
        <v>0.80192829890351636</v>
      </c>
      <c r="C25" s="356">
        <v>9.0323552093125349E-3</v>
      </c>
      <c r="D25" s="373">
        <v>2.1454027460417399E-2</v>
      </c>
      <c r="E25" s="356">
        <v>6.1846300659509435E-3</v>
      </c>
      <c r="F25" s="373">
        <v>1.7697825584204255E-2</v>
      </c>
      <c r="G25" s="356">
        <v>2.175102946923425E-3</v>
      </c>
      <c r="H25" s="373">
        <v>3.6251715782057081E-3</v>
      </c>
      <c r="I25" s="794">
        <v>6.0169112845014264E-2</v>
      </c>
      <c r="J25" s="793">
        <v>0.1378939951191008</v>
      </c>
      <c r="K25" s="356">
        <v>1</v>
      </c>
    </row>
    <row r="26" spans="1:11" ht="20" customHeight="1" thickBot="1">
      <c r="A26" s="141" t="s">
        <v>249</v>
      </c>
      <c r="B26" s="793">
        <v>0.63261323233884681</v>
      </c>
      <c r="C26" s="356">
        <v>1.3776282514085811E-2</v>
      </c>
      <c r="D26" s="373">
        <v>1.4839024308029572E-2</v>
      </c>
      <c r="E26" s="356">
        <v>7.6950378042965027E-3</v>
      </c>
      <c r="F26" s="373">
        <v>2.9559966194509842E-2</v>
      </c>
      <c r="G26" s="356">
        <v>2.5584524669016507E-3</v>
      </c>
      <c r="H26" s="373">
        <v>1.1355592872325019E-2</v>
      </c>
      <c r="I26" s="794">
        <v>7.9784356160148395E-2</v>
      </c>
      <c r="J26" s="793">
        <v>0.28762173442572264</v>
      </c>
      <c r="K26" s="356">
        <v>1</v>
      </c>
    </row>
    <row r="27" spans="1:11" ht="20" customHeight="1" thickBot="1">
      <c r="A27" s="141" t="s">
        <v>250</v>
      </c>
      <c r="B27" s="793">
        <v>0.81076829573486831</v>
      </c>
      <c r="C27" s="356">
        <v>1.2063201494790097E-2</v>
      </c>
      <c r="D27" s="373">
        <v>6.2494585654352869E-2</v>
      </c>
      <c r="E27" s="356">
        <v>1.2495316175200487E-2</v>
      </c>
      <c r="F27" s="373">
        <v>3.9628517149302989E-2</v>
      </c>
      <c r="G27" s="356">
        <v>2.0885542886502255E-3</v>
      </c>
      <c r="H27" s="373">
        <v>1.8292854804039905E-2</v>
      </c>
      <c r="I27" s="794">
        <v>0.14706302956633657</v>
      </c>
      <c r="J27" s="793">
        <v>4.2168674698795185E-2</v>
      </c>
      <c r="K27" s="356">
        <v>1</v>
      </c>
    </row>
    <row r="28" spans="1:11" ht="20" customHeight="1" thickBot="1">
      <c r="A28" s="141" t="s">
        <v>251</v>
      </c>
      <c r="B28" s="793">
        <v>0.68263663963944377</v>
      </c>
      <c r="C28" s="356">
        <v>2.644178102908051E-2</v>
      </c>
      <c r="D28" s="373">
        <v>0.10635845052807122</v>
      </c>
      <c r="E28" s="356">
        <v>4.1122736757816261E-2</v>
      </c>
      <c r="F28" s="373">
        <v>7.38208972297245E-2</v>
      </c>
      <c r="G28" s="356">
        <v>2.4237082555645302E-3</v>
      </c>
      <c r="H28" s="373">
        <v>2.1017638758344226E-2</v>
      </c>
      <c r="I28" s="794">
        <v>0.27118521255860123</v>
      </c>
      <c r="J28" s="793">
        <v>4.6178147801954943E-2</v>
      </c>
      <c r="K28" s="356">
        <v>1</v>
      </c>
    </row>
    <row r="29" spans="1:11" ht="20" customHeight="1" thickBot="1">
      <c r="A29" s="141" t="s">
        <v>252</v>
      </c>
      <c r="B29" s="793">
        <v>0.8833986885029822</v>
      </c>
      <c r="C29" s="356">
        <v>7.7703722486906794E-3</v>
      </c>
      <c r="D29" s="373">
        <v>7.2606491118641758E-2</v>
      </c>
      <c r="E29" s="356">
        <v>8.7665738190356376E-3</v>
      </c>
      <c r="F29" s="373">
        <v>1.6719583022289559E-2</v>
      </c>
      <c r="G29" s="356">
        <v>7.6375453726446854E-4</v>
      </c>
      <c r="H29" s="373">
        <v>5.147041446782288E-3</v>
      </c>
      <c r="I29" s="794">
        <v>0.11177381619270439</v>
      </c>
      <c r="J29" s="793">
        <v>4.827495304313441E-3</v>
      </c>
      <c r="K29" s="356">
        <v>1</v>
      </c>
    </row>
    <row r="30" spans="1:11" ht="20" customHeight="1" thickBot="1">
      <c r="A30" s="141" t="s">
        <v>253</v>
      </c>
      <c r="B30" s="793">
        <v>0.81731279872543816</v>
      </c>
      <c r="C30" s="356">
        <v>1.1236214451866967E-2</v>
      </c>
      <c r="D30" s="373">
        <v>6.3438377852934699E-2</v>
      </c>
      <c r="E30" s="356">
        <v>1.7092495799598127E-2</v>
      </c>
      <c r="F30" s="373">
        <v>4.6485984477923431E-2</v>
      </c>
      <c r="G30" s="356">
        <v>2.4097617028941624E-3</v>
      </c>
      <c r="H30" s="373">
        <v>1.6952393375011258E-2</v>
      </c>
      <c r="I30" s="794">
        <v>0.15761522766022865</v>
      </c>
      <c r="J30" s="793">
        <v>2.5099924532520895E-2</v>
      </c>
      <c r="K30" s="356">
        <v>1</v>
      </c>
    </row>
    <row r="31" spans="1:11" ht="20" customHeight="1" thickBot="1">
      <c r="A31" s="141" t="s">
        <v>254</v>
      </c>
      <c r="B31" s="793">
        <v>0.78655074304275086</v>
      </c>
      <c r="C31" s="356">
        <v>1.1129608114479075E-2</v>
      </c>
      <c r="D31" s="373">
        <v>9.0799971151789671E-2</v>
      </c>
      <c r="E31" s="356">
        <v>2.3948859705083689E-2</v>
      </c>
      <c r="F31" s="373">
        <v>4.8656834595093332E-2</v>
      </c>
      <c r="G31" s="356">
        <v>1.3957924367993559E-3</v>
      </c>
      <c r="H31" s="373">
        <v>1.1313265014057937E-2</v>
      </c>
      <c r="I31" s="794">
        <v>0.18724433101730306</v>
      </c>
      <c r="J31" s="793">
        <v>2.6192714884056025E-2</v>
      </c>
      <c r="K31" s="356">
        <v>1</v>
      </c>
    </row>
    <row r="32" spans="1:11" ht="20" customHeight="1" thickBot="1">
      <c r="A32" s="142" t="s">
        <v>255</v>
      </c>
      <c r="B32" s="793">
        <v>0.79081332199175558</v>
      </c>
      <c r="C32" s="356">
        <v>4.9739542570019363E-3</v>
      </c>
      <c r="D32" s="373">
        <v>5.1957657306249953E-2</v>
      </c>
      <c r="E32" s="356">
        <v>2.2987734539117052E-2</v>
      </c>
      <c r="F32" s="373">
        <v>7.9381621317828194E-2</v>
      </c>
      <c r="G32" s="356">
        <v>2.6886239227037491E-3</v>
      </c>
      <c r="H32" s="373">
        <v>2.0500757410616088E-2</v>
      </c>
      <c r="I32" s="794">
        <v>0.18249034875351697</v>
      </c>
      <c r="J32" s="793">
        <v>2.6696329254727477E-2</v>
      </c>
      <c r="K32" s="356">
        <v>1</v>
      </c>
    </row>
    <row r="33" spans="1:11" ht="30" customHeight="1" thickBot="1">
      <c r="A33" s="205" t="s">
        <v>256</v>
      </c>
      <c r="B33" s="795">
        <v>0.78678222481464166</v>
      </c>
      <c r="C33" s="358">
        <v>1.0689053573474754E-2</v>
      </c>
      <c r="D33" s="795">
        <v>4.4155082812931047E-2</v>
      </c>
      <c r="E33" s="358">
        <v>1.2891775074074864E-2</v>
      </c>
      <c r="F33" s="795">
        <v>3.4716999765286694E-2</v>
      </c>
      <c r="G33" s="358">
        <v>2.0870050151784673E-3</v>
      </c>
      <c r="H33" s="795">
        <v>9.1977488086917164E-3</v>
      </c>
      <c r="I33" s="358">
        <v>0.11373766504963753</v>
      </c>
      <c r="J33" s="795">
        <v>9.948011013572082E-2</v>
      </c>
      <c r="K33" s="796">
        <v>1</v>
      </c>
    </row>
    <row r="34" spans="1:11" ht="20" customHeight="1">
      <c r="A34" s="227" t="s">
        <v>471</v>
      </c>
      <c r="B34" s="797"/>
      <c r="C34" s="406"/>
      <c r="D34" s="406"/>
      <c r="E34" s="406"/>
      <c r="F34" s="406"/>
      <c r="G34" s="406"/>
      <c r="H34" s="406"/>
      <c r="I34" s="797"/>
      <c r="J34" s="798"/>
    </row>
    <row r="35" spans="1:11" ht="13.5" customHeight="1">
      <c r="A35" s="211"/>
      <c r="B35" s="799"/>
      <c r="C35" s="507"/>
      <c r="D35" s="507"/>
      <c r="E35" s="507"/>
      <c r="F35" s="507"/>
      <c r="G35" s="507"/>
      <c r="H35" s="507"/>
      <c r="I35" s="799"/>
      <c r="J35" s="800"/>
    </row>
    <row r="36" spans="1:11" ht="12" customHeight="1">
      <c r="A36" s="4" t="s">
        <v>473</v>
      </c>
    </row>
    <row r="37" spans="1:11" ht="12" customHeight="1"/>
    <row r="38" spans="1:11" ht="12" customHeight="1">
      <c r="A38" s="76" t="s">
        <v>2115</v>
      </c>
    </row>
    <row r="39" spans="1:11" ht="12" customHeight="1">
      <c r="A39" s="2" t="s">
        <v>2116</v>
      </c>
    </row>
    <row r="40" spans="1:11" ht="12" customHeight="1"/>
    <row r="41" spans="1:11" ht="12" customHeight="1"/>
    <row r="42" spans="1:11">
      <c r="A42" s="2" t="s">
        <v>128</v>
      </c>
    </row>
  </sheetData>
  <mergeCells count="1">
    <mergeCell ref="C3:I3"/>
  </mergeCells>
  <phoneticPr fontId="0" type="noConversion"/>
  <pageMargins left="0.56000000000000005" right="0.55000000000000004" top="0.81" bottom="0.49" header="0.38" footer="0.4921259845"/>
  <pageSetup paperSize="9" scale="63" orientation="portrait" horizontalDpi="1200" verticalDpi="1200"/>
  <headerFooter alignWithMargins="0"/>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CD0A9-8CDC-E645-8B43-CEADC37AA5EE}">
  <sheetPr>
    <pageSetUpPr fitToPage="1"/>
  </sheetPr>
  <dimension ref="A1:F22"/>
  <sheetViews>
    <sheetView topLeftCell="A2" zoomScale="75" workbookViewId="0">
      <selection activeCell="A15" sqref="A15:IV15"/>
    </sheetView>
  </sheetViews>
  <sheetFormatPr baseColWidth="10" defaultColWidth="11.3984375" defaultRowHeight="13"/>
  <cols>
    <col min="1" max="1" width="18.19921875" style="2" customWidth="1"/>
    <col min="2" max="6" width="14.796875" style="2" customWidth="1"/>
    <col min="7" max="7" width="17.796875" style="2" customWidth="1"/>
    <col min="8" max="16384" width="11.3984375" style="2"/>
  </cols>
  <sheetData>
    <row r="1" spans="1:6" s="1" customFormat="1" ht="14" customHeight="1"/>
    <row r="2" spans="1:6" s="1" customFormat="1" ht="39.75" customHeight="1">
      <c r="A2" s="1606" t="s">
        <v>365</v>
      </c>
      <c r="B2" s="1610"/>
      <c r="C2" s="1610"/>
      <c r="D2" s="1610"/>
      <c r="E2" s="1610"/>
      <c r="F2" s="19">
        <v>2005</v>
      </c>
    </row>
    <row r="3" spans="1:6" ht="24" customHeight="1">
      <c r="A3" s="125" t="s">
        <v>328</v>
      </c>
      <c r="B3" s="126" t="s">
        <v>329</v>
      </c>
      <c r="C3" s="127" t="s">
        <v>330</v>
      </c>
      <c r="D3" s="126" t="s">
        <v>331</v>
      </c>
      <c r="E3" s="262" t="s">
        <v>332</v>
      </c>
      <c r="F3" s="126" t="s">
        <v>43</v>
      </c>
    </row>
    <row r="4" spans="1:6" ht="15" customHeight="1">
      <c r="A4" s="212"/>
      <c r="B4" s="129" t="s">
        <v>333</v>
      </c>
      <c r="C4" s="131" t="s">
        <v>334</v>
      </c>
      <c r="D4" s="129" t="s">
        <v>335</v>
      </c>
      <c r="E4" s="213" t="s">
        <v>336</v>
      </c>
      <c r="F4" s="129"/>
    </row>
    <row r="5" spans="1:6" ht="15" customHeight="1">
      <c r="A5" s="212"/>
      <c r="B5" s="129" t="s">
        <v>337</v>
      </c>
      <c r="C5" s="131" t="s">
        <v>338</v>
      </c>
      <c r="D5" s="129" t="s">
        <v>339</v>
      </c>
      <c r="E5" s="213" t="s">
        <v>340</v>
      </c>
      <c r="F5" s="129"/>
    </row>
    <row r="6" spans="1:6" ht="24" customHeight="1">
      <c r="A6" s="214"/>
      <c r="B6" s="135"/>
      <c r="C6" s="134"/>
      <c r="D6" s="135"/>
      <c r="E6" s="215" t="s">
        <v>341</v>
      </c>
      <c r="F6" s="135"/>
    </row>
    <row r="7" spans="1:6" ht="23.25" customHeight="1" thickBot="1">
      <c r="A7" s="216">
        <v>1996</v>
      </c>
      <c r="B7" s="300">
        <v>0.65876331560467527</v>
      </c>
      <c r="C7" s="158">
        <v>0.32046794094697328</v>
      </c>
      <c r="D7" s="300">
        <v>3.8678181352691143E-3</v>
      </c>
      <c r="E7" s="158">
        <v>1.6900925313082283E-2</v>
      </c>
      <c r="F7" s="250">
        <v>1</v>
      </c>
    </row>
    <row r="8" spans="1:6" ht="20" customHeight="1" thickBot="1">
      <c r="A8" s="218">
        <v>1997</v>
      </c>
      <c r="B8" s="301">
        <v>0.56603802874783171</v>
      </c>
      <c r="C8" s="160">
        <v>0.37927068021935451</v>
      </c>
      <c r="D8" s="301">
        <v>1.5931130501794573E-3</v>
      </c>
      <c r="E8" s="160">
        <v>5.3098177982634318E-2</v>
      </c>
      <c r="F8" s="301">
        <v>1</v>
      </c>
    </row>
    <row r="9" spans="1:6" ht="20" customHeight="1" thickBot="1">
      <c r="A9" s="218">
        <v>1998</v>
      </c>
      <c r="B9" s="301">
        <v>0.55407462651768902</v>
      </c>
      <c r="C9" s="160">
        <v>0.37613702943863803</v>
      </c>
      <c r="D9" s="301">
        <v>1.6317626996539885E-3</v>
      </c>
      <c r="E9" s="160">
        <v>6.8156581344018974E-2</v>
      </c>
      <c r="F9" s="301">
        <v>1</v>
      </c>
    </row>
    <row r="10" spans="1:6" ht="20" customHeight="1" thickBot="1">
      <c r="A10" s="218">
        <v>1999</v>
      </c>
      <c r="B10" s="301">
        <v>0.55029591824658086</v>
      </c>
      <c r="C10" s="160">
        <v>0.37371902477852575</v>
      </c>
      <c r="D10" s="301">
        <v>1.4116771489681326E-3</v>
      </c>
      <c r="E10" s="160">
        <v>7.4573379825925268E-2</v>
      </c>
      <c r="F10" s="301">
        <v>1</v>
      </c>
    </row>
    <row r="11" spans="1:6" ht="20" customHeight="1" thickBot="1">
      <c r="A11" s="218">
        <v>2000</v>
      </c>
      <c r="B11" s="301">
        <v>0.53960650848618019</v>
      </c>
      <c r="C11" s="160">
        <v>0.37954002078394233</v>
      </c>
      <c r="D11" s="301">
        <v>1.3498693126728527E-3</v>
      </c>
      <c r="E11" s="160">
        <v>7.9503601417204556E-2</v>
      </c>
      <c r="F11" s="301">
        <v>1</v>
      </c>
    </row>
    <row r="12" spans="1:6" ht="20" customHeight="1" thickBot="1">
      <c r="A12" s="218">
        <v>2001</v>
      </c>
      <c r="B12" s="301">
        <v>0.53026073148068087</v>
      </c>
      <c r="C12" s="160">
        <v>0.38706527964277321</v>
      </c>
      <c r="D12" s="301">
        <v>1.2758685733806091E-3</v>
      </c>
      <c r="E12" s="160">
        <v>8.1398120303165275E-2</v>
      </c>
      <c r="F12" s="301">
        <v>1</v>
      </c>
    </row>
    <row r="13" spans="1:6" ht="20" customHeight="1" thickBot="1">
      <c r="A13" s="218">
        <v>2002</v>
      </c>
      <c r="B13" s="301">
        <v>0.51807119228357335</v>
      </c>
      <c r="C13" s="160">
        <v>0.40503766289618737</v>
      </c>
      <c r="D13" s="301">
        <v>1.2005111854079802E-3</v>
      </c>
      <c r="E13" s="160">
        <v>7.5690633634831264E-2</v>
      </c>
      <c r="F13" s="301">
        <v>1</v>
      </c>
    </row>
    <row r="14" spans="1:6" ht="20" customHeight="1" thickBot="1">
      <c r="A14" s="218">
        <v>2003</v>
      </c>
      <c r="B14" s="301">
        <v>0.49698046363760801</v>
      </c>
      <c r="C14" s="160">
        <v>0.42026484379945434</v>
      </c>
      <c r="D14" s="301">
        <v>1.1249544851287428E-3</v>
      </c>
      <c r="E14" s="160">
        <v>8.1629738077808919E-2</v>
      </c>
      <c r="F14" s="301">
        <v>1</v>
      </c>
    </row>
    <row r="15" spans="1:6" ht="20" customHeight="1" thickBot="1">
      <c r="A15" s="218">
        <v>2004</v>
      </c>
      <c r="B15" s="301">
        <v>0.49047166472550979</v>
      </c>
      <c r="C15" s="160">
        <v>0.40765951470988981</v>
      </c>
      <c r="D15" s="301">
        <v>1.0913784873100634E-3</v>
      </c>
      <c r="E15" s="160">
        <v>0.10077744207729029</v>
      </c>
      <c r="F15" s="301">
        <v>1</v>
      </c>
    </row>
    <row r="16" spans="1:6" ht="30" customHeight="1" thickBot="1">
      <c r="A16" s="220">
        <v>2005</v>
      </c>
      <c r="B16" s="302">
        <v>0.48342027022950401</v>
      </c>
      <c r="C16" s="303">
        <v>0.39405816872752136</v>
      </c>
      <c r="D16" s="302">
        <v>1.0338574574561153E-3</v>
      </c>
      <c r="E16" s="303">
        <v>0.12148770358551848</v>
      </c>
      <c r="F16" s="302">
        <v>1</v>
      </c>
    </row>
    <row r="17" spans="1:6" ht="19.5" customHeight="1">
      <c r="A17" s="146" t="s">
        <v>693</v>
      </c>
      <c r="B17" s="146"/>
      <c r="C17" s="146"/>
      <c r="D17" s="146"/>
      <c r="E17" s="146"/>
      <c r="F17" s="146"/>
    </row>
    <row r="19" spans="1:6">
      <c r="A19" s="2" t="s">
        <v>366</v>
      </c>
    </row>
    <row r="22" spans="1:6">
      <c r="A22" s="2" t="s">
        <v>128</v>
      </c>
    </row>
  </sheetData>
  <mergeCells count="1">
    <mergeCell ref="A2:E2"/>
  </mergeCells>
  <phoneticPr fontId="0" type="noConversion"/>
  <pageMargins left="0.65" right="0.72" top="1.05" bottom="0.49" header="0.6" footer="0.4921259845"/>
  <pageSetup paperSize="9" scale="82" orientation="portrait" horizontalDpi="4294967292" verticalDpi="4294967292"/>
  <headerFooter alignWithMargins="0"/>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4D90D-794F-A348-9437-087A55658373}">
  <sheetPr>
    <pageSetUpPr fitToPage="1"/>
  </sheetPr>
  <dimension ref="A1:G19"/>
  <sheetViews>
    <sheetView zoomScale="75" workbookViewId="0">
      <selection activeCell="A2" sqref="A2"/>
    </sheetView>
  </sheetViews>
  <sheetFormatPr baseColWidth="10" defaultColWidth="11.3984375" defaultRowHeight="13"/>
  <cols>
    <col min="1" max="1" width="19.3984375" style="2" customWidth="1"/>
    <col min="2" max="2" width="17.3984375" style="2" customWidth="1"/>
    <col min="3" max="3" width="16.3984375" style="2" customWidth="1"/>
    <col min="4" max="4" width="17.796875" style="2" customWidth="1"/>
    <col min="5" max="5" width="18.796875" style="210" customWidth="1"/>
    <col min="6" max="6" width="25.19921875" style="210" customWidth="1"/>
    <col min="7" max="7" width="18.19921875" style="2" customWidth="1"/>
    <col min="8" max="16384" width="11.3984375" style="2"/>
  </cols>
  <sheetData>
    <row r="1" spans="1:7" ht="19.5" customHeight="1">
      <c r="A1" s="19" t="s">
        <v>694</v>
      </c>
      <c r="B1" s="117"/>
      <c r="C1" s="117"/>
      <c r="D1" s="117"/>
      <c r="E1" s="117"/>
      <c r="F1" s="117"/>
    </row>
    <row r="2" spans="1:7" ht="19.5" customHeight="1">
      <c r="A2" s="263"/>
      <c r="B2" s="117"/>
      <c r="C2" s="117"/>
      <c r="D2" s="117"/>
      <c r="E2" s="117"/>
      <c r="F2" s="117"/>
    </row>
    <row r="3" spans="1:7" ht="42" customHeight="1">
      <c r="A3" s="1632" t="s">
        <v>357</v>
      </c>
      <c r="B3" s="1609"/>
      <c r="C3" s="1609"/>
      <c r="D3" s="1609"/>
      <c r="E3" s="1609"/>
      <c r="F3" s="264"/>
    </row>
    <row r="4" spans="1:7" ht="12.75" customHeight="1">
      <c r="A4" s="265"/>
      <c r="B4" s="152"/>
      <c r="C4" s="152"/>
      <c r="D4" s="152"/>
      <c r="E4" s="152"/>
      <c r="F4" s="266"/>
    </row>
    <row r="5" spans="1:7" ht="24" customHeight="1">
      <c r="A5" s="267" t="s">
        <v>344</v>
      </c>
      <c r="B5" s="268" t="s">
        <v>1803</v>
      </c>
      <c r="C5" s="269" t="s">
        <v>1804</v>
      </c>
      <c r="D5" s="268" t="s">
        <v>43</v>
      </c>
      <c r="E5" s="270" t="s">
        <v>345</v>
      </c>
      <c r="F5" s="271"/>
    </row>
    <row r="6" spans="1:7" ht="15" customHeight="1">
      <c r="A6" s="212"/>
      <c r="B6" s="129"/>
      <c r="C6" s="131"/>
      <c r="D6" s="155"/>
      <c r="E6" s="272" t="s">
        <v>346</v>
      </c>
      <c r="F6" s="271"/>
    </row>
    <row r="7" spans="1:7" ht="15" customHeight="1">
      <c r="A7" s="128"/>
      <c r="B7" s="129"/>
      <c r="C7" s="131"/>
      <c r="D7" s="129"/>
      <c r="E7" s="272"/>
      <c r="F7" s="271"/>
    </row>
    <row r="8" spans="1:7" ht="24" customHeight="1">
      <c r="A8" s="244"/>
      <c r="B8" s="245"/>
      <c r="C8" s="246"/>
      <c r="D8" s="245"/>
      <c r="E8" s="273"/>
      <c r="F8" s="271"/>
    </row>
    <row r="9" spans="1:7" ht="45" customHeight="1" thickBot="1">
      <c r="A9" s="274" t="s">
        <v>223</v>
      </c>
      <c r="B9" s="275">
        <v>758897</v>
      </c>
      <c r="C9" s="276">
        <v>721809</v>
      </c>
      <c r="D9" s="275">
        <v>1480706</v>
      </c>
      <c r="E9" s="277">
        <v>0.19821620860394348</v>
      </c>
      <c r="F9" s="271"/>
    </row>
    <row r="10" spans="1:7" ht="34.5" customHeight="1" thickBot="1">
      <c r="A10" s="274" t="s">
        <v>347</v>
      </c>
      <c r="B10" s="275">
        <v>317234</v>
      </c>
      <c r="C10" s="276">
        <v>307273</v>
      </c>
      <c r="D10" s="275">
        <v>624507</v>
      </c>
      <c r="E10" s="277">
        <v>8.3600262163199809E-2</v>
      </c>
      <c r="F10" s="271"/>
    </row>
    <row r="11" spans="1:7" ht="32.25" customHeight="1" thickBot="1">
      <c r="A11" s="274" t="s">
        <v>229</v>
      </c>
      <c r="B11" s="275">
        <v>2586207</v>
      </c>
      <c r="C11" s="276">
        <v>2778736</v>
      </c>
      <c r="D11" s="275">
        <v>5364943</v>
      </c>
      <c r="E11" s="277">
        <v>0.71818352923285667</v>
      </c>
      <c r="F11" s="271"/>
    </row>
    <row r="12" spans="1:7" s="280" customFormat="1" ht="36" customHeight="1" thickBot="1">
      <c r="A12" s="278" t="s">
        <v>43</v>
      </c>
      <c r="B12" s="258">
        <v>3662338</v>
      </c>
      <c r="C12" s="259">
        <v>3807818</v>
      </c>
      <c r="D12" s="258">
        <v>7470156</v>
      </c>
      <c r="E12" s="279">
        <v>1</v>
      </c>
      <c r="F12" s="271"/>
    </row>
    <row r="13" spans="1:7" ht="19.5" customHeight="1">
      <c r="B13" s="146"/>
      <c r="C13" s="146"/>
      <c r="D13" s="146"/>
      <c r="E13" s="281"/>
      <c r="F13" s="282"/>
    </row>
    <row r="14" spans="1:7">
      <c r="A14" s="4" t="s">
        <v>693</v>
      </c>
      <c r="D14"/>
      <c r="E14"/>
      <c r="F14"/>
      <c r="G14"/>
    </row>
    <row r="15" spans="1:7">
      <c r="D15"/>
      <c r="E15"/>
      <c r="F15"/>
      <c r="G15"/>
    </row>
    <row r="16" spans="1:7">
      <c r="A16" s="2" t="s">
        <v>358</v>
      </c>
      <c r="D16"/>
      <c r="E16"/>
      <c r="F16"/>
      <c r="G16"/>
    </row>
    <row r="19" spans="1:1">
      <c r="A19" s="211" t="s">
        <v>128</v>
      </c>
    </row>
  </sheetData>
  <mergeCells count="1">
    <mergeCell ref="A3:E3"/>
  </mergeCells>
  <phoneticPr fontId="0" type="noConversion"/>
  <pageMargins left="0.67" right="0.67" top="0.87" bottom="0.49" header="0.56000000000000005" footer="0.4921259845"/>
  <pageSetup paperSize="9" scale="78" orientation="portrait" horizontalDpi="1200" verticalDpi="1200"/>
  <headerFooter alignWithMargins="0"/>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E07BB-3CDC-7547-A630-0757A1CAB557}">
  <sheetPr>
    <pageSetUpPr fitToPage="1"/>
  </sheetPr>
  <dimension ref="A1:G36"/>
  <sheetViews>
    <sheetView topLeftCell="A18" zoomScale="75" workbookViewId="0">
      <selection activeCell="A2" sqref="A2"/>
    </sheetView>
  </sheetViews>
  <sheetFormatPr baseColWidth="10" defaultColWidth="11.3984375" defaultRowHeight="13"/>
  <cols>
    <col min="1" max="1" width="19.3984375" style="2" customWidth="1"/>
    <col min="2" max="2" width="17.3984375" style="2" customWidth="1"/>
    <col min="3" max="3" width="16.3984375" style="2" customWidth="1"/>
    <col min="4" max="4" width="17.796875" style="2" customWidth="1"/>
    <col min="5" max="5" width="18.796875" style="210" customWidth="1"/>
    <col min="6" max="6" width="19.796875" style="210" customWidth="1"/>
    <col min="7" max="7" width="18.19921875" style="2" customWidth="1"/>
    <col min="8" max="16384" width="11.3984375" style="2"/>
  </cols>
  <sheetData>
    <row r="1" spans="1:6" ht="34.5" customHeight="1">
      <c r="A1" s="1608" t="s">
        <v>343</v>
      </c>
      <c r="B1" s="1621"/>
      <c r="C1" s="1621"/>
      <c r="D1" s="1621"/>
      <c r="E1" s="192">
        <v>2005</v>
      </c>
      <c r="F1" s="117"/>
    </row>
    <row r="2" spans="1:6" ht="19.5" customHeight="1">
      <c r="A2" s="263"/>
      <c r="B2" s="117"/>
      <c r="C2" s="117"/>
      <c r="D2" s="117"/>
      <c r="E2" s="117"/>
      <c r="F2" s="117"/>
    </row>
    <row r="3" spans="1:6" ht="39.75" customHeight="1">
      <c r="A3" s="1634" t="s">
        <v>354</v>
      </c>
      <c r="B3" s="1609"/>
      <c r="C3" s="1609"/>
      <c r="D3" s="1609"/>
      <c r="E3" s="1609"/>
      <c r="F3" s="264"/>
    </row>
    <row r="4" spans="1:6" ht="12.75" customHeight="1">
      <c r="A4" s="265"/>
      <c r="B4" s="152"/>
      <c r="C4" s="152"/>
      <c r="D4" s="152"/>
      <c r="E4" s="152"/>
      <c r="F4" s="266"/>
    </row>
    <row r="5" spans="1:6" ht="24" customHeight="1">
      <c r="A5" s="267" t="s">
        <v>344</v>
      </c>
      <c r="B5" s="268" t="s">
        <v>1803</v>
      </c>
      <c r="C5" s="269" t="s">
        <v>1804</v>
      </c>
      <c r="D5" s="268" t="s">
        <v>43</v>
      </c>
      <c r="E5" s="270" t="s">
        <v>345</v>
      </c>
      <c r="F5" s="271"/>
    </row>
    <row r="6" spans="1:6" ht="15" customHeight="1">
      <c r="A6" s="212"/>
      <c r="B6" s="129"/>
      <c r="C6" s="131"/>
      <c r="D6" s="155"/>
      <c r="E6" s="272" t="s">
        <v>346</v>
      </c>
      <c r="F6" s="271"/>
    </row>
    <row r="7" spans="1:6" ht="15" customHeight="1">
      <c r="A7" s="128"/>
      <c r="B7" s="129"/>
      <c r="C7" s="131"/>
      <c r="D7" s="129"/>
      <c r="E7" s="272"/>
      <c r="F7" s="271"/>
    </row>
    <row r="8" spans="1:6" ht="24" customHeight="1">
      <c r="A8" s="244"/>
      <c r="B8" s="245"/>
      <c r="C8" s="246"/>
      <c r="D8" s="245"/>
      <c r="E8" s="273"/>
      <c r="F8" s="271"/>
    </row>
    <row r="9" spans="1:6" ht="45" customHeight="1" thickBot="1">
      <c r="A9" s="274" t="s">
        <v>223</v>
      </c>
      <c r="B9" s="275">
        <v>781784</v>
      </c>
      <c r="C9" s="276">
        <v>743512</v>
      </c>
      <c r="D9" s="275">
        <v>1525296</v>
      </c>
      <c r="E9" s="277">
        <v>0.20512696374314587</v>
      </c>
      <c r="F9" s="271"/>
    </row>
    <row r="10" spans="1:6" ht="34.5" customHeight="1" thickBot="1">
      <c r="A10" s="274" t="s">
        <v>347</v>
      </c>
      <c r="B10" s="275">
        <v>313583</v>
      </c>
      <c r="C10" s="276">
        <v>307440</v>
      </c>
      <c r="D10" s="275">
        <v>621023</v>
      </c>
      <c r="E10" s="277">
        <v>8.3517272978267623E-2</v>
      </c>
      <c r="F10" s="271"/>
    </row>
    <row r="11" spans="1:6" ht="32.25" customHeight="1" thickBot="1">
      <c r="A11" s="274" t="s">
        <v>229</v>
      </c>
      <c r="B11" s="275">
        <v>2547619</v>
      </c>
      <c r="C11" s="276">
        <v>2741924</v>
      </c>
      <c r="D11" s="275">
        <v>5289543</v>
      </c>
      <c r="E11" s="277">
        <v>0.71135562879520509</v>
      </c>
      <c r="F11" s="271"/>
    </row>
    <row r="12" spans="1:6" s="280" customFormat="1" ht="36" customHeight="1" thickBot="1">
      <c r="A12" s="278" t="s">
        <v>43</v>
      </c>
      <c r="B12" s="258">
        <v>3642986</v>
      </c>
      <c r="C12" s="259">
        <v>3792876</v>
      </c>
      <c r="D12" s="258">
        <v>7435863</v>
      </c>
      <c r="E12" s="279">
        <v>1</v>
      </c>
      <c r="F12" s="271"/>
    </row>
    <row r="13" spans="1:6" ht="17.25" customHeight="1">
      <c r="B13" s="146"/>
      <c r="C13" s="146"/>
      <c r="D13" s="146"/>
      <c r="E13" s="281"/>
      <c r="F13" s="282"/>
    </row>
    <row r="14" spans="1:6" ht="19.5" customHeight="1" thickBot="1">
      <c r="A14" s="283" t="s">
        <v>348</v>
      </c>
      <c r="B14" s="284">
        <v>30232</v>
      </c>
      <c r="C14" s="285">
        <v>32209</v>
      </c>
      <c r="D14" s="284">
        <v>62441</v>
      </c>
      <c r="E14" s="286">
        <v>8.3972768191129931E-3</v>
      </c>
      <c r="F14" s="282"/>
    </row>
    <row r="15" spans="1:6" ht="46.5" customHeight="1">
      <c r="B15" s="4"/>
      <c r="C15" s="4"/>
      <c r="D15" s="4"/>
      <c r="E15" s="282"/>
      <c r="F15" s="282"/>
    </row>
    <row r="16" spans="1:6" ht="38.25" customHeight="1">
      <c r="A16" s="1633" t="s">
        <v>355</v>
      </c>
      <c r="B16" s="1609"/>
      <c r="C16" s="1609"/>
      <c r="D16" s="1609"/>
      <c r="E16" s="1609"/>
      <c r="F16" s="264"/>
    </row>
    <row r="17" spans="1:7" ht="15" customHeight="1">
      <c r="A17" s="287"/>
      <c r="B17" s="117"/>
      <c r="C17" s="117"/>
      <c r="D17" s="117"/>
      <c r="E17" s="117"/>
      <c r="F17" s="117"/>
    </row>
    <row r="18" spans="1:7" ht="38.25" customHeight="1">
      <c r="A18" s="288"/>
      <c r="B18" s="289" t="s">
        <v>224</v>
      </c>
      <c r="C18" s="290" t="s">
        <v>225</v>
      </c>
      <c r="D18" s="289" t="s">
        <v>223</v>
      </c>
      <c r="E18" s="290" t="s">
        <v>43</v>
      </c>
    </row>
    <row r="19" spans="1:7" ht="39" customHeight="1" thickBot="1">
      <c r="A19" s="291" t="s">
        <v>43</v>
      </c>
      <c r="B19" s="292">
        <v>7884</v>
      </c>
      <c r="C19" s="293">
        <v>5583</v>
      </c>
      <c r="D19" s="292">
        <v>1998</v>
      </c>
      <c r="E19" s="294">
        <v>15466</v>
      </c>
      <c r="F19" s="295"/>
      <c r="G19" s="295"/>
    </row>
    <row r="20" spans="1:7" ht="39.75" customHeight="1">
      <c r="D20"/>
      <c r="E20"/>
      <c r="F20"/>
      <c r="G20"/>
    </row>
    <row r="21" spans="1:7" ht="42" customHeight="1">
      <c r="A21" s="1633" t="s">
        <v>356</v>
      </c>
      <c r="B21" s="1609"/>
      <c r="C21" s="1609"/>
      <c r="D21" s="1609"/>
      <c r="E21" s="1609"/>
      <c r="F21" s="264"/>
    </row>
    <row r="22" spans="1:7" ht="15" customHeight="1">
      <c r="A22" s="287"/>
      <c r="B22" s="117"/>
      <c r="C22" s="117"/>
      <c r="D22" s="117"/>
      <c r="E22" s="117"/>
      <c r="F22" s="117"/>
    </row>
    <row r="23" spans="1:7" ht="38.25" customHeight="1">
      <c r="A23" s="288"/>
      <c r="B23" s="289" t="s">
        <v>224</v>
      </c>
      <c r="C23" s="290" t="s">
        <v>225</v>
      </c>
      <c r="D23" s="289" t="s">
        <v>223</v>
      </c>
      <c r="E23" s="290" t="s">
        <v>43</v>
      </c>
    </row>
    <row r="24" spans="1:7" ht="39" customHeight="1" thickBot="1">
      <c r="A24" s="291" t="s">
        <v>43</v>
      </c>
      <c r="B24" s="292">
        <v>5986</v>
      </c>
      <c r="C24" s="293">
        <v>3792</v>
      </c>
      <c r="D24" s="292">
        <v>1696</v>
      </c>
      <c r="E24" s="294">
        <v>11474</v>
      </c>
      <c r="F24" s="295"/>
      <c r="G24" s="295"/>
    </row>
    <row r="25" spans="1:7">
      <c r="D25"/>
      <c r="E25"/>
      <c r="F25"/>
      <c r="G25"/>
    </row>
    <row r="26" spans="1:7">
      <c r="A26" s="4" t="s">
        <v>693</v>
      </c>
      <c r="D26"/>
      <c r="E26"/>
      <c r="F26"/>
      <c r="G26"/>
    </row>
    <row r="27" spans="1:7">
      <c r="D27"/>
      <c r="E27"/>
      <c r="F27"/>
      <c r="G27"/>
    </row>
    <row r="28" spans="1:7">
      <c r="A28" s="2" t="s">
        <v>349</v>
      </c>
      <c r="D28"/>
      <c r="E28"/>
      <c r="F28"/>
      <c r="G28"/>
    </row>
    <row r="29" spans="1:7">
      <c r="A29" s="2" t="s">
        <v>350</v>
      </c>
      <c r="D29"/>
      <c r="E29"/>
      <c r="F29"/>
      <c r="G29"/>
    </row>
    <row r="30" spans="1:7">
      <c r="A30" s="2" t="s">
        <v>351</v>
      </c>
      <c r="D30"/>
      <c r="E30"/>
      <c r="F30"/>
      <c r="G30"/>
    </row>
    <row r="31" spans="1:7">
      <c r="A31" s="2" t="s">
        <v>352</v>
      </c>
      <c r="D31"/>
      <c r="E31"/>
      <c r="F31"/>
      <c r="G31"/>
    </row>
    <row r="32" spans="1:7">
      <c r="D32"/>
      <c r="E32"/>
      <c r="F32"/>
      <c r="G32"/>
    </row>
    <row r="33" spans="1:7">
      <c r="A33" s="2" t="s">
        <v>353</v>
      </c>
      <c r="D33"/>
      <c r="E33"/>
      <c r="F33"/>
      <c r="G33"/>
    </row>
    <row r="36" spans="1:7">
      <c r="A36" s="211" t="s">
        <v>128</v>
      </c>
    </row>
  </sheetData>
  <mergeCells count="4">
    <mergeCell ref="A1:D1"/>
    <mergeCell ref="A16:E16"/>
    <mergeCell ref="A21:E21"/>
    <mergeCell ref="A3:E3"/>
  </mergeCells>
  <phoneticPr fontId="0" type="noConversion"/>
  <pageMargins left="0.57999999999999996" right="0.63" top="0.96" bottom="0.49" header="0.49" footer="0.4921259845"/>
  <pageSetup paperSize="9" scale="83" orientation="portrait" horizontalDpi="1200" verticalDpi="1200"/>
  <headerFooter alignWithMargins="0"/>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621F8-EF7E-6449-9B88-F6B36EE49688}">
  <sheetPr>
    <pageSetUpPr fitToPage="1"/>
  </sheetPr>
  <dimension ref="A1:H51"/>
  <sheetViews>
    <sheetView topLeftCell="A20" zoomScale="75" workbookViewId="0">
      <selection activeCell="A35" sqref="A35"/>
    </sheetView>
  </sheetViews>
  <sheetFormatPr baseColWidth="10" defaultColWidth="11.3984375" defaultRowHeight="13"/>
  <cols>
    <col min="1" max="2" width="14.796875" style="2" customWidth="1"/>
    <col min="3" max="3" width="15.796875" style="2" customWidth="1"/>
    <col min="4" max="4" width="16" style="2" customWidth="1"/>
    <col min="5" max="6" width="15.3984375" style="2" customWidth="1"/>
    <col min="7" max="7" width="16.796875" style="2" customWidth="1"/>
    <col min="8" max="8" width="12.19921875" style="2" customWidth="1"/>
    <col min="9" max="16384" width="11.3984375" style="2"/>
  </cols>
  <sheetData>
    <row r="1" spans="1:8" s="1" customFormat="1" ht="14" customHeight="1"/>
    <row r="2" spans="1:8" s="1" customFormat="1" ht="39" customHeight="1">
      <c r="A2" s="1606" t="s">
        <v>1767</v>
      </c>
      <c r="B2" s="1610"/>
      <c r="C2" s="1610"/>
      <c r="D2" s="1610"/>
      <c r="E2" s="1610"/>
      <c r="F2" s="124">
        <v>2005</v>
      </c>
    </row>
    <row r="3" spans="1:8" ht="27" customHeight="1">
      <c r="A3" s="125" t="s">
        <v>222</v>
      </c>
      <c r="B3" s="126" t="s">
        <v>223</v>
      </c>
      <c r="C3" s="127" t="s">
        <v>286</v>
      </c>
      <c r="D3" s="126" t="s">
        <v>229</v>
      </c>
      <c r="E3" s="127" t="s">
        <v>43</v>
      </c>
      <c r="F3" s="126" t="s">
        <v>265</v>
      </c>
    </row>
    <row r="4" spans="1:8" ht="15" customHeight="1">
      <c r="A4" s="128"/>
      <c r="B4" s="129"/>
      <c r="C4" s="131" t="s">
        <v>229</v>
      </c>
      <c r="D4" s="130"/>
      <c r="E4" s="131"/>
      <c r="F4" s="129" t="s">
        <v>267</v>
      </c>
    </row>
    <row r="5" spans="1:8" ht="15" customHeight="1">
      <c r="A5" s="128"/>
      <c r="B5" s="129" t="s">
        <v>287</v>
      </c>
      <c r="C5" s="131" t="s">
        <v>288</v>
      </c>
      <c r="D5" s="129" t="s">
        <v>289</v>
      </c>
      <c r="E5" s="131"/>
      <c r="F5" s="129" t="s">
        <v>268</v>
      </c>
    </row>
    <row r="6" spans="1:8" ht="24" customHeight="1">
      <c r="A6" s="132"/>
      <c r="B6" s="133"/>
      <c r="C6" s="132"/>
      <c r="D6" s="133"/>
      <c r="E6" s="134"/>
      <c r="F6" s="135"/>
      <c r="H6" s="136"/>
    </row>
    <row r="7" spans="1:8" ht="30" customHeight="1" thickBot="1">
      <c r="A7" s="137" t="s">
        <v>230</v>
      </c>
      <c r="B7" s="138">
        <v>241954</v>
      </c>
      <c r="C7" s="139">
        <v>100810</v>
      </c>
      <c r="D7" s="138">
        <v>931790</v>
      </c>
      <c r="E7" s="139">
        <v>1274554</v>
      </c>
      <c r="F7" s="172">
        <v>6.6263138108491474E-3</v>
      </c>
      <c r="H7" s="140"/>
    </row>
    <row r="8" spans="1:8" ht="20" customHeight="1" thickBot="1">
      <c r="A8" s="141" t="s">
        <v>231</v>
      </c>
      <c r="B8" s="138">
        <v>187180</v>
      </c>
      <c r="C8" s="139">
        <v>78935</v>
      </c>
      <c r="D8" s="138">
        <v>692368</v>
      </c>
      <c r="E8" s="139">
        <v>958483</v>
      </c>
      <c r="F8" s="172">
        <v>1.2625709283131008E-4</v>
      </c>
      <c r="H8" s="140"/>
    </row>
    <row r="9" spans="1:8" ht="20" customHeight="1" thickBot="1">
      <c r="A9" s="141" t="s">
        <v>232</v>
      </c>
      <c r="B9" s="138">
        <v>78543</v>
      </c>
      <c r="C9" s="139">
        <v>32986</v>
      </c>
      <c r="D9" s="138">
        <v>247603</v>
      </c>
      <c r="E9" s="139">
        <v>359132</v>
      </c>
      <c r="F9" s="172">
        <v>3.5825066368590191E-3</v>
      </c>
      <c r="H9" s="140"/>
    </row>
    <row r="10" spans="1:8" ht="20" customHeight="1" thickBot="1">
      <c r="A10" s="141" t="s">
        <v>233</v>
      </c>
      <c r="B10" s="138">
        <v>7614</v>
      </c>
      <c r="C10" s="139">
        <v>3195</v>
      </c>
      <c r="D10" s="138">
        <v>24426</v>
      </c>
      <c r="E10" s="139">
        <v>35235</v>
      </c>
      <c r="F10" s="172">
        <v>-3.8449577337366769E-3</v>
      </c>
      <c r="H10" s="140"/>
    </row>
    <row r="11" spans="1:8" ht="20" customHeight="1" thickBot="1">
      <c r="A11" s="141" t="s">
        <v>234</v>
      </c>
      <c r="B11" s="138">
        <v>30238</v>
      </c>
      <c r="C11" s="139">
        <v>11889</v>
      </c>
      <c r="D11" s="138">
        <v>95114</v>
      </c>
      <c r="E11" s="139">
        <v>137241</v>
      </c>
      <c r="F11" s="172">
        <v>7.051658350454946E-3</v>
      </c>
      <c r="H11" s="140"/>
    </row>
    <row r="12" spans="1:8" ht="20" customHeight="1" thickBot="1">
      <c r="A12" s="141" t="s">
        <v>235</v>
      </c>
      <c r="B12" s="138">
        <v>7718</v>
      </c>
      <c r="C12" s="139">
        <v>3179</v>
      </c>
      <c r="D12" s="138">
        <v>23017</v>
      </c>
      <c r="E12" s="139">
        <v>33914</v>
      </c>
      <c r="F12" s="172">
        <v>-1.7688679245283018E-4</v>
      </c>
      <c r="H12" s="140"/>
    </row>
    <row r="13" spans="1:8" ht="20" customHeight="1" thickBot="1">
      <c r="A13" s="141" t="s">
        <v>236</v>
      </c>
      <c r="B13" s="138">
        <v>8127</v>
      </c>
      <c r="C13" s="139">
        <v>3354</v>
      </c>
      <c r="D13" s="138">
        <v>27863</v>
      </c>
      <c r="E13" s="139">
        <v>39344</v>
      </c>
      <c r="F13" s="172">
        <v>7.2450782110033028E-3</v>
      </c>
      <c r="H13" s="140"/>
    </row>
    <row r="14" spans="1:8" ht="20" customHeight="1" thickBot="1">
      <c r="A14" s="141" t="s">
        <v>237</v>
      </c>
      <c r="B14" s="138">
        <v>8184</v>
      </c>
      <c r="C14" s="139">
        <v>3665</v>
      </c>
      <c r="D14" s="138">
        <v>26681</v>
      </c>
      <c r="E14" s="139">
        <v>38530</v>
      </c>
      <c r="F14" s="172">
        <v>-5.985243279500542E-3</v>
      </c>
      <c r="H14" s="140"/>
    </row>
    <row r="15" spans="1:8" ht="20" customHeight="1" thickBot="1">
      <c r="A15" s="141" t="s">
        <v>238</v>
      </c>
      <c r="B15" s="138">
        <v>21287</v>
      </c>
      <c r="C15" s="139">
        <v>8300</v>
      </c>
      <c r="D15" s="138">
        <v>75813</v>
      </c>
      <c r="E15" s="139">
        <v>105400</v>
      </c>
      <c r="F15" s="172">
        <v>1.5551230416433815E-2</v>
      </c>
      <c r="H15" s="140"/>
    </row>
    <row r="16" spans="1:8" ht="20" customHeight="1" thickBot="1">
      <c r="A16" s="141" t="s">
        <v>239</v>
      </c>
      <c r="B16" s="138">
        <v>59653</v>
      </c>
      <c r="C16" s="139">
        <v>21841</v>
      </c>
      <c r="D16" s="138">
        <v>172441</v>
      </c>
      <c r="E16" s="139">
        <v>253935</v>
      </c>
      <c r="F16" s="172">
        <v>1.405666593454865E-2</v>
      </c>
      <c r="H16" s="140"/>
    </row>
    <row r="17" spans="1:8" ht="20" customHeight="1" thickBot="1">
      <c r="A17" s="141" t="s">
        <v>240</v>
      </c>
      <c r="B17" s="138">
        <v>51001</v>
      </c>
      <c r="C17" s="139">
        <v>21221</v>
      </c>
      <c r="D17" s="138">
        <v>177446</v>
      </c>
      <c r="E17" s="139">
        <v>249668</v>
      </c>
      <c r="F17" s="172">
        <v>1.0625373391659283E-3</v>
      </c>
      <c r="H17" s="140"/>
    </row>
    <row r="18" spans="1:8" ht="20" customHeight="1" thickBot="1">
      <c r="A18" s="141" t="s">
        <v>241</v>
      </c>
      <c r="B18" s="138">
        <v>29003</v>
      </c>
      <c r="C18" s="139">
        <v>13787</v>
      </c>
      <c r="D18" s="138">
        <v>139516</v>
      </c>
      <c r="E18" s="139">
        <v>182306</v>
      </c>
      <c r="F18" s="172">
        <v>-5.5367361077017906E-3</v>
      </c>
      <c r="H18" s="140"/>
    </row>
    <row r="19" spans="1:8" ht="20" customHeight="1" thickBot="1">
      <c r="A19" s="141" t="s">
        <v>242</v>
      </c>
      <c r="B19" s="138">
        <v>51025</v>
      </c>
      <c r="C19" s="139">
        <v>21039</v>
      </c>
      <c r="D19" s="138">
        <v>194044</v>
      </c>
      <c r="E19" s="139">
        <v>266108</v>
      </c>
      <c r="F19" s="172">
        <v>9.7423725498309191E-4</v>
      </c>
      <c r="H19" s="140"/>
    </row>
    <row r="20" spans="1:8" ht="20" customHeight="1" thickBot="1">
      <c r="A20" s="141" t="s">
        <v>243</v>
      </c>
      <c r="B20" s="138">
        <v>14700</v>
      </c>
      <c r="C20" s="139">
        <v>6450</v>
      </c>
      <c r="D20" s="138">
        <v>53931</v>
      </c>
      <c r="E20" s="139">
        <v>75081</v>
      </c>
      <c r="F20" s="172">
        <v>-3.8608501830918645E-3</v>
      </c>
      <c r="H20" s="140"/>
    </row>
    <row r="21" spans="1:8" ht="20" customHeight="1" thickBot="1">
      <c r="A21" s="141" t="s">
        <v>244</v>
      </c>
      <c r="B21" s="138">
        <v>11787</v>
      </c>
      <c r="C21" s="139">
        <v>4619</v>
      </c>
      <c r="D21" s="138">
        <v>37015</v>
      </c>
      <c r="E21" s="139">
        <v>53421</v>
      </c>
      <c r="F21" s="172">
        <v>-3.097766249276877E-3</v>
      </c>
      <c r="H21" s="140"/>
    </row>
    <row r="22" spans="1:8" ht="20" customHeight="1" thickBot="1">
      <c r="A22" s="141" t="s">
        <v>245</v>
      </c>
      <c r="B22" s="138">
        <v>3770</v>
      </c>
      <c r="C22" s="139">
        <v>1481</v>
      </c>
      <c r="D22" s="138">
        <v>9893</v>
      </c>
      <c r="E22" s="139">
        <v>15144</v>
      </c>
      <c r="F22" s="172">
        <v>9.8692984795945588E-3</v>
      </c>
      <c r="H22" s="140"/>
    </row>
    <row r="23" spans="1:8" ht="20" customHeight="1" thickBot="1">
      <c r="A23" s="141" t="s">
        <v>246</v>
      </c>
      <c r="B23" s="138">
        <v>103179</v>
      </c>
      <c r="C23" s="139">
        <v>43595</v>
      </c>
      <c r="D23" s="138">
        <v>316389</v>
      </c>
      <c r="E23" s="139">
        <v>463163</v>
      </c>
      <c r="F23" s="172">
        <v>2.7495545505127812E-3</v>
      </c>
      <c r="H23" s="140"/>
    </row>
    <row r="24" spans="1:8" ht="20" customHeight="1" thickBot="1">
      <c r="A24" s="141" t="s">
        <v>247</v>
      </c>
      <c r="B24" s="138">
        <v>37775</v>
      </c>
      <c r="C24" s="139">
        <v>18068</v>
      </c>
      <c r="D24" s="138">
        <v>137593</v>
      </c>
      <c r="E24" s="139">
        <v>193436</v>
      </c>
      <c r="F24" s="172">
        <v>-3.4209170530654304E-3</v>
      </c>
      <c r="H24" s="140"/>
    </row>
    <row r="25" spans="1:8" ht="20" customHeight="1" thickBot="1">
      <c r="A25" s="141" t="s">
        <v>248</v>
      </c>
      <c r="B25" s="138">
        <v>121177</v>
      </c>
      <c r="C25" s="139">
        <v>50502</v>
      </c>
      <c r="D25" s="138">
        <v>402384</v>
      </c>
      <c r="E25" s="139">
        <v>574063</v>
      </c>
      <c r="F25" s="172">
        <v>7.3153954946007507E-3</v>
      </c>
      <c r="H25" s="140"/>
    </row>
    <row r="26" spans="1:8" ht="20" customHeight="1" thickBot="1">
      <c r="A26" s="141" t="s">
        <v>249</v>
      </c>
      <c r="B26" s="138">
        <v>53504</v>
      </c>
      <c r="C26" s="139">
        <v>21363</v>
      </c>
      <c r="D26" s="138">
        <v>160577</v>
      </c>
      <c r="E26" s="139">
        <v>235444</v>
      </c>
      <c r="F26" s="172">
        <v>5.577907046271857E-3</v>
      </c>
      <c r="H26" s="140"/>
    </row>
    <row r="27" spans="1:8" ht="20" customHeight="1" thickBot="1">
      <c r="A27" s="141" t="s">
        <v>250</v>
      </c>
      <c r="B27" s="138">
        <v>57617</v>
      </c>
      <c r="C27" s="139">
        <v>22623</v>
      </c>
      <c r="D27" s="138">
        <v>237478</v>
      </c>
      <c r="E27" s="139">
        <v>317718</v>
      </c>
      <c r="F27" s="172">
        <v>4.5910720722429858E-3</v>
      </c>
      <c r="H27" s="140"/>
    </row>
    <row r="28" spans="1:8" ht="20" customHeight="1" thickBot="1">
      <c r="A28" s="141" t="s">
        <v>251</v>
      </c>
      <c r="B28" s="138">
        <v>141868</v>
      </c>
      <c r="C28" s="139">
        <v>50339</v>
      </c>
      <c r="D28" s="138">
        <v>455042</v>
      </c>
      <c r="E28" s="139">
        <v>647249</v>
      </c>
      <c r="F28" s="172">
        <v>8.4493305039060433E-3</v>
      </c>
      <c r="H28" s="140"/>
    </row>
    <row r="29" spans="1:8" ht="20" customHeight="1" thickBot="1">
      <c r="A29" s="141" t="s">
        <v>252</v>
      </c>
      <c r="B29" s="138">
        <v>62031</v>
      </c>
      <c r="C29" s="139">
        <v>26404</v>
      </c>
      <c r="D29" s="138">
        <v>207826</v>
      </c>
      <c r="E29" s="139">
        <v>296261</v>
      </c>
      <c r="F29" s="172">
        <v>1.056749999147232E-2</v>
      </c>
      <c r="H29" s="140"/>
    </row>
    <row r="30" spans="1:8" ht="20" customHeight="1" thickBot="1">
      <c r="A30" s="141" t="s">
        <v>253</v>
      </c>
      <c r="B30" s="138">
        <v>36131</v>
      </c>
      <c r="C30" s="139">
        <v>13339</v>
      </c>
      <c r="D30" s="138">
        <v>119425</v>
      </c>
      <c r="E30" s="139">
        <v>168895</v>
      </c>
      <c r="F30" s="172">
        <v>-2.8411949592466098E-4</v>
      </c>
      <c r="H30" s="140"/>
    </row>
    <row r="31" spans="1:8" ht="20" customHeight="1" thickBot="1">
      <c r="A31" s="141" t="s">
        <v>254</v>
      </c>
      <c r="B31" s="138">
        <v>86081</v>
      </c>
      <c r="C31" s="139">
        <v>30206</v>
      </c>
      <c r="D31" s="138">
        <v>285176</v>
      </c>
      <c r="E31" s="139">
        <v>401463</v>
      </c>
      <c r="F31" s="172">
        <v>5.3087195718968406E-3</v>
      </c>
      <c r="H31" s="140"/>
    </row>
    <row r="32" spans="1:8" ht="20" customHeight="1" thickBot="1">
      <c r="A32" s="142" t="s">
        <v>255</v>
      </c>
      <c r="B32" s="138">
        <v>15694</v>
      </c>
      <c r="C32" s="139">
        <v>5908</v>
      </c>
      <c r="D32" s="138">
        <v>47949</v>
      </c>
      <c r="E32" s="139">
        <v>69551</v>
      </c>
      <c r="F32" s="172">
        <v>-1.6650638035224713E-3</v>
      </c>
      <c r="H32" s="140"/>
    </row>
    <row r="33" spans="1:8" ht="30" customHeight="1" thickBot="1">
      <c r="A33" s="143" t="s">
        <v>256</v>
      </c>
      <c r="B33" s="144">
        <v>1526841</v>
      </c>
      <c r="C33" s="145">
        <v>619098</v>
      </c>
      <c r="D33" s="144">
        <v>5298800</v>
      </c>
      <c r="E33" s="145">
        <v>7444739</v>
      </c>
      <c r="F33" s="173">
        <v>4.4533450480940219E-3</v>
      </c>
      <c r="H33" s="140"/>
    </row>
    <row r="34" spans="1:8" ht="20" customHeight="1">
      <c r="A34" s="146" t="s">
        <v>1784</v>
      </c>
      <c r="B34" s="146"/>
      <c r="C34" s="146"/>
      <c r="D34" s="146"/>
      <c r="E34" s="146"/>
      <c r="F34" s="146"/>
      <c r="H34" s="136"/>
    </row>
    <row r="35" spans="1:8" ht="11.25" customHeight="1">
      <c r="A35" s="4"/>
      <c r="B35" s="4"/>
      <c r="C35" s="4"/>
      <c r="D35" s="4"/>
      <c r="E35" s="4"/>
      <c r="F35" s="4"/>
      <c r="H35" s="136"/>
    </row>
    <row r="36" spans="1:8" ht="14.25" customHeight="1">
      <c r="A36" s="4" t="s">
        <v>257</v>
      </c>
      <c r="B36" s="4"/>
      <c r="C36" s="4"/>
      <c r="D36" s="4"/>
      <c r="E36" s="4"/>
      <c r="F36" s="4"/>
      <c r="H36" s="136"/>
    </row>
    <row r="37" spans="1:8" ht="13.5" customHeight="1">
      <c r="A37" s="4"/>
      <c r="B37" s="4"/>
      <c r="C37" s="4"/>
      <c r="D37" s="4"/>
      <c r="E37" s="4"/>
      <c r="F37" s="4"/>
      <c r="H37" s="136"/>
    </row>
    <row r="38" spans="1:8" ht="12" customHeight="1">
      <c r="A38" s="4" t="s">
        <v>258</v>
      </c>
    </row>
    <row r="39" spans="1:8" ht="12" customHeight="1">
      <c r="A39" s="2" t="s">
        <v>290</v>
      </c>
    </row>
    <row r="40" spans="1:8" ht="12" customHeight="1">
      <c r="A40" s="2" t="s">
        <v>291</v>
      </c>
    </row>
    <row r="41" spans="1:8" ht="12" customHeight="1">
      <c r="A41" s="2" t="s">
        <v>292</v>
      </c>
    </row>
    <row r="42" spans="1:8" ht="12" customHeight="1">
      <c r="A42" s="2" t="s">
        <v>293</v>
      </c>
    </row>
    <row r="43" spans="1:8" ht="12" customHeight="1">
      <c r="A43" s="2" t="s">
        <v>294</v>
      </c>
    </row>
    <row r="44" spans="1:8" ht="12" customHeight="1">
      <c r="A44" s="2" t="s">
        <v>295</v>
      </c>
    </row>
    <row r="45" spans="1:8" ht="12" customHeight="1">
      <c r="A45" s="2" t="s">
        <v>1721</v>
      </c>
    </row>
    <row r="46" spans="1:8" ht="12" customHeight="1">
      <c r="A46" s="2" t="s">
        <v>1722</v>
      </c>
    </row>
    <row r="47" spans="1:8" ht="12" customHeight="1">
      <c r="A47" s="5" t="s">
        <v>1723</v>
      </c>
    </row>
    <row r="48" spans="1:8" ht="12" customHeight="1">
      <c r="A48" s="5" t="s">
        <v>1724</v>
      </c>
    </row>
    <row r="49" spans="1:1" ht="12" customHeight="1"/>
    <row r="50" spans="1:1" ht="12" customHeight="1"/>
    <row r="51" spans="1:1" ht="12" customHeight="1">
      <c r="A51" s="4" t="s">
        <v>128</v>
      </c>
    </row>
  </sheetData>
  <mergeCells count="1">
    <mergeCell ref="A2:E2"/>
  </mergeCells>
  <phoneticPr fontId="0" type="noConversion"/>
  <pageMargins left="0.65" right="0.5" top="0.87" bottom="0.49" header="0.51" footer="0.4921259845"/>
  <pageSetup paperSize="9" scale="83" orientation="portrait"/>
  <headerFooter alignWithMargins="0"/>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77E44-179D-9949-8175-ACAC6DA3F55F}">
  <dimension ref="A1:K41"/>
  <sheetViews>
    <sheetView topLeftCell="A18" zoomScale="75" workbookViewId="0">
      <selection activeCell="A25" sqref="A25"/>
    </sheetView>
  </sheetViews>
  <sheetFormatPr baseColWidth="10" defaultColWidth="11.3984375" defaultRowHeight="13"/>
  <cols>
    <col min="1" max="1" width="13.796875" style="2" customWidth="1"/>
    <col min="2" max="2" width="14.796875" style="169" customWidth="1"/>
    <col min="3" max="3" width="14.796875" style="170" customWidth="1"/>
    <col min="4" max="4" width="14.796875" style="169" customWidth="1"/>
    <col min="5" max="5" width="14.796875" style="170" customWidth="1"/>
    <col min="6" max="6" width="14.796875" style="169" customWidth="1"/>
    <col min="7" max="7" width="14.796875" style="170" customWidth="1"/>
    <col min="8" max="8" width="7.3984375" style="2" customWidth="1"/>
    <col min="9" max="9" width="8" style="2" customWidth="1"/>
    <col min="10" max="10" width="7.796875" style="2" customWidth="1"/>
    <col min="11" max="11" width="9" style="2" customWidth="1"/>
    <col min="12" max="16384" width="11.3984375" style="2"/>
  </cols>
  <sheetData>
    <row r="1" spans="1:11" s="1" customFormat="1" ht="18.75" customHeight="1">
      <c r="A1" s="148"/>
      <c r="B1" s="149"/>
      <c r="C1" s="150"/>
      <c r="D1" s="151"/>
      <c r="E1" s="150"/>
      <c r="F1" s="151"/>
      <c r="G1" s="150"/>
    </row>
    <row r="2" spans="1:11" s="1" customFormat="1" ht="42" customHeight="1">
      <c r="A2" s="1635" t="s">
        <v>285</v>
      </c>
      <c r="B2" s="1610"/>
      <c r="C2" s="1610"/>
      <c r="D2" s="1610"/>
      <c r="E2" s="1610"/>
      <c r="F2" s="1610"/>
      <c r="G2" s="153">
        <v>2005</v>
      </c>
    </row>
    <row r="3" spans="1:11" ht="27" customHeight="1">
      <c r="A3" s="125" t="s">
        <v>261</v>
      </c>
      <c r="B3" s="154" t="s">
        <v>262</v>
      </c>
      <c r="C3" s="127" t="s">
        <v>263</v>
      </c>
      <c r="D3" s="154" t="s">
        <v>264</v>
      </c>
      <c r="E3" s="127" t="s">
        <v>263</v>
      </c>
      <c r="F3" s="154" t="s">
        <v>43</v>
      </c>
      <c r="G3" s="127" t="s">
        <v>265</v>
      </c>
    </row>
    <row r="4" spans="1:11" ht="15" customHeight="1">
      <c r="A4" s="128"/>
      <c r="B4" s="155"/>
      <c r="C4" s="131" t="s">
        <v>266</v>
      </c>
      <c r="D4" s="155"/>
      <c r="E4" s="131" t="s">
        <v>266</v>
      </c>
      <c r="F4" s="155"/>
      <c r="G4" s="131" t="s">
        <v>267</v>
      </c>
    </row>
    <row r="5" spans="1:11" ht="15" customHeight="1">
      <c r="A5" s="128"/>
      <c r="B5" s="155"/>
      <c r="C5" s="131" t="s">
        <v>262</v>
      </c>
      <c r="D5" s="155"/>
      <c r="E5" s="131" t="s">
        <v>264</v>
      </c>
      <c r="F5" s="155"/>
      <c r="G5" s="131" t="s">
        <v>268</v>
      </c>
    </row>
    <row r="6" spans="1:11" ht="19.5" customHeight="1">
      <c r="A6" s="132"/>
      <c r="B6" s="156"/>
      <c r="C6" s="134"/>
      <c r="D6" s="156"/>
      <c r="E6" s="134"/>
      <c r="F6" s="156"/>
      <c r="G6" s="134"/>
    </row>
    <row r="7" spans="1:11" ht="30" customHeight="1" thickBot="1">
      <c r="A7" s="137" t="s">
        <v>269</v>
      </c>
      <c r="B7" s="157">
        <v>782572</v>
      </c>
      <c r="C7" s="158">
        <v>0.21453982904736357</v>
      </c>
      <c r="D7" s="157">
        <v>744271</v>
      </c>
      <c r="E7" s="158">
        <v>0.19601264769337087</v>
      </c>
      <c r="F7" s="157">
        <v>1526843</v>
      </c>
      <c r="G7" s="158">
        <v>-5.7641654104493402E-3</v>
      </c>
      <c r="I7" s="3"/>
      <c r="J7" s="3"/>
      <c r="K7" s="3"/>
    </row>
    <row r="8" spans="1:11" ht="20" customHeight="1" thickBot="1">
      <c r="A8" s="141" t="s">
        <v>270</v>
      </c>
      <c r="B8" s="159">
        <v>311546</v>
      </c>
      <c r="C8" s="160">
        <v>8.5409426328043853E-2</v>
      </c>
      <c r="D8" s="159">
        <v>307552</v>
      </c>
      <c r="E8" s="160">
        <v>8.0997488580626678E-2</v>
      </c>
      <c r="F8" s="159">
        <v>619098</v>
      </c>
      <c r="G8" s="160">
        <v>6.6916228640145859E-4</v>
      </c>
      <c r="I8" s="3"/>
      <c r="J8" s="3"/>
      <c r="K8" s="3"/>
    </row>
    <row r="9" spans="1:11" ht="20" customHeight="1" thickBot="1">
      <c r="A9" s="141" t="s">
        <v>271</v>
      </c>
      <c r="B9" s="159">
        <v>235436</v>
      </c>
      <c r="C9" s="160">
        <v>6.4544092034464678E-2</v>
      </c>
      <c r="D9" s="159">
        <v>236023</v>
      </c>
      <c r="E9" s="160">
        <v>6.2159473023310693E-2</v>
      </c>
      <c r="F9" s="159">
        <v>471459</v>
      </c>
      <c r="G9" s="160">
        <v>-3.2073509015256587E-3</v>
      </c>
      <c r="I9" s="3"/>
      <c r="J9" s="3"/>
      <c r="K9" s="3"/>
    </row>
    <row r="10" spans="1:11" ht="20" customHeight="1" thickBot="1">
      <c r="A10" s="141" t="s">
        <v>272</v>
      </c>
      <c r="B10" s="159">
        <v>267534</v>
      </c>
      <c r="C10" s="160">
        <v>7.3343665022972154E-2</v>
      </c>
      <c r="D10" s="159">
        <v>268852</v>
      </c>
      <c r="E10" s="160">
        <v>7.0805381853730892E-2</v>
      </c>
      <c r="F10" s="159">
        <v>536386</v>
      </c>
      <c r="G10" s="160">
        <v>-2.6324770189221764E-2</v>
      </c>
      <c r="I10" s="3"/>
      <c r="J10" s="3"/>
      <c r="K10" s="3"/>
    </row>
    <row r="11" spans="1:11" ht="20" customHeight="1" thickBot="1">
      <c r="A11" s="141" t="s">
        <v>273</v>
      </c>
      <c r="B11" s="159">
        <v>311702</v>
      </c>
      <c r="C11" s="160">
        <v>8.5452193272595137E-2</v>
      </c>
      <c r="D11" s="159">
        <v>310306</v>
      </c>
      <c r="E11" s="160">
        <v>8.1722787338401118E-2</v>
      </c>
      <c r="F11" s="159">
        <v>622008</v>
      </c>
      <c r="G11" s="160">
        <v>-1.7535657310735892E-2</v>
      </c>
      <c r="I11" s="3"/>
      <c r="J11" s="3"/>
      <c r="K11" s="3"/>
    </row>
    <row r="12" spans="1:11" ht="20" customHeight="1" thickBot="1">
      <c r="A12" s="141" t="s">
        <v>274</v>
      </c>
      <c r="B12" s="159">
        <v>315332</v>
      </c>
      <c r="C12" s="160">
        <v>8.6447347174653896E-2</v>
      </c>
      <c r="D12" s="159">
        <v>308829</v>
      </c>
      <c r="E12" s="160">
        <v>8.1333801766421146E-2</v>
      </c>
      <c r="F12" s="159">
        <v>624161</v>
      </c>
      <c r="G12" s="160">
        <v>2.7560831055941523E-2</v>
      </c>
      <c r="I12" s="3"/>
      <c r="J12" s="3"/>
      <c r="K12" s="3"/>
    </row>
    <row r="13" spans="1:11" ht="20" customHeight="1" thickBot="1">
      <c r="A13" s="141" t="s">
        <v>275</v>
      </c>
      <c r="B13" s="159">
        <v>278249</v>
      </c>
      <c r="C13" s="160">
        <v>7.6281150990068478E-2</v>
      </c>
      <c r="D13" s="159">
        <v>270583</v>
      </c>
      <c r="E13" s="160">
        <v>7.1261261356166464E-2</v>
      </c>
      <c r="F13" s="159">
        <v>548832</v>
      </c>
      <c r="G13" s="160">
        <v>2.5405710399563554E-2</v>
      </c>
      <c r="I13" s="3"/>
      <c r="J13" s="3"/>
      <c r="K13" s="3"/>
    </row>
    <row r="14" spans="1:11" ht="20" customHeight="1" thickBot="1">
      <c r="A14" s="141" t="s">
        <v>276</v>
      </c>
      <c r="B14" s="159">
        <v>245055</v>
      </c>
      <c r="C14" s="160">
        <v>6.7181112801380172E-2</v>
      </c>
      <c r="D14" s="159">
        <v>243661</v>
      </c>
      <c r="E14" s="160">
        <v>6.4171031451735236E-2</v>
      </c>
      <c r="F14" s="159">
        <v>488716</v>
      </c>
      <c r="G14" s="160">
        <v>6.1992361618678007E-3</v>
      </c>
      <c r="I14" s="3"/>
      <c r="J14" s="3"/>
      <c r="K14" s="3"/>
    </row>
    <row r="15" spans="1:11" ht="20" customHeight="1" thickBot="1">
      <c r="A15" s="141" t="s">
        <v>277</v>
      </c>
      <c r="B15" s="159">
        <v>235781</v>
      </c>
      <c r="C15" s="160">
        <v>6.4638672777222322E-2</v>
      </c>
      <c r="D15" s="159">
        <v>236438</v>
      </c>
      <c r="E15" s="160">
        <v>6.2268768224645617E-2</v>
      </c>
      <c r="F15" s="159">
        <v>472219</v>
      </c>
      <c r="G15" s="160">
        <v>5.825544640498931E-3</v>
      </c>
      <c r="I15" s="3"/>
      <c r="J15" s="3"/>
      <c r="K15" s="3"/>
    </row>
    <row r="16" spans="1:11" ht="20" customHeight="1" thickBot="1">
      <c r="A16" s="141" t="s">
        <v>278</v>
      </c>
      <c r="B16" s="159">
        <v>196315</v>
      </c>
      <c r="C16" s="160">
        <v>5.381918409990797E-2</v>
      </c>
      <c r="D16" s="159">
        <v>204643</v>
      </c>
      <c r="E16" s="160">
        <v>5.3895175630804495E-2</v>
      </c>
      <c r="F16" s="159">
        <v>400958</v>
      </c>
      <c r="G16" s="160">
        <v>4.2283177191103534E-2</v>
      </c>
      <c r="I16" s="3"/>
      <c r="J16" s="3"/>
      <c r="K16" s="3"/>
    </row>
    <row r="17" spans="1:11" ht="20" customHeight="1" thickBot="1">
      <c r="A17" s="141" t="s">
        <v>279</v>
      </c>
      <c r="B17" s="159">
        <v>149050</v>
      </c>
      <c r="C17" s="160">
        <v>4.0861622342109785E-2</v>
      </c>
      <c r="D17" s="159">
        <v>169579</v>
      </c>
      <c r="E17" s="160">
        <v>4.4660652884761246E-2</v>
      </c>
      <c r="F17" s="159">
        <v>318629</v>
      </c>
      <c r="G17" s="160">
        <v>8.7569610875601125E-3</v>
      </c>
      <c r="I17" s="3"/>
      <c r="J17" s="3"/>
      <c r="K17" s="3"/>
    </row>
    <row r="18" spans="1:11" ht="20" customHeight="1" thickBot="1">
      <c r="A18" s="141" t="s">
        <v>280</v>
      </c>
      <c r="B18" s="159">
        <v>124500</v>
      </c>
      <c r="C18" s="160">
        <v>3.4131311516891437E-2</v>
      </c>
      <c r="D18" s="159">
        <v>156493</v>
      </c>
      <c r="E18" s="160">
        <v>4.1214298656643465E-2</v>
      </c>
      <c r="F18" s="159">
        <v>280993</v>
      </c>
      <c r="G18" s="160">
        <v>1.1046225033552459E-2</v>
      </c>
      <c r="I18" s="3"/>
      <c r="J18" s="3"/>
      <c r="K18" s="3"/>
    </row>
    <row r="19" spans="1:11" ht="20" customHeight="1" thickBot="1">
      <c r="A19" s="141" t="s">
        <v>281</v>
      </c>
      <c r="B19" s="159">
        <v>93546</v>
      </c>
      <c r="C19" s="160">
        <v>2.5645362788426718E-2</v>
      </c>
      <c r="D19" s="159">
        <v>137597</v>
      </c>
      <c r="E19" s="160">
        <v>3.6237811609836676E-2</v>
      </c>
      <c r="F19" s="159">
        <v>231143</v>
      </c>
      <c r="G19" s="160">
        <v>1.2093825668510078E-2</v>
      </c>
      <c r="I19" s="3"/>
      <c r="J19" s="3"/>
      <c r="K19" s="3"/>
    </row>
    <row r="20" spans="1:11" ht="20" customHeight="1" thickBot="1">
      <c r="A20" s="141" t="s">
        <v>282</v>
      </c>
      <c r="B20" s="159">
        <v>62457</v>
      </c>
      <c r="C20" s="160">
        <v>1.7122404204100307E-2</v>
      </c>
      <c r="D20" s="159">
        <v>109277</v>
      </c>
      <c r="E20" s="160">
        <v>2.877940172596875E-2</v>
      </c>
      <c r="F20" s="159">
        <v>171734</v>
      </c>
      <c r="G20" s="160">
        <v>3.6840707109737247E-2</v>
      </c>
      <c r="I20" s="3"/>
      <c r="J20" s="3"/>
      <c r="K20" s="3"/>
    </row>
    <row r="21" spans="1:11" ht="20" customHeight="1" thickBot="1">
      <c r="A21" s="141" t="s">
        <v>283</v>
      </c>
      <c r="B21" s="159">
        <v>27216</v>
      </c>
      <c r="C21" s="160">
        <v>7.4611869417166047E-3</v>
      </c>
      <c r="D21" s="159">
        <v>57966</v>
      </c>
      <c r="E21" s="160">
        <v>1.5266037688145764E-2</v>
      </c>
      <c r="F21" s="159">
        <v>85182</v>
      </c>
      <c r="G21" s="160">
        <v>1.0694433018768141E-3</v>
      </c>
      <c r="I21" s="3"/>
      <c r="J21" s="3"/>
      <c r="K21" s="3"/>
    </row>
    <row r="22" spans="1:11" ht="20" customHeight="1" thickBot="1">
      <c r="A22" s="141" t="s">
        <v>284</v>
      </c>
      <c r="B22" s="159">
        <v>11386</v>
      </c>
      <c r="C22" s="160">
        <v>3.1214386580829387E-3</v>
      </c>
      <c r="D22" s="159">
        <v>34986</v>
      </c>
      <c r="E22" s="160">
        <v>9.2139805154309029E-3</v>
      </c>
      <c r="F22" s="159">
        <v>46372</v>
      </c>
      <c r="G22" s="160">
        <v>3.1474520096981561E-2</v>
      </c>
      <c r="I22" s="3"/>
      <c r="J22" s="3"/>
      <c r="K22" s="3"/>
    </row>
    <row r="23" spans="1:11" s="163" customFormat="1" ht="21" customHeight="1" thickBot="1">
      <c r="A23" s="143" t="s">
        <v>43</v>
      </c>
      <c r="B23" s="161">
        <v>3647677</v>
      </c>
      <c r="C23" s="162">
        <v>1</v>
      </c>
      <c r="D23" s="161">
        <v>3797056</v>
      </c>
      <c r="E23" s="162">
        <v>1</v>
      </c>
      <c r="F23" s="161">
        <v>7444733</v>
      </c>
      <c r="G23" s="162">
        <v>4.4521289549612876E-3</v>
      </c>
      <c r="I23" s="164"/>
      <c r="J23" s="164"/>
      <c r="K23" s="164"/>
    </row>
    <row r="24" spans="1:11" ht="20" customHeight="1">
      <c r="A24" s="146" t="s">
        <v>1784</v>
      </c>
      <c r="B24" s="165"/>
      <c r="C24" s="166"/>
      <c r="D24" s="165"/>
      <c r="E24" s="166"/>
      <c r="F24" s="165"/>
      <c r="G24" s="166"/>
    </row>
    <row r="25" spans="1:11" ht="12.75" customHeight="1">
      <c r="A25" s="4"/>
      <c r="B25" s="167"/>
      <c r="C25" s="168"/>
      <c r="D25" s="167"/>
      <c r="E25" s="168"/>
      <c r="F25" s="167"/>
      <c r="G25" s="168"/>
    </row>
    <row r="26" spans="1:11" ht="16.5" customHeight="1">
      <c r="A26" s="4" t="s">
        <v>257</v>
      </c>
      <c r="B26" s="167"/>
      <c r="C26" s="168"/>
      <c r="D26" s="167"/>
      <c r="E26" s="168"/>
      <c r="F26" s="167"/>
      <c r="G26" s="168"/>
    </row>
    <row r="27" spans="1:11" ht="11.25" customHeight="1">
      <c r="A27" s="4"/>
      <c r="B27" s="167"/>
      <c r="C27" s="168"/>
      <c r="D27" s="167"/>
      <c r="E27" s="168"/>
      <c r="F27" s="167"/>
      <c r="G27" s="168"/>
    </row>
    <row r="28" spans="1:11" ht="17.25" customHeight="1">
      <c r="A28" s="4" t="s">
        <v>258</v>
      </c>
      <c r="B28" s="167"/>
      <c r="C28" s="168"/>
      <c r="D28" s="167"/>
      <c r="E28" s="168"/>
      <c r="F28" s="167"/>
      <c r="G28" s="168"/>
    </row>
    <row r="29" spans="1:11" ht="12" customHeight="1">
      <c r="A29" s="147" t="s">
        <v>259</v>
      </c>
      <c r="B29" s="2"/>
      <c r="C29" s="2"/>
      <c r="D29" s="2"/>
      <c r="E29" s="2"/>
      <c r="F29" s="2"/>
      <c r="G29" s="21"/>
    </row>
    <row r="30" spans="1:11" ht="12" customHeight="1">
      <c r="A30" s="4"/>
      <c r="B30" s="167"/>
      <c r="C30" s="168"/>
      <c r="D30" s="167"/>
      <c r="E30" s="168"/>
      <c r="F30" s="167"/>
      <c r="G30" s="168"/>
    </row>
    <row r="31" spans="1:11" ht="14.25" customHeight="1">
      <c r="A31" s="4"/>
      <c r="B31" s="167"/>
      <c r="C31" s="168"/>
      <c r="D31" s="167"/>
      <c r="E31" s="168"/>
      <c r="F31" s="167"/>
      <c r="G31" s="168"/>
    </row>
    <row r="32" spans="1:11" ht="15.75" customHeight="1">
      <c r="A32" s="4" t="s">
        <v>128</v>
      </c>
      <c r="B32" s="167"/>
      <c r="C32" s="168"/>
      <c r="D32" s="167"/>
      <c r="E32" s="168"/>
      <c r="F32" s="167"/>
      <c r="G32" s="168"/>
    </row>
    <row r="33" spans="1:9" ht="18" customHeight="1">
      <c r="A33"/>
    </row>
    <row r="34" spans="1:9" ht="30" customHeight="1"/>
    <row r="35" spans="1:9" ht="30" customHeight="1">
      <c r="I35" s="171"/>
    </row>
    <row r="36" spans="1:9" ht="30" customHeight="1"/>
    <row r="37" spans="1:9" ht="30" customHeight="1"/>
    <row r="38" spans="1:9" ht="30" customHeight="1"/>
    <row r="39" spans="1:9" ht="30" customHeight="1"/>
    <row r="40" spans="1:9" ht="30" customHeight="1"/>
    <row r="41" spans="1:9" ht="30" customHeight="1"/>
  </sheetData>
  <mergeCells count="1">
    <mergeCell ref="A2:F2"/>
  </mergeCells>
  <phoneticPr fontId="0" type="noConversion"/>
  <pageMargins left="0.65" right="0.54" top="0.85" bottom="0.49" header="0.44" footer="0.4921259845"/>
  <pageSetup paperSize="9" scale="80" orientation="portrait"/>
  <headerFooter alignWithMargins="0"/>
  <rowBreaks count="1" manualBreakCount="1">
    <brk id="32" max="16383" man="1"/>
  </rowBreaks>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8F7B1-CBDB-5D4F-91AA-26D33F370599}">
  <dimension ref="A1:H42"/>
  <sheetViews>
    <sheetView zoomScale="75" workbookViewId="0">
      <selection activeCell="F3" sqref="F3"/>
    </sheetView>
  </sheetViews>
  <sheetFormatPr baseColWidth="10" defaultColWidth="11.3984375" defaultRowHeight="13"/>
  <cols>
    <col min="1" max="5" width="14.796875" style="2" customWidth="1"/>
    <col min="6" max="6" width="15.59765625" style="2" customWidth="1"/>
    <col min="7" max="7" width="6.3984375" style="2" customWidth="1"/>
    <col min="8" max="8" width="12.19921875" style="2" customWidth="1"/>
    <col min="9" max="16384" width="11.3984375" style="2"/>
  </cols>
  <sheetData>
    <row r="1" spans="1:8" s="1" customFormat="1" ht="14" customHeight="1"/>
    <row r="2" spans="1:8" s="1" customFormat="1" ht="28" customHeight="1">
      <c r="A2" s="124" t="s">
        <v>260</v>
      </c>
      <c r="F2" s="124">
        <v>2005</v>
      </c>
    </row>
    <row r="3" spans="1:8" ht="27" customHeight="1">
      <c r="A3" s="125" t="s">
        <v>222</v>
      </c>
      <c r="B3" s="126" t="s">
        <v>223</v>
      </c>
      <c r="C3" s="127" t="s">
        <v>224</v>
      </c>
      <c r="D3" s="126" t="s">
        <v>225</v>
      </c>
      <c r="E3" s="127" t="s">
        <v>43</v>
      </c>
      <c r="F3" s="126" t="s">
        <v>43</v>
      </c>
    </row>
    <row r="4" spans="1:8" ht="15" customHeight="1">
      <c r="A4" s="128"/>
      <c r="B4" s="129"/>
      <c r="C4" s="128"/>
      <c r="D4" s="130"/>
      <c r="E4" s="131" t="s">
        <v>226</v>
      </c>
      <c r="F4" s="129" t="s">
        <v>227</v>
      </c>
    </row>
    <row r="5" spans="1:8" ht="15" customHeight="1">
      <c r="A5" s="128"/>
      <c r="B5" s="129"/>
      <c r="C5" s="128"/>
      <c r="D5" s="130"/>
      <c r="E5" s="131" t="s">
        <v>228</v>
      </c>
      <c r="F5" s="129" t="s">
        <v>229</v>
      </c>
    </row>
    <row r="6" spans="1:8" ht="24" customHeight="1">
      <c r="A6" s="132"/>
      <c r="B6" s="133"/>
      <c r="C6" s="132"/>
      <c r="D6" s="133"/>
      <c r="E6" s="134"/>
      <c r="F6" s="135"/>
      <c r="H6" s="136"/>
    </row>
    <row r="7" spans="1:8" ht="30" customHeight="1" thickBot="1">
      <c r="A7" s="137" t="s">
        <v>230</v>
      </c>
      <c r="B7" s="138">
        <v>241954</v>
      </c>
      <c r="C7" s="139">
        <v>500153</v>
      </c>
      <c r="D7" s="138">
        <v>532447</v>
      </c>
      <c r="E7" s="139">
        <v>1032600</v>
      </c>
      <c r="F7" s="138">
        <v>1274554</v>
      </c>
      <c r="H7" s="140"/>
    </row>
    <row r="8" spans="1:8" ht="20" customHeight="1" thickBot="1">
      <c r="A8" s="141" t="s">
        <v>231</v>
      </c>
      <c r="B8" s="138">
        <v>187180</v>
      </c>
      <c r="C8" s="139">
        <v>369480</v>
      </c>
      <c r="D8" s="138">
        <v>401822</v>
      </c>
      <c r="E8" s="139">
        <v>771303</v>
      </c>
      <c r="F8" s="138">
        <v>958483</v>
      </c>
      <c r="H8" s="140"/>
    </row>
    <row r="9" spans="1:8" ht="20" customHeight="1" thickBot="1">
      <c r="A9" s="141" t="s">
        <v>232</v>
      </c>
      <c r="B9" s="138">
        <v>78543</v>
      </c>
      <c r="C9" s="139">
        <v>136645</v>
      </c>
      <c r="D9" s="138">
        <v>143943</v>
      </c>
      <c r="E9" s="139">
        <v>280589</v>
      </c>
      <c r="F9" s="138">
        <v>359132</v>
      </c>
      <c r="H9" s="140"/>
    </row>
    <row r="10" spans="1:8" ht="20" customHeight="1" thickBot="1">
      <c r="A10" s="141" t="s">
        <v>233</v>
      </c>
      <c r="B10" s="138">
        <v>7614</v>
      </c>
      <c r="C10" s="139">
        <v>13735</v>
      </c>
      <c r="D10" s="138">
        <v>13887</v>
      </c>
      <c r="E10" s="139">
        <v>27621</v>
      </c>
      <c r="F10" s="138">
        <v>35235</v>
      </c>
      <c r="H10" s="140"/>
    </row>
    <row r="11" spans="1:8" ht="20" customHeight="1" thickBot="1">
      <c r="A11" s="141" t="s">
        <v>234</v>
      </c>
      <c r="B11" s="138">
        <v>30238</v>
      </c>
      <c r="C11" s="139">
        <v>54010</v>
      </c>
      <c r="D11" s="138">
        <v>52992</v>
      </c>
      <c r="E11" s="139">
        <v>107002</v>
      </c>
      <c r="F11" s="138">
        <v>137241</v>
      </c>
      <c r="H11" s="140"/>
    </row>
    <row r="12" spans="1:8" ht="20" customHeight="1" thickBot="1">
      <c r="A12" s="141" t="s">
        <v>235</v>
      </c>
      <c r="B12" s="138">
        <v>7718</v>
      </c>
      <c r="C12" s="139">
        <v>13060</v>
      </c>
      <c r="D12" s="138">
        <v>13136</v>
      </c>
      <c r="E12" s="139">
        <v>26196</v>
      </c>
      <c r="F12" s="138">
        <v>33914</v>
      </c>
      <c r="H12" s="140"/>
    </row>
    <row r="13" spans="1:8" ht="20" customHeight="1" thickBot="1">
      <c r="A13" s="141" t="s">
        <v>236</v>
      </c>
      <c r="B13" s="138">
        <v>8127</v>
      </c>
      <c r="C13" s="139">
        <v>15631</v>
      </c>
      <c r="D13" s="138">
        <v>15585</v>
      </c>
      <c r="E13" s="139">
        <v>31217</v>
      </c>
      <c r="F13" s="138">
        <v>39344</v>
      </c>
      <c r="H13" s="140"/>
    </row>
    <row r="14" spans="1:8" ht="20" customHeight="1" thickBot="1">
      <c r="A14" s="141" t="s">
        <v>237</v>
      </c>
      <c r="B14" s="138">
        <v>8184</v>
      </c>
      <c r="C14" s="139">
        <v>14885</v>
      </c>
      <c r="D14" s="138">
        <v>15460</v>
      </c>
      <c r="E14" s="139">
        <v>30346</v>
      </c>
      <c r="F14" s="138">
        <v>38530</v>
      </c>
      <c r="H14" s="140"/>
    </row>
    <row r="15" spans="1:8" ht="20" customHeight="1" thickBot="1">
      <c r="A15" s="141" t="s">
        <v>238</v>
      </c>
      <c r="B15" s="138">
        <v>21287</v>
      </c>
      <c r="C15" s="139">
        <v>42064</v>
      </c>
      <c r="D15" s="138">
        <v>42048</v>
      </c>
      <c r="E15" s="139">
        <v>84113</v>
      </c>
      <c r="F15" s="138">
        <v>105400</v>
      </c>
      <c r="H15" s="140"/>
    </row>
    <row r="16" spans="1:8" ht="20" customHeight="1" thickBot="1">
      <c r="A16" s="141" t="s">
        <v>239</v>
      </c>
      <c r="B16" s="138">
        <v>59653</v>
      </c>
      <c r="C16" s="139">
        <v>95421</v>
      </c>
      <c r="D16" s="138">
        <v>98860</v>
      </c>
      <c r="E16" s="139">
        <v>194282</v>
      </c>
      <c r="F16" s="138">
        <v>253935</v>
      </c>
      <c r="H16" s="140"/>
    </row>
    <row r="17" spans="1:8" ht="20" customHeight="1" thickBot="1">
      <c r="A17" s="141" t="s">
        <v>240</v>
      </c>
      <c r="B17" s="138">
        <v>51001</v>
      </c>
      <c r="C17" s="139">
        <v>96725</v>
      </c>
      <c r="D17" s="138">
        <v>101944</v>
      </c>
      <c r="E17" s="139">
        <v>198666</v>
      </c>
      <c r="F17" s="138">
        <v>249668</v>
      </c>
      <c r="H17" s="140"/>
    </row>
    <row r="18" spans="1:8" ht="20" customHeight="1" thickBot="1">
      <c r="A18" s="141" t="s">
        <v>241</v>
      </c>
      <c r="B18" s="138">
        <v>29003</v>
      </c>
      <c r="C18" s="139">
        <v>71965</v>
      </c>
      <c r="D18" s="138">
        <v>81336</v>
      </c>
      <c r="E18" s="139">
        <v>153302</v>
      </c>
      <c r="F18" s="138">
        <v>182306</v>
      </c>
      <c r="H18" s="140"/>
    </row>
    <row r="19" spans="1:8" ht="20" customHeight="1" thickBot="1">
      <c r="A19" s="141" t="s">
        <v>242</v>
      </c>
      <c r="B19" s="138">
        <v>51025</v>
      </c>
      <c r="C19" s="139">
        <v>104199</v>
      </c>
      <c r="D19" s="138">
        <v>110882</v>
      </c>
      <c r="E19" s="139">
        <v>215083</v>
      </c>
      <c r="F19" s="138">
        <v>266108</v>
      </c>
      <c r="H19" s="140"/>
    </row>
    <row r="20" spans="1:8" ht="20" customHeight="1" thickBot="1">
      <c r="A20" s="141" t="s">
        <v>243</v>
      </c>
      <c r="B20" s="138">
        <v>14700</v>
      </c>
      <c r="C20" s="139">
        <v>29122</v>
      </c>
      <c r="D20" s="138">
        <v>31263</v>
      </c>
      <c r="E20" s="139">
        <v>60381</v>
      </c>
      <c r="F20" s="138">
        <v>75081</v>
      </c>
      <c r="H20" s="140"/>
    </row>
    <row r="21" spans="1:8" ht="20" customHeight="1" thickBot="1">
      <c r="A21" s="141" t="s">
        <v>244</v>
      </c>
      <c r="B21" s="138">
        <v>11787</v>
      </c>
      <c r="C21" s="139">
        <v>20365</v>
      </c>
      <c r="D21" s="138">
        <v>21269</v>
      </c>
      <c r="E21" s="139">
        <v>41634</v>
      </c>
      <c r="F21" s="138">
        <v>53421</v>
      </c>
      <c r="H21" s="140"/>
    </row>
    <row r="22" spans="1:8" ht="20" customHeight="1" thickBot="1">
      <c r="A22" s="141" t="s">
        <v>245</v>
      </c>
      <c r="B22" s="138">
        <v>3770</v>
      </c>
      <c r="C22" s="139">
        <v>5797</v>
      </c>
      <c r="D22" s="138">
        <v>5578</v>
      </c>
      <c r="E22" s="139">
        <v>11374</v>
      </c>
      <c r="F22" s="138">
        <v>15144</v>
      </c>
      <c r="H22" s="140"/>
    </row>
    <row r="23" spans="1:8" ht="20" customHeight="1" thickBot="1">
      <c r="A23" s="141" t="s">
        <v>246</v>
      </c>
      <c r="B23" s="138">
        <v>103179</v>
      </c>
      <c r="C23" s="139">
        <v>175638</v>
      </c>
      <c r="D23" s="138">
        <v>184344</v>
      </c>
      <c r="E23" s="139">
        <v>359983</v>
      </c>
      <c r="F23" s="138">
        <v>463163</v>
      </c>
      <c r="H23" s="140"/>
    </row>
    <row r="24" spans="1:8" ht="20" customHeight="1" thickBot="1">
      <c r="A24" s="141" t="s">
        <v>247</v>
      </c>
      <c r="B24" s="138">
        <v>37775</v>
      </c>
      <c r="C24" s="139">
        <v>76899</v>
      </c>
      <c r="D24" s="138">
        <v>78761</v>
      </c>
      <c r="E24" s="139">
        <v>155661</v>
      </c>
      <c r="F24" s="138">
        <v>193436</v>
      </c>
      <c r="H24" s="140"/>
    </row>
    <row r="25" spans="1:8" ht="20" customHeight="1" thickBot="1">
      <c r="A25" s="141" t="s">
        <v>248</v>
      </c>
      <c r="B25" s="138">
        <v>121177</v>
      </c>
      <c r="C25" s="139">
        <v>223126</v>
      </c>
      <c r="D25" s="138">
        <v>229762</v>
      </c>
      <c r="E25" s="139">
        <v>452886</v>
      </c>
      <c r="F25" s="138">
        <v>574063</v>
      </c>
      <c r="H25" s="140"/>
    </row>
    <row r="26" spans="1:8" ht="20" customHeight="1" thickBot="1">
      <c r="A26" s="141" t="s">
        <v>249</v>
      </c>
      <c r="B26" s="138">
        <v>53504</v>
      </c>
      <c r="C26" s="139">
        <v>89589</v>
      </c>
      <c r="D26" s="138">
        <v>92350</v>
      </c>
      <c r="E26" s="139">
        <v>181941</v>
      </c>
      <c r="F26" s="138">
        <v>235444</v>
      </c>
      <c r="H26" s="140"/>
    </row>
    <row r="27" spans="1:8" ht="20" customHeight="1" thickBot="1">
      <c r="A27" s="141" t="s">
        <v>250</v>
      </c>
      <c r="B27" s="138">
        <v>57617</v>
      </c>
      <c r="C27" s="139">
        <v>122876</v>
      </c>
      <c r="D27" s="138">
        <v>137228</v>
      </c>
      <c r="E27" s="139">
        <v>260101</v>
      </c>
      <c r="F27" s="138">
        <v>317718</v>
      </c>
      <c r="H27" s="140"/>
    </row>
    <row r="28" spans="1:8" ht="20" customHeight="1" thickBot="1">
      <c r="A28" s="141" t="s">
        <v>251</v>
      </c>
      <c r="B28" s="138">
        <v>141868</v>
      </c>
      <c r="C28" s="139">
        <v>241125</v>
      </c>
      <c r="D28" s="138">
        <v>264256</v>
      </c>
      <c r="E28" s="139">
        <v>505381</v>
      </c>
      <c r="F28" s="138">
        <v>647249</v>
      </c>
      <c r="H28" s="140"/>
    </row>
    <row r="29" spans="1:8" ht="20" customHeight="1" thickBot="1">
      <c r="A29" s="141" t="s">
        <v>252</v>
      </c>
      <c r="B29" s="138">
        <v>62031</v>
      </c>
      <c r="C29" s="139">
        <v>114424</v>
      </c>
      <c r="D29" s="138">
        <v>119804</v>
      </c>
      <c r="E29" s="139">
        <v>234229</v>
      </c>
      <c r="F29" s="138">
        <v>296261</v>
      </c>
      <c r="H29" s="140"/>
    </row>
    <row r="30" spans="1:8" ht="20" customHeight="1" thickBot="1">
      <c r="A30" s="141" t="s">
        <v>253</v>
      </c>
      <c r="B30" s="138">
        <v>36131</v>
      </c>
      <c r="C30" s="139">
        <v>63268</v>
      </c>
      <c r="D30" s="138">
        <v>69496</v>
      </c>
      <c r="E30" s="139">
        <v>132764</v>
      </c>
      <c r="F30" s="138">
        <v>168895</v>
      </c>
      <c r="H30" s="140"/>
    </row>
    <row r="31" spans="1:8" ht="20" customHeight="1" thickBot="1">
      <c r="A31" s="141" t="s">
        <v>254</v>
      </c>
      <c r="B31" s="138">
        <v>86081</v>
      </c>
      <c r="C31" s="139">
        <v>148822</v>
      </c>
      <c r="D31" s="138">
        <v>166560</v>
      </c>
      <c r="E31" s="139">
        <v>315382</v>
      </c>
      <c r="F31" s="138">
        <v>401463</v>
      </c>
      <c r="H31" s="140"/>
    </row>
    <row r="32" spans="1:8" ht="20" customHeight="1" thickBot="1">
      <c r="A32" s="142" t="s">
        <v>255</v>
      </c>
      <c r="B32" s="138">
        <v>15694</v>
      </c>
      <c r="C32" s="139">
        <v>26081</v>
      </c>
      <c r="D32" s="138">
        <v>27772</v>
      </c>
      <c r="E32" s="139">
        <v>53857</v>
      </c>
      <c r="F32" s="138">
        <v>69551</v>
      </c>
      <c r="H32" s="140"/>
    </row>
    <row r="33" spans="1:8" ht="30" customHeight="1" thickBot="1">
      <c r="A33" s="143" t="s">
        <v>256</v>
      </c>
      <c r="B33" s="144">
        <v>1526841</v>
      </c>
      <c r="C33" s="145">
        <v>2865105</v>
      </c>
      <c r="D33" s="144">
        <v>3052785</v>
      </c>
      <c r="E33" s="145">
        <v>5917894</v>
      </c>
      <c r="F33" s="144">
        <v>7444739</v>
      </c>
      <c r="H33" s="140"/>
    </row>
    <row r="34" spans="1:8" ht="20" customHeight="1">
      <c r="A34" s="146" t="s">
        <v>1784</v>
      </c>
      <c r="B34" s="146"/>
      <c r="C34" s="146"/>
      <c r="D34" s="146"/>
      <c r="E34" s="146"/>
      <c r="F34" s="146"/>
      <c r="H34" s="136"/>
    </row>
    <row r="35" spans="1:8" ht="11.25" customHeight="1">
      <c r="A35" s="4"/>
      <c r="B35" s="4"/>
      <c r="C35" s="4"/>
      <c r="D35" s="4"/>
      <c r="E35" s="4"/>
      <c r="F35" s="4"/>
      <c r="H35" s="136"/>
    </row>
    <row r="36" spans="1:8" ht="14.25" customHeight="1">
      <c r="A36" s="4" t="s">
        <v>257</v>
      </c>
      <c r="B36" s="4"/>
      <c r="C36" s="4"/>
      <c r="D36" s="4"/>
      <c r="E36" s="4"/>
      <c r="F36" s="4"/>
      <c r="H36" s="136"/>
    </row>
    <row r="37" spans="1:8" ht="13.5" customHeight="1">
      <c r="A37" s="4"/>
      <c r="B37" s="4"/>
      <c r="C37" s="4"/>
      <c r="D37" s="4"/>
      <c r="E37" s="4"/>
      <c r="F37" s="4"/>
      <c r="H37" s="136"/>
    </row>
    <row r="38" spans="1:8" ht="12" customHeight="1">
      <c r="A38" s="4" t="s">
        <v>258</v>
      </c>
    </row>
    <row r="39" spans="1:8" ht="12" customHeight="1">
      <c r="A39" s="147" t="s">
        <v>259</v>
      </c>
    </row>
    <row r="40" spans="1:8" ht="12" customHeight="1"/>
    <row r="41" spans="1:8" ht="12" customHeight="1"/>
    <row r="42" spans="1:8" ht="12" customHeight="1">
      <c r="A42" s="4" t="s">
        <v>128</v>
      </c>
    </row>
  </sheetData>
  <phoneticPr fontId="0" type="noConversion"/>
  <pageMargins left="0.65" right="0.61" top="0.87" bottom="0.49" header="0.51" footer="0.4921259845"/>
  <pageSetup paperSize="9" scale="80" orientation="portrait"/>
  <headerFooter alignWithMargins="0"/>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59BA3-662F-1D4C-A5C4-D1AAE9CBA656}">
  <sheetPr>
    <pageSetUpPr fitToPage="1"/>
  </sheetPr>
  <dimension ref="A1:G19"/>
  <sheetViews>
    <sheetView zoomScale="75" workbookViewId="0">
      <selection activeCell="A2" sqref="A2"/>
    </sheetView>
  </sheetViews>
  <sheetFormatPr baseColWidth="10" defaultColWidth="11.3984375" defaultRowHeight="13"/>
  <cols>
    <col min="1" max="1" width="21.3984375" style="2" customWidth="1"/>
    <col min="2" max="2" width="17.3984375" style="2" customWidth="1"/>
    <col min="3" max="3" width="16.3984375" style="2" customWidth="1"/>
    <col min="4" max="4" width="17.796875" style="2" customWidth="1"/>
    <col min="5" max="5" width="18.796875" style="210" customWidth="1"/>
    <col min="6" max="6" width="20.3984375" style="210" customWidth="1"/>
    <col min="7" max="7" width="12" style="2" customWidth="1"/>
    <col min="8" max="16384" width="11.3984375" style="2"/>
  </cols>
  <sheetData>
    <row r="1" spans="1:7" ht="19.5" customHeight="1">
      <c r="A1" s="19" t="s">
        <v>359</v>
      </c>
      <c r="B1" s="117"/>
      <c r="C1" s="117"/>
      <c r="D1" s="117"/>
      <c r="E1" s="117"/>
      <c r="F1" s="192">
        <v>2005</v>
      </c>
    </row>
    <row r="2" spans="1:7" ht="24" customHeight="1">
      <c r="A2" s="265"/>
      <c r="B2" s="152"/>
      <c r="C2" s="152"/>
      <c r="D2" s="152"/>
      <c r="E2" s="152"/>
      <c r="F2" s="266"/>
    </row>
    <row r="3" spans="1:7" ht="24" customHeight="1">
      <c r="A3" s="267" t="s">
        <v>344</v>
      </c>
      <c r="B3" s="268" t="s">
        <v>1803</v>
      </c>
      <c r="C3" s="269" t="s">
        <v>1804</v>
      </c>
      <c r="D3" s="268" t="s">
        <v>43</v>
      </c>
      <c r="E3" s="270" t="s">
        <v>345</v>
      </c>
      <c r="F3" s="193" t="s">
        <v>360</v>
      </c>
    </row>
    <row r="4" spans="1:7" ht="15" customHeight="1">
      <c r="A4" s="212"/>
      <c r="B4" s="129"/>
      <c r="C4" s="131"/>
      <c r="D4" s="155"/>
      <c r="E4" s="272" t="s">
        <v>346</v>
      </c>
      <c r="F4" s="194" t="s">
        <v>361</v>
      </c>
    </row>
    <row r="5" spans="1:7" ht="15" customHeight="1">
      <c r="A5" s="128"/>
      <c r="B5" s="129"/>
      <c r="C5" s="131"/>
      <c r="D5" s="129"/>
      <c r="E5" s="272"/>
      <c r="F5" s="194" t="s">
        <v>362</v>
      </c>
    </row>
    <row r="6" spans="1:7" ht="24" customHeight="1">
      <c r="A6" s="244"/>
      <c r="B6" s="245"/>
      <c r="C6" s="246"/>
      <c r="D6" s="245"/>
      <c r="E6" s="273"/>
      <c r="F6" s="195"/>
    </row>
    <row r="7" spans="1:7" ht="45" customHeight="1" thickBot="1">
      <c r="A7" s="274" t="s">
        <v>223</v>
      </c>
      <c r="B7" s="275">
        <v>92776</v>
      </c>
      <c r="C7" s="276">
        <v>86095</v>
      </c>
      <c r="D7" s="275">
        <v>178870</v>
      </c>
      <c r="E7" s="277">
        <v>0.25445947810698194</v>
      </c>
      <c r="F7" s="296">
        <v>0.11726904154996801</v>
      </c>
    </row>
    <row r="8" spans="1:7" ht="34.5" customHeight="1" thickBot="1">
      <c r="A8" s="274" t="s">
        <v>347</v>
      </c>
      <c r="B8" s="275">
        <v>47497</v>
      </c>
      <c r="C8" s="276">
        <v>45035</v>
      </c>
      <c r="D8" s="275">
        <v>92532</v>
      </c>
      <c r="E8" s="277">
        <v>0.13163551421812072</v>
      </c>
      <c r="F8" s="296">
        <v>0.14899931242482162</v>
      </c>
    </row>
    <row r="9" spans="1:7" ht="32.25" customHeight="1" thickBot="1">
      <c r="A9" s="274" t="s">
        <v>229</v>
      </c>
      <c r="B9" s="275">
        <v>224581</v>
      </c>
      <c r="C9" s="276">
        <v>206957</v>
      </c>
      <c r="D9" s="275">
        <v>431539</v>
      </c>
      <c r="E9" s="277">
        <v>0.61390500767489731</v>
      </c>
      <c r="F9" s="296">
        <v>8.1583418454108422E-2</v>
      </c>
    </row>
    <row r="10" spans="1:7" s="280" customFormat="1" ht="36" customHeight="1" thickBot="1">
      <c r="A10" s="278" t="s">
        <v>43</v>
      </c>
      <c r="B10" s="258">
        <v>364854</v>
      </c>
      <c r="C10" s="259">
        <v>338087</v>
      </c>
      <c r="D10" s="258">
        <v>702941</v>
      </c>
      <c r="E10" s="279">
        <v>1</v>
      </c>
      <c r="F10" s="297">
        <v>9.4533882617256398E-2</v>
      </c>
    </row>
    <row r="11" spans="1:7" ht="16.5" customHeight="1">
      <c r="B11" s="146"/>
      <c r="C11" s="146"/>
      <c r="D11" s="146"/>
      <c r="E11" s="281"/>
      <c r="F11" s="282"/>
    </row>
    <row r="12" spans="1:7" s="299" customFormat="1" ht="24" customHeight="1" thickBot="1">
      <c r="A12" s="283" t="s">
        <v>363</v>
      </c>
      <c r="B12" s="284">
        <v>35826</v>
      </c>
      <c r="C12" s="285">
        <v>33903</v>
      </c>
      <c r="D12" s="284">
        <v>69729</v>
      </c>
      <c r="E12" s="286">
        <v>9.919609184839126E-2</v>
      </c>
      <c r="F12" s="298">
        <v>9.3773917028864041E-3</v>
      </c>
    </row>
    <row r="13" spans="1:7" ht="9.75" customHeight="1">
      <c r="D13"/>
      <c r="E13"/>
      <c r="F13"/>
      <c r="G13"/>
    </row>
    <row r="14" spans="1:7">
      <c r="A14" s="4" t="s">
        <v>693</v>
      </c>
      <c r="D14"/>
      <c r="E14"/>
      <c r="F14"/>
      <c r="G14"/>
    </row>
    <row r="15" spans="1:7">
      <c r="D15"/>
      <c r="E15"/>
      <c r="F15"/>
      <c r="G15"/>
    </row>
    <row r="16" spans="1:7">
      <c r="A16" s="2" t="s">
        <v>364</v>
      </c>
      <c r="D16"/>
      <c r="E16"/>
      <c r="F16"/>
      <c r="G16"/>
    </row>
    <row r="19" spans="1:1">
      <c r="A19" s="211" t="s">
        <v>128</v>
      </c>
    </row>
  </sheetData>
  <phoneticPr fontId="0" type="noConversion"/>
  <pageMargins left="0.53" right="0.68" top="0.96" bottom="0.49" header="0.56000000000000005" footer="0.4921259845"/>
  <pageSetup paperSize="9" scale="73" orientation="portrait" horizontalDpi="1200" verticalDpi="1200"/>
  <headerFooter alignWithMargins="0"/>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9D96E-9D4F-3548-B069-7251E3AE3489}">
  <sheetPr>
    <pageSetUpPr fitToPage="1"/>
  </sheetPr>
  <dimension ref="A1:D17"/>
  <sheetViews>
    <sheetView zoomScale="75" workbookViewId="0">
      <selection activeCell="B2" sqref="B2"/>
    </sheetView>
  </sheetViews>
  <sheetFormatPr baseColWidth="10" defaultColWidth="11.3984375" defaultRowHeight="13"/>
  <cols>
    <col min="1" max="1" width="41.796875" style="2" customWidth="1"/>
    <col min="2" max="2" width="35.59765625" style="2" customWidth="1"/>
    <col min="3" max="3" width="36.796875" style="2" customWidth="1"/>
    <col min="4" max="4" width="12.796875" style="2" customWidth="1"/>
    <col min="5" max="16384" width="11.3984375" style="2"/>
  </cols>
  <sheetData>
    <row r="1" spans="1:4" ht="19.5" customHeight="1">
      <c r="A1" s="19" t="s">
        <v>100</v>
      </c>
      <c r="B1" s="117"/>
      <c r="C1" s="192">
        <v>2005</v>
      </c>
    </row>
    <row r="2" spans="1:4" ht="21" customHeight="1">
      <c r="A2" s="265"/>
      <c r="B2" s="152"/>
      <c r="C2" s="152"/>
    </row>
    <row r="3" spans="1:4" ht="44.25" customHeight="1">
      <c r="A3" s="807"/>
      <c r="B3" s="808" t="s">
        <v>1977</v>
      </c>
      <c r="C3" s="809" t="s">
        <v>1978</v>
      </c>
    </row>
    <row r="4" spans="1:4" ht="17.25" customHeight="1">
      <c r="A4" s="244"/>
      <c r="B4" s="245"/>
      <c r="C4" s="246"/>
    </row>
    <row r="5" spans="1:4" ht="45" customHeight="1" thickBot="1">
      <c r="A5" s="274" t="s">
        <v>1979</v>
      </c>
      <c r="B5" s="275">
        <v>333989</v>
      </c>
      <c r="C5" s="276">
        <v>472766470.50999999</v>
      </c>
    </row>
    <row r="6" spans="1:4" ht="48" customHeight="1" thickBot="1">
      <c r="A6" s="810" t="s">
        <v>1980</v>
      </c>
      <c r="B6" s="811">
        <v>22830</v>
      </c>
      <c r="C6" s="812">
        <v>38958337.589999996</v>
      </c>
    </row>
    <row r="7" spans="1:4" ht="20.25" customHeight="1">
      <c r="A7" s="4" t="s">
        <v>693</v>
      </c>
      <c r="D7"/>
    </row>
    <row r="8" spans="1:4">
      <c r="D8"/>
    </row>
    <row r="9" spans="1:4">
      <c r="A9" s="2" t="s">
        <v>1981</v>
      </c>
      <c r="D9"/>
    </row>
    <row r="11" spans="1:4">
      <c r="A11" s="147" t="s">
        <v>99</v>
      </c>
    </row>
    <row r="12" spans="1:4" s="813" customFormat="1">
      <c r="A12" s="147" t="s">
        <v>374</v>
      </c>
    </row>
    <row r="15" spans="1:4">
      <c r="A15" s="211" t="s">
        <v>128</v>
      </c>
    </row>
    <row r="16" spans="1:4">
      <c r="A16" s="5"/>
    </row>
    <row r="17" spans="1:1">
      <c r="A17" s="4"/>
    </row>
  </sheetData>
  <phoneticPr fontId="0" type="noConversion"/>
  <pageMargins left="0.61" right="0.72" top="0.96" bottom="0.49" header="0.56000000000000005" footer="0.4921259845"/>
  <pageSetup paperSize="9" scale="71" orientation="portrait" horizontalDpi="1200" verticalDpi="120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143</vt:i4>
      </vt:variant>
      <vt:variant>
        <vt:lpstr>Benannte Bereiche</vt:lpstr>
      </vt:variant>
      <vt:variant>
        <vt:i4>133</vt:i4>
      </vt:variant>
    </vt:vector>
  </HeadingPairs>
  <TitlesOfParts>
    <vt:vector size="276" baseType="lpstr">
      <vt:lpstr>Info</vt:lpstr>
      <vt:lpstr>B d</vt:lpstr>
      <vt:lpstr>B1 d</vt:lpstr>
      <vt:lpstr>T1d</vt:lpstr>
      <vt:lpstr>101d</vt:lpstr>
      <vt:lpstr>102d</vt:lpstr>
      <vt:lpstr>103d</vt:lpstr>
      <vt:lpstr>104d</vt:lpstr>
      <vt:lpstr>105d</vt:lpstr>
      <vt:lpstr>106d</vt:lpstr>
      <vt:lpstr>107d</vt:lpstr>
      <vt:lpstr>108d</vt:lpstr>
      <vt:lpstr>109d</vt:lpstr>
      <vt:lpstr>110d</vt:lpstr>
      <vt:lpstr>111d</vt:lpstr>
      <vt:lpstr>112d</vt:lpstr>
      <vt:lpstr>113d</vt:lpstr>
      <vt:lpstr>T2d</vt:lpstr>
      <vt:lpstr>201d</vt:lpstr>
      <vt:lpstr>202d</vt:lpstr>
      <vt:lpstr>203d</vt:lpstr>
      <vt:lpstr>204d</vt:lpstr>
      <vt:lpstr>205d</vt:lpstr>
      <vt:lpstr>206d</vt:lpstr>
      <vt:lpstr>207d</vt:lpstr>
      <vt:lpstr>208d</vt:lpstr>
      <vt:lpstr>209d</vt:lpstr>
      <vt:lpstr>210d</vt:lpstr>
      <vt:lpstr>211d</vt:lpstr>
      <vt:lpstr>212d</vt:lpstr>
      <vt:lpstr>213d</vt:lpstr>
      <vt:lpstr>214d</vt:lpstr>
      <vt:lpstr>215d</vt:lpstr>
      <vt:lpstr>216d</vt:lpstr>
      <vt:lpstr>217d</vt:lpstr>
      <vt:lpstr>218d</vt:lpstr>
      <vt:lpstr>219d</vt:lpstr>
      <vt:lpstr>220d</vt:lpstr>
      <vt:lpstr>221d</vt:lpstr>
      <vt:lpstr>222d</vt:lpstr>
      <vt:lpstr>223d</vt:lpstr>
      <vt:lpstr>T3d</vt:lpstr>
      <vt:lpstr>301d</vt:lpstr>
      <vt:lpstr>302d</vt:lpstr>
      <vt:lpstr>303d</vt:lpstr>
      <vt:lpstr>304d</vt:lpstr>
      <vt:lpstr>305d</vt:lpstr>
      <vt:lpstr>306d</vt:lpstr>
      <vt:lpstr>307d</vt:lpstr>
      <vt:lpstr>308d</vt:lpstr>
      <vt:lpstr>309d</vt:lpstr>
      <vt:lpstr>310d</vt:lpstr>
      <vt:lpstr>311d</vt:lpstr>
      <vt:lpstr>312d</vt:lpstr>
      <vt:lpstr>T4d</vt:lpstr>
      <vt:lpstr>401d</vt:lpstr>
      <vt:lpstr>402d</vt:lpstr>
      <vt:lpstr>403d</vt:lpstr>
      <vt:lpstr>404d</vt:lpstr>
      <vt:lpstr>405d</vt:lpstr>
      <vt:lpstr>406d</vt:lpstr>
      <vt:lpstr>407d</vt:lpstr>
      <vt:lpstr>408d</vt:lpstr>
      <vt:lpstr>409d</vt:lpstr>
      <vt:lpstr>410d</vt:lpstr>
      <vt:lpstr>411d</vt:lpstr>
      <vt:lpstr>T5d</vt:lpstr>
      <vt:lpstr>501d</vt:lpstr>
      <vt:lpstr>502d</vt:lpstr>
      <vt:lpstr>503d</vt:lpstr>
      <vt:lpstr>504d</vt:lpstr>
      <vt:lpstr>T6d</vt:lpstr>
      <vt:lpstr>601d</vt:lpstr>
      <vt:lpstr>602d</vt:lpstr>
      <vt:lpstr>603d</vt:lpstr>
      <vt:lpstr>604d</vt:lpstr>
      <vt:lpstr>605d</vt:lpstr>
      <vt:lpstr>606d</vt:lpstr>
      <vt:lpstr>T7d</vt:lpstr>
      <vt:lpstr>701d</vt:lpstr>
      <vt:lpstr>702d</vt:lpstr>
      <vt:lpstr>703d</vt:lpstr>
      <vt:lpstr>704d</vt:lpstr>
      <vt:lpstr>705d</vt:lpstr>
      <vt:lpstr>T8d</vt:lpstr>
      <vt:lpstr>801d</vt:lpstr>
      <vt:lpstr>802d</vt:lpstr>
      <vt:lpstr>803d</vt:lpstr>
      <vt:lpstr>804d</vt:lpstr>
      <vt:lpstr>805d</vt:lpstr>
      <vt:lpstr>806d</vt:lpstr>
      <vt:lpstr>807d</vt:lpstr>
      <vt:lpstr>808d</vt:lpstr>
      <vt:lpstr>809d</vt:lpstr>
      <vt:lpstr>810d</vt:lpstr>
      <vt:lpstr>811d</vt:lpstr>
      <vt:lpstr>812d</vt:lpstr>
      <vt:lpstr>T9d</vt:lpstr>
      <vt:lpstr>901d</vt:lpstr>
      <vt:lpstr>902d</vt:lpstr>
      <vt:lpstr>903d</vt:lpstr>
      <vt:lpstr>904d</vt:lpstr>
      <vt:lpstr>905d</vt:lpstr>
      <vt:lpstr>906d</vt:lpstr>
      <vt:lpstr>907d</vt:lpstr>
      <vt:lpstr>908d</vt:lpstr>
      <vt:lpstr>909d</vt:lpstr>
      <vt:lpstr>910d</vt:lpstr>
      <vt:lpstr>911d</vt:lpstr>
      <vt:lpstr>912d</vt:lpstr>
      <vt:lpstr>913d</vt:lpstr>
      <vt:lpstr>914d</vt:lpstr>
      <vt:lpstr>915d</vt:lpstr>
      <vt:lpstr>916d</vt:lpstr>
      <vt:lpstr>917d</vt:lpstr>
      <vt:lpstr>918d</vt:lpstr>
      <vt:lpstr>919d</vt:lpstr>
      <vt:lpstr>920d</vt:lpstr>
      <vt:lpstr>921d</vt:lpstr>
      <vt:lpstr>922d</vt:lpstr>
      <vt:lpstr>T10d</vt:lpstr>
      <vt:lpstr>1001d</vt:lpstr>
      <vt:lpstr>1002d</vt:lpstr>
      <vt:lpstr>1003d</vt:lpstr>
      <vt:lpstr>T11d</vt:lpstr>
      <vt:lpstr>1101d</vt:lpstr>
      <vt:lpstr>1102d</vt:lpstr>
      <vt:lpstr>1103d</vt:lpstr>
      <vt:lpstr>1104d</vt:lpstr>
      <vt:lpstr>1105d</vt:lpstr>
      <vt:lpstr>1106d</vt:lpstr>
      <vt:lpstr>1107d</vt:lpstr>
      <vt:lpstr>1108d</vt:lpstr>
      <vt:lpstr>1109d</vt:lpstr>
      <vt:lpstr>1110d</vt:lpstr>
      <vt:lpstr>1111d</vt:lpstr>
      <vt:lpstr>1112d</vt:lpstr>
      <vt:lpstr>1113d</vt:lpstr>
      <vt:lpstr>1114d</vt:lpstr>
      <vt:lpstr>1115d</vt:lpstr>
      <vt:lpstr>1116d</vt:lpstr>
      <vt:lpstr>1117d</vt:lpstr>
      <vt:lpstr>1118d</vt:lpstr>
      <vt:lpstr>'1001d'!Druckbereich</vt:lpstr>
      <vt:lpstr>'1002d'!Druckbereich</vt:lpstr>
      <vt:lpstr>'1003d'!Druckbereich</vt:lpstr>
      <vt:lpstr>'101d'!Druckbereich</vt:lpstr>
      <vt:lpstr>'102d'!Druckbereich</vt:lpstr>
      <vt:lpstr>'103d'!Druckbereich</vt:lpstr>
      <vt:lpstr>'104d'!Druckbereich</vt:lpstr>
      <vt:lpstr>'105d'!Druckbereich</vt:lpstr>
      <vt:lpstr>'106d'!Druckbereich</vt:lpstr>
      <vt:lpstr>'107d'!Druckbereich</vt:lpstr>
      <vt:lpstr>'108d'!Druckbereich</vt:lpstr>
      <vt:lpstr>'109d'!Druckbereich</vt:lpstr>
      <vt:lpstr>'1101d'!Druckbereich</vt:lpstr>
      <vt:lpstr>'1102d'!Druckbereich</vt:lpstr>
      <vt:lpstr>'1103d'!Druckbereich</vt:lpstr>
      <vt:lpstr>'1104d'!Druckbereich</vt:lpstr>
      <vt:lpstr>'1105d'!Druckbereich</vt:lpstr>
      <vt:lpstr>'1106d'!Druckbereich</vt:lpstr>
      <vt:lpstr>'1107d'!Druckbereich</vt:lpstr>
      <vt:lpstr>'1108d'!Druckbereich</vt:lpstr>
      <vt:lpstr>'1109d'!Druckbereich</vt:lpstr>
      <vt:lpstr>'110d'!Druckbereich</vt:lpstr>
      <vt:lpstr>'1110d'!Druckbereich</vt:lpstr>
      <vt:lpstr>'1111d'!Druckbereich</vt:lpstr>
      <vt:lpstr>'1112d'!Druckbereich</vt:lpstr>
      <vt:lpstr>'1113d'!Druckbereich</vt:lpstr>
      <vt:lpstr>'1114d'!Druckbereich</vt:lpstr>
      <vt:lpstr>'1115d'!Druckbereich</vt:lpstr>
      <vt:lpstr>'1116d'!Druckbereich</vt:lpstr>
      <vt:lpstr>'1117d'!Druckbereich</vt:lpstr>
      <vt:lpstr>'1118d'!Druckbereich</vt:lpstr>
      <vt:lpstr>'111d'!Druckbereich</vt:lpstr>
      <vt:lpstr>'112d'!Druckbereich</vt:lpstr>
      <vt:lpstr>'113d'!Druckbereich</vt:lpstr>
      <vt:lpstr>'201d'!Druckbereich</vt:lpstr>
      <vt:lpstr>'202d'!Druckbereich</vt:lpstr>
      <vt:lpstr>'203d'!Druckbereich</vt:lpstr>
      <vt:lpstr>'204d'!Druckbereich</vt:lpstr>
      <vt:lpstr>'205d'!Druckbereich</vt:lpstr>
      <vt:lpstr>'206d'!Druckbereich</vt:lpstr>
      <vt:lpstr>'207d'!Druckbereich</vt:lpstr>
      <vt:lpstr>'208d'!Druckbereich</vt:lpstr>
      <vt:lpstr>'209d'!Druckbereich</vt:lpstr>
      <vt:lpstr>'210d'!Druckbereich</vt:lpstr>
      <vt:lpstr>'211d'!Druckbereich</vt:lpstr>
      <vt:lpstr>'212d'!Druckbereich</vt:lpstr>
      <vt:lpstr>'213d'!Druckbereich</vt:lpstr>
      <vt:lpstr>'214d'!Druckbereich</vt:lpstr>
      <vt:lpstr>'215d'!Druckbereich</vt:lpstr>
      <vt:lpstr>'216d'!Druckbereich</vt:lpstr>
      <vt:lpstr>'217d'!Druckbereich</vt:lpstr>
      <vt:lpstr>'218d'!Druckbereich</vt:lpstr>
      <vt:lpstr>'219d'!Druckbereich</vt:lpstr>
      <vt:lpstr>'220d'!Druckbereich</vt:lpstr>
      <vt:lpstr>'221d'!Druckbereich</vt:lpstr>
      <vt:lpstr>'222d'!Druckbereich</vt:lpstr>
      <vt:lpstr>'223d'!Druckbereich</vt:lpstr>
      <vt:lpstr>'301d'!Druckbereich</vt:lpstr>
      <vt:lpstr>'302d'!Druckbereich</vt:lpstr>
      <vt:lpstr>'303d'!Druckbereich</vt:lpstr>
      <vt:lpstr>'304d'!Druckbereich</vt:lpstr>
      <vt:lpstr>'305d'!Druckbereich</vt:lpstr>
      <vt:lpstr>'306d'!Druckbereich</vt:lpstr>
      <vt:lpstr>'307d'!Druckbereich</vt:lpstr>
      <vt:lpstr>'308d'!Druckbereich</vt:lpstr>
      <vt:lpstr>'309d'!Druckbereich</vt:lpstr>
      <vt:lpstr>'310d'!Druckbereich</vt:lpstr>
      <vt:lpstr>'311d'!Druckbereich</vt:lpstr>
      <vt:lpstr>'312d'!Druckbereich</vt:lpstr>
      <vt:lpstr>'402d'!Druckbereich</vt:lpstr>
      <vt:lpstr>'403d'!Druckbereich</vt:lpstr>
      <vt:lpstr>'404d'!Druckbereich</vt:lpstr>
      <vt:lpstr>'405d'!Druckbereich</vt:lpstr>
      <vt:lpstr>'406d'!Druckbereich</vt:lpstr>
      <vt:lpstr>'407d'!Druckbereich</vt:lpstr>
      <vt:lpstr>'408d'!Druckbereich</vt:lpstr>
      <vt:lpstr>'409d'!Druckbereich</vt:lpstr>
      <vt:lpstr>'410d'!Druckbereich</vt:lpstr>
      <vt:lpstr>'411d'!Druckbereich</vt:lpstr>
      <vt:lpstr>'501d'!Druckbereich</vt:lpstr>
      <vt:lpstr>'502d'!Druckbereich</vt:lpstr>
      <vt:lpstr>'503d'!Druckbereich</vt:lpstr>
      <vt:lpstr>'504d'!Druckbereich</vt:lpstr>
      <vt:lpstr>'601d'!Druckbereich</vt:lpstr>
      <vt:lpstr>'602d'!Druckbereich</vt:lpstr>
      <vt:lpstr>'603d'!Druckbereich</vt:lpstr>
      <vt:lpstr>'604d'!Druckbereich</vt:lpstr>
      <vt:lpstr>'605d'!Druckbereich</vt:lpstr>
      <vt:lpstr>'606d'!Druckbereich</vt:lpstr>
      <vt:lpstr>'701d'!Druckbereich</vt:lpstr>
      <vt:lpstr>'702d'!Druckbereich</vt:lpstr>
      <vt:lpstr>'703d'!Druckbereich</vt:lpstr>
      <vt:lpstr>'704d'!Druckbereich</vt:lpstr>
      <vt:lpstr>'705d'!Druckbereich</vt:lpstr>
      <vt:lpstr>'801d'!Druckbereich</vt:lpstr>
      <vt:lpstr>'802d'!Druckbereich</vt:lpstr>
      <vt:lpstr>'803d'!Druckbereich</vt:lpstr>
      <vt:lpstr>'804d'!Druckbereich</vt:lpstr>
      <vt:lpstr>'805d'!Druckbereich</vt:lpstr>
      <vt:lpstr>'806d'!Druckbereich</vt:lpstr>
      <vt:lpstr>'807d'!Druckbereich</vt:lpstr>
      <vt:lpstr>'808d'!Druckbereich</vt:lpstr>
      <vt:lpstr>'809d'!Druckbereich</vt:lpstr>
      <vt:lpstr>'810d'!Druckbereich</vt:lpstr>
      <vt:lpstr>'811d'!Druckbereich</vt:lpstr>
      <vt:lpstr>'901d'!Druckbereich</vt:lpstr>
      <vt:lpstr>'902d'!Druckbereich</vt:lpstr>
      <vt:lpstr>'903d'!Druckbereich</vt:lpstr>
      <vt:lpstr>'904d'!Druckbereich</vt:lpstr>
      <vt:lpstr>'905d'!Druckbereich</vt:lpstr>
      <vt:lpstr>'906d'!Druckbereich</vt:lpstr>
      <vt:lpstr>'907d'!Druckbereich</vt:lpstr>
      <vt:lpstr>'908d'!Druckbereich</vt:lpstr>
      <vt:lpstr>'909d'!Druckbereich</vt:lpstr>
      <vt:lpstr>'910d'!Druckbereich</vt:lpstr>
      <vt:lpstr>'911d'!Druckbereich</vt:lpstr>
      <vt:lpstr>'912d'!Druckbereich</vt:lpstr>
      <vt:lpstr>'913d'!Druckbereich</vt:lpstr>
      <vt:lpstr>'914d'!Druckbereich</vt:lpstr>
      <vt:lpstr>'915d'!Druckbereich</vt:lpstr>
      <vt:lpstr>'916d'!Druckbereich</vt:lpstr>
      <vt:lpstr>'917d'!Druckbereich</vt:lpstr>
      <vt:lpstr>'918d'!Druckbereich</vt:lpstr>
      <vt:lpstr>'919d'!Druckbereich</vt:lpstr>
      <vt:lpstr>'920d'!Druckbereich</vt:lpstr>
      <vt:lpstr>'921d'!Druckbereich</vt:lpstr>
      <vt:lpstr>'922d'!Druckbereich</vt:lpstr>
      <vt:lpstr>Info!Druckbereich</vt:lpstr>
      <vt:lpstr>'501d'!Drucktitel</vt:lpstr>
      <vt:lpstr>'503d'!Drucktitel</vt:lpstr>
      <vt:lpstr>'504d'!Drucktitel</vt:lpstr>
      <vt:lpstr>'907d'!Drucktitel</vt:lpstr>
      <vt:lpstr>'B1 d'!Drucktitel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Informatikdienst</dc:creator>
  <cp:lastModifiedBy>Smaili Kenan (smailken)</cp:lastModifiedBy>
  <cp:lastPrinted>2006-12-04T15:00:13Z</cp:lastPrinted>
  <dcterms:created xsi:type="dcterms:W3CDTF">1999-10-15T08:29:27Z</dcterms:created>
  <dcterms:modified xsi:type="dcterms:W3CDTF">2026-05-02T10:06:09Z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-2021548164</vt:i4>
  </property>
  <property fmtid="{D5CDD505-2E9C-101B-9397-08002B2CF9AE}" pid="3" name="_EmailSubject">
    <vt:lpwstr>enlever liaisons</vt:lpwstr>
  </property>
  <property fmtid="{D5CDD505-2E9C-101B-9397-08002B2CF9AE}" pid="4" name="_AuthorEmail">
    <vt:lpwstr>Yves-Alain.Gerber@bfs.admin.ch</vt:lpwstr>
  </property>
  <property fmtid="{D5CDD505-2E9C-101B-9397-08002B2CF9AE}" pid="5" name="_AuthorEmailDisplayName">
    <vt:lpwstr>Gerber Yves-Alain BFS</vt:lpwstr>
  </property>
  <property fmtid="{D5CDD505-2E9C-101B-9397-08002B2CF9AE}" pid="6" name="_PreviousAdHocReviewCycleID">
    <vt:i4>1897203600</vt:i4>
  </property>
  <property fmtid="{D5CDD505-2E9C-101B-9397-08002B2CF9AE}" pid="7" name="_ReviewingToolsShownOnce">
    <vt:lpwstr/>
  </property>
</Properties>
</file>