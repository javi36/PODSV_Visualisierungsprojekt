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backupFile="1" defaultThemeVersion="202300"/>
  <mc:AlternateContent xmlns:mc="http://schemas.openxmlformats.org/markup-compatibility/2006">
    <mc:Choice Requires="x15">
      <x15ac:absPath xmlns:x15ac="http://schemas.microsoft.com/office/spreadsheetml/2010/11/ac" url="/Users/K.Smaili_ZHAW/Desktop/ZHAW/4. Semester/PoDSV_Project Orientated Digital Storytelling and Visualization/PODSV_Visualisierungsprojekt/data/whopays/raw_whopays/"/>
    </mc:Choice>
  </mc:AlternateContent>
  <xr:revisionPtr revIDLastSave="0" documentId="8_{C8A3FC9D-1318-494A-B684-CB82BA04C239}" xr6:coauthVersionLast="47" xr6:coauthVersionMax="47" xr10:uidLastSave="{00000000-0000-0000-0000-000000000000}"/>
  <bookViews>
    <workbookView xWindow="0" yWindow="500" windowWidth="38400" windowHeight="20000" tabRatio="601" xr2:uid="{624F609A-E637-6A4E-868F-2E1D1B780E69}"/>
  </bookViews>
  <sheets>
    <sheet name="Info" sheetId="150" r:id="rId1"/>
    <sheet name="Bd" sheetId="712" r:id="rId2"/>
    <sheet name="B1d" sheetId="769" r:id="rId3"/>
    <sheet name="I1d" sheetId="772" r:id="rId4"/>
    <sheet name="I2d" sheetId="770" r:id="rId5"/>
    <sheet name="I3d" sheetId="771" r:id="rId6"/>
    <sheet name="I4d" sheetId="773" r:id="rId7"/>
    <sheet name="J1d" sheetId="734" r:id="rId8"/>
    <sheet name="J2d" sheetId="733" r:id="rId9"/>
    <sheet name="T1d" sheetId="504" r:id="rId10"/>
    <sheet name="101d" sheetId="656" r:id="rId11"/>
    <sheet name="102d" sheetId="657" r:id="rId12"/>
    <sheet name="103d" sheetId="658" r:id="rId13"/>
    <sheet name="104d" sheetId="659" r:id="rId14"/>
    <sheet name="105d" sheetId="660" r:id="rId15"/>
    <sheet name="106d" sheetId="661" r:id="rId16"/>
    <sheet name="107d" sheetId="662" r:id="rId17"/>
    <sheet name="108d" sheetId="665" r:id="rId18"/>
    <sheet name="109d" sheetId="666" r:id="rId19"/>
    <sheet name="110d" sheetId="667" r:id="rId20"/>
    <sheet name="111d" sheetId="668" r:id="rId21"/>
    <sheet name="112d" sheetId="711" r:id="rId22"/>
    <sheet name="113d" sheetId="708" r:id="rId23"/>
    <sheet name="114d" sheetId="743" r:id="rId24"/>
    <sheet name="115d" sheetId="744" r:id="rId25"/>
    <sheet name="T2d" sheetId="482" r:id="rId26"/>
    <sheet name="201d" sheetId="720" r:id="rId27"/>
    <sheet name="202d" sheetId="721" r:id="rId28"/>
    <sheet name="203d" sheetId="680" r:id="rId29"/>
    <sheet name="204d" sheetId="635" r:id="rId30"/>
    <sheet name="205d" sheetId="638" r:id="rId31"/>
    <sheet name="206d" sheetId="639" r:id="rId32"/>
    <sheet name="207d" sheetId="636" r:id="rId33"/>
    <sheet name="208d" sheetId="640" r:id="rId34"/>
    <sheet name="209d" sheetId="641" r:id="rId35"/>
    <sheet name="210d" sheetId="642" r:id="rId36"/>
    <sheet name="211d" sheetId="643" r:id="rId37"/>
    <sheet name="212d" sheetId="644" r:id="rId38"/>
    <sheet name="213d" sheetId="637" r:id="rId39"/>
    <sheet name="214d" sheetId="724" r:id="rId40"/>
    <sheet name="215d" sheetId="725" r:id="rId41"/>
    <sheet name="216d" sheetId="774" r:id="rId42"/>
    <sheet name="217d" sheetId="654" r:id="rId43"/>
    <sheet name="218d" sheetId="653" r:id="rId44"/>
    <sheet name="219d" sheetId="652" r:id="rId45"/>
    <sheet name="220d" sheetId="709" r:id="rId46"/>
    <sheet name="221d" sheetId="726" r:id="rId47"/>
    <sheet name="222d" sheetId="722" r:id="rId48"/>
    <sheet name="223d" sheetId="723" r:id="rId49"/>
    <sheet name="T3d" sheetId="518" r:id="rId50"/>
    <sheet name="301d" sheetId="716" r:id="rId51"/>
    <sheet name="302d" sheetId="713" r:id="rId52"/>
    <sheet name="303d" sheetId="714" r:id="rId53"/>
    <sheet name="304d" sheetId="715" r:id="rId54"/>
    <sheet name="305d" sheetId="738" r:id="rId55"/>
    <sheet name="306d" sheetId="737" r:id="rId56"/>
    <sheet name="307d" sheetId="736" r:id="rId57"/>
    <sheet name="308d" sheetId="679" r:id="rId58"/>
    <sheet name="309d" sheetId="717" r:id="rId59"/>
    <sheet name="310d" sheetId="710" r:id="rId60"/>
    <sheet name="311d" sheetId="718" r:id="rId61"/>
    <sheet name="312d" sheetId="719" r:id="rId62"/>
    <sheet name="T4d" sheetId="498" r:id="rId63"/>
    <sheet name="401d" sheetId="731" r:id="rId64"/>
    <sheet name="402d" sheetId="648" r:id="rId65"/>
    <sheet name="403d" sheetId="649" r:id="rId66"/>
    <sheet name="404d" sheetId="650" r:id="rId67"/>
    <sheet name="405d" sheetId="651" r:id="rId68"/>
    <sheet name="406d" sheetId="735" r:id="rId69"/>
    <sheet name="407d" sheetId="730" r:id="rId70"/>
    <sheet name="408d" sheetId="732" r:id="rId71"/>
    <sheet name="409d" sheetId="727" r:id="rId72"/>
    <sheet name="410d" sheetId="728" r:id="rId73"/>
    <sheet name="411d" sheetId="729" r:id="rId74"/>
    <sheet name="T5d" sheetId="476" r:id="rId75"/>
    <sheet name="501d" sheetId="700" r:id="rId76"/>
    <sheet name="502d" sheetId="745" r:id="rId77"/>
    <sheet name="503d" sheetId="698" r:id="rId78"/>
    <sheet name="504d" sheetId="634" r:id="rId79"/>
    <sheet name="T6d" sheetId="527" r:id="rId80"/>
    <sheet name="601d" sheetId="686" r:id="rId81"/>
    <sheet name="602d" sheetId="685" r:id="rId82"/>
    <sheet name="603d" sheetId="681" r:id="rId83"/>
    <sheet name="604d" sheetId="684" r:id="rId84"/>
    <sheet name="605d" sheetId="683" r:id="rId85"/>
    <sheet name="606d" sheetId="682" r:id="rId86"/>
    <sheet name="T7d" sheetId="528" r:id="rId87"/>
    <sheet name="701d" sheetId="691" r:id="rId88"/>
    <sheet name="702d" sheetId="690" r:id="rId89"/>
    <sheet name="703d" sheetId="689" r:id="rId90"/>
    <sheet name="704d" sheetId="688" r:id="rId91"/>
    <sheet name="705d" sheetId="687" r:id="rId92"/>
    <sheet name="T8d" sheetId="517" r:id="rId93"/>
    <sheet name="801d" sheetId="707" r:id="rId94"/>
    <sheet name="802d" sheetId="706" r:id="rId95"/>
    <sheet name="803d" sheetId="704" r:id="rId96"/>
    <sheet name="804d" sheetId="703" r:id="rId97"/>
    <sheet name="805d" sheetId="697" r:id="rId98"/>
    <sheet name="806d" sheetId="696" r:id="rId99"/>
    <sheet name="807d" sheetId="701" r:id="rId100"/>
    <sheet name="808d" sheetId="702" r:id="rId101"/>
    <sheet name="809d" sheetId="695" r:id="rId102"/>
    <sheet name="810d" sheetId="694" r:id="rId103"/>
    <sheet name="811d" sheetId="693" r:id="rId104"/>
    <sheet name="812d" sheetId="692" r:id="rId105"/>
    <sheet name="813d" sheetId="705" r:id="rId106"/>
    <sheet name="T9d" sheetId="529" r:id="rId107"/>
    <sheet name="901d" sheetId="746" r:id="rId108"/>
    <sheet name="902d" sheetId="747" r:id="rId109"/>
    <sheet name="903d" sheetId="748" r:id="rId110"/>
    <sheet name="904d" sheetId="749" r:id="rId111"/>
    <sheet name="905d" sheetId="750" r:id="rId112"/>
    <sheet name="906d" sheetId="766" r:id="rId113"/>
    <sheet name="907d" sheetId="767" r:id="rId114"/>
    <sheet name="908d" sheetId="768" r:id="rId115"/>
    <sheet name="909d" sheetId="756" r:id="rId116"/>
    <sheet name="910d" sheetId="757" r:id="rId117"/>
    <sheet name="911d" sheetId="758" r:id="rId118"/>
    <sheet name="912d" sheetId="764" r:id="rId119"/>
    <sheet name="913d" sheetId="762" r:id="rId120"/>
    <sheet name="914d" sheetId="765" r:id="rId121"/>
    <sheet name="915d" sheetId="763" r:id="rId122"/>
    <sheet name="916d" sheetId="751" r:id="rId123"/>
    <sheet name="917d" sheetId="752" r:id="rId124"/>
    <sheet name="918d" sheetId="753" r:id="rId125"/>
    <sheet name="919d" sheetId="759" r:id="rId126"/>
    <sheet name="920d" sheetId="760" r:id="rId127"/>
    <sheet name="921d" sheetId="754" r:id="rId128"/>
    <sheet name="922d" sheetId="755" r:id="rId129"/>
    <sheet name="T10d" sheetId="494" r:id="rId130"/>
    <sheet name="1001d" sheetId="647" r:id="rId131"/>
    <sheet name="1002d" sheetId="646" r:id="rId132"/>
    <sheet name="1003d" sheetId="645" r:id="rId133"/>
    <sheet name="T11d" sheetId="478" r:id="rId134"/>
    <sheet name="1101d" sheetId="672" r:id="rId135"/>
    <sheet name="1102d" sheetId="669" r:id="rId136"/>
    <sheet name="1103d" sheetId="670" r:id="rId137"/>
    <sheet name="1104d" sheetId="671" r:id="rId138"/>
    <sheet name="1105d" sheetId="664" r:id="rId139"/>
    <sheet name="1106d" sheetId="663" r:id="rId140"/>
    <sheet name="1107d" sheetId="742" r:id="rId141"/>
    <sheet name="1108d" sheetId="741" r:id="rId142"/>
    <sheet name="1109d" sheetId="740" r:id="rId143"/>
    <sheet name="1110d" sheetId="739" r:id="rId144"/>
    <sheet name="1111d" sheetId="673" r:id="rId145"/>
    <sheet name="1112d" sheetId="674" r:id="rId146"/>
    <sheet name="1113d" sheetId="675" r:id="rId147"/>
    <sheet name="1114d" sheetId="631" r:id="rId148"/>
    <sheet name="1115d" sheetId="632" r:id="rId149"/>
    <sheet name="1116d" sheetId="633" r:id="rId150"/>
    <sheet name="1117d" sheetId="676" r:id="rId151"/>
    <sheet name="1118d" sheetId="677" r:id="rId152"/>
    <sheet name="1119d" sheetId="678" r:id="rId153"/>
  </sheets>
  <definedNames>
    <definedName name="_xlnm.Print_Area" localSheetId="130">'1001d'!$A$1:$G$27</definedName>
    <definedName name="_xlnm.Print_Area" localSheetId="131">'1002d'!$A$1:$G$28</definedName>
    <definedName name="_xlnm.Print_Area" localSheetId="132">'1003d'!$A$1:$H$34</definedName>
    <definedName name="_xlnm.Print_Area" localSheetId="10">'101d'!$A$1:$R$56</definedName>
    <definedName name="_xlnm.Print_Area" localSheetId="11">'102d'!$A$1:$E$39</definedName>
    <definedName name="_xlnm.Print_Area" localSheetId="12">'103d'!$A$1:$E$39</definedName>
    <definedName name="_xlnm.Print_Area" localSheetId="13">'104d'!$A$1:$E$39</definedName>
    <definedName name="_xlnm.Print_Area" localSheetId="14">'105d'!$A$1:$E$39</definedName>
    <definedName name="_xlnm.Print_Area" localSheetId="15">'106d'!$A$1:$E$39</definedName>
    <definedName name="_xlnm.Print_Area" localSheetId="16">'107d'!$A$1:$E$48</definedName>
    <definedName name="_xlnm.Print_Area" localSheetId="17">'108d'!$A$1:$F$24</definedName>
    <definedName name="_xlnm.Print_Area" localSheetId="18">'109d'!$A$1:$F$24</definedName>
    <definedName name="_xlnm.Print_Area" localSheetId="134">'1101d'!$A$1:$G$27</definedName>
    <definedName name="_xlnm.Print_Area" localSheetId="135">'1102d'!$A$1:$G$29</definedName>
    <definedName name="_xlnm.Print_Area" localSheetId="136">'1103d'!$A$1:$F$43</definedName>
    <definedName name="_xlnm.Print_Area" localSheetId="137">'1104d'!$A$1:$G$41</definedName>
    <definedName name="_xlnm.Print_Area" localSheetId="138">'1105d'!$A$1:$G$26</definedName>
    <definedName name="_xlnm.Print_Area" localSheetId="139">'1106d'!$A$1:$G$22</definedName>
    <definedName name="_xlnm.Print_Area" localSheetId="140">'1107d'!$A$1:$J$29</definedName>
    <definedName name="_xlnm.Print_Area" localSheetId="141">'1108d'!$A$1:$J$39</definedName>
    <definedName name="_xlnm.Print_Area" localSheetId="142">'1109d'!$A$1:$K$27</definedName>
    <definedName name="_xlnm.Print_Area" localSheetId="19">'110d'!$A$1:$H$24</definedName>
    <definedName name="_xlnm.Print_Area" localSheetId="143">'1110d'!$A$1:$K$39</definedName>
    <definedName name="_xlnm.Print_Area" localSheetId="144">'1111d'!$A$1:$G$24</definedName>
    <definedName name="_xlnm.Print_Area" localSheetId="145">'1112d'!$A$1:$F$19</definedName>
    <definedName name="_xlnm.Print_Area" localSheetId="146">'1113d'!$A$1:$F$38</definedName>
    <definedName name="_xlnm.Print_Area" localSheetId="147">'1114d'!$A$1:$G$52</definedName>
    <definedName name="_xlnm.Print_Area" localSheetId="148">'1115d'!$A$1:$G$32</definedName>
    <definedName name="_xlnm.Print_Area" localSheetId="149">'1116d'!$A$1:$G$42</definedName>
    <definedName name="_xlnm.Print_Area" localSheetId="150">'1117d'!$A$1:$G$19</definedName>
    <definedName name="_xlnm.Print_Area" localSheetId="151">'1118d'!$A$1:$D$18</definedName>
    <definedName name="_xlnm.Print_Area" localSheetId="152">'1119d'!$A$1:$I$24</definedName>
    <definedName name="_xlnm.Print_Area" localSheetId="20">'111d'!$A$1:$G$24</definedName>
    <definedName name="_xlnm.Print_Area" localSheetId="21">'112d'!$A$1:$G$27</definedName>
    <definedName name="_xlnm.Print_Area" localSheetId="22">'113d'!$A$1:$G$27</definedName>
    <definedName name="_xlnm.Print_Area" localSheetId="23">'114d'!$A$1:$M$42</definedName>
    <definedName name="_xlnm.Print_Area" localSheetId="24">'115d'!$A$1:$F$45</definedName>
    <definedName name="_xlnm.Print_Area" localSheetId="26">'201d'!$A$1:$G$24</definedName>
    <definedName name="_xlnm.Print_Area" localSheetId="27">'202d'!$A$1:$H$86</definedName>
    <definedName name="_xlnm.Print_Area" localSheetId="28">'203d'!$A$1:$L$41</definedName>
    <definedName name="_xlnm.Print_Area" localSheetId="29">'204d'!$A$1:$G$42</definedName>
    <definedName name="_xlnm.Print_Area" localSheetId="30">'205d'!$A$1:$G$41</definedName>
    <definedName name="_xlnm.Print_Area" localSheetId="31">'206d'!$A$1:$G$31</definedName>
    <definedName name="_xlnm.Print_Area" localSheetId="32">'207d'!$A$1:$G$42</definedName>
    <definedName name="_xlnm.Print_Area" localSheetId="33">'208d'!$A$1:$G$41</definedName>
    <definedName name="_xlnm.Print_Area" localSheetId="34">'209d'!$A$1:$G$31</definedName>
    <definedName name="_xlnm.Print_Area" localSheetId="35">'210d'!$A$1:$G$41</definedName>
    <definedName name="_xlnm.Print_Area" localSheetId="36">'211d'!$A$1:$G$31</definedName>
    <definedName name="_xlnm.Print_Area" localSheetId="37">'212d'!$A$1:$G$39</definedName>
    <definedName name="_xlnm.Print_Area" localSheetId="38">'213d'!$A$1:$G$41</definedName>
    <definedName name="_xlnm.Print_Area" localSheetId="39">'214d'!$A$1:$G$26</definedName>
    <definedName name="_xlnm.Print_Area" localSheetId="40">'215d'!$A$1:$G$85</definedName>
    <definedName name="_xlnm.Print_Area" localSheetId="41">'216d'!$A$1:$N$51</definedName>
    <definedName name="_xlnm.Print_Area" localSheetId="42">'217d'!$A$1:$H$35</definedName>
    <definedName name="_xlnm.Print_Area" localSheetId="43">'218d'!$A$1:$N$50</definedName>
    <definedName name="_xlnm.Print_Area" localSheetId="44">'219d'!$A$1:$H$35</definedName>
    <definedName name="_xlnm.Print_Area" localSheetId="45">'220d'!$A$1:$G$26</definedName>
    <definedName name="_xlnm.Print_Area" localSheetId="46">'221d'!$A$1:$H$86</definedName>
    <definedName name="_xlnm.Print_Area" localSheetId="47">'222d'!$A$1:$G$17</definedName>
    <definedName name="_xlnm.Print_Area" localSheetId="48">'223d'!$A$1:$H$20</definedName>
    <definedName name="_xlnm.Print_Area" localSheetId="50">'301d'!$A$1:$H$40</definedName>
    <definedName name="_xlnm.Print_Area" localSheetId="51">'302d'!$A$1:$H$45</definedName>
    <definedName name="_xlnm.Print_Area" localSheetId="52">'303d'!$A$1:$H$45</definedName>
    <definedName name="_xlnm.Print_Area" localSheetId="53">'304d'!$A$1:$H$45</definedName>
    <definedName name="_xlnm.Print_Area" localSheetId="54">'305d'!$A$1:$G$42</definedName>
    <definedName name="_xlnm.Print_Area" localSheetId="55">'306d'!$A$1:$G$42</definedName>
    <definedName name="_xlnm.Print_Area" localSheetId="56">'307d'!$A$1:$G$42</definedName>
    <definedName name="_xlnm.Print_Area" localSheetId="57">'308d'!$A$1:$L$40</definedName>
    <definedName name="_xlnm.Print_Area" localSheetId="58">'309d'!$A$2:$G$26</definedName>
    <definedName name="_xlnm.Print_Area" localSheetId="59">'310d'!$A$1:$G$17</definedName>
    <definedName name="_xlnm.Print_Area" localSheetId="60">'311d'!$A$1:$G$19</definedName>
    <definedName name="_xlnm.Print_Area" localSheetId="61">'312d'!$A$1:$J$85</definedName>
    <definedName name="_xlnm.Print_Area" localSheetId="63" xml:space="preserve">  '401d'!$A$1:$H$27</definedName>
    <definedName name="_xlnm.Print_Area" localSheetId="64">'402d'!$A$1:$H$42</definedName>
    <definedName name="_xlnm.Print_Area" localSheetId="65">'403d'!$A$1:$F$35</definedName>
    <definedName name="_xlnm.Print_Area" localSheetId="66">'404d'!$A$1:$I$43</definedName>
    <definedName name="_xlnm.Print_Area" localSheetId="67">'405d'!$A$1:$I$42</definedName>
    <definedName name="_xlnm.Print_Area" localSheetId="68">'406d'!$A$1:$I$43</definedName>
    <definedName name="_xlnm.Print_Area" localSheetId="69">'407d'!$A$1:$I$35</definedName>
    <definedName name="_xlnm.Print_Area" localSheetId="70">'408d'!$A$1:$I$50</definedName>
    <definedName name="_xlnm.Print_Area" localSheetId="71">'409d'!$A$1:$G$47</definedName>
    <definedName name="_xlnm.Print_Area" localSheetId="72">'410d'!$A$1:$H$42</definedName>
    <definedName name="_xlnm.Print_Area" localSheetId="73">'411d'!$A$1:$I$49</definedName>
    <definedName name="_xlnm.Print_Area" localSheetId="75">'501d'!$A$1:$AD$109</definedName>
    <definedName name="_xlnm.Print_Area" localSheetId="76">'502d'!$A$1:$K$94</definedName>
    <definedName name="_xlnm.Print_Area" localSheetId="77">'503d'!$A$1:$I$120</definedName>
    <definedName name="_xlnm.Print_Area" localSheetId="78">'504d'!$A$1:$I$33</definedName>
    <definedName name="_xlnm.Print_Area" localSheetId="80">'601d'!$A$1:$G$27</definedName>
    <definedName name="_xlnm.Print_Area" localSheetId="81">'602d'!$A$1:$G$24</definedName>
    <definedName name="_xlnm.Print_Area" localSheetId="82">'603d'!$A$1:$E$39</definedName>
    <definedName name="_xlnm.Print_Area" localSheetId="83">'604d'!$A$1:$E$37</definedName>
    <definedName name="_xlnm.Print_Area" localSheetId="84">'605d'!$A$1:$E$40</definedName>
    <definedName name="_xlnm.Print_Area" localSheetId="85">'606d'!$A$1:$E$40</definedName>
    <definedName name="_xlnm.Print_Area" localSheetId="87">'701d'!$A$1:$G$30</definedName>
    <definedName name="_xlnm.Print_Area" localSheetId="88">'702d'!$A$2:$F$23</definedName>
    <definedName name="_xlnm.Print_Area" localSheetId="89">'703d'!$A$1:$E$43</definedName>
    <definedName name="_xlnm.Print_Area" localSheetId="90">'704d'!$A$1:$E$37</definedName>
    <definedName name="_xlnm.Print_Area" localSheetId="91">'705d'!$A$1:$E$39</definedName>
    <definedName name="_xlnm.Print_Area" localSheetId="93">'801d'!$A$1:$H$27</definedName>
    <definedName name="_xlnm.Print_Area" localSheetId="94">'802d'!$A$1:$I$24</definedName>
    <definedName name="_xlnm.Print_Area" localSheetId="95">'803d'!$A$1:$H$27</definedName>
    <definedName name="_xlnm.Print_Area" localSheetId="96">'804d'!$A$1:$H$29</definedName>
    <definedName name="_xlnm.Print_Area" localSheetId="97">'805d'!$A$1:$D$48</definedName>
    <definedName name="_xlnm.Print_Area" localSheetId="98">'806d'!$A$1:$D$41</definedName>
    <definedName name="_xlnm.Print_Area" localSheetId="99">'807d'!$A$1:$G$28</definedName>
    <definedName name="_xlnm.Print_Area" localSheetId="100">'808d'!$A$1:$H$26</definedName>
    <definedName name="_xlnm.Print_Area" localSheetId="101">'809d'!$A$1:$D$33</definedName>
    <definedName name="_xlnm.Print_Area" localSheetId="102">'810d'!$A$1:$D$44</definedName>
    <definedName name="_xlnm.Print_Area" localSheetId="103">'811d'!$A$1:$D$31</definedName>
    <definedName name="_xlnm.Print_Area" localSheetId="104" xml:space="preserve">  '812d'!$A$1:$D$27</definedName>
    <definedName name="_xlnm.Print_Area" localSheetId="105">'813d'!$A$1:$E$16</definedName>
    <definedName name="_xlnm.Print_Area" localSheetId="107">'901d'!$A$1:$H$34</definedName>
    <definedName name="_xlnm.Print_Area" localSheetId="108">'902d'!$A$1:$H$33</definedName>
    <definedName name="_xlnm.Print_Area" localSheetId="109">'903d'!$A$1:$I$33</definedName>
    <definedName name="_xlnm.Print_Area" localSheetId="110">'904d'!$A$1:$I$31</definedName>
    <definedName name="_xlnm.Print_Area" localSheetId="111">'905d'!$A$1:$I$33</definedName>
    <definedName name="_xlnm.Print_Area" localSheetId="112">'906d'!$A$1:$R$44</definedName>
    <definedName name="_xlnm.Print_Area" localSheetId="113">'907d'!$A$1:$R$39</definedName>
    <definedName name="_xlnm.Print_Area" localSheetId="114">'908d'!$A$1:$S$110</definedName>
    <definedName name="_xlnm.Print_Area" localSheetId="115">'909d'!$A$1:$K$51</definedName>
    <definedName name="_xlnm.Print_Area" localSheetId="116">'910d'!$A$1:$I$27</definedName>
    <definedName name="_xlnm.Print_Area" localSheetId="117">'911d'!$A$1:$M$39</definedName>
    <definedName name="_xlnm.Print_Area" localSheetId="118">'912d'!$A$1:$I$52</definedName>
    <definedName name="_xlnm.Print_Area" localSheetId="119">'913d'!$A$1:$K$50</definedName>
    <definedName name="_xlnm.Print_Area" localSheetId="120">'914d'!$A$1:$M$29</definedName>
    <definedName name="_xlnm.Print_Area" localSheetId="121">'915d'!$A$1:$G$83</definedName>
    <definedName name="_xlnm.Print_Area" localSheetId="122">'916d'!$A$1:$J$42</definedName>
    <definedName name="_xlnm.Print_Area" localSheetId="123">'917d'!$A$1:$K$37</definedName>
    <definedName name="_xlnm.Print_Area" localSheetId="124">'918d'!$A$1:$J$35</definedName>
    <definedName name="_xlnm.Print_Area" localSheetId="125">'919d'!$A$1:$M$26</definedName>
    <definedName name="_xlnm.Print_Area" localSheetId="126">'920d'!$A$1:$M$43</definedName>
    <definedName name="_xlnm.Print_Area" localSheetId="127">'921d'!$A$1:$G$35</definedName>
    <definedName name="_xlnm.Print_Area" localSheetId="128">'922d'!$A$1:$G$31</definedName>
    <definedName name="_xlnm.Print_Area" localSheetId="2">B1d!$A$1:$L$189</definedName>
    <definedName name="_xlnm.Print_Area" localSheetId="6">I4d!$A$1:$M$77</definedName>
    <definedName name="_xlnm.Print_Area" localSheetId="0" xml:space="preserve">    Info!$A$1:$K$75</definedName>
    <definedName name="_xlnm.Print_Area" localSheetId="7">J1d!$A$1:$M$65</definedName>
    <definedName name="_xlnm.Print_Area" localSheetId="8">J2d!$A$1:$M$72</definedName>
    <definedName name="_xlnm.Print_Titles" localSheetId="75">'501d'!$A:$B,'501d'!$1:$10</definedName>
    <definedName name="_xlnm.Print_Titles" localSheetId="77">'503d'!$A:$A,'503d'!$1:$10</definedName>
    <definedName name="_xlnm.Print_Titles" localSheetId="78">'504d'!$A:$A,'504d'!$1:$7</definedName>
    <definedName name="_xlnm.Print_Titles" localSheetId="113">'907d'!$1:$7</definedName>
    <definedName name="_xlnm.Print_Titles" localSheetId="2">B1d!$5:$5</definedName>
    <definedName name="Z_E58FEA52_E3A2_4787_9824_12DA55A527FE_.wvu.Cols" localSheetId="72" hidden="1">'410d'!$J:$J</definedName>
    <definedName name="Z_E58FEA52_E3A2_4787_9824_12DA55A527FE_.wvu.PrintArea" localSheetId="72" hidden="1">'410d'!$A$1:$E$41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773" l="1"/>
  <c r="M7" i="773"/>
  <c r="C8" i="773"/>
  <c r="D8" i="773"/>
  <c r="E8" i="773"/>
  <c r="F8" i="773"/>
  <c r="G8" i="773"/>
  <c r="H8" i="773"/>
  <c r="I8" i="773"/>
  <c r="J8" i="773"/>
  <c r="K8" i="773"/>
  <c r="L8" i="773"/>
  <c r="M9" i="773"/>
  <c r="J10" i="773"/>
  <c r="K10" i="773"/>
  <c r="L10" i="773"/>
  <c r="M12" i="773"/>
  <c r="M13" i="773"/>
  <c r="C14" i="773"/>
  <c r="D14" i="773"/>
  <c r="E14" i="773"/>
  <c r="F14" i="773"/>
  <c r="G14" i="773"/>
  <c r="H14" i="773"/>
  <c r="I14" i="773"/>
  <c r="J14" i="773"/>
  <c r="K14" i="773"/>
  <c r="L14" i="773"/>
  <c r="M15" i="773"/>
  <c r="J16" i="773"/>
  <c r="K16" i="773"/>
  <c r="L16" i="773"/>
  <c r="M18" i="773"/>
  <c r="M19" i="773"/>
  <c r="C20" i="773"/>
  <c r="D20" i="773"/>
  <c r="E20" i="773"/>
  <c r="F20" i="773"/>
  <c r="G20" i="773"/>
  <c r="H20" i="773"/>
  <c r="I20" i="773"/>
  <c r="J20" i="773"/>
  <c r="K20" i="773"/>
  <c r="L20" i="773"/>
  <c r="M21" i="773"/>
  <c r="J22" i="773"/>
  <c r="K22" i="773"/>
  <c r="L22" i="773"/>
  <c r="M24" i="773"/>
  <c r="M25" i="773"/>
  <c r="C26" i="773"/>
  <c r="D26" i="773"/>
  <c r="E26" i="773"/>
  <c r="F26" i="773"/>
  <c r="G26" i="773"/>
  <c r="H26" i="773"/>
  <c r="I26" i="773"/>
  <c r="J26" i="773"/>
  <c r="K26" i="773"/>
  <c r="L26" i="773"/>
  <c r="M27" i="773"/>
  <c r="J28" i="773"/>
  <c r="K28" i="773"/>
  <c r="L28" i="773"/>
  <c r="M30" i="773"/>
  <c r="M31" i="773"/>
  <c r="C32" i="773"/>
  <c r="D32" i="773"/>
  <c r="E32" i="773"/>
  <c r="F32" i="773"/>
  <c r="G32" i="773"/>
  <c r="H32" i="773"/>
  <c r="I32" i="773"/>
  <c r="J32" i="773"/>
  <c r="K32" i="773"/>
  <c r="L32" i="773"/>
  <c r="M33" i="773"/>
  <c r="J34" i="773"/>
  <c r="K34" i="773"/>
  <c r="L34" i="773"/>
  <c r="M36" i="773"/>
  <c r="M37" i="773"/>
  <c r="C38" i="773"/>
  <c r="D38" i="773"/>
  <c r="E38" i="773"/>
  <c r="F38" i="773"/>
  <c r="G38" i="773"/>
  <c r="H38" i="773"/>
  <c r="I38" i="773"/>
  <c r="J38" i="773"/>
  <c r="K38" i="773"/>
  <c r="L38" i="773"/>
  <c r="M39" i="773"/>
  <c r="J40" i="773"/>
  <c r="K40" i="773"/>
  <c r="L40" i="773"/>
  <c r="M42" i="773"/>
  <c r="M43" i="773"/>
  <c r="C44" i="773"/>
  <c r="D44" i="773"/>
  <c r="E44" i="773"/>
  <c r="F44" i="773"/>
  <c r="G44" i="773"/>
  <c r="H44" i="773"/>
  <c r="I44" i="773"/>
  <c r="J44" i="773"/>
  <c r="K44" i="773"/>
  <c r="L44" i="773"/>
  <c r="M45" i="773"/>
  <c r="J46" i="773"/>
  <c r="K46" i="773"/>
  <c r="L46" i="773"/>
  <c r="M48" i="773"/>
  <c r="M49" i="773"/>
  <c r="C50" i="773"/>
  <c r="D50" i="773"/>
  <c r="E50" i="773"/>
  <c r="F50" i="773"/>
  <c r="G50" i="773"/>
  <c r="H50" i="773"/>
  <c r="I50" i="773"/>
  <c r="J50" i="773"/>
  <c r="K50" i="773"/>
  <c r="L50" i="773"/>
  <c r="M51" i="773"/>
  <c r="J52" i="773"/>
  <c r="K52" i="773"/>
  <c r="L52" i="773"/>
  <c r="M54" i="773"/>
  <c r="M55" i="773"/>
  <c r="C56" i="773"/>
  <c r="D56" i="773"/>
  <c r="E56" i="773"/>
  <c r="F56" i="773"/>
  <c r="G56" i="773"/>
  <c r="H56" i="773"/>
  <c r="I56" i="773"/>
  <c r="J56" i="773"/>
  <c r="K56" i="773"/>
  <c r="L56" i="773"/>
  <c r="M57" i="773"/>
  <c r="J58" i="773"/>
  <c r="K58" i="773"/>
  <c r="L58" i="773"/>
  <c r="M60" i="773"/>
  <c r="M63" i="773"/>
  <c r="J64" i="773"/>
  <c r="K64" i="773"/>
  <c r="L64" i="773"/>
  <c r="D47" i="772"/>
  <c r="I47" i="772"/>
  <c r="D48" i="772"/>
  <c r="I48" i="772"/>
  <c r="D49" i="772"/>
  <c r="I49" i="772"/>
  <c r="D50" i="772"/>
  <c r="I50" i="772"/>
  <c r="D51" i="772"/>
  <c r="I51" i="772"/>
  <c r="D52" i="772"/>
  <c r="I52" i="772"/>
  <c r="D53" i="772"/>
  <c r="I53" i="772"/>
  <c r="D54" i="772"/>
  <c r="I54" i="772"/>
  <c r="D55" i="772"/>
  <c r="I55" i="772"/>
  <c r="D56" i="772"/>
  <c r="I56" i="772"/>
  <c r="I57" i="772"/>
  <c r="I58" i="772"/>
  <c r="I59" i="772"/>
  <c r="I60" i="772"/>
  <c r="D61" i="772"/>
  <c r="I61" i="772"/>
  <c r="D62" i="772"/>
  <c r="I62" i="772"/>
  <c r="D63" i="772"/>
  <c r="I63" i="772"/>
  <c r="D64" i="772"/>
  <c r="I64" i="772"/>
  <c r="D65" i="772"/>
  <c r="I65" i="772"/>
  <c r="D66" i="772"/>
  <c r="I66" i="772"/>
  <c r="D67" i="772"/>
  <c r="I67" i="772"/>
  <c r="D68" i="772"/>
  <c r="I68" i="772"/>
  <c r="D69" i="772"/>
  <c r="I69" i="772"/>
  <c r="D70" i="772"/>
  <c r="I70" i="772"/>
  <c r="D71" i="772"/>
  <c r="I71" i="772"/>
  <c r="D72" i="772"/>
  <c r="I72" i="772"/>
  <c r="D73" i="772"/>
  <c r="I73" i="772"/>
  <c r="D74" i="772"/>
  <c r="D75" i="772"/>
  <c r="D77" i="772"/>
  <c r="A187" i="769"/>
  <c r="B187" i="769"/>
  <c r="C187" i="769"/>
  <c r="E187" i="769"/>
  <c r="F187" i="769"/>
  <c r="G187" i="769"/>
  <c r="H187" i="769"/>
  <c r="I187" i="769"/>
  <c r="J187" i="769"/>
  <c r="K187" i="769"/>
  <c r="L187" i="769"/>
  <c r="A80" i="763"/>
  <c r="S8" i="756"/>
  <c r="V8" i="756"/>
  <c r="S9" i="756"/>
  <c r="V9" i="756"/>
  <c r="S10" i="756"/>
  <c r="V10" i="756"/>
  <c r="S11" i="756"/>
  <c r="V11" i="756"/>
  <c r="S12" i="756"/>
  <c r="V12" i="756"/>
  <c r="S13" i="756"/>
  <c r="V13" i="756"/>
  <c r="S14" i="756"/>
  <c r="V14" i="756"/>
  <c r="S15" i="756"/>
  <c r="V15" i="756"/>
  <c r="S16" i="756"/>
  <c r="V16" i="756"/>
  <c r="S17" i="756"/>
  <c r="V17" i="756"/>
  <c r="S18" i="756"/>
  <c r="V18" i="756"/>
  <c r="S19" i="756"/>
  <c r="V19" i="756"/>
  <c r="S20" i="756"/>
  <c r="V20" i="756"/>
  <c r="S21" i="756"/>
  <c r="V21" i="756"/>
  <c r="S22" i="756"/>
  <c r="V22" i="756"/>
  <c r="S23" i="756"/>
  <c r="V23" i="756"/>
  <c r="S24" i="756"/>
  <c r="V24" i="756"/>
  <c r="S25" i="756"/>
  <c r="V25" i="756"/>
  <c r="S26" i="756"/>
  <c r="V26" i="756"/>
  <c r="S27" i="756"/>
  <c r="V27" i="756"/>
  <c r="S28" i="756"/>
  <c r="V28" i="756"/>
  <c r="S29" i="756"/>
  <c r="V29" i="756"/>
  <c r="S30" i="756"/>
  <c r="V30" i="756"/>
  <c r="S31" i="756"/>
  <c r="V31" i="756"/>
  <c r="S32" i="756"/>
  <c r="V32" i="756"/>
  <c r="S33" i="756"/>
  <c r="V33" i="756"/>
  <c r="N34" i="756"/>
  <c r="V34" i="756" s="1"/>
  <c r="O34" i="756"/>
  <c r="P34" i="756"/>
  <c r="Q34" i="756"/>
  <c r="T34" i="756"/>
  <c r="D6" i="744"/>
  <c r="D7" i="744"/>
  <c r="D8" i="744"/>
  <c r="D9" i="744"/>
  <c r="D10" i="744"/>
  <c r="D11" i="744"/>
  <c r="D12" i="744"/>
  <c r="D13" i="744"/>
  <c r="D14" i="744"/>
  <c r="D15" i="744"/>
  <c r="D16" i="744"/>
  <c r="D17" i="744"/>
  <c r="D18" i="744"/>
  <c r="D19" i="744"/>
  <c r="D20" i="744"/>
  <c r="D21" i="744"/>
  <c r="D22" i="744"/>
  <c r="D23" i="744"/>
  <c r="D24" i="744"/>
  <c r="D25" i="744"/>
  <c r="D26" i="744"/>
  <c r="D27" i="744"/>
  <c r="D28" i="744"/>
  <c r="D29" i="744"/>
  <c r="D30" i="744"/>
  <c r="D31" i="744"/>
  <c r="D32" i="744"/>
  <c r="K6" i="734"/>
  <c r="K7" i="734"/>
  <c r="C8" i="734"/>
  <c r="D8" i="734"/>
  <c r="E8" i="734"/>
  <c r="F8" i="734"/>
  <c r="G8" i="734"/>
  <c r="H8" i="734"/>
  <c r="I8" i="734"/>
  <c r="J8" i="734"/>
  <c r="K11" i="734"/>
  <c r="B12" i="734"/>
  <c r="K12" i="734"/>
  <c r="C13" i="734"/>
  <c r="D13" i="734"/>
  <c r="E13" i="734"/>
  <c r="F13" i="734"/>
  <c r="G13" i="734"/>
  <c r="H13" i="734"/>
  <c r="I13" i="734"/>
  <c r="J13" i="734"/>
  <c r="B14" i="734"/>
  <c r="K16" i="734"/>
  <c r="B17" i="734"/>
  <c r="K17" i="734"/>
  <c r="C18" i="734"/>
  <c r="D18" i="734"/>
  <c r="E18" i="734"/>
  <c r="F18" i="734"/>
  <c r="G18" i="734"/>
  <c r="H18" i="734"/>
  <c r="I18" i="734"/>
  <c r="J18" i="734"/>
  <c r="B19" i="734"/>
  <c r="K21" i="734"/>
  <c r="B22" i="734"/>
  <c r="K22" i="734"/>
  <c r="C23" i="734"/>
  <c r="D23" i="734"/>
  <c r="E23" i="734"/>
  <c r="F23" i="734"/>
  <c r="G23" i="734"/>
  <c r="H23" i="734"/>
  <c r="I23" i="734"/>
  <c r="J23" i="734"/>
  <c r="B24" i="734"/>
  <c r="K26" i="734"/>
  <c r="B27" i="734"/>
  <c r="K27" i="734"/>
  <c r="C28" i="734"/>
  <c r="D28" i="734"/>
  <c r="E28" i="734"/>
  <c r="F28" i="734"/>
  <c r="G28" i="734"/>
  <c r="H28" i="734"/>
  <c r="I28" i="734"/>
  <c r="J28" i="734"/>
  <c r="B29" i="734"/>
  <c r="K31" i="734"/>
  <c r="B32" i="734"/>
  <c r="K32" i="734"/>
  <c r="C33" i="734"/>
  <c r="D33" i="734"/>
  <c r="E33" i="734"/>
  <c r="F33" i="734"/>
  <c r="G33" i="734"/>
  <c r="H33" i="734"/>
  <c r="I33" i="734"/>
  <c r="J33" i="734"/>
  <c r="B34" i="734"/>
  <c r="K36" i="734"/>
  <c r="B37" i="734"/>
  <c r="K37" i="734"/>
  <c r="C38" i="734"/>
  <c r="D38" i="734"/>
  <c r="E38" i="734"/>
  <c r="F38" i="734"/>
  <c r="G38" i="734"/>
  <c r="H38" i="734"/>
  <c r="I38" i="734"/>
  <c r="J38" i="734"/>
  <c r="B39" i="734"/>
  <c r="K41" i="734"/>
  <c r="B42" i="734"/>
  <c r="K42" i="734"/>
  <c r="C43" i="734"/>
  <c r="D43" i="734"/>
  <c r="E43" i="734"/>
  <c r="F43" i="734"/>
  <c r="G43" i="734"/>
  <c r="H43" i="734"/>
  <c r="I43" i="734"/>
  <c r="J43" i="734"/>
  <c r="B44" i="734"/>
  <c r="K6" i="733"/>
  <c r="K7" i="733"/>
  <c r="C8" i="733"/>
  <c r="D8" i="733"/>
  <c r="E8" i="733"/>
  <c r="F8" i="733"/>
  <c r="G8" i="733"/>
  <c r="H8" i="733"/>
  <c r="I8" i="733"/>
  <c r="J8" i="733"/>
  <c r="K9" i="733"/>
  <c r="K11" i="733"/>
  <c r="B12" i="733"/>
  <c r="K12" i="733"/>
  <c r="C13" i="733"/>
  <c r="D13" i="733"/>
  <c r="E13" i="733"/>
  <c r="F13" i="733"/>
  <c r="G13" i="733"/>
  <c r="H13" i="733"/>
  <c r="I13" i="733"/>
  <c r="J13" i="733"/>
  <c r="B14" i="733"/>
  <c r="K16" i="733"/>
  <c r="B17" i="733"/>
  <c r="K17" i="733"/>
  <c r="C18" i="733"/>
  <c r="D18" i="733"/>
  <c r="E18" i="733"/>
  <c r="F18" i="733"/>
  <c r="G18" i="733"/>
  <c r="H18" i="733"/>
  <c r="I18" i="733"/>
  <c r="J18" i="733"/>
  <c r="B19" i="733"/>
  <c r="K21" i="733"/>
  <c r="B22" i="733"/>
  <c r="K22" i="733"/>
  <c r="C23" i="733"/>
  <c r="D23" i="733"/>
  <c r="E23" i="733"/>
  <c r="F23" i="733"/>
  <c r="G23" i="733"/>
  <c r="H23" i="733"/>
  <c r="I23" i="733"/>
  <c r="J23" i="733"/>
  <c r="B24" i="733"/>
  <c r="K26" i="733"/>
  <c r="B27" i="733"/>
  <c r="K27" i="733"/>
  <c r="C28" i="733"/>
  <c r="D28" i="733"/>
  <c r="E28" i="733"/>
  <c r="F28" i="733"/>
  <c r="G28" i="733"/>
  <c r="H28" i="733"/>
  <c r="I28" i="733"/>
  <c r="J28" i="733"/>
  <c r="B29" i="733"/>
  <c r="K31" i="733"/>
  <c r="B32" i="733"/>
  <c r="K32" i="733"/>
  <c r="C33" i="733"/>
  <c r="D33" i="733"/>
  <c r="E33" i="733"/>
  <c r="F33" i="733"/>
  <c r="G33" i="733"/>
  <c r="H33" i="733"/>
  <c r="I33" i="733"/>
  <c r="J33" i="733"/>
  <c r="B34" i="733"/>
  <c r="K36" i="733"/>
  <c r="B37" i="733"/>
  <c r="K37" i="733"/>
  <c r="C38" i="733"/>
  <c r="D38" i="733"/>
  <c r="E38" i="733"/>
  <c r="F38" i="733"/>
  <c r="G38" i="733"/>
  <c r="H38" i="733"/>
  <c r="I38" i="733"/>
  <c r="J38" i="733"/>
  <c r="B39" i="733"/>
  <c r="K41" i="733"/>
  <c r="B42" i="733"/>
  <c r="K42" i="733"/>
  <c r="C43" i="733"/>
  <c r="D43" i="733"/>
  <c r="E43" i="733"/>
  <c r="F43" i="733"/>
  <c r="G43" i="733"/>
  <c r="H43" i="733"/>
  <c r="I43" i="733"/>
  <c r="J43" i="733"/>
  <c r="B44" i="733"/>
  <c r="K46" i="733"/>
  <c r="B47" i="733"/>
  <c r="K47" i="733"/>
  <c r="C48" i="733"/>
  <c r="D48" i="733"/>
  <c r="E48" i="733"/>
  <c r="F48" i="733"/>
  <c r="G48" i="733"/>
  <c r="H48" i="733"/>
  <c r="I48" i="733"/>
  <c r="J48" i="733"/>
  <c r="B49" i="733"/>
  <c r="K51" i="733"/>
  <c r="B52" i="733"/>
  <c r="K52" i="733"/>
  <c r="C53" i="733"/>
  <c r="D53" i="733"/>
  <c r="E53" i="733"/>
  <c r="F53" i="733"/>
  <c r="G53" i="733"/>
  <c r="H53" i="733"/>
  <c r="I53" i="733"/>
  <c r="J53" i="733"/>
  <c r="B54" i="733"/>
  <c r="K56" i="733"/>
  <c r="B57" i="733"/>
  <c r="K57" i="733"/>
  <c r="C58" i="733"/>
  <c r="D58" i="733"/>
  <c r="E58" i="733"/>
  <c r="F58" i="733"/>
  <c r="G58" i="733"/>
  <c r="H58" i="733"/>
  <c r="I58" i="733"/>
  <c r="J58" i="733"/>
  <c r="B59" i="733"/>
  <c r="D3" i="712"/>
  <c r="I3" i="712" s="1"/>
  <c r="M3" i="712" s="1"/>
  <c r="E3" i="712"/>
  <c r="G3" i="712"/>
  <c r="K3" i="712" s="1"/>
  <c r="S34" i="75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Informatik</author>
  </authors>
  <commentList>
    <comment ref="H6" authorId="0" shapeId="0" xr:uid="{A79B259F-23C8-DB42-9488-31506A94F6B0}">
      <text>
        <r>
          <rPr>
            <b/>
            <sz val="8"/>
            <color indexed="81"/>
            <rFont val="Tahoma"/>
            <family val="2"/>
          </rPr>
          <t>Cap / 22.10.01</t>
        </r>
        <r>
          <rPr>
            <sz val="8"/>
            <color indexed="81"/>
            <rFont val="Tahoma"/>
            <family val="2"/>
          </rPr>
          <t xml:space="preserve">
gemäss Auswertung 1999 vom 22.10.01</t>
        </r>
      </text>
    </comment>
  </commentList>
</comments>
</file>

<file path=xl/sharedStrings.xml><?xml version="1.0" encoding="utf-8"?>
<sst xmlns="http://schemas.openxmlformats.org/spreadsheetml/2006/main" count="8887" uniqueCount="2502">
  <si>
    <t>5) Anzahl Ärzte mit Praxistätigkeit pro 1'000 Einwohner.</t>
  </si>
  <si>
    <t>6) Veränderung der Dichte.</t>
  </si>
  <si>
    <t>7) Quelle: Schweizerischer Apothekerverein SAV.</t>
  </si>
  <si>
    <t>8) Anzahl Apotheken (Öffentliche Apotheken) pro 10'000 Einwohner.</t>
  </si>
  <si>
    <t>9) Selbstdispensation (Medikamentenverkauf durch Ärzte) : 1 flächendeckend im Kanton / 2 Mischformen /  3 reines Rezeptursystem.</t>
  </si>
  <si>
    <t xml:space="preserve">    Quelle : Managed Care 6/04 S. 33-36.</t>
  </si>
  <si>
    <r>
      <t xml:space="preserve">T 9.09  Wohnbevölkerung, Ärzte mit Praxistätigkeit </t>
    </r>
    <r>
      <rPr>
        <b/>
        <sz val="12"/>
        <rFont val="Arial"/>
        <family val="2"/>
      </rPr>
      <t xml:space="preserve">und Apotheken nach Kantonen </t>
    </r>
  </si>
  <si>
    <r>
      <t xml:space="preserve">Veränd. </t>
    </r>
    <r>
      <rPr>
        <vertAlign val="superscript"/>
        <sz val="11"/>
        <rFont val="Arial"/>
        <family val="2"/>
      </rPr>
      <t>6</t>
    </r>
  </si>
  <si>
    <r>
      <t xml:space="preserve">Ärzte </t>
    </r>
    <r>
      <rPr>
        <vertAlign val="superscript"/>
        <sz val="11"/>
        <rFont val="Arial"/>
        <family val="2"/>
      </rPr>
      <t>5</t>
    </r>
  </si>
  <si>
    <r>
      <t xml:space="preserve">dichte </t>
    </r>
    <r>
      <rPr>
        <vertAlign val="superscript"/>
        <sz val="11"/>
        <rFont val="Arial"/>
        <family val="2"/>
      </rPr>
      <t>2)</t>
    </r>
  </si>
  <si>
    <r>
      <t>ken</t>
    </r>
    <r>
      <rPr>
        <vertAlign val="superscript"/>
        <sz val="11"/>
        <rFont val="Arial"/>
        <family val="2"/>
      </rPr>
      <t xml:space="preserve"> 7</t>
    </r>
  </si>
  <si>
    <r>
      <t xml:space="preserve">verkauf </t>
    </r>
    <r>
      <rPr>
        <vertAlign val="superscript"/>
        <sz val="11"/>
        <rFont val="Arial"/>
        <family val="2"/>
      </rPr>
      <t>9</t>
    </r>
  </si>
  <si>
    <r>
      <t xml:space="preserve">dichte </t>
    </r>
    <r>
      <rPr>
        <vertAlign val="superscript"/>
        <sz val="11"/>
        <rFont val="Arial"/>
        <family val="2"/>
      </rPr>
      <t>8</t>
    </r>
  </si>
  <si>
    <r>
      <t xml:space="preserve">rung </t>
    </r>
    <r>
      <rPr>
        <vertAlign val="superscript"/>
        <sz val="11"/>
        <rFont val="Arial"/>
        <family val="2"/>
      </rPr>
      <t>1</t>
    </r>
  </si>
  <si>
    <r>
      <t xml:space="preserve">praktiker </t>
    </r>
    <r>
      <rPr>
        <vertAlign val="superscript"/>
        <sz val="11"/>
        <rFont val="Arial"/>
        <family val="2"/>
      </rPr>
      <t>2</t>
    </r>
  </si>
  <si>
    <r>
      <t xml:space="preserve">FMH </t>
    </r>
    <r>
      <rPr>
        <vertAlign val="superscript"/>
        <sz val="11"/>
        <rFont val="Arial"/>
        <family val="2"/>
      </rPr>
      <t>3</t>
    </r>
  </si>
  <si>
    <r>
      <t xml:space="preserve">tigkeit </t>
    </r>
    <r>
      <rPr>
        <vertAlign val="superscript"/>
        <sz val="11"/>
        <rFont val="Arial"/>
        <family val="2"/>
      </rPr>
      <t>4</t>
    </r>
  </si>
  <si>
    <t>T 9.10  Entwicklung der Wohnbevölkerung, der Ärzte mit Praxistätigkeit und der Apotheken ab 1997</t>
  </si>
  <si>
    <t>1) Quelle: T 9.09.</t>
  </si>
  <si>
    <t>2) Anzahl Ärzte mit Praxistätigkeit pro 1'000 Einwohner.</t>
  </si>
  <si>
    <t>3) Veränderung der Dichte.</t>
  </si>
  <si>
    <t>4) Anzahl Apotheken (Öffentliche Apotheken) pro 10'000 Einwohner.</t>
  </si>
  <si>
    <r>
      <t xml:space="preserve">Veränd. </t>
    </r>
    <r>
      <rPr>
        <vertAlign val="superscript"/>
        <sz val="11"/>
        <rFont val="Arial"/>
        <family val="2"/>
      </rPr>
      <t>3</t>
    </r>
  </si>
  <si>
    <r>
      <t xml:space="preserve">Ärzte </t>
    </r>
    <r>
      <rPr>
        <vertAlign val="superscript"/>
        <sz val="11"/>
        <rFont val="Arial"/>
        <family val="2"/>
      </rPr>
      <t>1</t>
    </r>
  </si>
  <si>
    <r>
      <t xml:space="preserve">Ärzte </t>
    </r>
    <r>
      <rPr>
        <vertAlign val="superscript"/>
        <sz val="11"/>
        <rFont val="Arial"/>
        <family val="2"/>
      </rPr>
      <t>2</t>
    </r>
  </si>
  <si>
    <r>
      <t xml:space="preserve">ken </t>
    </r>
    <r>
      <rPr>
        <vertAlign val="superscript"/>
        <sz val="11"/>
        <rFont val="Arial"/>
        <family val="2"/>
      </rPr>
      <t>1</t>
    </r>
  </si>
  <si>
    <r>
      <t xml:space="preserve">dichte </t>
    </r>
    <r>
      <rPr>
        <vertAlign val="superscript"/>
        <sz val="11"/>
        <rFont val="Arial"/>
        <family val="2"/>
      </rPr>
      <t>4</t>
    </r>
  </si>
  <si>
    <t>T 9.11 Versicherte mit einer Spitalzusatzversicherung ab 1997 in % der OKP-Versicherten</t>
  </si>
  <si>
    <t xml:space="preserve">Total der </t>
  </si>
  <si>
    <t xml:space="preserve">Prämien für Pauschalkosten </t>
  </si>
  <si>
    <t>Leistungen (Effektivkosten)</t>
  </si>
  <si>
    <t>Leistungen (Pauschalkosten)</t>
  </si>
  <si>
    <t>Rückstellungen für Pauschalkosten</t>
  </si>
  <si>
    <t>Leistungen (31.1 + 31.2)</t>
  </si>
  <si>
    <t>Kostenbeteiligung der Versicherten (32)    (-)</t>
  </si>
  <si>
    <t>Bruttokosten nach Kantonen</t>
  </si>
  <si>
    <t>Bruttokosten pro Versicherten pro Versicherungsmonat nach Kantonen</t>
  </si>
  <si>
    <t xml:space="preserve">Bruttokosten pro Versicherten pro Versicherungsmonat nach Altersgruppen und Geschlecht </t>
  </si>
  <si>
    <t>Effektive Kosten nach Kantonen</t>
  </si>
  <si>
    <t xml:space="preserve">Effektive Kosten pro Versicherten pro Versicherungsmonat nach Kantonen </t>
  </si>
  <si>
    <t>Effektive Kosten pro Versicherten pro Versicherungsmonat nach Altersgruppen und Geschlecht</t>
  </si>
  <si>
    <t>Kostenbeteiligung pro Versicherten pro Jahr nach Kantonen</t>
  </si>
  <si>
    <t>Kostenbeteiligung pro Versicherten pro Jahr nach Altersgruppen und Geschlecht</t>
  </si>
  <si>
    <t>Effektive Kosten pro Versicherten pro Versicherungsmonat nach Kantonen und Altersgruppen</t>
  </si>
  <si>
    <t>Kostenbeteiligung pro Versicherten pro Jahr nach Kantonen und Altersgruppen</t>
  </si>
  <si>
    <t xml:space="preserve">Leistungen (brutto) nach Kostengruppen </t>
  </si>
  <si>
    <t>Leistungen (brutto)  je versicherte Person nach Kostengruppen</t>
  </si>
  <si>
    <t xml:space="preserve">Leistungen (brutto) in Fr. nach Versicherungsform </t>
  </si>
  <si>
    <t>Beilagen J1-2</t>
  </si>
  <si>
    <t>10: Risikoausgleich in der OKP</t>
  </si>
  <si>
    <t>Risikoausgleich pro Versicherten und Versicherungsmonat nach Altersgruppen und Geschlecht</t>
  </si>
  <si>
    <t>gegenüber</t>
  </si>
  <si>
    <t>1101-1119</t>
  </si>
  <si>
    <t>1) Berücksichtigt nur die bei dem Versicherer eingereichten Rechnungen</t>
  </si>
  <si>
    <t>Eidgenössisches Departement des Innern EDI</t>
  </si>
  <si>
    <r>
      <t xml:space="preserve">Teil  Tabellen </t>
    </r>
    <r>
      <rPr>
        <b/>
        <sz val="14"/>
        <rFont val="55 Helvetica Roman"/>
      </rPr>
      <t>(XLS)</t>
    </r>
  </si>
  <si>
    <r>
      <t xml:space="preserve">T 2.13 Kostenbeteiligung 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Versicherten pro Jahr nach Kantonen und Altersgruppen</t>
    </r>
  </si>
  <si>
    <t>Erkrankte, Spitaleinweisungen und Spitaltage in der OKP</t>
  </si>
  <si>
    <t>G 06 + G 07</t>
  </si>
  <si>
    <t>-</t>
  </si>
  <si>
    <t>1.50</t>
  </si>
  <si>
    <t>701-705</t>
  </si>
  <si>
    <t>10.01</t>
  </si>
  <si>
    <t>10.02</t>
  </si>
  <si>
    <t>10.03</t>
  </si>
  <si>
    <t>Quellenangabe (Name der Publikation, Jahr, Nummer der Tabelle) und Zustellung eines</t>
  </si>
  <si>
    <t>Beilage B1</t>
  </si>
  <si>
    <t>301-312</t>
  </si>
  <si>
    <t>Teil 11</t>
  </si>
  <si>
    <t>Versicherte in der OKP</t>
  </si>
  <si>
    <t>Publikation 2005</t>
  </si>
  <si>
    <t>4.10</t>
  </si>
  <si>
    <t>2.20</t>
  </si>
  <si>
    <t>8.10</t>
  </si>
  <si>
    <t>8.11</t>
  </si>
  <si>
    <t>11.10</t>
  </si>
  <si>
    <t>9.22</t>
  </si>
  <si>
    <t>9.20</t>
  </si>
  <si>
    <t>Publikation 1996</t>
  </si>
  <si>
    <t>Publikation 1997</t>
  </si>
  <si>
    <t>Publikation 1998</t>
  </si>
  <si>
    <t>Publikation 1999</t>
  </si>
  <si>
    <t>Publikation 2001</t>
  </si>
  <si>
    <t>Publikation 2002</t>
  </si>
  <si>
    <t>Publikation 2003</t>
  </si>
  <si>
    <t>Publikation 2004</t>
  </si>
  <si>
    <t>A 01</t>
  </si>
  <si>
    <t>A 02 A</t>
  </si>
  <si>
    <t>A 02 B</t>
  </si>
  <si>
    <t>A 03 A</t>
  </si>
  <si>
    <t>A 03 B</t>
  </si>
  <si>
    <t>A 04 A</t>
  </si>
  <si>
    <t>A 04 B</t>
  </si>
  <si>
    <t>A 05 A</t>
  </si>
  <si>
    <t>A 05 B</t>
  </si>
  <si>
    <t>A 06</t>
  </si>
  <si>
    <t>A 07</t>
  </si>
  <si>
    <t>A 08 A</t>
  </si>
  <si>
    <t>A 08 B</t>
  </si>
  <si>
    <t>A 09 A</t>
  </si>
  <si>
    <t>A 09 B</t>
  </si>
  <si>
    <t>A 10</t>
  </si>
  <si>
    <t>A 11</t>
  </si>
  <si>
    <t>A 12 A</t>
  </si>
  <si>
    <t>A 12 B</t>
  </si>
  <si>
    <t>A 13 B</t>
  </si>
  <si>
    <t>A 13 A</t>
  </si>
  <si>
    <t>B 01</t>
  </si>
  <si>
    <t>B 02</t>
  </si>
  <si>
    <t>B 03 A</t>
  </si>
  <si>
    <t>B 03 B</t>
  </si>
  <si>
    <t>B 04 A</t>
  </si>
  <si>
    <t>B 04 B</t>
  </si>
  <si>
    <t>B 05 A</t>
  </si>
  <si>
    <t>B 05 B</t>
  </si>
  <si>
    <t>B 06 A</t>
  </si>
  <si>
    <t>B 06 B</t>
  </si>
  <si>
    <t>B 07 A</t>
  </si>
  <si>
    <t>B 07 B</t>
  </si>
  <si>
    <t>B 08 A</t>
  </si>
  <si>
    <t>B 08 B</t>
  </si>
  <si>
    <t>B 09 A</t>
  </si>
  <si>
    <t>B 09 B</t>
  </si>
  <si>
    <t>B 10 A</t>
  </si>
  <si>
    <t>B 10 B</t>
  </si>
  <si>
    <t>B 11 A</t>
  </si>
  <si>
    <t>B 11 B</t>
  </si>
  <si>
    <t>B 12 A</t>
  </si>
  <si>
    <t>B 12 B</t>
  </si>
  <si>
    <t>B 13 A</t>
  </si>
  <si>
    <t>B 13 B</t>
  </si>
  <si>
    <t>B 14</t>
  </si>
  <si>
    <t>B 15</t>
  </si>
  <si>
    <t>B 16</t>
  </si>
  <si>
    <t>B 17</t>
  </si>
  <si>
    <t>B 18</t>
  </si>
  <si>
    <t>C 01 A</t>
  </si>
  <si>
    <t>C 01 B</t>
  </si>
  <si>
    <t>6: Freiwillige Taggeldversicherung KVG</t>
  </si>
  <si>
    <t>Versicherer, Versicherte, Prämien und Leistungen nach Einzel- u. Kollektivverträgen</t>
  </si>
  <si>
    <t xml:space="preserve">Betriebsrechnung der Einzel- und Kollektivversicherung insgesamt </t>
  </si>
  <si>
    <t xml:space="preserve">Betriebsrechnung der Einzelversicherung </t>
  </si>
  <si>
    <t>Betriebsrechnung der Kollektivversicherung</t>
  </si>
  <si>
    <t>7: Andere Versicherungen der vom BAG anerkannten Krankenversicherer</t>
  </si>
  <si>
    <t>Indikatoren der Betriebsrechnung der anderen Versicherungen</t>
  </si>
  <si>
    <t>Betriebsrechnung der Zusatzversicherungen VVG</t>
  </si>
  <si>
    <t xml:space="preserve">Betriebsrechnung der Krankenpflegeversicherung Liechtenstein </t>
  </si>
  <si>
    <t>Betriebsrechnung der Zusatzversicherungen Versicherte wohnhaft im Ausland</t>
  </si>
  <si>
    <t>9: Zusatzinformationen zum Gesundheitswesen</t>
  </si>
  <si>
    <t xml:space="preserve">Leistungen (brutto) in Fr. je versicherte Person nach Versicherungsform </t>
  </si>
  <si>
    <t>(vgl. hierzu auch Tabellen 2.14, 2.16 et 2.17).</t>
  </si>
  <si>
    <r>
      <t xml:space="preserve">T 2.04  Bruttokosten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nach Kantonen</t>
    </r>
  </si>
  <si>
    <r>
      <t xml:space="preserve">1) Bruttokosten = Leistungen (brutto) der Versicherer in der OKP </t>
    </r>
    <r>
      <rPr>
        <b/>
        <sz val="10"/>
        <rFont val="Arial"/>
        <family val="2"/>
      </rPr>
      <t>mit</t>
    </r>
    <r>
      <rPr>
        <sz val="10"/>
        <rFont val="Arial"/>
        <family val="2"/>
      </rPr>
      <t xml:space="preserve"> Kostenbeteiligung durch die Versicherten;</t>
    </r>
  </si>
  <si>
    <t xml:space="preserve">  (vgl. hierzu auch Tabelle 2.20).</t>
  </si>
  <si>
    <r>
      <t xml:space="preserve">T 2.07  Effektive Kosten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Fr. nach Kantonen </t>
    </r>
  </si>
  <si>
    <r>
      <t xml:space="preserve">1) Effektive Kosten = (bezahlte) Leistungen der Versicherer in der OKP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 durch die Versicherten;</t>
    </r>
  </si>
  <si>
    <t>Publikation 2006</t>
  </si>
  <si>
    <t>901-922</t>
  </si>
  <si>
    <t>Sektion Statistik und Mathematik</t>
  </si>
  <si>
    <t>© Bundesamt für Gesundheit (BAG)</t>
  </si>
  <si>
    <t>Auszugsweiser Abdruck – ausser für kommerzielle Nutzung –  unter</t>
  </si>
  <si>
    <t>laufende Aufdatierung</t>
  </si>
  <si>
    <t>(0 - 100%)</t>
  </si>
  <si>
    <t>Gesamtgeschäft der vom BAG anerkannten Krankenversicherer</t>
  </si>
  <si>
    <r>
      <t>B</t>
    </r>
    <r>
      <rPr>
        <b/>
        <i/>
        <sz val="12"/>
        <rFont val="55 Helvetica Roman"/>
      </rPr>
      <t xml:space="preserve">     Bundesamt für Gesundheit</t>
    </r>
  </si>
  <si>
    <t>andere Teile folgen später</t>
  </si>
  <si>
    <t>501-504</t>
  </si>
  <si>
    <t>Teil 10</t>
  </si>
  <si>
    <t>1001-1003</t>
  </si>
  <si>
    <t>Risikoausgleich in der OKP</t>
  </si>
  <si>
    <t>H 04 A</t>
  </si>
  <si>
    <t>G 04 B</t>
  </si>
  <si>
    <t>H 04 B</t>
  </si>
  <si>
    <t>G 05</t>
  </si>
  <si>
    <t>H 05</t>
  </si>
  <si>
    <t>G 07</t>
  </si>
  <si>
    <t>G 08</t>
  </si>
  <si>
    <t>H 08</t>
  </si>
  <si>
    <t>9.10</t>
  </si>
  <si>
    <t>G 09</t>
  </si>
  <si>
    <t>H 09</t>
  </si>
  <si>
    <t>G 01 A</t>
  </si>
  <si>
    <t>G 03 A</t>
  </si>
  <si>
    <t>G 03 B</t>
  </si>
  <si>
    <t>G 04</t>
  </si>
  <si>
    <t>G 06</t>
  </si>
  <si>
    <t>G 10</t>
  </si>
  <si>
    <t>G 11</t>
  </si>
  <si>
    <t>G 12</t>
  </si>
  <si>
    <t>2.10</t>
  </si>
  <si>
    <t xml:space="preserve">* : Teil Tabellen </t>
  </si>
  <si>
    <t xml:space="preserve">Publikation 2000 </t>
  </si>
  <si>
    <t>F 02 -&gt; F 05</t>
  </si>
  <si>
    <t>F 01 -&gt; F 03</t>
  </si>
  <si>
    <t>3.11</t>
  </si>
  <si>
    <t>3.12</t>
  </si>
  <si>
    <t>3.13</t>
  </si>
  <si>
    <t>5.01 -&gt; 5.03</t>
  </si>
  <si>
    <t>5.00</t>
  </si>
  <si>
    <t>H 06 + H 07</t>
  </si>
  <si>
    <t>Krankenkasse 57</t>
  </si>
  <si>
    <t>C 02 A</t>
  </si>
  <si>
    <t>C 02 B</t>
  </si>
  <si>
    <t>C 03</t>
  </si>
  <si>
    <t>C 04</t>
  </si>
  <si>
    <t>C 05</t>
  </si>
  <si>
    <t>D 01 A</t>
  </si>
  <si>
    <t>D 01 B</t>
  </si>
  <si>
    <t>D 02</t>
  </si>
  <si>
    <t>D 03</t>
  </si>
  <si>
    <t>D 04</t>
  </si>
  <si>
    <t>E 01 A</t>
  </si>
  <si>
    <t>E 01 B</t>
  </si>
  <si>
    <t xml:space="preserve">E 01 </t>
  </si>
  <si>
    <t>E 02</t>
  </si>
  <si>
    <t>201-223</t>
  </si>
  <si>
    <t>9.21</t>
  </si>
  <si>
    <t>Belegexemplares an das Bundesamt für Gesundheit, Sektion Statistik und Mathematik gestattet.</t>
  </si>
  <si>
    <t>Verfügbar am:</t>
  </si>
  <si>
    <t>Vom Bund anerkannte Versicherungsträger</t>
  </si>
  <si>
    <t xml:space="preserve">Tabellen </t>
  </si>
  <si>
    <t>Teil 1</t>
  </si>
  <si>
    <t>Teil 2</t>
  </si>
  <si>
    <t>Leistungen und Kostenbeteiligung in der OKP</t>
  </si>
  <si>
    <t>Teil 3</t>
  </si>
  <si>
    <t>Prämien in der OKP</t>
  </si>
  <si>
    <t>Teil 4</t>
  </si>
  <si>
    <t>Prämienverbilligung in der OKP</t>
  </si>
  <si>
    <t>Teil 5</t>
  </si>
  <si>
    <t>Aufsichtsdaten OKP</t>
  </si>
  <si>
    <t>Teil 6</t>
  </si>
  <si>
    <t>601-606</t>
  </si>
  <si>
    <t>Freiwillige Taggeldversicherung KVG</t>
  </si>
  <si>
    <t>Teil 7</t>
  </si>
  <si>
    <t>Teil 8</t>
  </si>
  <si>
    <t>Teil 9</t>
  </si>
  <si>
    <t>Zusatzinformationen zum Gesundheitswesen</t>
  </si>
  <si>
    <t>Zusatzversicherungen VVG der vom BAG anerkannten Krankenversicherer</t>
  </si>
  <si>
    <t>Beilage B</t>
  </si>
  <si>
    <t>3.10</t>
  </si>
  <si>
    <t>401-411</t>
  </si>
  <si>
    <t>Finanzen und obligatorische Krankenpflegeversicherung (OKP)</t>
  </si>
  <si>
    <t>E 03</t>
  </si>
  <si>
    <t>E 04</t>
  </si>
  <si>
    <t>E 05</t>
  </si>
  <si>
    <t>E 06</t>
  </si>
  <si>
    <t>E 07</t>
  </si>
  <si>
    <t>E 08</t>
  </si>
  <si>
    <t>E 09</t>
  </si>
  <si>
    <t>E 10</t>
  </si>
  <si>
    <t>E 11</t>
  </si>
  <si>
    <t>F 01</t>
  </si>
  <si>
    <t>F 02</t>
  </si>
  <si>
    <t>F 03</t>
  </si>
  <si>
    <t>F 04</t>
  </si>
  <si>
    <t>G 01</t>
  </si>
  <si>
    <t>H 01</t>
  </si>
  <si>
    <t>G 02 A</t>
  </si>
  <si>
    <t>H 02 A</t>
  </si>
  <si>
    <t>G 02 B</t>
  </si>
  <si>
    <t>H 02 B</t>
  </si>
  <si>
    <t>G 03</t>
  </si>
  <si>
    <t>H 03</t>
  </si>
  <si>
    <t>G 04 A</t>
  </si>
  <si>
    <r>
      <t xml:space="preserve">Korrigierte Tabellen :      </t>
    </r>
    <r>
      <rPr>
        <sz val="11"/>
        <color indexed="10"/>
        <rFont val="55 Helvetica Roman"/>
      </rPr>
      <t>(Korrekturen in roter Farbe)</t>
    </r>
    <r>
      <rPr>
        <sz val="11"/>
        <rFont val="55 Helvetica Roman"/>
      </rPr>
      <t xml:space="preserve">  </t>
    </r>
    <r>
      <rPr>
        <b/>
        <sz val="11"/>
        <rFont val="55 Helvetica Roman"/>
      </rPr>
      <t xml:space="preserve">   </t>
    </r>
    <r>
      <rPr>
        <b/>
        <sz val="11"/>
        <color indexed="9"/>
        <rFont val="55 Helvetica Roman"/>
      </rPr>
      <t xml:space="preserve">     (gegenüber PDF Version und der gedruckten Version) :</t>
    </r>
  </si>
  <si>
    <t>5: Individuelle Daten pro Versicherer</t>
  </si>
  <si>
    <t>Aufsichtsdaten der Krankenversicherer OKP</t>
  </si>
  <si>
    <t>Erklärungen und Quellen für die Aufsichtsdaten</t>
  </si>
  <si>
    <t>8: Gesamtgeschäft der vom BAG anerkannten Krankenversicherer</t>
  </si>
  <si>
    <t>Gesamtbetriebsrechnung: Ertrag der Versicherer</t>
  </si>
  <si>
    <t xml:space="preserve">Gesamtbetriebsrechnung: Aufwand der Versicherer </t>
  </si>
  <si>
    <t>Bilanz: Aktiven der Versicherer per 31.12.</t>
  </si>
  <si>
    <t>Bilanz: Passiven der Versicherer per 31.12.</t>
  </si>
  <si>
    <t>Aufstellung über Kapitalanlagen, Grundstücke und Gebäude per 31.12.</t>
  </si>
  <si>
    <t>Ergebnisverteilung per 31.12.</t>
  </si>
  <si>
    <t>3: Prämientarife in der OKP</t>
  </si>
  <si>
    <t>Beilage I1</t>
  </si>
  <si>
    <t>Auswertung der Daten des DATENPOOLS von santésuisse durch das BAG für die Statistik der Krankenversicherung (STAT KV)</t>
  </si>
  <si>
    <t xml:space="preserve">Das BAG wertet die jährlichen Daten des DATENPOOLS von santésuisse aus, insbesondere um Daten nach Kanton oder Altersgruppe, </t>
  </si>
  <si>
    <t xml:space="preserve">die auf den Formularen EF 123 nicht verfügbar sind, in der STAT KV und im Internet, zur Verfügung zu stellen. </t>
  </si>
  <si>
    <t>(Zeitreihen nach Kanton oder Altersgruppe: www.bag.admin.ch/pyramiden)</t>
  </si>
  <si>
    <t xml:space="preserve">und Wohnort der versicherten Person erstellt wird und somit verschieden ist: www.bag.admin.ch/kmt). </t>
  </si>
  <si>
    <t xml:space="preserve">Diese Auswertung basiert auf der Gesamtheit der Versicherten, für die Alter, Geschlecht, Kanton,   </t>
  </si>
  <si>
    <t xml:space="preserve">Versicherungsform und Franchisenhöhe bekannt sind. </t>
  </si>
  <si>
    <t>Es werden nur die im Berichtsjahr gültigen Höhen der Wahlfranchisen ausgewiesen.</t>
  </si>
  <si>
    <t>-&gt; Diese Abgrenzung der Gesamtheit der Versicherten kann zu Abweichungen im Vergleich zu anderen Auswertungen führen.</t>
  </si>
  <si>
    <t xml:space="preserve">Da die Daten von santésuisse nicht auf einer Vollerhebung basieren (siehe nachfolgende Berechnung des Deckungsgrades), </t>
  </si>
  <si>
    <t>sind nur die durchschnittlichen Werte pro versicherte Person für Vergleiche relevant und werden vom BAG veröffentlicht.</t>
  </si>
  <si>
    <t>Berechnung des Abdeckungsgrades in %</t>
  </si>
  <si>
    <t>- nach Kanton (siehe I2)</t>
  </si>
  <si>
    <t>Anzahl der im Datenpool erfassten Versicherten (gemäss der oben definierten Gesamtheit der Versicherten) /</t>
  </si>
  <si>
    <t xml:space="preserve">  durchschnittlicher Versichertenbestand (Quelle: Risikoausgleich, T 11.14)</t>
  </si>
  <si>
    <t>- nach Altersgruppe (siehe I3)</t>
  </si>
  <si>
    <t xml:space="preserve"> durchschnittlicher Versichertenbestand (Quelle: Risikoausgleich, T 11.15)</t>
  </si>
  <si>
    <t>Stand der Daten:</t>
  </si>
  <si>
    <t xml:space="preserve"> 1997 - 2000 : 16.4.02 ; 2001-2002 : 24.4.03 ; 2003 : 28.4.04 ; 2004 : 4.6.05 ; 2005 : 16.5.06 ; 2006 : 25.4.07 ; 2007 : 25.4.08</t>
  </si>
  <si>
    <t>Die Daten entsprechen der Version der Jahresdaten des Datenpools, die für die Auswertung des BAG verwendert wurde.</t>
  </si>
  <si>
    <t>Das BAG nimmt keine Revision der veröffentlichen Daten vor, wenn santésuisse ihre Daten im Nachhinein korrigiert.</t>
  </si>
  <si>
    <t>Genauigkeit der Daten:</t>
  </si>
  <si>
    <t>Die Tatsache, dass der Datenpool nicht auf der Gesamtheit der Versicherten und Versicherer basiert, kann eine gewisse Ungenauigkeit der</t>
  </si>
  <si>
    <t>Daten zur Folge haben. Intuitiv kann man verstehen, dass diese Ungenauigkeit grundsätzlich zunimmt, je schwächer der Abdeckungsgrad</t>
  </si>
  <si>
    <t>und je kleiner die Zahl der für die Berechnung eines Wertes berücksichtigten Versicherten ist.</t>
  </si>
  <si>
    <t>Die Genauigkeit der Daten des Datenpools in Funktion des Abdeckungsgrads analytisch einzuschätzen, ist jedoch kein triviales Problem.</t>
  </si>
  <si>
    <t xml:space="preserve">Wir beschränken uns hier darauf, im Sinne eines Beispiels die Genauigkeit von 3 Serien darzustellen, für die </t>
  </si>
  <si>
    <t>"Referenzwerte" vorliegen, da sie aus der abschliessenden Vollerhebung mit den Formularen EF 123 oder dem Risikoausgleich stammen.</t>
  </si>
  <si>
    <t>Prämiensoll pro versicherte Person</t>
  </si>
  <si>
    <t>Kostenbeteiligung 2005</t>
  </si>
  <si>
    <t>T 3.12 STAT KV</t>
  </si>
  <si>
    <t>Datenpool</t>
  </si>
  <si>
    <t>Abweichung Datenpool - STAT KV</t>
  </si>
  <si>
    <t>T 2.13 STAT KV</t>
  </si>
  <si>
    <t>Nettoleistungen 2005</t>
  </si>
  <si>
    <t>T 2.09 STAT KV (*12)</t>
  </si>
  <si>
    <t>0 – 18</t>
  </si>
  <si>
    <t>19 – 25</t>
  </si>
  <si>
    <t>Im Anhang I4 werden die Abweichungen für die Hauptkostengruppen (Bruttokosten je versicherte Person) der OKP zwischen den Werten des</t>
  </si>
  <si>
    <t>Datenpools von santésuisse (Jahresdaten der Zeitreihen und Jahreszusammenfassung des Kostenmonitorings) und den Werten der KV-Statistik dargestellt.</t>
  </si>
  <si>
    <r>
      <t xml:space="preserve">Der gewählte Ansatz ist jener der Auswertung der </t>
    </r>
    <r>
      <rPr>
        <u/>
        <sz val="10"/>
        <rFont val="Arial"/>
        <family val="2"/>
      </rPr>
      <t>Jahres</t>
    </r>
    <r>
      <rPr>
        <sz val="10"/>
        <rFont val="Arial"/>
        <family val="2"/>
      </rPr>
      <t>Daten des DATENPOOLS nach Leistungsart</t>
    </r>
  </si>
  <si>
    <r>
      <t xml:space="preserve">und Wohnort der versicherten Person (im Gegensatz zu den </t>
    </r>
    <r>
      <rPr>
        <u/>
        <sz val="10"/>
        <rFont val="Arial"/>
        <family val="2"/>
      </rPr>
      <t>Monats</t>
    </r>
    <r>
      <rPr>
        <sz val="10"/>
        <rFont val="Arial"/>
        <family val="2"/>
      </rPr>
      <t>Daten für das Kostenmonitoring, das nach Leistungserbringer</t>
    </r>
  </si>
  <si>
    <t>Beilage I4</t>
  </si>
  <si>
    <t>Schätzungen der Bruttoleistungen des Datenpools von santésuisse: Hauptkostengruppen CH [in Franken je versicherte Person]</t>
  </si>
  <si>
    <t>Ver. 2006-07 in %</t>
  </si>
  <si>
    <t>e1 Zeitreihen</t>
  </si>
  <si>
    <t>Abweichung e1</t>
  </si>
  <si>
    <t>e2 Kostenmonitoring</t>
  </si>
  <si>
    <t>Abweichung e2</t>
  </si>
  <si>
    <t xml:space="preserve">2) Jene Zusatzversicherungen VVG, welche auch unternehmensrechtlich vom KVG-Bereich eines Versicherers abgetrennt werden, </t>
  </si>
  <si>
    <t>entziehen sich der Sicht der BAG-Krankenversicherungsstatistik.</t>
  </si>
  <si>
    <t>Quelle: Formular EF1 [6,7]</t>
  </si>
  <si>
    <r>
      <t xml:space="preserve">Obligatorische Krankenpflegeversicherung KVG </t>
    </r>
    <r>
      <rPr>
        <vertAlign val="superscript"/>
        <sz val="11"/>
        <rFont val="Arial"/>
        <family val="2"/>
      </rPr>
      <t>1</t>
    </r>
  </si>
  <si>
    <r>
      <t xml:space="preserve">Zusatzversicherungen VVG, inkl. Taggeld VVG </t>
    </r>
    <r>
      <rPr>
        <vertAlign val="superscript"/>
        <sz val="11"/>
        <rFont val="Arial"/>
        <family val="2"/>
      </rPr>
      <t>2</t>
    </r>
  </si>
  <si>
    <t xml:space="preserve">T 8.05 Gesamtbetriebsrechnung: Ertrag der Versicherer </t>
  </si>
  <si>
    <t>– Taggeld</t>
  </si>
  <si>
    <t>– Überschussbeteiligung auf Kollektivversicherung Taggeld</t>
  </si>
  <si>
    <t>60 – 63</t>
  </si>
  <si>
    <t>Erlösminderungen auf Prämien</t>
  </si>
  <si>
    <t>Andere Prämienanteile</t>
  </si>
  <si>
    <t>60 – 65</t>
  </si>
  <si>
    <t>Prämienanteile der Rückversicherer</t>
  </si>
  <si>
    <t>– Verwaltungsaufwand / Abschreibungen in Mio. Fr.</t>
  </si>
  <si>
    <t>– Gesamtbetriebsergebnis in Mio. Fr.</t>
  </si>
  <si>
    <t>12A</t>
  </si>
  <si>
    <t>– Rückstellungen: Stand per 31.12. in Mio. Fr.</t>
  </si>
  <si>
    <t>12C</t>
  </si>
  <si>
    <t>13A</t>
  </si>
  <si>
    <t>– Reserven: Stand per 31.12. in Mio. Fr.</t>
  </si>
  <si>
    <t>6) Quelle: T 3.12. Entwicklung pro versicherte Person für alle Versicherungsmodelle.</t>
  </si>
  <si>
    <r>
      <t xml:space="preserve">index </t>
    </r>
    <r>
      <rPr>
        <vertAlign val="superscript"/>
        <sz val="11"/>
        <rFont val="Arial"/>
        <family val="2"/>
      </rPr>
      <t>5</t>
    </r>
  </si>
  <si>
    <r>
      <t xml:space="preserve">index </t>
    </r>
    <r>
      <rPr>
        <vertAlign val="superscript"/>
        <sz val="11"/>
        <rFont val="Arial"/>
        <family val="2"/>
      </rPr>
      <t>2</t>
    </r>
  </si>
  <si>
    <r>
      <t xml:space="preserve">OKP </t>
    </r>
    <r>
      <rPr>
        <vertAlign val="superscript"/>
        <sz val="11"/>
        <rFont val="Arial"/>
        <family val="2"/>
      </rPr>
      <t>1</t>
    </r>
  </si>
  <si>
    <r>
      <t xml:space="preserve">OKP Index </t>
    </r>
    <r>
      <rPr>
        <vertAlign val="superscript"/>
        <sz val="11"/>
        <rFont val="Arial"/>
        <family val="2"/>
      </rPr>
      <t>3</t>
    </r>
  </si>
  <si>
    <r>
      <t xml:space="preserve">Index </t>
    </r>
    <r>
      <rPr>
        <vertAlign val="superscript"/>
        <sz val="11"/>
        <rFont val="Arial"/>
        <family val="2"/>
      </rPr>
      <t>6</t>
    </r>
  </si>
  <si>
    <r>
      <t xml:space="preserve">Index </t>
    </r>
    <r>
      <rPr>
        <vertAlign val="superscript"/>
        <sz val="11"/>
        <rFont val="Arial"/>
        <family val="2"/>
      </rPr>
      <t>4</t>
    </r>
  </si>
  <si>
    <r>
      <t xml:space="preserve">2) Quelle: T 9.05. Entwicklung pro Einwohner. </t>
    </r>
    <r>
      <rPr>
        <i/>
        <sz val="10"/>
        <rFont val="Arial"/>
        <family val="2"/>
      </rPr>
      <t>2007: Schätzung [KOF, Medienmitteilung 11/08].</t>
    </r>
  </si>
  <si>
    <r>
      <t xml:space="preserve">T 2.20  Bezahlte Leistungen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Mio. Franken nach Versicherungsform ab 1997</t>
    </r>
  </si>
  <si>
    <t>T 1.13  Stand der Rückstellungen per 31.12. für unerledigte Versicherungsfälle ab 1997</t>
  </si>
  <si>
    <t xml:space="preserve">T 3.10  Prämiensoll in Franken nach Versicherungsform </t>
  </si>
  <si>
    <t>Eingeschränkte Wahl (z.B. HMO)</t>
  </si>
  <si>
    <t>Quelle: Formular EF3 [T 3.4]</t>
  </si>
  <si>
    <t>T 1.12 Stand der Reserven per 31.12. ab 1997</t>
  </si>
  <si>
    <t>Reserve-</t>
  </si>
  <si>
    <t>pro ver-</t>
  </si>
  <si>
    <t>sicherte Per-</t>
  </si>
  <si>
    <t>son in Fr.</t>
  </si>
  <si>
    <r>
      <t xml:space="preserve">Kapitalanlagen nach Art. 80 KVV </t>
    </r>
    <r>
      <rPr>
        <i/>
        <vertAlign val="superscript"/>
        <sz val="11"/>
        <color indexed="10"/>
        <rFont val="Arial"/>
        <family val="2"/>
      </rPr>
      <t>1</t>
    </r>
  </si>
  <si>
    <t>60 – 66</t>
  </si>
  <si>
    <t>Prämienverbilligung und sonstige Beiträge / Subventionen</t>
  </si>
  <si>
    <t>– Beiträge zur Prämienverbilligung (Art. 65 KVG)</t>
  </si>
  <si>
    <t>– Beiträge anderer Institutionen z.G. der Versicherten</t>
  </si>
  <si>
    <t>– Beiträge z.G. des Versicheres</t>
  </si>
  <si>
    <t>– Beiträge an Insolvenzfonds</t>
  </si>
  <si>
    <t>Prämienermässigung an Versicherte</t>
  </si>
  <si>
    <t>67 – 68</t>
  </si>
  <si>
    <t>Eigene Subventionen und Beiträge</t>
  </si>
  <si>
    <t>Liegenschaftsrechnung</t>
  </si>
  <si>
    <t>– Liegenschaftsergebnis</t>
  </si>
  <si>
    <t>Quelle: Formular PV2 [2.3]</t>
  </si>
  <si>
    <t>1) Für massgebende Einkommen, die höher sind als die obenstehenden Beträge, werden keine Subventionen mehr ausbezahlt.</t>
  </si>
  <si>
    <t>Das massgebende Einkommen entspricht einem je nach Kanton definierten Einkommen, meist "steuerbares Einkommen" aber auch "Reineinkommen"</t>
  </si>
  <si>
    <t>oder "Effektives Einkommen", zuzüglich einem bestimmten Anteil des Vermögens (meist "steuerbares Vermögen" oder "Reinvermögen").</t>
  </si>
  <si>
    <t>2) Keine Obergrenze mit Kind(ern).</t>
  </si>
  <si>
    <r>
      <t xml:space="preserve">T 4.06 Kantonale Grenzbeträge für die Berechtigung: Massgebende Einkommen </t>
    </r>
    <r>
      <rPr>
        <b/>
        <vertAlign val="superscript"/>
        <sz val="12"/>
        <rFont val="Arial"/>
        <family val="2"/>
      </rPr>
      <t>1</t>
    </r>
  </si>
  <si>
    <r>
      <t>LU</t>
    </r>
    <r>
      <rPr>
        <vertAlign val="superscript"/>
        <sz val="11"/>
        <rFont val="Arial"/>
        <family val="2"/>
      </rPr>
      <t xml:space="preserve"> 2</t>
    </r>
  </si>
  <si>
    <t>der Versicherten sind unterhalb dieser Prämie</t>
  </si>
  <si>
    <t>der Versicherten sind unterhalb und oberhalb dieser Prämie</t>
  </si>
  <si>
    <t>der Versicherten sind oberhalb dieser Prämie</t>
  </si>
  <si>
    <r>
      <t>T 3.07  Verteilung der kantonalen monatlichen Durchschnittsprämien</t>
    </r>
    <r>
      <rPr>
        <b/>
        <vertAlign val="superscript"/>
        <sz val="12"/>
        <rFont val="Arial"/>
        <family val="2"/>
      </rPr>
      <t xml:space="preserve"> 1</t>
    </r>
  </si>
  <si>
    <r>
      <t xml:space="preserve">T 3.06  Verteilung der kantonalen monatlichen Durchschnittsprämien </t>
    </r>
    <r>
      <rPr>
        <b/>
        <vertAlign val="superscript"/>
        <sz val="12"/>
        <rFont val="Arial"/>
        <family val="2"/>
      </rPr>
      <t>1</t>
    </r>
  </si>
  <si>
    <t>Schätzung basierend auf den Prämien 2009 und der Aufteilung der Versicherten 2007.</t>
  </si>
  <si>
    <r>
      <t xml:space="preserve">T 3.05  Verteilung der kantonalen monatlichen Durchschnittsprämien </t>
    </r>
    <r>
      <rPr>
        <b/>
        <vertAlign val="superscript"/>
        <sz val="12"/>
        <rFont val="Arial"/>
        <family val="2"/>
      </rPr>
      <t>1</t>
    </r>
  </si>
  <si>
    <t>29.10.08: 3.05, 3.06, 3.07, 4.06, 4.08, J1, J2</t>
  </si>
  <si>
    <t>für junge Erwachsene (19 - 25 Jahre) in Franken für 2009</t>
  </si>
  <si>
    <t>* Datenstand: 2008 (e1) &amp; 2009 (e2) : 3.10.08</t>
  </si>
  <si>
    <t>- Schätzung 1: geschätzte Werte aus dem Prämiengenehmigungsverfahren des BAG *, Schätzung für das laufende Jahr</t>
  </si>
  <si>
    <t xml:space="preserve">- Schätzung 2: geschätzte Werte aus dem Prämiengenehmigungsverfahren des BAG *, Schätzung für das Folgejahr </t>
  </si>
  <si>
    <t>In der XLS Version sind die Daten</t>
  </si>
  <si>
    <t>meistens ab 1996 verfügbar</t>
  </si>
  <si>
    <t>29.10.08: 4.07, T1d</t>
  </si>
  <si>
    <t>T 10.02  Risikoausgleich: Bruttoumverteilung und Nettoumverteilung in Mio. Fr. ab 1997</t>
  </si>
  <si>
    <t>T 10.01  Risikoausgleich: Nettozahler und Nettoempfänger ab 1997</t>
  </si>
  <si>
    <t>Netto-</t>
  </si>
  <si>
    <t>Anteil</t>
  </si>
  <si>
    <t>am Total</t>
  </si>
  <si>
    <t>1) Anzahl OKP Versicherer, die für das Ausgleichsjahr eine Abgabe an den Risikoausgleich leisten mussten (Nettozahler),</t>
  </si>
  <si>
    <t xml:space="preserve">    resp. einen Beitrag aus dem Risikoausgleich erhielten (Nettoempfänger).</t>
  </si>
  <si>
    <r>
      <t xml:space="preserve">zahler </t>
    </r>
    <r>
      <rPr>
        <vertAlign val="superscript"/>
        <sz val="11"/>
        <rFont val="Arial"/>
        <family val="2"/>
      </rPr>
      <t>1</t>
    </r>
  </si>
  <si>
    <r>
      <t xml:space="preserve">empfänger </t>
    </r>
    <r>
      <rPr>
        <vertAlign val="superscript"/>
        <sz val="11"/>
        <rFont val="Arial"/>
        <family val="2"/>
      </rPr>
      <t>1</t>
    </r>
  </si>
  <si>
    <t>–</t>
  </si>
  <si>
    <t>11.7.08: 2.05, 2.06, 2.08-&gt;2.12, 10.01-&gt;10.03</t>
  </si>
  <si>
    <t>Datenstand: 28.7.08</t>
  </si>
  <si>
    <t>T 4.02 Anzahl Bezüger nach Geschlecht und Kantonen</t>
  </si>
  <si>
    <t xml:space="preserve">davon </t>
  </si>
  <si>
    <t>Männliche</t>
  </si>
  <si>
    <t>Weibliche</t>
  </si>
  <si>
    <t>Bezüger, deren</t>
  </si>
  <si>
    <t>Personen</t>
  </si>
  <si>
    <t>Ergänzungs-</t>
  </si>
  <si>
    <t>Sozialhilfe-</t>
  </si>
  <si>
    <t>OKP Prämien</t>
  </si>
  <si>
    <t>Leistungs-</t>
  </si>
  <si>
    <t>Bezüger</t>
  </si>
  <si>
    <t>vollumfänglich</t>
  </si>
  <si>
    <t>verbilligt werden</t>
  </si>
  <si>
    <t>Quelle: Formular PV2 [2.1]</t>
  </si>
  <si>
    <t>1) Anzahl Personen, an welche im Berichtsjahr Subventionen nach KVG ausgerichtet wurden.</t>
  </si>
  <si>
    <r>
      <t xml:space="preserve">Bezüger </t>
    </r>
    <r>
      <rPr>
        <vertAlign val="superscript"/>
        <sz val="11"/>
        <rFont val="Arial"/>
        <family val="2"/>
      </rPr>
      <t>1</t>
    </r>
  </si>
  <si>
    <t>T 4.03 Anzahl Bezüger nach Geschlecht und Altersgruppen</t>
  </si>
  <si>
    <t>Altersgruppe</t>
  </si>
  <si>
    <t>männlich</t>
  </si>
  <si>
    <t>weiblich</t>
  </si>
  <si>
    <t>Anteil am</t>
  </si>
  <si>
    <t>Gesamt-</t>
  </si>
  <si>
    <t>total</t>
  </si>
  <si>
    <t>0 – 5</t>
  </si>
  <si>
    <t>6 – 10</t>
  </si>
  <si>
    <t>11 – 15</t>
  </si>
  <si>
    <t>16 – 18</t>
  </si>
  <si>
    <t>19 – 20</t>
  </si>
  <si>
    <t>20 – 25</t>
  </si>
  <si>
    <t>26 – 30</t>
  </si>
  <si>
    <t>31 – 35</t>
  </si>
  <si>
    <t>36 – 40</t>
  </si>
  <si>
    <t>41 – 45</t>
  </si>
  <si>
    <t>46 – 50</t>
  </si>
  <si>
    <t>51 – 55</t>
  </si>
  <si>
    <t>56 – 60</t>
  </si>
  <si>
    <t>61 – 65</t>
  </si>
  <si>
    <t>66 – 70</t>
  </si>
  <si>
    <t>71 – 75</t>
  </si>
  <si>
    <t>76 – 80</t>
  </si>
  <si>
    <t>81 – 85</t>
  </si>
  <si>
    <t>86 – 90</t>
  </si>
  <si>
    <t>91 – 95</t>
  </si>
  <si>
    <t>96 und mehr</t>
  </si>
  <si>
    <t>Alter unbekannt</t>
  </si>
  <si>
    <t>Haushaltgrösse gemäss Anzahl Haushaltsmitglieder</t>
  </si>
  <si>
    <t>Haushalte</t>
  </si>
  <si>
    <t>davon</t>
  </si>
  <si>
    <t>1 Person</t>
  </si>
  <si>
    <t>2 Perso-</t>
  </si>
  <si>
    <t>3 Perso-</t>
  </si>
  <si>
    <t>4 Perso-</t>
  </si>
  <si>
    <t>5 Perso-</t>
  </si>
  <si>
    <t>alleiner-</t>
  </si>
  <si>
    <t>nen</t>
  </si>
  <si>
    <t>nen und</t>
  </si>
  <si>
    <t>ziehende</t>
  </si>
  <si>
    <t>mehr</t>
  </si>
  <si>
    <t xml:space="preserve">FR </t>
  </si>
  <si>
    <t xml:space="preserve">SO </t>
  </si>
  <si>
    <t>Quelle: Formular PV2 [2.2]</t>
  </si>
  <si>
    <t>1) Anzahl subventionierte Haushalte im Sinne der kantonalen Regelungen zur Prämienverbilligung.</t>
  </si>
  <si>
    <t>2) Alleinerziehende Personen mit einem oder mehreren Kindern.</t>
  </si>
  <si>
    <r>
      <t xml:space="preserve">T 4.04 Anzahl subventionierte Haushalte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Haushaltsgrösse und Kantonen</t>
    </r>
  </si>
  <si>
    <r>
      <t xml:space="preserve">Haushalte </t>
    </r>
    <r>
      <rPr>
        <vertAlign val="superscript"/>
        <sz val="11"/>
        <rFont val="Arial"/>
        <family val="2"/>
      </rPr>
      <t>2</t>
    </r>
  </si>
  <si>
    <t>Ausbezahlter Jahresbetrag</t>
  </si>
  <si>
    <t>1 - 600 Fr.</t>
  </si>
  <si>
    <t>601 -</t>
  </si>
  <si>
    <t>1'201 -</t>
  </si>
  <si>
    <t>2'401 -</t>
  </si>
  <si>
    <t>3'601 -</t>
  </si>
  <si>
    <t>mehr als</t>
  </si>
  <si>
    <t>Jahresbetrag</t>
  </si>
  <si>
    <t>1'200 Fr.</t>
  </si>
  <si>
    <t>2'400 Fr.</t>
  </si>
  <si>
    <t>3'600 Fr.</t>
  </si>
  <si>
    <t>4'800 Fr.</t>
  </si>
  <si>
    <t>unbekannt</t>
  </si>
  <si>
    <r>
      <t xml:space="preserve">T 4.05 Anzahl subventionierte Haushalte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ausbezahltem Jahresbetrag und Kantonen </t>
    </r>
  </si>
  <si>
    <t/>
  </si>
  <si>
    <t>29.7.08: 4.02 -&gt; 4.05</t>
  </si>
  <si>
    <t>T 2.19  Leistungen (brutto) in Franken je versicherte Person nach Kostengruppen</t>
  </si>
  <si>
    <t>Kostengruppen</t>
  </si>
  <si>
    <t>total in %</t>
  </si>
  <si>
    <t>in Fr.</t>
  </si>
  <si>
    <t>Arzt ambulant</t>
  </si>
  <si>
    <t>Spital ambulant</t>
  </si>
  <si>
    <t>Medikamente Arzt</t>
  </si>
  <si>
    <t>Medikamente Apotheke</t>
  </si>
  <si>
    <t>Spitex</t>
  </si>
  <si>
    <t>Physiotherapie</t>
  </si>
  <si>
    <t>Labor</t>
  </si>
  <si>
    <t>Chiropraktik</t>
  </si>
  <si>
    <t>Mittel und Gegenstände</t>
  </si>
  <si>
    <t>Komplementärmedizin</t>
  </si>
  <si>
    <t>Übrige Leistungen ambulant</t>
  </si>
  <si>
    <t>Leistungen Total</t>
  </si>
  <si>
    <t>davon Leistungen Mutterschaft</t>
  </si>
  <si>
    <t>1) Sofern keine Aufteilung nach den anderen aufgeführten Kostengruppen möglich ist.</t>
  </si>
  <si>
    <t>2) Intra-muros Behandlung; andere Gruppen = ambulante Behandlung.</t>
  </si>
  <si>
    <t>3) Kategorie "Medikamente Spital ambulant" : gehört zur Kategorie "Spital ambulant".</t>
  </si>
  <si>
    <t>Quelle: T 2.17 / T 11.01</t>
  </si>
  <si>
    <r>
      <t xml:space="preserve">Spital stationär </t>
    </r>
    <r>
      <rPr>
        <vertAlign val="superscript"/>
        <sz val="11"/>
        <rFont val="Arial"/>
        <family val="2"/>
      </rPr>
      <t>2</t>
    </r>
  </si>
  <si>
    <r>
      <t xml:space="preserve">Pflegeheim </t>
    </r>
    <r>
      <rPr>
        <vertAlign val="superscript"/>
        <sz val="11"/>
        <rFont val="Arial"/>
        <family val="2"/>
      </rPr>
      <t>2</t>
    </r>
  </si>
  <si>
    <r>
      <t xml:space="preserve">Betriebsbeiträge an HMO's </t>
    </r>
    <r>
      <rPr>
        <vertAlign val="superscript"/>
        <sz val="11"/>
        <rFont val="Arial"/>
        <family val="2"/>
      </rPr>
      <t>1</t>
    </r>
  </si>
  <si>
    <r>
      <t xml:space="preserve">Übrige Leistungen stationär </t>
    </r>
    <r>
      <rPr>
        <vertAlign val="superscript"/>
        <sz val="11"/>
        <rFont val="Arial"/>
        <family val="2"/>
      </rPr>
      <t>2</t>
    </r>
  </si>
  <si>
    <r>
      <t xml:space="preserve">davon Medikamente Spital ambulant </t>
    </r>
    <r>
      <rPr>
        <i/>
        <vertAlign val="superscript"/>
        <sz val="11"/>
        <rFont val="Arial"/>
        <family val="2"/>
      </rPr>
      <t>3</t>
    </r>
  </si>
  <si>
    <t xml:space="preserve">Jahr </t>
  </si>
  <si>
    <t>Ambulante</t>
  </si>
  <si>
    <t>Behandlung</t>
  </si>
  <si>
    <t>Arzt</t>
  </si>
  <si>
    <t>Spital</t>
  </si>
  <si>
    <t>Medikamente</t>
  </si>
  <si>
    <t>Mittel und</t>
  </si>
  <si>
    <t>Betriebsbeiträge</t>
  </si>
  <si>
    <t>Komplementär-</t>
  </si>
  <si>
    <t>(ambulant)</t>
  </si>
  <si>
    <t>(Arzt)</t>
  </si>
  <si>
    <t>(Apotheke)</t>
  </si>
  <si>
    <t>Gegenstände</t>
  </si>
  <si>
    <t>an HMO's</t>
  </si>
  <si>
    <t>medizin</t>
  </si>
  <si>
    <t>Jahresdurch-schnittliche Veränderung 1998-2007</t>
  </si>
  <si>
    <t>Jahr</t>
  </si>
  <si>
    <t>«Intra-muros»</t>
  </si>
  <si>
    <t>Leistungen</t>
  </si>
  <si>
    <t xml:space="preserve">Spital </t>
  </si>
  <si>
    <t>Pflegeheim</t>
  </si>
  <si>
    <t>(stationär)</t>
  </si>
  <si>
    <t>R1</t>
  </si>
  <si>
    <t>R2</t>
  </si>
  <si>
    <t>R3</t>
  </si>
  <si>
    <t>RU</t>
  </si>
  <si>
    <t>Jahresdurch-</t>
  </si>
  <si>
    <t>schnittliche</t>
  </si>
  <si>
    <t>Veränderung</t>
  </si>
  <si>
    <t>Quelle: Genehmigungsverfahren für Krankenversicherungsprämien, BAG.</t>
  </si>
  <si>
    <t>1) Vgl. Fussnote 1) von Tabelle 3.01.</t>
  </si>
  <si>
    <t>2) Die Krankenkassen dürfen innerhalb eines Kantons bis zu drei unterschiedliche Regionaltarife anwenden (R1, R2, R3).</t>
  </si>
  <si>
    <t>Einige Kantone haben nur eine Region: die Krankenkassen wenden eine Einheitsprämie an (RU).</t>
  </si>
  <si>
    <t>3) Prämien publiziert im OKP Prämienwegweiser 2009 vom BAG.</t>
  </si>
  <si>
    <r>
      <t xml:space="preserve">T 3.02 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Prämienregion </t>
    </r>
    <r>
      <rPr>
        <b/>
        <vertAlign val="superscript"/>
        <sz val="12"/>
        <rFont val="Arial"/>
        <family val="2"/>
      </rPr>
      <t>2</t>
    </r>
  </si>
  <si>
    <r>
      <t xml:space="preserve">Total </t>
    </r>
    <r>
      <rPr>
        <b/>
        <vertAlign val="superscript"/>
        <sz val="11"/>
        <rFont val="Arial"/>
        <family val="2"/>
      </rPr>
      <t>3</t>
    </r>
  </si>
  <si>
    <r>
      <t xml:space="preserve">T 3.03 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Prämienregion </t>
    </r>
    <r>
      <rPr>
        <b/>
        <vertAlign val="superscript"/>
        <sz val="12"/>
        <rFont val="Arial"/>
        <family val="2"/>
      </rPr>
      <t>2</t>
    </r>
  </si>
  <si>
    <r>
      <t xml:space="preserve">T 3.04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Prämienregion </t>
    </r>
    <r>
      <rPr>
        <b/>
        <vertAlign val="superscript"/>
        <sz val="12"/>
        <rFont val="Arial"/>
        <family val="2"/>
      </rPr>
      <t>2</t>
    </r>
  </si>
  <si>
    <t>für Erwachsene (26 Jahre und mehr) in Franken für 2009</t>
  </si>
  <si>
    <t>Datenstand: 3.10.08</t>
  </si>
  <si>
    <t xml:space="preserve">- Flex-Versicherung bei der Versicherte von Fall zu Fall die Abteilung in der sie behandelt werden wollen und die dazu gehörigen Franchise </t>
  </si>
  <si>
    <t xml:space="preserve">  bzw. Kostenbeteiligung für Halb­privat oder Privat Abteilung wählen können.</t>
  </si>
  <si>
    <t>- Spitalzimmerversicherung für die freie Wahl von Ein- oder Zweibettzimmern in der allgemeinen Spitalabteilung</t>
  </si>
  <si>
    <t>- Taggeldversicherung im Zusammenhang mit Spitalaufenthalten bei denen der Versicherte einen fixen Betrag pro Spitaltag erhält.</t>
  </si>
  <si>
    <t>- Behandlungskostenversicherung bei Spitalaufenthalten mit einem definierten Maximalbetrag pro Jahr.</t>
  </si>
  <si>
    <t>6) KVG + Privatversicherer. Quelle : BPV: www.bpv.admin.ch &gt; Themen &gt; Krankenzusatzversicherung &gt; Zahlen und Fakten.   Mit Vorsicht zu interpretieren.</t>
  </si>
  <si>
    <r>
      <t xml:space="preserve"> KVG-Versicherer </t>
    </r>
    <r>
      <rPr>
        <b/>
        <vertAlign val="superscript"/>
        <sz val="11"/>
        <rFont val="Arial"/>
        <family val="2"/>
      </rPr>
      <t>2</t>
    </r>
  </si>
  <si>
    <r>
      <t xml:space="preserve"> KVG-Versicherer </t>
    </r>
    <r>
      <rPr>
        <b/>
        <vertAlign val="superscript"/>
        <sz val="11"/>
        <rFont val="Arial"/>
        <family val="2"/>
      </rPr>
      <t>4</t>
    </r>
  </si>
  <si>
    <r>
      <t xml:space="preserve"> Privatversicherer </t>
    </r>
    <r>
      <rPr>
        <b/>
        <vertAlign val="superscript"/>
        <sz val="11"/>
        <rFont val="Arial"/>
        <family val="2"/>
      </rPr>
      <t>1</t>
    </r>
  </si>
  <si>
    <r>
      <t xml:space="preserve">Versicherer </t>
    </r>
    <r>
      <rPr>
        <b/>
        <vertAlign val="superscript"/>
        <sz val="11"/>
        <rFont val="Arial"/>
        <family val="2"/>
      </rPr>
      <t>6</t>
    </r>
  </si>
  <si>
    <r>
      <t xml:space="preserve">Angebote </t>
    </r>
    <r>
      <rPr>
        <vertAlign val="superscript"/>
        <sz val="11"/>
        <rFont val="Arial"/>
        <family val="2"/>
      </rPr>
      <t>5</t>
    </r>
  </si>
  <si>
    <t>Quelle: BFS Sektion Bevölkerungsentwicklung &amp; T 4.02 &amp; T 4.05</t>
  </si>
  <si>
    <t>1) Durchschnittliche Wohnbevölkerung in einem bestimmten Gebiet nach wirtschaftlichem Wohnsitz (BFS).</t>
  </si>
  <si>
    <t>2) Anzahl Personen in % der mittleren Wohnbevölkerung des Berichtsjahres.</t>
  </si>
  <si>
    <t xml:space="preserve">    Die Quote ist approximativ und mit Vorsicht zu behandeln, weil die Wohnbevölverung (gemäss der Definition des BFS) </t>
  </si>
  <si>
    <t xml:space="preserve">    von der Zahl der OKP-Versicherten abweichen kann, die theoretisch einen Anspruch auf Prämienverbilligung haben könnten.</t>
  </si>
  <si>
    <t>3) Gemäss eidgenössischer Volkszählung 2000.</t>
  </si>
  <si>
    <t>4) Die Zahlen sind nur begrenzt vergleichbar, da</t>
  </si>
  <si>
    <t>- Vergleich der Zahlen dieses Jahres mit den Haushalten von 2000,</t>
  </si>
  <si>
    <t>- unterschiedliche Definition des Begriffes Haushalt.</t>
  </si>
  <si>
    <r>
      <t xml:space="preserve">Mittlere Wohnbevölkerung </t>
    </r>
    <r>
      <rPr>
        <vertAlign val="superscript"/>
        <sz val="11"/>
        <rFont val="Arial"/>
        <family val="2"/>
      </rPr>
      <t>1</t>
    </r>
  </si>
  <si>
    <r>
      <t xml:space="preserve">Bezügerquoten (approximativ) </t>
    </r>
    <r>
      <rPr>
        <vertAlign val="superscript"/>
        <sz val="11"/>
        <rFont val="Arial"/>
        <family val="2"/>
      </rPr>
      <t>2</t>
    </r>
  </si>
  <si>
    <r>
      <t xml:space="preserve">Total </t>
    </r>
    <r>
      <rPr>
        <vertAlign val="superscript"/>
        <sz val="11"/>
        <rFont val="Arial"/>
        <family val="2"/>
      </rPr>
      <t>3</t>
    </r>
  </si>
  <si>
    <r>
      <t xml:space="preserve">in % </t>
    </r>
    <r>
      <rPr>
        <vertAlign val="superscript"/>
        <sz val="11"/>
        <rFont val="Arial"/>
        <family val="2"/>
      </rPr>
      <t>4</t>
    </r>
  </si>
  <si>
    <t>Datenstand : 13.10.08</t>
  </si>
  <si>
    <t>T 4.07 Maximale, budgetierte und ausbezahlte Subventionen ab 1997</t>
  </si>
  <si>
    <t>Subven-</t>
  </si>
  <si>
    <t>Reduktions-</t>
  </si>
  <si>
    <t>Ausbezahlte</t>
  </si>
  <si>
    <t>budget nach</t>
  </si>
  <si>
    <t>Subventionen</t>
  </si>
  <si>
    <t>Durchschnitt</t>
  </si>
  <si>
    <t>CH in %</t>
  </si>
  <si>
    <t>Quelle: Fussnote 1) &amp; T 4.09 &amp; T 4.10</t>
  </si>
  <si>
    <t xml:space="preserve">1) Maximaler Subventionsbetrag von Bund und Kantonen gemäss KVG-Verteilmodell: </t>
  </si>
  <si>
    <t xml:space="preserve">   Art. 106 KVG &amp; Bundesbeschlüsse über die Bundesbeiträge in der Krankenversicherung.</t>
  </si>
  <si>
    <t>2) Vgl. Art. 66 Abs. 5 KVG: "Der Kanton darf den (...) von ihm zu übernehmenden Betrag um maximal 50 Prozent kürzen, wenn</t>
  </si>
  <si>
    <t>die Prämienverbilligung für Versicherte in bescheidenen wirtschaftlichen Verhältnissen trotzdem sichergestellt ist. Der Beitrag</t>
  </si>
  <si>
    <t>des Bundes an diesen Kanton wird im gleichen Verhältnis gekürzt".</t>
  </si>
  <si>
    <t>3) Subventionsbudget = maximaler Subventionsbetrag abzüglich der Kürzungsbeträge von Kantonen und Bund (vgl. Fussnote 2).</t>
  </si>
  <si>
    <t>4) Effektiv im Berichtsjahr an die Haushalte/BezügerInnen ausbezahlte Prämienverbilligungen nach KVG.</t>
  </si>
  <si>
    <t xml:space="preserve">     Die Werte für 1996 und 2004 wurden revidiert.</t>
  </si>
  <si>
    <r>
      <t xml:space="preserve">tionsziel </t>
    </r>
    <r>
      <rPr>
        <vertAlign val="superscript"/>
        <sz val="11"/>
        <rFont val="Arial"/>
        <family val="2"/>
      </rPr>
      <t>1</t>
    </r>
  </si>
  <si>
    <r>
      <t xml:space="preserve">faktor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:</t>
    </r>
  </si>
  <si>
    <r>
      <t xml:space="preserve">Kürzungen </t>
    </r>
    <r>
      <rPr>
        <vertAlign val="superscript"/>
        <sz val="11"/>
        <rFont val="Arial"/>
        <family val="2"/>
      </rPr>
      <t>3</t>
    </r>
  </si>
  <si>
    <r>
      <t xml:space="preserve">nach KVG </t>
    </r>
    <r>
      <rPr>
        <vertAlign val="superscript"/>
        <sz val="11"/>
        <rFont val="Arial"/>
        <family val="2"/>
      </rPr>
      <t>4</t>
    </r>
  </si>
  <si>
    <t>T 4.01 Anzahl Bezüger, Bezügerquoten, subventionierte Haushalte sowie ausgerichtete Subventionen nach KVG ab 1997</t>
  </si>
  <si>
    <t>Bezüger-</t>
  </si>
  <si>
    <t>Anzahl sub-</t>
  </si>
  <si>
    <t>Subvention</t>
  </si>
  <si>
    <t>Innen-</t>
  </si>
  <si>
    <t>ventionierte</t>
  </si>
  <si>
    <t>Innen</t>
  </si>
  <si>
    <t>Quelle: T 4.02 &amp; 4.04 &amp; 4.10 &amp; 4.11</t>
  </si>
  <si>
    <t>1) Angaben zu Bezügern und subventionierten Haushalten der Jahre 1996 und 1997 teilweise unvollständig.</t>
  </si>
  <si>
    <t>2) Anzahl Bezügern in Prozent der mittleren Wohnbevölkerung des entsprechenden Berichtsjahres. Siehe T 4.11 Fussnote 2).</t>
  </si>
  <si>
    <t>16.10.08: 4.01, 4.07, 4.09 -&gt; 4.11</t>
  </si>
  <si>
    <t>Leistungsanteile der Rückversicherer (-)</t>
  </si>
  <si>
    <t>Risikoausgleich</t>
  </si>
  <si>
    <t>nicht mehr</t>
  </si>
  <si>
    <t>Neuer</t>
  </si>
  <si>
    <t>Neue</t>
  </si>
  <si>
    <t>Neues</t>
  </si>
  <si>
    <t>Zusammenschluss oder Transfer mit</t>
  </si>
  <si>
    <t>Nr.</t>
  </si>
  <si>
    <t>in der</t>
  </si>
  <si>
    <t>Versicherer</t>
  </si>
  <si>
    <t>Namen</t>
  </si>
  <si>
    <t>Tätikeits-</t>
  </si>
  <si>
    <t>BAG-Nr. / Versicherer</t>
  </si>
  <si>
    <t>gebiet</t>
  </si>
  <si>
    <t>CH</t>
  </si>
  <si>
    <t>Total</t>
  </si>
  <si>
    <t>1) Nach dem Entzug der Anerkennung als Krankenversicherer wurden die Leistungen durch den Insolvenzfonds (Gemeinsame Einrichtung) erbracht.</t>
  </si>
  <si>
    <r>
      <t xml:space="preserve">BAG-Liste </t>
    </r>
    <r>
      <rPr>
        <vertAlign val="superscript"/>
        <sz val="10"/>
        <rFont val="Arial"/>
        <family val="2"/>
      </rPr>
      <t>1</t>
    </r>
  </si>
  <si>
    <t>11: Versicherte in der OKP</t>
  </si>
  <si>
    <t>Versichertenbestand nach Wohnkanton per 31.12.</t>
  </si>
  <si>
    <t>Statistik der obligatorischen Krankenversicherung 2007, Bundesamt für Gesundheit</t>
  </si>
  <si>
    <t>(Beilage B2</t>
  </si>
  <si>
    <t>Übergangsschlüssel Tabellen  2006 -&gt; 1996 )</t>
  </si>
  <si>
    <t xml:space="preserve"> www.bag.admin.ch/pyramiden            </t>
  </si>
  <si>
    <t>Übergangsschlüssel Tabellen  2007 -&gt; 1996</t>
  </si>
  <si>
    <t>Datenpool santésuisse : Abdeckungsgrad, Datenstand und Genauigkeit der Daten 1997-2007</t>
  </si>
  <si>
    <t>Schätzungen aus dem Prämiengenehmigungsverfahren : Eckwerte 2000-2009</t>
  </si>
  <si>
    <t>Durchschnittlicher Versichertenbestand ab 1997</t>
  </si>
  <si>
    <t>Versichertenbestand ab 1997 per 31.12.</t>
  </si>
  <si>
    <t xml:space="preserve">   Mit Vorsicht zu interpretieren. Es sind keine Informationen zu der Einteilung spezieller Versicherungsangebote vorhanden (vgl. Fussnote 5).</t>
  </si>
  <si>
    <t>2) Quelle: Bundesamt für Gesundheit (BAG), Formular EF3 [3.7.3].</t>
  </si>
  <si>
    <t xml:space="preserve">   Es können nur Versicherte berücksichtigt werden, welche die Zusatzversicherung beim gleichen Versicherer abgeschlossen haben wie die obligatorische Krankenpflegeversicherung.</t>
  </si>
  <si>
    <t>3) Quelle: T 11.06.</t>
  </si>
  <si>
    <t>4) Quelle: Bundesamt für Gesundheit (BAG), Formular EF3 [3.7.3].</t>
  </si>
  <si>
    <t xml:space="preserve">  Nur Versicherte, welche die Zusatzversicherung beim anderen Versicherer abgeschlossen haben als die obligatorische Krankenpflegeversicherung.</t>
  </si>
  <si>
    <t>5) Besondere Versicherungsangebote :</t>
  </si>
  <si>
    <t>Neuheiten im Jahr 2007 (1)</t>
  </si>
  <si>
    <t>= ( [ 9A ] / [ 1 ] ) in %</t>
  </si>
  <si>
    <t>= ( [ 3A ] / [ 1 ] )</t>
  </si>
  <si>
    <t>9C</t>
  </si>
  <si>
    <t>= ( [ 9A ] / [ 3 ] ) in %</t>
  </si>
  <si>
    <t>4A</t>
  </si>
  <si>
    <t>EF2 Konto 37 Krankheit + Unfall Seiten 2.2 -&gt; 2.7</t>
  </si>
  <si>
    <t xml:space="preserve">EF2 Seite 2.8 VVG Konto 63 Krankheit + Unfall </t>
  </si>
  <si>
    <t>4B</t>
  </si>
  <si>
    <t>(EF2 Konto 37 Krankheit + Unfall Seiten 2.2 -&gt; 2.7) / [ 1 ]</t>
  </si>
  <si>
    <t>11A</t>
  </si>
  <si>
    <t>4C</t>
  </si>
  <si>
    <t>(EF2 Konto 37 Krankheit + Unfall Seiten 2.2 -&gt; 2.7) / [ 2 ]</t>
  </si>
  <si>
    <t>11B</t>
  </si>
  <si>
    <t xml:space="preserve">wenn [9A] &gt;= [11A] : [9A] - [11A] </t>
  </si>
  <si>
    <t>5A</t>
  </si>
  <si>
    <t>EF2 Konto 30-33 Krankheit + Unfall Seiten 2.2 -&gt; 2.7</t>
  </si>
  <si>
    <t>11C</t>
  </si>
  <si>
    <t xml:space="preserve">wenn [9A] &lt; [11A] : [9A] - [11A] </t>
  </si>
  <si>
    <t>5B</t>
  </si>
  <si>
    <t>= ( [ 5A ] / [ 1 ] )</t>
  </si>
  <si>
    <t>=  [ 5A ] + [ 13A ]</t>
  </si>
  <si>
    <t xml:space="preserve">(EF2 Konten 40-47 + 48 Krankheit + Unfall Seiten 2.2 -&gt; 2.7) / </t>
  </si>
  <si>
    <t>= ( [ 12A ] / [ 1 ] )</t>
  </si>
  <si>
    <t>(EF2 Konten 40-47 + 48 Krankheit + Unfall Seiten 2.2 -&gt; 2.7) / [ 1 ] in %</t>
  </si>
  <si>
    <t>= - (EF2 Konto 32 Krankheit + Unfall Seiten 2.2 -&gt; 2.7)</t>
  </si>
  <si>
    <t xml:space="preserve">EF2 Konten Gesamtbetriebsergebnis ohne Position </t>
  </si>
  <si>
    <t>= ( [ 13A ] / [ 1 ] )</t>
  </si>
  <si>
    <t>Krankheit + Unfall Seiten 2.2 -&gt; 2.7 / ( [ 1 ] )</t>
  </si>
  <si>
    <t>(EF2 Konto 3/4 Krankheit + Unfall Seiten 2.2 -&gt; 2.7)</t>
  </si>
  <si>
    <t>EF1 Seite 4 Konto 270</t>
  </si>
  <si>
    <t>= ( [ 5B ] / [ 3B ] ) in %</t>
  </si>
  <si>
    <r>
      <t>mit</t>
    </r>
    <r>
      <rPr>
        <sz val="10"/>
        <color indexed="8"/>
        <rFont val="Arial"/>
        <family val="2"/>
      </rPr>
      <t xml:space="preserve"> Kostenbeteiligung der Versicherten (Franchise / Selbstbehalt / Tagespauschale im Spital).</t>
    </r>
  </si>
  <si>
    <t xml:space="preserve">T 5.01 Aufsichtsdaten OKP gemäss Art. 31 KVV </t>
  </si>
  <si>
    <t>Name des OKP Versicherers</t>
  </si>
  <si>
    <t>Durchsch-</t>
  </si>
  <si>
    <t>Kosten-</t>
  </si>
  <si>
    <t>Brutto-</t>
  </si>
  <si>
    <t>Risikoaus–</t>
  </si>
  <si>
    <t>Gesamter-</t>
  </si>
  <si>
    <t>Verhältnis</t>
  </si>
  <si>
    <t>Einnahmen</t>
  </si>
  <si>
    <t>Ausgaben</t>
  </si>
  <si>
    <t>Risiko–</t>
  </si>
  <si>
    <t>Gesetzlich</t>
  </si>
  <si>
    <t>Höher als die</t>
  </si>
  <si>
    <t>Tiefer als die</t>
  </si>
  <si>
    <t>nittlicher</t>
  </si>
  <si>
    <t xml:space="preserve">je versicherte </t>
  </si>
  <si>
    <t>des Ver-</t>
  </si>
  <si>
    <t>beteiligung</t>
  </si>
  <si>
    <t>leistungen</t>
  </si>
  <si>
    <t>gleich</t>
  </si>
  <si>
    <t>gebnis je</t>
  </si>
  <si>
    <t>gleich in %</t>
  </si>
  <si>
    <t>in % der</t>
  </si>
  <si>
    <t>ausgleich</t>
  </si>
  <si>
    <t>vorgeschrie-</t>
  </si>
  <si>
    <t>gesetzlich</t>
  </si>
  <si>
    <t>Versicher-</t>
  </si>
  <si>
    <t xml:space="preserve">Person </t>
  </si>
  <si>
    <t>sicherers</t>
  </si>
  <si>
    <t>je versicherte</t>
  </si>
  <si>
    <t>versicherte</t>
  </si>
  <si>
    <t>lungen je</t>
  </si>
  <si>
    <t>leistungen /</t>
  </si>
  <si>
    <t>der Ein-</t>
  </si>
  <si>
    <t xml:space="preserve"> in Mio. Fr.</t>
  </si>
  <si>
    <t>sicherungen:</t>
  </si>
  <si>
    <t>bene Reserve</t>
  </si>
  <si>
    <t>tenbestand</t>
  </si>
  <si>
    <t>bungen je</t>
  </si>
  <si>
    <t xml:space="preserve"> Person</t>
  </si>
  <si>
    <t>nahmen</t>
  </si>
  <si>
    <t>Person</t>
  </si>
  <si>
    <t xml:space="preserve"> in % der </t>
  </si>
  <si>
    <t>(+) in Mio. Fr.</t>
  </si>
  <si>
    <t>(-) in Mio. Fr.</t>
  </si>
  <si>
    <t>Person in Fr.</t>
  </si>
  <si>
    <t>Quelle und Erklärungen: T 5.02</t>
  </si>
  <si>
    <t>CSS Kranken-Versicherung AG</t>
  </si>
  <si>
    <t>Krankenkasse Aquilana</t>
  </si>
  <si>
    <t>SUPRA CAISSE-MALADIE</t>
  </si>
  <si>
    <t>Krankenkasse Luchsingen-Hätzingen</t>
  </si>
  <si>
    <t>Kranken- und Unfallkasse Einsiedeln</t>
  </si>
  <si>
    <t>Caisse Maladie de la Fonction Publique</t>
  </si>
  <si>
    <t>Kranken- &amp; Unfallkasse Rothenburg</t>
  </si>
  <si>
    <t>PROVITA Gesundheitsversicherung AG</t>
  </si>
  <si>
    <t>Sumiswalder Kranken- und Unfallkasse</t>
  </si>
  <si>
    <t>Caisse-Maladie EOS</t>
  </si>
  <si>
    <t>Krankenkasse Steffisburg</t>
  </si>
  <si>
    <t>Carena Schweiz</t>
  </si>
  <si>
    <t>Bau- und Holzgewerbe  SKBH</t>
  </si>
  <si>
    <t xml:space="preserve">CONCORDIA </t>
  </si>
  <si>
    <t>Krankenkasse Malters</t>
  </si>
  <si>
    <t>Atupri Krankenkasse</t>
  </si>
  <si>
    <t>Avenir Assurances</t>
  </si>
  <si>
    <t>Krankenkasse Luzerner Hinterland Zell</t>
  </si>
  <si>
    <t>KPT CPT Krankenkasse</t>
  </si>
  <si>
    <t>Xundheit</t>
  </si>
  <si>
    <t>Caisse-maladie Hermes</t>
  </si>
  <si>
    <t>ÖKK Kranken- und Unfallversicherungen AG</t>
  </si>
  <si>
    <t>PANORAMA Kranken- und Unfallversicherung</t>
  </si>
  <si>
    <t>Öffentliche Krankenkasse Basel</t>
  </si>
  <si>
    <t>Versicherungsverein St. Moritz</t>
  </si>
  <si>
    <t>Krankenkasse Flaachtal</t>
  </si>
  <si>
    <t>Krankenkasse der Region Goms</t>
  </si>
  <si>
    <t>Krankenkasse Embd</t>
  </si>
  <si>
    <t>Krankenkasse Lötschental</t>
  </si>
  <si>
    <t>La Caisse Vaudoise</t>
  </si>
  <si>
    <t>Krankenkasse Stalden</t>
  </si>
  <si>
    <t>Kolping Krankenkasse AG</t>
  </si>
  <si>
    <t>Krankenversicherung EASY SANA</t>
  </si>
  <si>
    <t>Krankenkasse Elm</t>
  </si>
  <si>
    <t>Krankenkasse des Saastales</t>
  </si>
  <si>
    <t>Cassa da malsauns publica Lumnezia I / Lugnez I</t>
  </si>
  <si>
    <t>KLuG Krankenversicherung</t>
  </si>
  <si>
    <t>"Die Eidgenössische" Gesundheitskasse</t>
  </si>
  <si>
    <t>Krankenkasse Staldenried</t>
  </si>
  <si>
    <t>Öffentliche Kranken- und Unfallkasse Lugnez II</t>
  </si>
  <si>
    <t>Krankenkasse SLKK</t>
  </si>
  <si>
    <t>sodalis Krankenversicherer</t>
  </si>
  <si>
    <t>Öffentliche Krankenkasse Surselva</t>
  </si>
  <si>
    <t>Krankenkasse Schattenberge</t>
  </si>
  <si>
    <t>Progrès Versicherungen AG</t>
  </si>
  <si>
    <t>Krankenkasse Zeneggen</t>
  </si>
  <si>
    <t>Krankenkasse Visperterminen</t>
  </si>
  <si>
    <t>Krankenkasse Gondo/Zwischbergen</t>
  </si>
  <si>
    <t>Wincare Versicherungen</t>
  </si>
  <si>
    <t>AVANTIS-Assureur maladie</t>
  </si>
  <si>
    <t>Caisse-maladie de la vallée d'Entremont</t>
  </si>
  <si>
    <t>Krankenkasse des Institutes Ingenbohl</t>
  </si>
  <si>
    <t>Krankenkasse Turbenthal</t>
  </si>
  <si>
    <t>AUXILIA Assurance-maladie</t>
  </si>
  <si>
    <t>Caisse-maladie de Troistorrents</t>
  </si>
  <si>
    <t>Stiftung Krankenkasse Wädenswil</t>
  </si>
  <si>
    <t>Betriebskrankenkasse Birchmeier</t>
  </si>
  <si>
    <t>kmu-Krankenversicherung</t>
  </si>
  <si>
    <t>Krankenkasse Stoffel</t>
  </si>
  <si>
    <t>Krankenkasse Simplon</t>
  </si>
  <si>
    <t>SWICA Krankenversicherung</t>
  </si>
  <si>
    <t>Galenos Kranken- und Unfallversicherung</t>
  </si>
  <si>
    <t>ÖKK Öffentliche Krankenkasse Schweiz</t>
  </si>
  <si>
    <t>Betriebskrankenkasse Heerbrugg</t>
  </si>
  <si>
    <t>publiSana Krankenversicherung</t>
  </si>
  <si>
    <t>Fondation Natura Assurances.ch</t>
  </si>
  <si>
    <t>Krankenkasse Cervino</t>
  </si>
  <si>
    <t>Mutuel Assurances</t>
  </si>
  <si>
    <t>Fondation AMB</t>
  </si>
  <si>
    <t>Sanitas Grundversicherungen AG</t>
  </si>
  <si>
    <t>Société suisse des hôteliers</t>
  </si>
  <si>
    <t>Intras - Caisse Maladie</t>
  </si>
  <si>
    <t>Caisse maladie-accident Philos</t>
  </si>
  <si>
    <t>Assura, assurance maladie et accident</t>
  </si>
  <si>
    <t>Caisse-maladie et accidents Universa</t>
  </si>
  <si>
    <t>aerosana versicherungen</t>
  </si>
  <si>
    <t>Visana</t>
  </si>
  <si>
    <t>Agrisano</t>
  </si>
  <si>
    <t>Helsana Versicherungen AG</t>
  </si>
  <si>
    <t>innova Krankenversicherung AG</t>
  </si>
  <si>
    <t>avanex Versicherungen AG</t>
  </si>
  <si>
    <t>sansan Versicherungen AG</t>
  </si>
  <si>
    <t>Sana24</t>
  </si>
  <si>
    <t>Arcosana AG</t>
  </si>
  <si>
    <t>Vivacare</t>
  </si>
  <si>
    <t>SanaTop Versicherungen AG</t>
  </si>
  <si>
    <t xml:space="preserve">Total : </t>
  </si>
  <si>
    <t>Bau- und Holzgewerbe und verwandte Berufe SKBH</t>
  </si>
  <si>
    <t>Avenir Assurances, Assurances maladie et accidents</t>
  </si>
  <si>
    <t>Xundheit, Öffentliche Gesundheitskasse Schweiz AG</t>
  </si>
  <si>
    <t>Kranken- und Unfall-Versicherungsverein St. Moritz</t>
  </si>
  <si>
    <t>Öffentliche Krankenkasse Surselva (ÖKK Surselva)</t>
  </si>
  <si>
    <t>Personnel communal de la Ville de Neuchâtel</t>
  </si>
  <si>
    <t>*</t>
  </si>
  <si>
    <t>Taggeldkasse bildende KünstlerInnen</t>
  </si>
  <si>
    <t>Gewerbliche Krankenkasse Bern</t>
  </si>
  <si>
    <t>Caisse de maladie de la Société suisse des hôteliers</t>
  </si>
  <si>
    <t>Krankenkasse Schweizerischer Metallbaufirmen</t>
  </si>
  <si>
    <t>Mitarbeiter der fenaco-Mitgliedgenossenschaften  (KGV)</t>
  </si>
  <si>
    <t>die Versicherung in Kombination mit einer ordentlichen/wählbaren Franchise abgeschlossen wurde.</t>
  </si>
  <si>
    <t>Quelle: Formular EF3 [T3.3]</t>
  </si>
  <si>
    <r>
      <t xml:space="preserve">T 11.06  Versichertenbestand nach Versicherungsform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per 31.12.</t>
    </r>
  </si>
  <si>
    <t>Ordentliche</t>
  </si>
  <si>
    <t>Wählbare</t>
  </si>
  <si>
    <t>BONUS-</t>
  </si>
  <si>
    <t>Einge-</t>
  </si>
  <si>
    <t xml:space="preserve">  Jahres-</t>
  </si>
  <si>
    <t xml:space="preserve"> Jahres-</t>
  </si>
  <si>
    <t>Versicherung</t>
  </si>
  <si>
    <t>schränkte</t>
  </si>
  <si>
    <t>franchise</t>
  </si>
  <si>
    <t>franchisen</t>
  </si>
  <si>
    <t xml:space="preserve"> Wahl</t>
  </si>
  <si>
    <t xml:space="preserve"> (z.B. HMO)</t>
  </si>
  <si>
    <t>1) Ab 2006, vgl. Fussnote 1) von Tabelle 11.06.</t>
  </si>
  <si>
    <t>Quelle: T 11.06</t>
  </si>
  <si>
    <r>
      <t xml:space="preserve">T 11.05 Versichertenbestand per 31.12. nach Versicherungsform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ab 1997</t>
    </r>
  </si>
  <si>
    <t>1) Für die Zuteilung der Versicherten zu den Versicherungsformen ist die Versicherungsform (Hausarztmodell, HMO…)</t>
  </si>
  <si>
    <t xml:space="preserve">bei der Kategorie „Eingeschränkte Wahl des Leistungserbringers“ massgebend für die Zuteilung zur Kategorie, auch wenn </t>
  </si>
  <si>
    <t>26.8.08: 5.01-&gt;5.03, 8.05, 8.06, 8.09-&gt;8.12</t>
  </si>
  <si>
    <t>T 5.03 KVG Versicherer: Daten zur freiwilligen Taggeldversicherung</t>
  </si>
  <si>
    <t>* : KVG-Versi-</t>
  </si>
  <si>
    <t>Verwaltungs-</t>
  </si>
  <si>
    <t>Stand der</t>
  </si>
  <si>
    <t>cherer nur mit</t>
  </si>
  <si>
    <t>1) Durchschnittlicher Versichertenbestand = Anzahl Versicherungsmonate dividiert durch 12.</t>
  </si>
  <si>
    <t xml:space="preserve">2) Mit dem In-Kraft-Treten des Personenfreizügigkeitsabkommens mit den EG-Staaten bzw. dem revidierten </t>
  </si>
  <si>
    <t xml:space="preserve">EFTA-Abkommen per 1. Juni 2002 wurde die Versicherungspflicht auf einzelne Personengruppen ausgedehnt, </t>
  </si>
  <si>
    <t>welche Wohnsitz in einem EG-Staat bzw. in Island oder Norwegen haben:</t>
  </si>
  <si>
    <t xml:space="preserve">- Im Risikoausgleich zu berücksichtigen sind: </t>
  </si>
  <si>
    <t>Versicherte mit Arbeitsort in der Schweiz (Grenzgänger) sowie ihre nicht erwerbstätigen Familienangehörigen.</t>
  </si>
  <si>
    <t>- Im Risikoausgleich nicht zu berücksichtigen sind:</t>
  </si>
  <si>
    <t>Empfänger einer schweizerischen Rente und ihre nicht erwerbstätigen Familienangehörigen;</t>
  </si>
  <si>
    <t>Empfänger einer Leistung der schweizerischen Arbeitslosenversicherung und ihre nicht erwerbstätigen Familienangehörigen.</t>
  </si>
  <si>
    <t>Nicht erwerbstätige Familienangehörige von in der Schweiz erwerbstätigen und wohnenden Personen.</t>
  </si>
  <si>
    <t xml:space="preserve">Aufgrund unterschiedlicher Definitionen kommt es zu Differenzen beim Versichertenbestand und bei den Kosten  </t>
  </si>
  <si>
    <t>und denselben Angaben im Formular EF 123 der Versicherer (siehe Definition Versicherte in Tabelle 11.02, Fussnote 2).</t>
  </si>
  <si>
    <r>
      <t xml:space="preserve">T 11.14 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Kantonen und Altergruppen</t>
    </r>
  </si>
  <si>
    <t>Altersgruppen</t>
  </si>
  <si>
    <t>Männlich</t>
  </si>
  <si>
    <t>in %</t>
  </si>
  <si>
    <t>Weiblich</t>
  </si>
  <si>
    <t>des Totals</t>
  </si>
  <si>
    <t>0 - 18</t>
  </si>
  <si>
    <t>19 - 25</t>
  </si>
  <si>
    <t>26 - 30</t>
  </si>
  <si>
    <t>31 - 35</t>
  </si>
  <si>
    <t>36 - 40</t>
  </si>
  <si>
    <t>41 - 45</t>
  </si>
  <si>
    <t>46 - 50</t>
  </si>
  <si>
    <t>51 - 55</t>
  </si>
  <si>
    <t>56 - 60</t>
  </si>
  <si>
    <t>61 - 65</t>
  </si>
  <si>
    <t>66 - 70</t>
  </si>
  <si>
    <t>71 - 75</t>
  </si>
  <si>
    <t>76 - 80</t>
  </si>
  <si>
    <t>81 - 85</t>
  </si>
  <si>
    <t>86 - 90</t>
  </si>
  <si>
    <t>&gt; 90</t>
  </si>
  <si>
    <t>2) Vgl. Fussnote 2) von Tabelle 11.14.</t>
  </si>
  <si>
    <r>
      <t xml:space="preserve">T 11.15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Altersgruppen und Geschlecht</t>
    </r>
  </si>
  <si>
    <t>Männer</t>
  </si>
  <si>
    <t>Frauen</t>
  </si>
  <si>
    <t>Erwach-</t>
  </si>
  <si>
    <t>Kinder und</t>
  </si>
  <si>
    <t>sene</t>
  </si>
  <si>
    <t>T 8.07 Aktiven und Passiven der Versicherer in Mio. Franken ab 1997</t>
  </si>
  <si>
    <t>Aktiven</t>
  </si>
  <si>
    <t>Passiven</t>
  </si>
  <si>
    <t>Bilanz-</t>
  </si>
  <si>
    <t>Umlauf-</t>
  </si>
  <si>
    <t>Anlage-</t>
  </si>
  <si>
    <t>Fremd-</t>
  </si>
  <si>
    <t>Fonds und</t>
  </si>
  <si>
    <t>summe</t>
  </si>
  <si>
    <t>vermögen</t>
  </si>
  <si>
    <t>kapital</t>
  </si>
  <si>
    <t>1) Bestände per Jahresende; Vorjahresvergleiche sind nur mit Vorbehalt möglich, da jene Zusatzversicherungen VAG, welche</t>
  </si>
  <si>
    <t>auch unternehmensrechtlich vom KVG-Bereich eines Versicherers abgetrennt werden, sich der Sicht der BAG-Krankenversi-</t>
  </si>
  <si>
    <t>cherungsstatistik entziehen.</t>
  </si>
  <si>
    <t>Quelle: T 8.09; T 8.10</t>
  </si>
  <si>
    <r>
      <t xml:space="preserve">Jahr </t>
    </r>
    <r>
      <rPr>
        <vertAlign val="superscript"/>
        <sz val="11"/>
        <rFont val="Arial"/>
        <family val="2"/>
      </rPr>
      <t>1</t>
    </r>
  </si>
  <si>
    <t>T 8.08  Eigenkapital, Kapitalanlagen, Grundstücke und Gebäude der Versicherer ab 1997</t>
  </si>
  <si>
    <t>Eigenkapital-</t>
  </si>
  <si>
    <t>Kapital-</t>
  </si>
  <si>
    <t>T 9.15 Totaler Beitrag je versicherte Person (Prämie + Kostenbeteiligung) nach Versicherungsform ab 1997</t>
  </si>
  <si>
    <t>Alle Versicherte</t>
  </si>
  <si>
    <t>Quelle: T 3.12 + 2.02</t>
  </si>
  <si>
    <t>Zusätzliche Angaben : nach Altersgruppe ab 1997</t>
  </si>
  <si>
    <t>Vorjahresveränderung der Preisindizes für Gesundheitspflege</t>
  </si>
  <si>
    <t>1) Basis des Indexes der Konsumentenpreise: Mai 2000 = 100. Indizes neu berechnet auf der Basis Jahresdurchschnitt 1996 = 100.</t>
  </si>
  <si>
    <r>
      <t xml:space="preserve">T 9.12  Entwicklung der Preisindizes für Gesundheitspflege (1996 = 100) </t>
    </r>
    <r>
      <rPr>
        <b/>
        <vertAlign val="superscript"/>
        <sz val="12"/>
        <rFont val="Arial"/>
        <family val="2"/>
      </rPr>
      <t>1</t>
    </r>
  </si>
  <si>
    <t>T 9.14 Index der Krankenpflegekosten, der Krankenversicherungsausgaben der Versicherten sowie der Löhne ab 1997</t>
  </si>
  <si>
    <t>Pflege-</t>
  </si>
  <si>
    <t>Gesundheits-</t>
  </si>
  <si>
    <t>Krankenver-</t>
  </si>
  <si>
    <t>OKP-</t>
  </si>
  <si>
    <t>BFS-Lohn-</t>
  </si>
  <si>
    <t>kosten-</t>
  </si>
  <si>
    <t>wesen Kosten-</t>
  </si>
  <si>
    <t>sicherung-</t>
  </si>
  <si>
    <t>index</t>
  </si>
  <si>
    <t>ausgaben</t>
  </si>
  <si>
    <t>(nominal)</t>
  </si>
  <si>
    <t>1) Quelle: T 2.15. Entwicklung der Leistungen pro Versicherte(n) (erfasst mit der Kostenbeteiligung der Versicherten).</t>
  </si>
  <si>
    <t>3) Quelle: T 9.15. OKP Ausgaben = Prämien + Kostenbeteiligung.</t>
  </si>
  <si>
    <t>4) Quelle: T 2.02.</t>
  </si>
  <si>
    <t>5) Quelle: BFS, Sektion Löhne und Arbeitsbedingungen.</t>
  </si>
  <si>
    <t>5.11.09 : 8.05</t>
  </si>
  <si>
    <t>Datenstand: 5.11.09</t>
  </si>
  <si>
    <t>Quelle: T 7.03 Brutto-Prämien [60-65] und bezahlte Leistungen [30-33] (BAG) - Krankentaggeld VVG (-&gt; 2003: Bundesamt für Privatversicherungen [BPV]).</t>
  </si>
  <si>
    <t>4) Quelle: T 1.02 Brutto-Prämien [60-65] und bezahlte Leistungen [30-33]. Mit Unfallversicherung.</t>
  </si>
  <si>
    <r>
      <t xml:space="preserve">T 9.18  Krankenversicherung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(KVG-Versicherer und Privatversicherer) ab 1997 in Mio. Fr.</t>
    </r>
  </si>
  <si>
    <r>
      <t xml:space="preserve">Privat-versicherer </t>
    </r>
    <r>
      <rPr>
        <b/>
        <vertAlign val="superscript"/>
        <sz val="11"/>
        <rFont val="Arial"/>
        <family val="2"/>
      </rPr>
      <t>2</t>
    </r>
  </si>
  <si>
    <r>
      <t xml:space="preserve">versicherung </t>
    </r>
    <r>
      <rPr>
        <vertAlign val="superscript"/>
        <sz val="10"/>
        <rFont val="Arial"/>
        <family val="2"/>
      </rPr>
      <t>4</t>
    </r>
  </si>
  <si>
    <r>
      <t xml:space="preserve">sicherung </t>
    </r>
    <r>
      <rPr>
        <vertAlign val="superscript"/>
        <sz val="11"/>
        <rFont val="Arial"/>
        <family val="2"/>
      </rPr>
      <t>3</t>
    </r>
  </si>
  <si>
    <r>
      <t xml:space="preserve">1) Krankenpflegeversicherung: Prämien und Leistungen ohne Taggeldversicherung; </t>
    </r>
    <r>
      <rPr>
        <i/>
        <sz val="10"/>
        <rFont val="Arial"/>
        <family val="2"/>
      </rPr>
      <t>1996: Schätzung BSV</t>
    </r>
    <r>
      <rPr>
        <sz val="10"/>
        <rFont val="Arial"/>
        <family val="2"/>
      </rPr>
      <t>.</t>
    </r>
  </si>
  <si>
    <r>
      <t xml:space="preserve">Quelle: T 9.16. </t>
    </r>
    <r>
      <rPr>
        <u/>
        <sz val="10"/>
        <rFont val="Arial"/>
        <family val="2"/>
      </rPr>
      <t>Ohne</t>
    </r>
    <r>
      <rPr>
        <sz val="10"/>
        <rFont val="Arial"/>
        <family val="2"/>
      </rPr>
      <t xml:space="preserve"> Unfallversicherung.</t>
    </r>
  </si>
  <si>
    <t>Datenstand: 28.11.08</t>
  </si>
  <si>
    <t>T 9.21  Erkrankte, Spitaleinweisungen und Spitaltage</t>
  </si>
  <si>
    <t>Merkmal</t>
  </si>
  <si>
    <t xml:space="preserve">   Kantone: für einen Kanton z summiert man die Beträge “(Verhältnis des Prämienvolumens im Kanton z des Versicherers y /  </t>
  </si>
  <si>
    <t xml:space="preserve">   Prämienvolumen CH des Versicherers y) * gesetzliche Mindestreserve CH des Versicherers y“ über sämtliche im Kanton z tätigen Versicherer.</t>
  </si>
  <si>
    <t xml:space="preserve">   Den minimalen gesetzlichen Reservesatz für den Kanton z erhält man, indem man die oben berechnete Summe durch die Summe der </t>
  </si>
  <si>
    <t xml:space="preserve">   Prämien aller im Kanton z tätigen Versicherer dividiert.</t>
  </si>
  <si>
    <r>
      <t xml:space="preserve">minimaler gesetzlich vorgeschriebener Wert </t>
    </r>
    <r>
      <rPr>
        <vertAlign val="superscript"/>
        <sz val="11"/>
        <rFont val="Arial"/>
        <family val="2"/>
      </rPr>
      <t>1</t>
    </r>
  </si>
  <si>
    <t>Datenstand: CH: 31.7.08 / Kantone : 3.10.08</t>
  </si>
  <si>
    <t>Kalkulatorische Reserven OKP pro Kanton in % der Prämien ab 1997</t>
  </si>
  <si>
    <t xml:space="preserve">Kalkulatorische Reserven OKP pro Kanton in % der Prämien </t>
  </si>
  <si>
    <t>06.11.08: 11.07-&gt;11.10, 1.14, 1.15</t>
  </si>
  <si>
    <t>≤ 100</t>
  </si>
  <si>
    <t>≤ 500</t>
  </si>
  <si>
    <t>≤ 1'000</t>
  </si>
  <si>
    <t>≤ 2'500</t>
  </si>
  <si>
    <t>≤ 5'000</t>
  </si>
  <si>
    <t>≤ 10'000</t>
  </si>
  <si>
    <t>≤ 50'000</t>
  </si>
  <si>
    <t>1996 -&gt; 2003 **</t>
  </si>
  <si>
    <t>≤  50'000</t>
  </si>
  <si>
    <t>≤  150'000</t>
  </si>
  <si>
    <t>≤  250'000</t>
  </si>
  <si>
    <t>&gt; 250'000</t>
  </si>
  <si>
    <t>**) Dabei dürfen Versicherer mit einer entsprechenden Rückversicherung oder Defizitgarantie den Mindestsatz der Reserven unterschreiten.</t>
  </si>
  <si>
    <t>6.11.08: 5.02</t>
  </si>
  <si>
    <t>≤ 250'000</t>
  </si>
  <si>
    <t>Versicherte = [1] ; % gemäss Tabelle 9A</t>
  </si>
  <si>
    <t>Versicherungs-</t>
  </si>
  <si>
    <t>und Betriebsauf-</t>
  </si>
  <si>
    <t>wand</t>
  </si>
  <si>
    <t>wands</t>
  </si>
  <si>
    <t>Quelle: T 1.03, 1.04, 1.05, 1.06 [4] &amp; 1.02 [3/4]</t>
  </si>
  <si>
    <t>T 1.11 Verwaltungsaufwand / Abschreibungen in Franken je versicherte Person nach Versicherungsform ab 1997</t>
  </si>
  <si>
    <t>Quelle: T 1.10 / T 11.05</t>
  </si>
  <si>
    <t>T 11.02  Versichertenbestand per 31.12 ab 1997</t>
  </si>
  <si>
    <t>1) Personen, die das 18. Altersjahr noch nicht vollendet haben.</t>
  </si>
  <si>
    <t>2) Bis 2001: inbegriffen Versicherte mit Wohnsitz oder Aufenthalt im Ausland gemäss Art. 3, 4 und 5 KVV;</t>
  </si>
  <si>
    <t xml:space="preserve">    ab 2002: mit Personen mit Wohnsitz oder Aufenthalt im Ausland gemäss Art. 4 und 5 KVV aber ohne Versicherte,</t>
  </si>
  <si>
    <t xml:space="preserve">    die dem Versicherungsobligatorium unterstehen und in einem EU- oder EFTA-Staat Wohnsitz haben (EWG).</t>
  </si>
  <si>
    <t>Quelle: T 11.03</t>
  </si>
  <si>
    <r>
      <t xml:space="preserve">Kinder </t>
    </r>
    <r>
      <rPr>
        <vertAlign val="superscript"/>
        <sz val="11"/>
        <rFont val="Arial"/>
        <family val="2"/>
      </rPr>
      <t>1</t>
    </r>
  </si>
  <si>
    <t>T 11.03  Versichertenbestand nach Wohnkanton per 31.12.</t>
  </si>
  <si>
    <t xml:space="preserve">Veränderung </t>
  </si>
  <si>
    <t xml:space="preserve">gegenüber </t>
  </si>
  <si>
    <t>Schweiz</t>
  </si>
  <si>
    <t xml:space="preserve">Total </t>
  </si>
  <si>
    <t>1) Personen mit Wohnsitz/Aufenthalt im Ausland gemäss Art. 4 und 5 KVV.</t>
  </si>
  <si>
    <t>Quelle: Formular EF3 [T 3.2]</t>
  </si>
  <si>
    <r>
      <t xml:space="preserve">Ausland </t>
    </r>
    <r>
      <rPr>
        <vertAlign val="superscript"/>
        <sz val="11"/>
        <rFont val="Arial"/>
        <family val="2"/>
      </rPr>
      <t>1)</t>
    </r>
  </si>
  <si>
    <t>Altersklassen</t>
  </si>
  <si>
    <t>Anzahl</t>
  </si>
  <si>
    <t>Versicherte</t>
  </si>
  <si>
    <t xml:space="preserve">  0 - 5</t>
  </si>
  <si>
    <t xml:space="preserve">  6 - 10</t>
  </si>
  <si>
    <t>11 - 15</t>
  </si>
  <si>
    <t>16 - 18</t>
  </si>
  <si>
    <t>Total 0 - 18</t>
  </si>
  <si>
    <t>19 - 20</t>
  </si>
  <si>
    <t>21 - 25</t>
  </si>
  <si>
    <t>Total 19 - 65</t>
  </si>
  <si>
    <t>91 - 95</t>
  </si>
  <si>
    <t>96 - 100</t>
  </si>
  <si>
    <t>&gt; 100</t>
  </si>
  <si>
    <t>Total 66 und mehr</t>
  </si>
  <si>
    <t>1) Vgl. Fussnote 2) von Tabelle 11.02.</t>
  </si>
  <si>
    <t xml:space="preserve">Quelle : DATENPOOL santésuisse [Auswertung BAG ; Abdeckungsgrad der Erhebung : siehe Beilage I ] </t>
  </si>
  <si>
    <t>1) Für alle Versicherten für alle Versicherungsformen.</t>
  </si>
  <si>
    <r>
      <t xml:space="preserve">T 3.08 Kantonale Durchschnittsprämien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pro Versicherten pro Jahr in Franken ab 1997</t>
    </r>
  </si>
  <si>
    <r>
      <t xml:space="preserve">T 2.03 Kantonale bezahlte Leistungen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pro Versicherten pro Jahr in Franken ab 1997</t>
    </r>
  </si>
  <si>
    <r>
      <t xml:space="preserve">    Bezahlte Leistungen der Versicherer = Leistungen der Versicherer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Kostenbeteiligungen der Versicherten.</t>
    </r>
  </si>
  <si>
    <t>Anzahl / Betrag</t>
  </si>
  <si>
    <t>Einzel-</t>
  </si>
  <si>
    <t>Kollektiv-</t>
  </si>
  <si>
    <t>versiche-</t>
  </si>
  <si>
    <t>1999 alt</t>
  </si>
  <si>
    <t>1999 neu</t>
  </si>
  <si>
    <t>Anzahl Versicherer</t>
  </si>
  <si>
    <t>Prämiensoll in Franken</t>
  </si>
  <si>
    <t>Prämiensoll in Franken pro Versicherte(n)</t>
  </si>
  <si>
    <t xml:space="preserve">Leistungen in Franken </t>
  </si>
  <si>
    <t>davon Mutterschaft</t>
  </si>
  <si>
    <t>Leistungen in Franken pro Versicherte(n)</t>
  </si>
  <si>
    <t>Quelle: Formular EF3 [3.9]</t>
  </si>
  <si>
    <t>1) Getrennte Rechnungsführung für die Einzel- und die Kollektivversicherung wird nur bei unterschiedlichen Prämientarifen</t>
  </si>
  <si>
    <t>verlangt (vgl. Art. 75 Abs. 2 KVG).</t>
  </si>
  <si>
    <t>2) Versichertenbestand am 31.12.</t>
  </si>
  <si>
    <t>3) In der Kollektivversicherung gibt es auch Lohnsummenverträge, bei denen die Zahl der Versicherten nicht bekannt ist.</t>
  </si>
  <si>
    <r>
      <t xml:space="preserve">T 6.03 Versicherer, Versicherte, Prämien und Leistungen nach Einzel- und Kollektivverträgen </t>
    </r>
    <r>
      <rPr>
        <b/>
        <vertAlign val="superscript"/>
        <sz val="12"/>
        <rFont val="Arial"/>
        <family val="2"/>
      </rPr>
      <t>1</t>
    </r>
  </si>
  <si>
    <r>
      <t xml:space="preserve">rung </t>
    </r>
    <r>
      <rPr>
        <vertAlign val="superscript"/>
        <sz val="11"/>
        <rFont val="Arial"/>
        <family val="2"/>
      </rPr>
      <t>3</t>
    </r>
  </si>
  <si>
    <r>
      <t xml:space="preserve">Versichertenbestand </t>
    </r>
    <r>
      <rPr>
        <b/>
        <vertAlign val="superscript"/>
        <sz val="11"/>
        <rFont val="Arial"/>
        <family val="2"/>
      </rPr>
      <t>2</t>
    </r>
  </si>
  <si>
    <t>Quelle: Formular EF2 [2.1]</t>
  </si>
  <si>
    <r>
      <t xml:space="preserve">T 6.06  Betriebsrechnung der Kollektivversicherung </t>
    </r>
    <r>
      <rPr>
        <b/>
        <vertAlign val="superscript"/>
        <sz val="12"/>
        <rFont val="Arial"/>
        <family val="2"/>
      </rPr>
      <t>1</t>
    </r>
  </si>
  <si>
    <t>Quelle: Formular EF2 [2.0]</t>
  </si>
  <si>
    <r>
      <t xml:space="preserve">T 6.05  Betriebsrechnung der Einzelversicherung </t>
    </r>
    <r>
      <rPr>
        <b/>
        <vertAlign val="superscript"/>
        <sz val="12"/>
        <rFont val="Arial"/>
        <family val="2"/>
      </rPr>
      <t>1</t>
    </r>
  </si>
  <si>
    <t xml:space="preserve">T 6.04  Betriebsrechnung der Einzel- und Kollektivversicherung insgesamt </t>
  </si>
  <si>
    <t>Quelle: Formular EF2 [2.0 &amp; 2.1]</t>
  </si>
  <si>
    <t>T 6.02 Ertrag, Aufwand und Ergebnis in Franken ab 1997</t>
  </si>
  <si>
    <t>Total des</t>
  </si>
  <si>
    <t>Total Ver-</t>
  </si>
  <si>
    <t>sicherungs-</t>
  </si>
  <si>
    <t>betriebs-</t>
  </si>
  <si>
    <t>ertrags</t>
  </si>
  <si>
    <t>und Betriebs-</t>
  </si>
  <si>
    <t>ergebnis</t>
  </si>
  <si>
    <t xml:space="preserve">aufwand </t>
  </si>
  <si>
    <t>Quelle: T 6.04</t>
  </si>
  <si>
    <t>T 6.01 Prämien, Leistungen, Versichertenbestand und Versichererbestand ab 1997</t>
  </si>
  <si>
    <t>Prämiensoll</t>
  </si>
  <si>
    <t>Versi-</t>
  </si>
  <si>
    <t>in Mio. Fr.</t>
  </si>
  <si>
    <t xml:space="preserve"> pro</t>
  </si>
  <si>
    <t>cherten-</t>
  </si>
  <si>
    <t>cherer-</t>
  </si>
  <si>
    <t>Versicherte(n)</t>
  </si>
  <si>
    <t>bestand</t>
  </si>
  <si>
    <t>Quelle: T 6.03</t>
  </si>
  <si>
    <t>1) Versichertenbestand am 31.12. Die Werte 1997 bis 1999 des Versichertenbestands wurden revidiert.</t>
  </si>
  <si>
    <r>
      <t xml:space="preserve">bestand </t>
    </r>
    <r>
      <rPr>
        <vertAlign val="superscript"/>
        <sz val="11"/>
        <rFont val="Arial"/>
        <family val="2"/>
      </rPr>
      <t>1</t>
    </r>
  </si>
  <si>
    <r>
      <t xml:space="preserve">in Fr. </t>
    </r>
    <r>
      <rPr>
        <vertAlign val="superscript"/>
        <sz val="11"/>
        <rFont val="Arial"/>
        <family val="2"/>
      </rPr>
      <t>1</t>
    </r>
  </si>
  <si>
    <r>
      <t xml:space="preserve">    </t>
    </r>
    <r>
      <rPr>
        <u/>
        <sz val="10"/>
        <rFont val="Arial"/>
        <family val="2"/>
      </rPr>
      <t>Nur Einzelversicherung.</t>
    </r>
  </si>
  <si>
    <t>Datenstand : siehe Beilage I</t>
  </si>
  <si>
    <t>Datenstand: 31.7.08</t>
  </si>
  <si>
    <t xml:space="preserve"> </t>
  </si>
  <si>
    <t>1) Ohne T 7.04</t>
  </si>
  <si>
    <t>Quelle: Formular EF2 [2.10]</t>
  </si>
  <si>
    <r>
      <t xml:space="preserve">T 7.05  Betriebsrechnung der Zusatzversicherungen Versicherte wohnhaft im Ausland </t>
    </r>
    <r>
      <rPr>
        <b/>
        <vertAlign val="superscript"/>
        <sz val="12"/>
        <rFont val="Arial"/>
        <family val="2"/>
      </rPr>
      <t>1</t>
    </r>
  </si>
  <si>
    <t xml:space="preserve">T 7.04  Betriebsrechnung der Krankenpflegeversicherung Liechtenstein </t>
  </si>
  <si>
    <t>Quelle: Formular EF2 [2.9]</t>
  </si>
  <si>
    <t>davon Taggeldversicherung VVG</t>
  </si>
  <si>
    <t xml:space="preserve">Brutto-Prämien (60-65) </t>
  </si>
  <si>
    <t xml:space="preserve">Bezahlte Leistungen (30-33) </t>
  </si>
  <si>
    <t>1) Gemäss Art. 13 und 14 KVV, ohne  T 7.04 und 7.05.</t>
  </si>
  <si>
    <t>Quelle: Formular EF2 [2.8] &amp; EF1 [1.12C]</t>
  </si>
  <si>
    <r>
      <t xml:space="preserve">T 7.03  Betriebsrechnung der Zusatzversicherungen VVG </t>
    </r>
    <r>
      <rPr>
        <b/>
        <vertAlign val="superscript"/>
        <sz val="12"/>
        <rFont val="Arial"/>
        <family val="2"/>
      </rPr>
      <t>1</t>
    </r>
  </si>
  <si>
    <t xml:space="preserve">T 7.02  Indikatoren der Betriebsrechnung der anderen Versicherungen in Franken </t>
  </si>
  <si>
    <t>Zusatzversi-</t>
  </si>
  <si>
    <t>Kranken-</t>
  </si>
  <si>
    <t>Zusatzver-</t>
  </si>
  <si>
    <t>cherungen</t>
  </si>
  <si>
    <t>pflegever-</t>
  </si>
  <si>
    <t>sicherungen</t>
  </si>
  <si>
    <t>VVG</t>
  </si>
  <si>
    <t>sicherung</t>
  </si>
  <si>
    <t>Liechten-</t>
  </si>
  <si>
    <t>wohnhaft</t>
  </si>
  <si>
    <t>stein</t>
  </si>
  <si>
    <t xml:space="preserve"> im Ausland</t>
  </si>
  <si>
    <t>Versicherungsertrag</t>
  </si>
  <si>
    <t>davon Brutto-Prämien</t>
  </si>
  <si>
    <t>Neutraler Aufwand/Ertrag</t>
  </si>
  <si>
    <t>Total des Gesamtertrags</t>
  </si>
  <si>
    <t>Versicherungsaufwand</t>
  </si>
  <si>
    <t>davon Brutto-Leistungen</t>
  </si>
  <si>
    <t>Betriebsaufwand</t>
  </si>
  <si>
    <t>Total Vers.- und Betriebsaufwand</t>
  </si>
  <si>
    <t>Quelle: T 7.03, 7.04, 7.05</t>
  </si>
  <si>
    <t>aufwand</t>
  </si>
  <si>
    <t>1) Zusammenzug der «Zusatzversicherungen VVG»,</t>
  </si>
  <si>
    <t>«Krankenpflegeversicherung Liechtenstein» und «Zusatzversicherungen Versicherte wohnhaft im Ausland».</t>
  </si>
  <si>
    <t>2) Vorjahresvergleiche sind nur mit Vorbehalt möglich, da jene Zusatzversicherungen VAG, welche auch unternehmensrechtlich</t>
  </si>
  <si>
    <t>vom KVG-Bereich eines Versicherers abgetrennt werden, sich der Sicht der BAG-Krankenversicherungsstatistik entziehen.</t>
  </si>
  <si>
    <t>3) Revidierte Zahlen für 2002 und 2003 (ohne T 7.06).</t>
  </si>
  <si>
    <t>Quelle: T 7.02</t>
  </si>
  <si>
    <t xml:space="preserve">aufwand + </t>
  </si>
  <si>
    <t>Neutraler Aufwand und Ertrag</t>
  </si>
  <si>
    <t>– Kapitalertrag</t>
  </si>
  <si>
    <t>– Kapitalaufwand</t>
  </si>
  <si>
    <t>– Wertberichtigung auf Wertschriften</t>
  </si>
  <si>
    <t>– Nicht rückzuerstattende Abgabeerträge VOC und HEL</t>
  </si>
  <si>
    <t>– Übriger neutraler Aufwand und Ertrag</t>
  </si>
  <si>
    <t>Einkommens-, Vermögens-, Ertrags- und Kapitalsteuer VVG</t>
  </si>
  <si>
    <t>Total neutraler Aufwand/Ertrag</t>
  </si>
  <si>
    <t>6 / 7</t>
  </si>
  <si>
    <t>Total des Gesamtertrages</t>
  </si>
  <si>
    <t>Rückschlag Gesamtbetriebsrechnung</t>
  </si>
  <si>
    <t>Quelle: Formular EF1 [8,9]</t>
  </si>
  <si>
    <t>Quelle: Formular EF3 [T 3.1]</t>
  </si>
  <si>
    <r>
      <t xml:space="preserve">T 11.04  Versichertenbestand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Alter und Geschlecht per 31.12.</t>
    </r>
  </si>
  <si>
    <t>1) Durchschnittlicher Versichertenbestand : Stand aller Monate zusammengezählt und geteilt durch 12.</t>
  </si>
  <si>
    <t>2) Vgl. Fussnote 2) von Tabelle 11.02.</t>
  </si>
  <si>
    <t>Quelle: Formular EF1 [1.12 A]</t>
  </si>
  <si>
    <r>
      <t xml:space="preserve">T 11.01 Durchschnittlicher Versichertenbestand </t>
    </r>
    <r>
      <rPr>
        <b/>
        <vertAlign val="superscript"/>
        <sz val="12"/>
        <rFont val="Arial"/>
        <family val="2"/>
      </rPr>
      <t xml:space="preserve">1  </t>
    </r>
    <r>
      <rPr>
        <b/>
        <sz val="12"/>
        <rFont val="Arial"/>
        <family val="2"/>
      </rPr>
      <t>ab 1997</t>
    </r>
  </si>
  <si>
    <t>T 11.11 Verteilung der Versicherten (Kinder und Erwachsene) nach Versicherungsform ab 1997</t>
  </si>
  <si>
    <t>Quelle: T 11.05</t>
  </si>
  <si>
    <t>Versichertenbestand KVG, Personen mit Wohnsitz in der Schweiz und schweizerischer Prämie (inkl. Versicherte gemäss Art. 4 und 5 KVV)</t>
  </si>
  <si>
    <t>Anteil in %</t>
  </si>
  <si>
    <t>Junge Erwachsene</t>
  </si>
  <si>
    <t>Quelle: Formular EF3 [T 3.8.2]</t>
  </si>
  <si>
    <t>T 11.13 Durchschnittlicher Versichertenbestand und Durchschnittsalter für die obligatorische Krankenpflegeversicherung gemäss Art. 29 KVV</t>
  </si>
  <si>
    <t>Durchschnittsalter</t>
  </si>
  <si>
    <t>davon gestorben</t>
  </si>
  <si>
    <t>1) Versichertenbestand per 31.12: siehe T 11.02.</t>
  </si>
  <si>
    <t xml:space="preserve">    Durchschnittsbestand = Stand aller Monate zusammengezählt und geteilt durch 12.</t>
  </si>
  <si>
    <t>2) Betriebsrechnung: siehe T 1.07.</t>
  </si>
  <si>
    <t>3) GrenzgängerInnen, sowie ihre nichterwerbstätigen Familienangehörigen (Versicherte gemäss Art. 3 KVV).</t>
  </si>
  <si>
    <t>Quelle: A: Formular EF3 [T 3.1 &amp; 3.8.1 &amp; 3.8.4] / B: Formular EF1 [1.12 D] / C: Formular EF1 [1.12 E]</t>
  </si>
  <si>
    <r>
      <t xml:space="preserve">A. KVG-Versicherte mit Wohnsitz in der Schweiz und schweizerischer Prämie (inkl. Versicherte gemäss Art. 4 und 5 KVV) </t>
    </r>
    <r>
      <rPr>
        <b/>
        <vertAlign val="superscript"/>
        <sz val="12"/>
        <rFont val="55 Helvetica Roman"/>
      </rPr>
      <t>1</t>
    </r>
  </si>
  <si>
    <r>
      <t xml:space="preserve">B. KVG-Versicherte mit Wohnsitz in einem EG-Staat, in Island oder in Norwegen, inklusive GrenzgängerInnen </t>
    </r>
    <r>
      <rPr>
        <b/>
        <vertAlign val="superscript"/>
        <sz val="12"/>
        <rFont val="Arial"/>
        <family val="2"/>
      </rPr>
      <t>2</t>
    </r>
  </si>
  <si>
    <r>
      <t xml:space="preserve">C. KVG-Versicherte mit Wohnsitz in einem EG-Staat, in Island oder in Norwegen, nur GrenzgängerInnen </t>
    </r>
    <r>
      <rPr>
        <b/>
        <vertAlign val="superscript"/>
        <sz val="12"/>
        <rFont val="Arial"/>
        <family val="2"/>
      </rPr>
      <t>3</t>
    </r>
  </si>
  <si>
    <t xml:space="preserve">T 11.17  Versicherteneintritte / Versicherungswechsler KVG nach Geschlecht </t>
  </si>
  <si>
    <t xml:space="preserve">In % am </t>
  </si>
  <si>
    <t>durchschnittlichen</t>
  </si>
  <si>
    <t>Versichertenbestand</t>
  </si>
  <si>
    <t>davon Neugeborene</t>
  </si>
  <si>
    <t>Quelle: Formular EF3 [3.8.3] &amp; T 11.13</t>
  </si>
  <si>
    <t>T 11.18 Zahlungsausstände für OKP-Prämien</t>
  </si>
  <si>
    <t>Anzahl Versicherte</t>
  </si>
  <si>
    <t>Prämienvolumen in Franken</t>
  </si>
  <si>
    <t>Quelle: Formular EF3 [3.10.4]</t>
  </si>
  <si>
    <t>Daten Vorjahr</t>
  </si>
  <si>
    <t>Ärzte:</t>
  </si>
  <si>
    <t>Dichte der</t>
  </si>
  <si>
    <t>Medika-</t>
  </si>
  <si>
    <t>Apo-</t>
  </si>
  <si>
    <t>Aerzte-</t>
  </si>
  <si>
    <t>Wohn-</t>
  </si>
  <si>
    <t>Allge-</t>
  </si>
  <si>
    <t>Spezial-</t>
  </si>
  <si>
    <t>Ärzte mit</t>
  </si>
  <si>
    <t>Apothe-</t>
  </si>
  <si>
    <t>menten-</t>
  </si>
  <si>
    <t>theken-</t>
  </si>
  <si>
    <t>Anzahl Ärzte (linke Skala)</t>
  </si>
  <si>
    <t>Anzahl Apotheken (rechte Skala)</t>
  </si>
  <si>
    <t>bevölke-</t>
  </si>
  <si>
    <t>mein-</t>
  </si>
  <si>
    <t>ärzte</t>
  </si>
  <si>
    <t>Praxistä-</t>
  </si>
  <si>
    <t>äzte</t>
  </si>
  <si>
    <t>ken</t>
  </si>
  <si>
    <t>praktiker</t>
  </si>
  <si>
    <t>FMH</t>
  </si>
  <si>
    <t>tigkeit</t>
  </si>
  <si>
    <t>Datenstand: 26.11.08</t>
  </si>
  <si>
    <t>1) Quellen: BFS, Bevölkerungsentwicklung; FMH, Ärztestatistik (Ärzte mit Praxistätigkeit), Schweizerischerer Apothekerverein.</t>
  </si>
  <si>
    <t xml:space="preserve">1) Quelle: T 4.11. </t>
  </si>
  <si>
    <t>2) Anzahl Einwohner pro Arzt mit Praxistätigkeit resp. Anzahl Einwohner pro Apotheke (Öffentliche Apotheken).</t>
  </si>
  <si>
    <t>2) Summe der Ärzte (mit Praxistätigkeit) mit Facharzttitel in Allgemeinmedizin und der Ärzte (mit Praxistätigkeit) ohne Facharzttitel.</t>
  </si>
  <si>
    <t>3) Inklusiv Fachärzte für innere Medizin, die als Grundversorger tätig sind.</t>
  </si>
  <si>
    <t>4) Quelle: FMH, Ärztestatistik;</t>
  </si>
  <si>
    <r>
      <t xml:space="preserve">T 2.21 Bezahlte Leistungen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Franken je versicherte Person nach Versicherungsform ab 1997</t>
    </r>
  </si>
  <si>
    <r>
      <t>Alle Versicherte</t>
    </r>
    <r>
      <rPr>
        <b/>
        <vertAlign val="superscript"/>
        <sz val="11"/>
        <rFont val="Arial"/>
        <family val="2"/>
      </rPr>
      <t xml:space="preserve"> 2</t>
    </r>
  </si>
  <si>
    <t>Durchschnittlicher Versichertenbestand KVG und Durchschnittsalter nach Geschlecht</t>
  </si>
  <si>
    <t>26.1.09 : 1.14</t>
  </si>
  <si>
    <t>Bezahlte Leistungen (30-33)</t>
  </si>
  <si>
    <t>1) Ohne Liechstenstein. Versichertenbestand : siehe T 11.13.</t>
  </si>
  <si>
    <t>2) GrenzgängerInnen, sowie ihre nichterwerbstätigen Familienangehörigen (Versicherte gemäss Art. 3 KVV).</t>
  </si>
  <si>
    <t>Quelle: Formular EF2 [T.E] &amp; EF1 [1.12]</t>
  </si>
  <si>
    <r>
      <t xml:space="preserve">T 1.07  Betriebsrechnung der obligatorischen Krankenpflegeversicherung Personen mit Wohnsitz in einem EG-Staat, in Island oder in Norwegen, inklusive GrenzgängerInnen </t>
    </r>
    <r>
      <rPr>
        <b/>
        <vertAlign val="superscript"/>
        <sz val="12"/>
        <rFont val="Arial"/>
        <family val="2"/>
      </rPr>
      <t>1</t>
    </r>
  </si>
  <si>
    <r>
      <t xml:space="preserve">Nur GrenzgängerInnen </t>
    </r>
    <r>
      <rPr>
        <b/>
        <vertAlign val="superscript"/>
        <sz val="12"/>
        <rFont val="Arial"/>
        <family val="2"/>
      </rPr>
      <t>2</t>
    </r>
  </si>
  <si>
    <t>Versicherungsform</t>
  </si>
  <si>
    <t>Ordentliche Jahresfranchise</t>
  </si>
  <si>
    <t>Wählbare Jahresfranchisen</t>
  </si>
  <si>
    <t>BONUS-Versicherung</t>
  </si>
  <si>
    <t>Eingeschränkte Wahl (z.B. HMO) *</t>
  </si>
  <si>
    <t xml:space="preserve"> * davon Versicherte, die gleichzeitig eine wählbare Franchise haben</t>
  </si>
  <si>
    <r>
      <t>Schweiz</t>
    </r>
    <r>
      <rPr>
        <b/>
        <vertAlign val="superscript"/>
        <sz val="11"/>
        <rFont val="Arial"/>
        <family val="2"/>
      </rPr>
      <t xml:space="preserve"> 3</t>
    </r>
  </si>
  <si>
    <t>Ärztliche Leistungen</t>
  </si>
  <si>
    <t>18.3.09 : 2.16</t>
  </si>
  <si>
    <r>
      <t>T 2.16  Leistungen (brutto) in Mio. Franken nach Kostengruppen ab 199</t>
    </r>
    <r>
      <rPr>
        <b/>
        <sz val="12"/>
        <color indexed="10"/>
        <rFont val="Arial"/>
        <family val="2"/>
      </rPr>
      <t>7</t>
    </r>
  </si>
  <si>
    <r>
      <t>T 2.18  Leistungen (brutto) in Franken je versicherte Person nach Kostengruppen ab 199</t>
    </r>
    <r>
      <rPr>
        <b/>
        <sz val="12"/>
        <color indexed="10"/>
        <rFont val="Arial"/>
        <family val="2"/>
      </rPr>
      <t>7</t>
    </r>
    <r>
      <rPr>
        <b/>
        <sz val="12"/>
        <rFont val="Arial"/>
        <family val="2"/>
      </rPr>
      <t xml:space="preserve"> </t>
    </r>
    <r>
      <rPr>
        <b/>
        <vertAlign val="superscript"/>
        <sz val="12"/>
        <rFont val="Arial"/>
        <family val="2"/>
      </rPr>
      <t>1 2</t>
    </r>
  </si>
  <si>
    <t>Versicherte mit Grundversicherung</t>
  </si>
  <si>
    <t>Versicherte ohne Grundversicherung</t>
  </si>
  <si>
    <t>OKP</t>
  </si>
  <si>
    <t>Besondere</t>
  </si>
  <si>
    <t>Spital halbprivat,</t>
  </si>
  <si>
    <t>per 31.12</t>
  </si>
  <si>
    <t>allgemein</t>
  </si>
  <si>
    <t>halbprivat</t>
  </si>
  <si>
    <t>privat</t>
  </si>
  <si>
    <t>privat und gleich-</t>
  </si>
  <si>
    <t>ganze CH</t>
  </si>
  <si>
    <t>wertige Produkte</t>
  </si>
  <si>
    <t>1) Quelle: Die privaten Versicherungseinrichtungen in der Schweiz (BPV), nicht publizierte detaillierte Fassung der Tabelle AS03N.</t>
  </si>
  <si>
    <t>für junge Erwachsene (19 -25 Jahre) in Franken für 2009</t>
  </si>
  <si>
    <t>für Kinder (0 - 18 Jahre) in Franken für 2009</t>
  </si>
  <si>
    <t>1999 - 2009</t>
  </si>
  <si>
    <t>Quelle: T 3.02, 3.03, 3.04</t>
  </si>
  <si>
    <t>1) Prämien publiziert in den OKP Prämienwegweisern 1996-&gt;2009 vom BAG.</t>
  </si>
  <si>
    <t xml:space="preserve">und nach Prämienregionen, gegebenenfalls mit provisorisch genehmigten Prämien. </t>
  </si>
  <si>
    <t xml:space="preserve">Die Tarife der Versicherungsmodelle mit wählbarer Franchise, Bonus oder eingeschränkter Wahl </t>
  </si>
  <si>
    <t xml:space="preserve">des Leistungserbringers wurden hier nicht berücksichtigt. </t>
  </si>
  <si>
    <t>2)  Die Werte für 1996 wurden revidiert. Diese Werte beziehen sich auf das KVG-Einführungsjahr</t>
  </si>
  <si>
    <t>und sind infolge teilweise unvollständiger Daten mit Zurückhaltung zu interpretieren.</t>
  </si>
  <si>
    <t>3) Die Werte für 1996 wurden revidiert. Sie wurden mittels der Veränderungen 1996/97 der Durchschnittsprämien der Erwachsenen geschätzt.</t>
  </si>
  <si>
    <t>Bis zum Jahr 2000 gab es nur reduzierte Prämien für junge Erwachsene, welche noch in Ausbildung waren. Mit dem Weglassen</t>
  </si>
  <si>
    <t>der Bedingung "in Ausbildung" in 2001 kamen deutlich mehr Personen, welche vorher eine Erwachsenenprämie bezahlen mussten,</t>
  </si>
  <si>
    <t>in den Genuss einer reduzierten Prämie. Als Folge hiervon musste die reduzierte Prämie relativ stark auf 2001 hin erhöht werden.</t>
  </si>
  <si>
    <t>4) Die Werte für 1996 wurden revidiert. Sie wurden mittels der Veränderungen 1996/97 der Durchschnittsprämien der Erwachsenen geschätzt.</t>
  </si>
  <si>
    <r>
      <t xml:space="preserve">T 3.01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OKP in Franken ab 1996 : CH</t>
    </r>
  </si>
  <si>
    <r>
      <t xml:space="preserve">(26 J. und älter) </t>
    </r>
    <r>
      <rPr>
        <vertAlign val="superscript"/>
        <sz val="11"/>
        <rFont val="Arial"/>
        <family val="2"/>
      </rPr>
      <t>2</t>
    </r>
  </si>
  <si>
    <r>
      <t xml:space="preserve">(0-18 Jahre) </t>
    </r>
    <r>
      <rPr>
        <vertAlign val="superscript"/>
        <sz val="11"/>
        <rFont val="Arial"/>
        <family val="2"/>
      </rPr>
      <t>4</t>
    </r>
  </si>
  <si>
    <r>
      <t xml:space="preserve">(19-25 Jahre) </t>
    </r>
    <r>
      <rPr>
        <vertAlign val="superscript"/>
        <sz val="11"/>
        <rFont val="Arial"/>
        <family val="2"/>
      </rPr>
      <t>3</t>
    </r>
  </si>
  <si>
    <r>
      <t xml:space="preserve">Ausgewiesen wird die </t>
    </r>
    <r>
      <rPr>
        <b/>
        <sz val="10"/>
        <rFont val="Arial"/>
        <family val="2"/>
      </rPr>
      <t>geschätzte</t>
    </r>
    <r>
      <rPr>
        <sz val="10"/>
        <rFont val="Arial"/>
        <family val="2"/>
      </rPr>
      <t xml:space="preserve"> monatliche Durchschnittsprämie </t>
    </r>
    <r>
      <rPr>
        <b/>
        <sz val="10"/>
        <rFont val="Arial"/>
        <family val="2"/>
      </rPr>
      <t>OKP</t>
    </r>
    <r>
      <rPr>
        <sz val="10"/>
        <rFont val="Arial"/>
        <family val="2"/>
      </rPr>
      <t xml:space="preserve"> in Franken; die Berechnungen beruhen auf den Prämientarifen</t>
    </r>
  </si>
  <si>
    <r>
      <t xml:space="preserve"> </t>
    </r>
    <r>
      <rPr>
        <b/>
        <sz val="10"/>
        <rFont val="Arial"/>
        <family val="2"/>
      </rPr>
      <t>inklusive Unfalldeckung der ordentlichen Franchise</t>
    </r>
    <r>
      <rPr>
        <sz val="10"/>
        <rFont val="Arial"/>
        <family val="2"/>
      </rPr>
      <t xml:space="preserve"> und auf den Versichertenbeständen nach Kantonen, nach Versicherer </t>
    </r>
  </si>
  <si>
    <t>1) Vgl. Fussnoten 1) , 2) und 3) von Tabelle 2.16.</t>
  </si>
  <si>
    <t>2) Werte neu berechnet anhand der mittleren Versichertenbestände vom 1997 bis 2005.</t>
  </si>
  <si>
    <t>Quelle: T 2.16 / 11.01</t>
  </si>
  <si>
    <t xml:space="preserve">T 2.17  Leistungen (brutto) in Franken nach Kostengruppen </t>
  </si>
  <si>
    <t>in 1000 Fr.</t>
  </si>
  <si>
    <t xml:space="preserve">Quelle: Formular EF3 [T 3.6] </t>
  </si>
  <si>
    <t>1) Als «Intra-muros» Behandlung gelten die Kategorien "Spital stationär", "Pflegeheime" und "übrige Leistungen stationär";</t>
  </si>
  <si>
    <t xml:space="preserve"> als ambulante Kosten gelten alle übrigen Kategorien.</t>
  </si>
  <si>
    <t>2) Werte 1997 teilweise geschätzt, Werte 1999 mit Datenstand Oktober 2001 revidiert.</t>
  </si>
  <si>
    <t>Quelle : T 2.17</t>
  </si>
  <si>
    <r>
      <t xml:space="preserve">Jahr </t>
    </r>
    <r>
      <rPr>
        <vertAlign val="superscript"/>
        <sz val="11"/>
        <rFont val="Arial"/>
        <family val="2"/>
      </rPr>
      <t>2</t>
    </r>
  </si>
  <si>
    <r>
      <t xml:space="preserve">Behandlung </t>
    </r>
    <r>
      <rPr>
        <b/>
        <vertAlign val="superscript"/>
        <sz val="11"/>
        <rFont val="Arial"/>
        <family val="2"/>
      </rPr>
      <t>1</t>
    </r>
  </si>
  <si>
    <t>Datenstand : 31.7.08</t>
  </si>
  <si>
    <t>3) Benutzter Kantonsbeitrag in Prozent des maximalen Gesamtbeitrages.</t>
  </si>
  <si>
    <t>4) Der Reduktionsfaktor bezieht sich auf das Total der Prämienverbilligung.</t>
  </si>
  <si>
    <r>
      <t xml:space="preserve">faktor </t>
    </r>
    <r>
      <rPr>
        <vertAlign val="superscript"/>
        <sz val="11"/>
        <rFont val="Arial"/>
        <family val="2"/>
      </rPr>
      <t>1</t>
    </r>
  </si>
  <si>
    <r>
      <t xml:space="preserve">in Fr. </t>
    </r>
    <r>
      <rPr>
        <vertAlign val="superscript"/>
        <sz val="11"/>
        <rFont val="Arial"/>
        <family val="2"/>
      </rPr>
      <t>2</t>
    </r>
  </si>
  <si>
    <r>
      <t xml:space="preserve">in Fr. </t>
    </r>
    <r>
      <rPr>
        <b/>
        <vertAlign val="superscript"/>
        <sz val="11"/>
        <rFont val="Arial"/>
        <family val="2"/>
      </rPr>
      <t>2</t>
    </r>
  </si>
  <si>
    <r>
      <t xml:space="preserve">duktion </t>
    </r>
    <r>
      <rPr>
        <vertAlign val="superscript"/>
        <sz val="11"/>
        <rFont val="Arial"/>
        <family val="2"/>
      </rPr>
      <t>3</t>
    </r>
  </si>
  <si>
    <r>
      <t xml:space="preserve">CH </t>
    </r>
    <r>
      <rPr>
        <b/>
        <vertAlign val="superscript"/>
        <sz val="11"/>
        <rFont val="Arial"/>
        <family val="2"/>
      </rPr>
      <t>4</t>
    </r>
  </si>
  <si>
    <t>T 4.10 Prämienverbilligung OKP : ausgerichtete Leistungen nach Kantonen</t>
  </si>
  <si>
    <t>nach KVG</t>
  </si>
  <si>
    <t>Leistungen *</t>
  </si>
  <si>
    <t>* davon Anteil</t>
  </si>
  <si>
    <t>der Kantone</t>
  </si>
  <si>
    <t>pro Haushalt</t>
  </si>
  <si>
    <t>pro Bezüger</t>
  </si>
  <si>
    <t>und früher</t>
  </si>
  <si>
    <t>Quelle: Formular PV1 &amp; T 4.02 &amp; T 4.04</t>
  </si>
  <si>
    <t>1) Effektiv im Berichtsjahr an die Haushalte/BezügerInnen ausbezahlte Prämienverbilligungen nach KVG. Bund und Kantone.</t>
  </si>
  <si>
    <r>
      <t xml:space="preserve">nach KVG </t>
    </r>
    <r>
      <rPr>
        <b/>
        <vertAlign val="superscript"/>
        <sz val="11"/>
        <rFont val="Arial"/>
        <family val="2"/>
      </rPr>
      <t>1</t>
    </r>
  </si>
  <si>
    <t>Datenstand : 15.10.08</t>
  </si>
  <si>
    <t>für 2007</t>
  </si>
  <si>
    <t>für 2006</t>
  </si>
  <si>
    <t xml:space="preserve">T 4.11 Bezügerquoten nach Geschlecht und Kantonen und begünstigte Haushalte in % </t>
  </si>
  <si>
    <t>Privat-</t>
  </si>
  <si>
    <t>Begünstigte</t>
  </si>
  <si>
    <t>haushalte</t>
  </si>
  <si>
    <t>(approximativ)</t>
  </si>
  <si>
    <t>T 9.19  Gesundheitskosten ausgewählter OECD–Länder in % des BIP ab 1997</t>
  </si>
  <si>
    <t>Land</t>
  </si>
  <si>
    <t>Australien</t>
  </si>
  <si>
    <t>Belgien</t>
  </si>
  <si>
    <t>Dänemark</t>
  </si>
  <si>
    <t>Deutschland</t>
  </si>
  <si>
    <t>Finnland</t>
  </si>
  <si>
    <t>Frankreich</t>
  </si>
  <si>
    <t>Grossbritannien</t>
  </si>
  <si>
    <t>Italien</t>
  </si>
  <si>
    <t>Japan</t>
  </si>
  <si>
    <t>Niederlande</t>
  </si>
  <si>
    <t>Norwegen</t>
  </si>
  <si>
    <t>Österreich</t>
  </si>
  <si>
    <t>Schweden</t>
  </si>
  <si>
    <t>Spanien</t>
  </si>
  <si>
    <t>USA</t>
  </si>
  <si>
    <t>Datenstand: 3.12.08</t>
  </si>
  <si>
    <t>Quelle: www.oecd.org/home/   Topics &gt; Health &gt; OECD Health Data 2008 -</t>
  </si>
  <si>
    <t xml:space="preserve"> Frequently Requested Data &gt; Total expenditure on health, % gross domestic product </t>
  </si>
  <si>
    <t xml:space="preserve">Belgien </t>
  </si>
  <si>
    <t>Griechenland</t>
  </si>
  <si>
    <t>Irland</t>
  </si>
  <si>
    <t>Luxemburg</t>
  </si>
  <si>
    <t>Portugal</t>
  </si>
  <si>
    <t>Vereinigtes Königreich</t>
  </si>
  <si>
    <t>Island</t>
  </si>
  <si>
    <t xml:space="preserve">1) EUR-12: Die Euro-Zone umfasst Belgien, Deutschland, Finnland, Frankreich, Griechenland, Irland, Italien, </t>
  </si>
  <si>
    <t xml:space="preserve">    Luxemburg, Niederlande, Österreich, Portugal und Spanien.</t>
  </si>
  <si>
    <t xml:space="preserve">    EU-15: EUR-12 plus Dänemark, Schweden und das Vereinigte Königreich.</t>
  </si>
  <si>
    <t>2) Der Sozialschutz umfasst alle Maßnahmen öffentlicher oder privater Stellen, die darauf abzielen, Haushalte</t>
  </si>
  <si>
    <t xml:space="preserve">    oder Einzelne vor bestimmten festgelegten Risiken zu schützen.</t>
  </si>
  <si>
    <t xml:space="preserve">3) Für die Definition der für die Schweiz ausgewiesenen Leistungen siehe </t>
  </si>
  <si>
    <t>Gesamtrechnung der Sozialen Sichereit: Methoden und Konzepte, BFS, Neuenburg, 2002.</t>
  </si>
  <si>
    <t>Hier ist zu beachten, dass die Kostenbeteiligung der Versicherten (in der Schweiz im Rahmen des KVG obligatorisch)</t>
  </si>
  <si>
    <t>und die Prämienverbilligung in den Zahlen nicht berücksichtigt sind.</t>
  </si>
  <si>
    <t xml:space="preserve">Werte in der Schweiz in 2001 : </t>
  </si>
  <si>
    <t>Kostenbeteiligung der Versicherten = 0,57% des BIP ; Prämienverbilligung = 0,63% des BIP.</t>
  </si>
  <si>
    <t>Quelle: Eurostat, European social statistics - Data 2008 : epp.eurostat.ec.europa.eu</t>
  </si>
  <si>
    <t>Topics &gt;  Database &gt; Browse &gt; Population and social conditions &gt; Living conditions and welfare  &gt; Social protection &gt; Social protection expenditure  &gt;</t>
  </si>
  <si>
    <t xml:space="preserve"> Expenditure - Tables by benefits and currency, by function  &gt; Tables by benefits and currency - sickness/health care function</t>
  </si>
  <si>
    <r>
      <t xml:space="preserve">T 9.20  Sozialschutzleistungen für die Gesundheitsversorgung 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: Internationaler Vergleich in % des BIP ab 1997</t>
    </r>
  </si>
  <si>
    <r>
      <t xml:space="preserve">UE-15 </t>
    </r>
    <r>
      <rPr>
        <vertAlign val="superscript"/>
        <sz val="11"/>
        <rFont val="Arial"/>
        <family val="2"/>
      </rPr>
      <t>1</t>
    </r>
  </si>
  <si>
    <r>
      <t xml:space="preserve">EUR-12 </t>
    </r>
    <r>
      <rPr>
        <vertAlign val="superscript"/>
        <sz val="11"/>
        <rFont val="Arial"/>
        <family val="2"/>
      </rPr>
      <t>1</t>
    </r>
  </si>
  <si>
    <t xml:space="preserve">Beilage B1: </t>
  </si>
  <si>
    <t>Übergangsschlüssel Tabellen *  2007 -&gt; 1996</t>
  </si>
  <si>
    <t>vollständig (133 / 133 T.)</t>
  </si>
  <si>
    <t>T 1.08 Gesamtbetriebsergebnis in Franken nach Versicherungsform ab 1997</t>
  </si>
  <si>
    <t>Wahl</t>
  </si>
  <si>
    <t>Quelle: T 1.03, 1.04, 1.05, 1.06</t>
  </si>
  <si>
    <t>T 1.09  Gesamtbetriebsergebnis in Franken je versicherte Person nach Versicherungsform ab 1997</t>
  </si>
  <si>
    <t>Versiche-</t>
  </si>
  <si>
    <t>schränk-</t>
  </si>
  <si>
    <t>rung</t>
  </si>
  <si>
    <t>te Wahl</t>
  </si>
  <si>
    <t>Quelle: T 1.08 / T 11.05</t>
  </si>
  <si>
    <t>T 1.10 Verwaltungsaufwand / Abschreibungen in Franken nach Versicherungsform ab 1997</t>
  </si>
  <si>
    <t>In % des</t>
  </si>
  <si>
    <r>
      <t xml:space="preserve">T 7.01  Ertrag, Aufwand und Ergebnis der anderen Versicherungen insgesamt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Franken ab 1997</t>
    </r>
  </si>
  <si>
    <r>
      <t xml:space="preserve">Jahr </t>
    </r>
    <r>
      <rPr>
        <vertAlign val="superscript"/>
        <sz val="11"/>
        <rFont val="Arial"/>
        <family val="2"/>
      </rPr>
      <t>2, 3</t>
    </r>
  </si>
  <si>
    <t>T 8.12  Ergebnisverteilung per 31.12.</t>
  </si>
  <si>
    <t>Betrag</t>
  </si>
  <si>
    <t>Gesamtbetriebsrechnung:</t>
  </si>
  <si>
    <t>Vorschlag</t>
  </si>
  <si>
    <t>Rückschlag</t>
  </si>
  <si>
    <t>Zuweisungen</t>
  </si>
  <si>
    <t xml:space="preserve">Entnahmen </t>
  </si>
  <si>
    <t>Fonds:</t>
  </si>
  <si>
    <t>Reglementierte Fonds</t>
  </si>
  <si>
    <t>Immobilien</t>
  </si>
  <si>
    <t>EDV-Projekte</t>
  </si>
  <si>
    <t>Eigenkapital:</t>
  </si>
  <si>
    <t xml:space="preserve">Reserven Oblig. Krankenpflegeversicherung (ohne Kto. 290.5) </t>
  </si>
  <si>
    <t>Reserven Oblig. Krankenpflegeversicherung EG und EFTA (ohne Liechtenstein)</t>
  </si>
  <si>
    <t>Reserven Freiw.Taggeldversicherung KVG</t>
  </si>
  <si>
    <t xml:space="preserve">Reserven Aktive Rückversicherung nach KVG </t>
  </si>
  <si>
    <t>Zusatzversicherung VVG, inkl. Taggeld VVG</t>
  </si>
  <si>
    <t>Quelle: Formular EF1 [10]</t>
  </si>
  <si>
    <t>T 8.11  Aufstellung über Kapitalanlagen, Grundstücke und Gebäude per 31.12.</t>
  </si>
  <si>
    <t>Anteile</t>
  </si>
  <si>
    <t xml:space="preserve">Kapitalanlagen </t>
  </si>
  <si>
    <t>Anlagen bei öffentlich-rechtlichen Körperschaften und bei Banken und Sparkassen</t>
  </si>
  <si>
    <t>Wertpapiere und andere an der Börse kotierte Anlagen</t>
  </si>
  <si>
    <t xml:space="preserve">Anlagen in grundpfandgesicherten Darlehen </t>
  </si>
  <si>
    <t>Anlagen und Guthaben von Betriebskrankenkassen im eigenen Betrieb</t>
  </si>
  <si>
    <t>Anlagen bei Institutionen, die der Durchführung der sozialen Krankenversicherung dienen</t>
  </si>
  <si>
    <t xml:space="preserve">Sonstige Wertschriften </t>
  </si>
  <si>
    <t>Wertberichtigung Kapitalanlagen</t>
  </si>
  <si>
    <t>Kapitalanlagen  - Gesamttotal</t>
  </si>
  <si>
    <t>Grundstücke und Gebäude</t>
  </si>
  <si>
    <t xml:space="preserve">Grundstücke </t>
  </si>
  <si>
    <t>Gebäude für Verwaltungszwecke</t>
  </si>
  <si>
    <t>Gebäude für Wohn- und Geschäftszwecke</t>
  </si>
  <si>
    <t>Wertberichtigung Grundstücke und Gebäude</t>
  </si>
  <si>
    <t>Grundstücke / Gebäude - Gesamttotal</t>
  </si>
  <si>
    <t>17-18</t>
  </si>
  <si>
    <t>Gesamttotal  Kapitalanlagen, Grundstücke und Gebäude</t>
  </si>
  <si>
    <t>1) Anschaffungswert = Buchwert</t>
  </si>
  <si>
    <t>Quelle: Formular EF1 [11]</t>
  </si>
  <si>
    <t>T 8.10  Bilanz: Passiven der Versicherer per 31.12.</t>
  </si>
  <si>
    <t>Fremdkapital</t>
  </si>
  <si>
    <t>Verbindlichkeiten aus Versicherungsleistungen</t>
  </si>
  <si>
    <t>Verbindlichkeiten bei Versicherten (ohne Konto.215)</t>
  </si>
  <si>
    <t>Noch zur Verrechnung gelangende Abgabeerträge VOC und HEL</t>
  </si>
  <si>
    <t>Verbindlichkeiten bei Partnern</t>
  </si>
  <si>
    <t>Verbindlichkeiten bei Rückversicherern</t>
  </si>
  <si>
    <t>Verbindlichkeiten bei der Gemeinsamen Einrichtung KVG</t>
  </si>
  <si>
    <t>Verbindlichkeiten bei anderen Versicherern</t>
  </si>
  <si>
    <t>Übrige Verbindlichkeiten und passive Rechnungsabgrenzung</t>
  </si>
  <si>
    <t>Rückstellung für unerledigte Versicherungsfälle, Risikoausgleich, nicht versicherungstechn. Rückstellungen, Rücklagen aus Fusionen</t>
  </si>
  <si>
    <t xml:space="preserve">Oblig. Krankenpflegevers. (ohne Kto. 270.2 und 270.3)  </t>
  </si>
  <si>
    <t>Nicht versicherungstechnische Rückstellungen KVG</t>
  </si>
  <si>
    <t>Oblig. Krankenpflegevers. (effektive Kosten gemäss Verordnung (EWG) Nr. 574/72 Art. 93)</t>
  </si>
  <si>
    <t>Oblig. Krankenpflegevers. (Pauschalkosten gem. Verordnung (EWG) Nr. 574/72 Art. 94 und 95)</t>
  </si>
  <si>
    <t>– Freiwillige Taggeldversicherung nach KVG</t>
  </si>
  <si>
    <t>– Aktive Rückversicherung</t>
  </si>
  <si>
    <t>– Zusatzversicherungen inkl. Taggeld VVG</t>
  </si>
  <si>
    <t>– Nicht versicherungstechnische Rückstellungen VVG</t>
  </si>
  <si>
    <t>– Risikoausgleich</t>
  </si>
  <si>
    <t>– Zweckgebundene Rücklagen aus Fusionen</t>
  </si>
  <si>
    <t>Fonds und Eigenkapital</t>
  </si>
  <si>
    <t>Fonds</t>
  </si>
  <si>
    <t>– Reglementierte Fonds</t>
  </si>
  <si>
    <t>– Immobilien (Renovationen, Umbauten)</t>
  </si>
  <si>
    <t>– EDV-Projekte</t>
  </si>
  <si>
    <t>Eigenkapital</t>
  </si>
  <si>
    <t xml:space="preserve">Reserven Oblig. Krankenpflegeversicherung (ohne Konto 290.5) </t>
  </si>
  <si>
    <t>Aktienkapital</t>
  </si>
  <si>
    <t>– Reserven Taggeldversicherung nach KVG</t>
  </si>
  <si>
    <t>– Reserven Aktive Rückversicherung</t>
  </si>
  <si>
    <t>– Zusatzversicherung VVG, inkl. Taggeld VVG</t>
  </si>
  <si>
    <t>– Einkaufssummen fusionierter Versicherer</t>
  </si>
  <si>
    <t>Total Passiven</t>
  </si>
  <si>
    <t>Quelle: Formular EF1 [4,5]</t>
  </si>
  <si>
    <t>T 8.09  Bilanz: Aktiven der Versicherer per 31.12.</t>
  </si>
  <si>
    <t>Umlaufvermögen</t>
  </si>
  <si>
    <t>Flüssige Mittel</t>
  </si>
  <si>
    <t>Forderungen bei Versicherten</t>
  </si>
  <si>
    <t>– Forderungen bei Versicherten brutto</t>
  </si>
  <si>
    <t xml:space="preserve">– Wertberichtigung / Delkredere </t>
  </si>
  <si>
    <t>Forderungen bei Partnern</t>
  </si>
  <si>
    <t>– Forderungen bei Partnern brutto</t>
  </si>
  <si>
    <t>T 1.01 Obligatorische Krankenpflegeversicherung ab 1997: wichtigste Indikatoren</t>
  </si>
  <si>
    <t>Merkmale</t>
  </si>
  <si>
    <t>Veränderung 2006 - 2007 in %</t>
  </si>
  <si>
    <t>Jahresdurch-schnittliche Veränderung 1997 - 2007 in %</t>
  </si>
  <si>
    <t>– Anzahl Versicherer OKP</t>
  </si>
  <si>
    <t>– Durchschnittlicher Versichertenbestand in 1'000</t>
  </si>
  <si>
    <t>3A</t>
  </si>
  <si>
    <t>– Anzahl Erkrankte in 1'000</t>
  </si>
  <si>
    <t>3B</t>
  </si>
  <si>
    <t>- 1 - 10: In der KV-Statistik (T2.18) publizierte Werte basierend auf den Formularen EF123 (Vollerhebung)</t>
  </si>
  <si>
    <t>- e1: Geschätzte Werte auf der Basis der Auswertungen der Jahresangaben des Datenpools von santésuisse, die in der Applikation „Zeitreihen“ des BAG präsentiert werden.</t>
  </si>
  <si>
    <t>- Abweichung e1 : Differenz zwischen den e1-Werten und den in der KV-Statistik des BAG publizierten Werten</t>
  </si>
  <si>
    <t>- Geschätzte Jahreswerte auf der Basis der Daten des Datenpools von santésuisse, die quartalsweise vom BAG im Rahmen des Kostenmonitorings publiziert werden</t>
  </si>
  <si>
    <t>- Abweichung e2 : Differenz zwischen den e2-Werten und den in der KV-Statistik des BAG publizierten Werten</t>
  </si>
  <si>
    <t>STAT KV: Berichte: PDF 1996-2006, Tabellen: XLS 1996-2006, Grafiken: XLS 2005-2006 auf der Internet-Adresse</t>
  </si>
  <si>
    <t>19.12.08: B, B1, I1-&gt;I4</t>
  </si>
  <si>
    <t>09.02.09 : 8.11</t>
  </si>
  <si>
    <t>12.3.09: 1.02, I4</t>
  </si>
  <si>
    <t xml:space="preserve">Differenzen zwischen den Zahlen der verschiedenen Datenquellen entstehen aufgrund unterschiedlicher Auswertungskonzepte: </t>
  </si>
  <si>
    <t xml:space="preserve">Die Daten des Kostenmonitorings werden nach Leistungserbringer ausgewertet, die Daten der EF-Formulare und Jahresdaten Datenpool hingegen nach Leistungsart, </t>
  </si>
  <si>
    <t>allerdings nicht immer nach den gleichen Kriterien (z.B. Arzt ambulant mit oder ohne Laborkosten, Physio etc.).</t>
  </si>
  <si>
    <t>Daten pro Kanton (29)</t>
  </si>
  <si>
    <t>neu im Jahr 2007 (3)</t>
  </si>
  <si>
    <t>10.12.08: 9.05</t>
  </si>
  <si>
    <r>
      <t xml:space="preserve">2007 </t>
    </r>
    <r>
      <rPr>
        <i/>
        <vertAlign val="superscript"/>
        <sz val="11"/>
        <color indexed="10"/>
        <rFont val="Arial"/>
        <family val="2"/>
      </rPr>
      <t>4</t>
    </r>
  </si>
  <si>
    <r>
      <t xml:space="preserve">2008 </t>
    </r>
    <r>
      <rPr>
        <i/>
        <vertAlign val="superscript"/>
        <sz val="11"/>
        <color indexed="10"/>
        <rFont val="Arial"/>
        <family val="2"/>
      </rPr>
      <t>4</t>
    </r>
  </si>
  <si>
    <r>
      <t xml:space="preserve">2009 </t>
    </r>
    <r>
      <rPr>
        <i/>
        <vertAlign val="superscript"/>
        <sz val="11"/>
        <color indexed="10"/>
        <rFont val="Arial"/>
        <family val="2"/>
      </rPr>
      <t>4</t>
    </r>
  </si>
  <si>
    <t>Formulare EF123:</t>
  </si>
  <si>
    <t>Anzahl Versicherer mit EF 1.12 A Total &gt; 0</t>
  </si>
  <si>
    <t>= [ 8A ] / [ 2 ]</t>
  </si>
  <si>
    <t xml:space="preserve">Durchschnittlicher Versichertenbestand EF 1.12 A Total  </t>
  </si>
  <si>
    <t>= [ 7A ] - [ 8A ]</t>
  </si>
  <si>
    <t>EF3  T 3.7.1</t>
  </si>
  <si>
    <t>= [ 3A ] / [ 2 ] * 100</t>
  </si>
  <si>
    <t>= [ 7B ] - [ 8B ]</t>
  </si>
  <si>
    <t>EF3  T 3.7.2</t>
  </si>
  <si>
    <t>EF2 Konten 40-47 + 48 K+U Seiten 2.2 -&gt; 2.7</t>
  </si>
  <si>
    <t>= [ 10A ] / [ 2 ]</t>
  </si>
  <si>
    <t>EF3  T 3.4</t>
  </si>
  <si>
    <t xml:space="preserve">EF2 Konto Gesamtbetriebsergebnis Krankheit + Unfall Seiten 2.2 -&gt; 2.7 </t>
  </si>
  <si>
    <t>= [ 6A ] / [ 2 ]</t>
  </si>
  <si>
    <t>EF 1.4 Konto 270</t>
  </si>
  <si>
    <t>EF3  T 3.6</t>
  </si>
  <si>
    <t>= [ 12A ] / [ 2 ]</t>
  </si>
  <si>
    <t>= [ 7A ] / [ 2 ]</t>
  </si>
  <si>
    <t>= [ 12A ] / [ 9A ] * 100 in %</t>
  </si>
  <si>
    <t>EF3  T 3.6 / [ 2 ]</t>
  </si>
  <si>
    <t>EF 1.5 Konten 290 + 290.9</t>
  </si>
  <si>
    <t>EF3 T 3.6 / [ 2 ]</t>
  </si>
  <si>
    <t>= [ 13A ] / [ 2 ]</t>
  </si>
  <si>
    <t>EF2 Konto 32 K+U Seiten 2.2 -&gt; 2.7</t>
  </si>
  <si>
    <t>= [ 13A ] / [ 6A ] * 100 in %</t>
  </si>
  <si>
    <r>
      <t xml:space="preserve">– Leistungen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pro Versicherte(n) in Fr.</t>
    </r>
  </si>
  <si>
    <r>
      <t xml:space="preserve">– Bezahlte Leistungen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pro Versicherten in  Fr.</t>
    </r>
  </si>
  <si>
    <t>6.10.08: 2.01, 2.02, 2.14, 2.15, 2.21-&gt;2.23</t>
  </si>
  <si>
    <r>
      <t xml:space="preserve">– Leistungen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in Mio. Fr.</t>
    </r>
  </si>
  <si>
    <r>
      <t xml:space="preserve">– Bezahlte Leistungen </t>
    </r>
    <r>
      <rPr>
        <vertAlign val="superscript"/>
        <sz val="11"/>
        <rFont val="Arial"/>
        <family val="2"/>
      </rPr>
      <t xml:space="preserve">2  </t>
    </r>
    <r>
      <rPr>
        <sz val="11"/>
        <rFont val="Arial"/>
        <family val="2"/>
      </rPr>
      <t>in Mio. Fr.</t>
    </r>
  </si>
  <si>
    <r>
      <t xml:space="preserve">– Rückstellungenquote 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 xml:space="preserve"> per 31.12. in %</t>
    </r>
  </si>
  <si>
    <r>
      <t xml:space="preserve">– Reservequote </t>
    </r>
    <r>
      <rPr>
        <vertAlign val="superscript"/>
        <sz val="11"/>
        <rFont val="Arial"/>
        <family val="2"/>
      </rPr>
      <t>4</t>
    </r>
    <r>
      <rPr>
        <sz val="11"/>
        <rFont val="Arial"/>
        <family val="2"/>
      </rPr>
      <t xml:space="preserve"> per 31.12. in %</t>
    </r>
  </si>
  <si>
    <t>31.7.08: 1.01, 2.16 -&gt; 2.19</t>
  </si>
  <si>
    <t>Kontengruppen</t>
  </si>
  <si>
    <t>Krankheit</t>
  </si>
  <si>
    <t>Unfall</t>
  </si>
  <si>
    <t>Prämien</t>
  </si>
  <si>
    <t>Erlösminderungen für Prämien (-)</t>
  </si>
  <si>
    <t>Andere Beitragsanteile</t>
  </si>
  <si>
    <t>60-65</t>
  </si>
  <si>
    <t>Brutto-Prämien</t>
  </si>
  <si>
    <t>Prämienanteile der Rückversicherer (-)</t>
  </si>
  <si>
    <t>60-66</t>
  </si>
  <si>
    <t>Eigene Versicherungsprämien</t>
  </si>
  <si>
    <t>Prämienverbilligung / sonstige Beiträge</t>
  </si>
  <si>
    <t>Prämienermässigung an Versicherte (-)</t>
  </si>
  <si>
    <t>Sonstige Betriebserträge</t>
  </si>
  <si>
    <t>Total Versicherungsertrag</t>
  </si>
  <si>
    <t>Kostenbeteiligung der Versicherten (-)</t>
  </si>
  <si>
    <t>30-33</t>
  </si>
  <si>
    <t>Bezahlte Leistungen</t>
  </si>
  <si>
    <t>Sonstige Aufwendungen für Leistungen</t>
  </si>
  <si>
    <t>Rückstellungen für unerledigte Versicherungsfälle</t>
  </si>
  <si>
    <t>30-35</t>
  </si>
  <si>
    <t>Brutto-Leistungen</t>
  </si>
  <si>
    <t>Mittlere</t>
  </si>
  <si>
    <t>Index der</t>
  </si>
  <si>
    <t>Prämien-</t>
  </si>
  <si>
    <t>Wohnbe-</t>
  </si>
  <si>
    <t>Finanz-</t>
  </si>
  <si>
    <t>kraft</t>
  </si>
  <si>
    <t>beiträge</t>
  </si>
  <si>
    <t>Beiträge</t>
  </si>
  <si>
    <t>in Fr. :</t>
  </si>
  <si>
    <t>Quelle: EFV - Bundes- und Kantonsbeiträge : Verteilungsmodell für das Jahr 2007.</t>
  </si>
  <si>
    <t>1) vgl. Art. 66 Abs. 3 KVG: "Der Bundesrat setzt die Anteile der einzelnen Kantone am Bundesbeitrag nach deren Wohnbevöl-</t>
  </si>
  <si>
    <t>26.11.08: 9.01-&gt;9.05</t>
  </si>
  <si>
    <t>Sozial-</t>
  </si>
  <si>
    <t>Private</t>
  </si>
  <si>
    <t>Total </t>
  </si>
  <si>
    <t>Regimes der</t>
  </si>
  <si>
    <t>Haus-</t>
  </si>
  <si>
    <t>private</t>
  </si>
  <si>
    <t>sozialen</t>
  </si>
  <si>
    <t>Finanzie-</t>
  </si>
  <si>
    <t>1) Subventionen an die Leistungserbringer (Krankenhäuser, usw.); Gesundheitswesen, Verwaltung und Prävention.</t>
  </si>
  <si>
    <t>2) Unfallversicherung UVG, AHV-IV und Militärversicherung.</t>
  </si>
  <si>
    <t>3) Verbilligung KVG-Prämien; Ergänzungsleistungen AHV und IV; Sozialhilfe; Hilflosenschädigung:</t>
  </si>
  <si>
    <t xml:space="preserve">     Regimes der Sozialen Sicherheit, die nicht als Direktzahler in diser Statistik betrachtet sind.</t>
  </si>
  <si>
    <t>4) Aufwand der Krankenversicherung (Betrag der Zahlungen der Krankenversicherung an das Gesundheitswesen, abzüglich Beiträge</t>
  </si>
  <si>
    <t xml:space="preserve">    an die Versicherten für die Prämienverbilligung); Kostenbeteiligungen; "Out of pocket".</t>
  </si>
  <si>
    <t xml:space="preserve">5) Spenden und Vermächtnisse an Institutionen ohne Erwerbscharakter (Pflegeheim, Institution für Behinderte, Spitexorganisation usw.) </t>
  </si>
  <si>
    <t>6) Neue BFS-Berechnungsmethode im 2008 -&gt; vom BFS revidierte Werte für 1996-&gt;2006.</t>
  </si>
  <si>
    <t>7) Schätzung KOF Konjunkturforschungsstelle ETHZ [Medienmitteilung 11/08]</t>
  </si>
  <si>
    <t>Quelle: 1996-2006 : Statistisches Lexikon BFS, Kosten des Gesundheitswesens / 2007: Prognose der Gesundheitsausgaben, KOF</t>
  </si>
  <si>
    <r>
      <t xml:space="preserve">T 9.01  Kosten des Gesundheitswesens in der Schweiz aus der Sicht der sozialen Sicherheit </t>
    </r>
    <r>
      <rPr>
        <b/>
        <vertAlign val="superscript"/>
        <sz val="12"/>
        <rFont val="Arial"/>
        <family val="2"/>
      </rPr>
      <t>6</t>
    </r>
    <r>
      <rPr>
        <b/>
        <sz val="12"/>
        <rFont val="Arial"/>
        <family val="2"/>
      </rPr>
      <t xml:space="preserve"> in Mio. Fr. ab 1997</t>
    </r>
  </si>
  <si>
    <r>
      <t xml:space="preserve">Staat </t>
    </r>
    <r>
      <rPr>
        <vertAlign val="superscript"/>
        <sz val="11"/>
        <rFont val="Arial"/>
        <family val="2"/>
      </rPr>
      <t>1</t>
    </r>
  </si>
  <si>
    <r>
      <t xml:space="preserve">rungen </t>
    </r>
    <r>
      <rPr>
        <vertAlign val="superscript"/>
        <sz val="11"/>
        <rFont val="Arial"/>
        <family val="2"/>
      </rPr>
      <t>2</t>
    </r>
  </si>
  <si>
    <r>
      <t xml:space="preserve">halte </t>
    </r>
    <r>
      <rPr>
        <vertAlign val="superscript"/>
        <sz val="11"/>
        <rFont val="Arial"/>
        <family val="2"/>
      </rPr>
      <t>4</t>
    </r>
  </si>
  <si>
    <r>
      <t xml:space="preserve">Sicherheit </t>
    </r>
    <r>
      <rPr>
        <vertAlign val="superscript"/>
        <sz val="11"/>
        <rFont val="Arial"/>
        <family val="2"/>
      </rPr>
      <t>3</t>
    </r>
  </si>
  <si>
    <r>
      <t xml:space="preserve">rung </t>
    </r>
    <r>
      <rPr>
        <vertAlign val="superscript"/>
        <sz val="11"/>
        <rFont val="Arial"/>
        <family val="2"/>
      </rPr>
      <t>5</t>
    </r>
  </si>
  <si>
    <r>
      <t xml:space="preserve">2007 </t>
    </r>
    <r>
      <rPr>
        <i/>
        <vertAlign val="superscript"/>
        <sz val="11"/>
        <rFont val="Arial"/>
        <family val="2"/>
      </rPr>
      <t>7</t>
    </r>
  </si>
  <si>
    <t>rungen</t>
  </si>
  <si>
    <t>1) Öffentliche Sicherheit, Rettungsdienste, Stationäre Betriebe, Ambulante Krankenpflege, Verwaltung, Prävention (usw.).</t>
  </si>
  <si>
    <t>2) Krankenversicherung KVG (Grundversicherung); Unfallversicherung UVG; AHV-IV; Militärversicherung.</t>
  </si>
  <si>
    <t>3) KVG-Versicherer &amp; private Versicherer.</t>
  </si>
  <si>
    <t>4) Kostenbeteiligung &amp; "Out of pocket".</t>
  </si>
  <si>
    <t xml:space="preserve">5) Spenden und Vermächtnisse an Institutionen ohne Erwerbscharakter (Pflegeheim, Institution für Behinderte, </t>
  </si>
  <si>
    <t xml:space="preserve">     Spitexorganisation usw.) </t>
  </si>
  <si>
    <r>
      <t xml:space="preserve">T 9.02  Kosten des Gesundheitswesens in der Schweiz nach Direktzahler </t>
    </r>
    <r>
      <rPr>
        <b/>
        <vertAlign val="superscript"/>
        <sz val="12"/>
        <rFont val="Arial"/>
        <family val="2"/>
      </rPr>
      <t>6</t>
    </r>
    <r>
      <rPr>
        <b/>
        <sz val="12"/>
        <rFont val="Arial"/>
        <family val="2"/>
      </rPr>
      <t xml:space="preserve"> in Mio. Fr. ab 1997</t>
    </r>
  </si>
  <si>
    <r>
      <t xml:space="preserve">VVG </t>
    </r>
    <r>
      <rPr>
        <vertAlign val="superscript"/>
        <sz val="11"/>
        <rFont val="Arial"/>
        <family val="2"/>
      </rPr>
      <t>3</t>
    </r>
  </si>
  <si>
    <t>Sozialme-</t>
  </si>
  <si>
    <t>Detail-</t>
  </si>
  <si>
    <t>Organisa-</t>
  </si>
  <si>
    <t>dizinische</t>
  </si>
  <si>
    <t>Versor-</t>
  </si>
  <si>
    <t>tionen ohne</t>
  </si>
  <si>
    <t>Institu-</t>
  </si>
  <si>
    <t>Erwerbs-</t>
  </si>
  <si>
    <t>charakter</t>
  </si>
  <si>
    <t>1) Allgemeine Krankenhäuser; Psychiatrische Kliniken; Rehabilitationskliniken; andere Spezialkliniken.</t>
  </si>
  <si>
    <t>2) Institutionen für Betagte und Chronischkranke; Institutionen für Behinderte und andere Institutionen.</t>
  </si>
  <si>
    <t>kerung und deren Finanzkraft fest. Er kann die durchschnittlichen Prämien der obligatorischen Krankenpflegeversicherung in</t>
  </si>
  <si>
    <t>den einzelnen Kantonen berücksichtigen".</t>
  </si>
  <si>
    <t xml:space="preserve">2) Mittlere Wohnbevölkerung 2004 [Quelle: T 4.13 STAT KV 04] </t>
  </si>
  <si>
    <t xml:space="preserve">   + versicherte Grenzgänger 2005 und deren Familienangehörige [Quelle: EF S{3} 2005].</t>
  </si>
  <si>
    <t>3) Prämien-Index ist seit 2002 nicht mehr berücksichtigt.</t>
  </si>
  <si>
    <t>4)  Relativer Anteil des Kantonsbeitrages am Bundesbeitrag (vgl. Fussnote 1).</t>
  </si>
  <si>
    <t>5) Maximaler Subventionsbetrag von Bund und Kantonen gemäss KVG-Verteilmodell (vgl. Art. 106 KVG).</t>
  </si>
  <si>
    <r>
      <t xml:space="preserve">T 4.08 KVG-Verteilmodell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: Berechnungsbasis sowie Bundes- und Kantonsbeiträge </t>
    </r>
  </si>
  <si>
    <r>
      <t xml:space="preserve">index KV </t>
    </r>
    <r>
      <rPr>
        <vertAlign val="superscript"/>
        <sz val="11"/>
        <rFont val="Arial"/>
        <family val="2"/>
      </rPr>
      <t>3</t>
    </r>
  </si>
  <si>
    <r>
      <t xml:space="preserve">völkerung </t>
    </r>
    <r>
      <rPr>
        <vertAlign val="superscript"/>
        <sz val="11"/>
        <rFont val="Arial"/>
        <family val="2"/>
      </rPr>
      <t>2</t>
    </r>
  </si>
  <si>
    <r>
      <t xml:space="preserve">Ziel </t>
    </r>
    <r>
      <rPr>
        <b/>
        <vertAlign val="superscript"/>
        <sz val="11"/>
        <rFont val="Arial"/>
        <family val="2"/>
      </rPr>
      <t>5</t>
    </r>
  </si>
  <si>
    <r>
      <t xml:space="preserve">beiträge </t>
    </r>
    <r>
      <rPr>
        <vertAlign val="superscript"/>
        <sz val="11"/>
        <rFont val="Arial"/>
        <family val="2"/>
      </rPr>
      <t>4</t>
    </r>
  </si>
  <si>
    <t>Ab 1.1.2008 wird die Prämienverbilligung nach der Neugestaltung des Finanzausgleichs und der Aufgabenteilung</t>
  </si>
  <si>
    <t xml:space="preserve"> zwischen Bund und Kantonen (NFA) berechnet. Betrag von Bund für 2008: 1'779 Mio. Fr.</t>
  </si>
  <si>
    <t>Beilage J2</t>
  </si>
  <si>
    <t>Schätzungen aus dem Prämiengenehmigungsverfahren: Hauptkostengruppen [in Mio. Fr.]</t>
  </si>
  <si>
    <t>Veränder. 2006-07 in %</t>
  </si>
  <si>
    <t>Ärzte (ambulant)</t>
  </si>
  <si>
    <t>3) Ärzte, Zahnärzte, Physiotherapeuten, Psychotherapeuten, Spitexdienste, medizinische Labors , (usw.).</t>
  </si>
  <si>
    <t>4) Apotheken, Drogerien und therapeutische Apparate.</t>
  </si>
  <si>
    <t>5) Bund, Kantone, Gemeinden.</t>
  </si>
  <si>
    <t>6) Krankenversicherer (KVG); Unfallversicherer (UVG); AHV-IV; Private Krankenversicherer (VVG).</t>
  </si>
  <si>
    <t>8) Neue BFS-Berechnungsmethode im 2008 -&gt; vom BFS revidierte Werte für 1996-&gt;2006.</t>
  </si>
  <si>
    <r>
      <t>T 9.03  Kosten des Gesundheitswesens in der Schweiz nach Leistungserbringer</t>
    </r>
    <r>
      <rPr>
        <b/>
        <vertAlign val="superscript"/>
        <sz val="12"/>
        <rFont val="Arial"/>
        <family val="2"/>
      </rPr>
      <t xml:space="preserve"> 8</t>
    </r>
    <r>
      <rPr>
        <b/>
        <sz val="12"/>
        <rFont val="Arial"/>
        <family val="2"/>
      </rPr>
      <t xml:space="preserve"> in Mio. Fr. ab 1997</t>
    </r>
  </si>
  <si>
    <r>
      <t xml:space="preserve">Staat </t>
    </r>
    <r>
      <rPr>
        <vertAlign val="superscript"/>
        <sz val="11"/>
        <rFont val="Arial"/>
        <family val="2"/>
      </rPr>
      <t>5</t>
    </r>
  </si>
  <si>
    <r>
      <t xml:space="preserve">häuser </t>
    </r>
    <r>
      <rPr>
        <vertAlign val="superscript"/>
        <sz val="11"/>
        <rFont val="Arial"/>
        <family val="2"/>
      </rPr>
      <t>1</t>
    </r>
  </si>
  <si>
    <r>
      <t xml:space="preserve">handel </t>
    </r>
    <r>
      <rPr>
        <vertAlign val="superscript"/>
        <sz val="11"/>
        <rFont val="Arial"/>
        <family val="2"/>
      </rPr>
      <t>4</t>
    </r>
  </si>
  <si>
    <r>
      <t xml:space="preserve">cherer </t>
    </r>
    <r>
      <rPr>
        <vertAlign val="superscript"/>
        <sz val="11"/>
        <rFont val="Arial"/>
        <family val="2"/>
      </rPr>
      <t>6</t>
    </r>
  </si>
  <si>
    <r>
      <t xml:space="preserve">gung </t>
    </r>
    <r>
      <rPr>
        <vertAlign val="superscript"/>
        <sz val="11"/>
        <rFont val="Arial"/>
        <family val="2"/>
      </rPr>
      <t>3</t>
    </r>
  </si>
  <si>
    <r>
      <t xml:space="preserve">tionen </t>
    </r>
    <r>
      <rPr>
        <vertAlign val="superscript"/>
        <sz val="11"/>
        <rFont val="Arial"/>
        <family val="2"/>
      </rPr>
      <t>2</t>
    </r>
  </si>
  <si>
    <t>Stationäre</t>
  </si>
  <si>
    <t>Verkauf</t>
  </si>
  <si>
    <t>Verwaltung</t>
  </si>
  <si>
    <t>und</t>
  </si>
  <si>
    <t>Gesund-</t>
  </si>
  <si>
    <t>teilstationäre</t>
  </si>
  <si>
    <t>1) Akutbehandlung Inkl. Psychiatrie; Rehabilitation; Lagzeit; Andere.</t>
  </si>
  <si>
    <t>2) Medizinische Laboruntersuchungen (in medizinischen Labors); Radiologie; Transport und Rettung; Andere.</t>
  </si>
  <si>
    <t>3) Arzneimittel durch Detailhandel; Arzneimittel durch Ärzte; Therapeutische Apparate.</t>
  </si>
  <si>
    <t>4) Alkohol- und Drogenmissbrauch; Schulgesundheit, usw.</t>
  </si>
  <si>
    <t>5) Schätzung KOF Konjunkturforschungsstelle ETHZ [Medienmitteilung 11/08].</t>
  </si>
  <si>
    <r>
      <t xml:space="preserve">T 9.04  Kosten des Gesundheitswesens in der Schweiz nach Leistungen </t>
    </r>
    <r>
      <rPr>
        <b/>
        <vertAlign val="superscript"/>
        <sz val="12"/>
        <rFont val="Arial"/>
        <family val="2"/>
      </rPr>
      <t>6</t>
    </r>
    <r>
      <rPr>
        <b/>
        <sz val="12"/>
        <rFont val="Arial"/>
        <family val="2"/>
      </rPr>
      <t xml:space="preserve"> in Mio. Fr. ab 1997</t>
    </r>
  </si>
  <si>
    <r>
      <t xml:space="preserve">Prävention </t>
    </r>
    <r>
      <rPr>
        <vertAlign val="superscript"/>
        <sz val="11"/>
        <rFont val="Arial"/>
        <family val="2"/>
      </rPr>
      <t>4</t>
    </r>
  </si>
  <si>
    <r>
      <t xml:space="preserve">Leistungen </t>
    </r>
    <r>
      <rPr>
        <vertAlign val="superscript"/>
        <sz val="11"/>
        <rFont val="Arial"/>
        <family val="2"/>
      </rPr>
      <t>2</t>
    </r>
  </si>
  <si>
    <r>
      <t xml:space="preserve">heitsgüter </t>
    </r>
    <r>
      <rPr>
        <vertAlign val="superscript"/>
        <sz val="11"/>
        <rFont val="Arial"/>
        <family val="2"/>
      </rPr>
      <t>3</t>
    </r>
  </si>
  <si>
    <r>
      <t xml:space="preserve">Behandlung </t>
    </r>
    <r>
      <rPr>
        <vertAlign val="superscript"/>
        <sz val="11"/>
        <rFont val="Arial"/>
        <family val="2"/>
      </rPr>
      <t>1</t>
    </r>
  </si>
  <si>
    <r>
      <t xml:space="preserve">2007 </t>
    </r>
    <r>
      <rPr>
        <i/>
        <vertAlign val="superscript"/>
        <sz val="11"/>
        <rFont val="Arial"/>
        <family val="2"/>
      </rPr>
      <t>5</t>
    </r>
  </si>
  <si>
    <t>Unter-</t>
  </si>
  <si>
    <t>Total pro</t>
  </si>
  <si>
    <t>Einwohner</t>
  </si>
  <si>
    <t>1) Beiträge an Leistungserbringer; Gesundheitswesen,Verwaltung und Prävention; Verbilligung KVG-Prämien; Andere Soziale Sicherheit.</t>
  </si>
  <si>
    <t>2) Unfallversicherung UVG &amp; AHV-IV: Beiträge und Prämien der Arbeitgeber, der Arbeitnehmer und der Selbständigerwerbenden.</t>
  </si>
  <si>
    <t>3) Aufwand der Krankenversicherung (Betrag der Zahlungen der Krankenversicherung an das Gesundheitswesen, abzüglich Beiträge</t>
  </si>
  <si>
    <t xml:space="preserve"> an die Versicherten für die Prämienverbilligung); Kostenbeteiligung; "Out of pocket"; Andere private Finanzierung.</t>
  </si>
  <si>
    <t>4) Schätzung KOF Konjunkturforschungsstelle ETHZ [Medienmitteilung 11/08]</t>
  </si>
  <si>
    <t>5) Neue BFS-Berechnungsmethode im 2008 -&gt; vom BFS revidierte Werte für 1996-&gt;2006.</t>
  </si>
  <si>
    <r>
      <t xml:space="preserve">T 9.05 Kosten des Gesundheitswesens in der Schweiz aus der Sicht der Volkswirtschaft </t>
    </r>
    <r>
      <rPr>
        <b/>
        <vertAlign val="superscript"/>
        <sz val="12"/>
        <rFont val="Arial"/>
        <family val="2"/>
      </rPr>
      <t>5</t>
    </r>
    <r>
      <rPr>
        <b/>
        <sz val="12"/>
        <rFont val="Arial"/>
        <family val="2"/>
      </rPr>
      <t xml:space="preserve"> in Mio. Fr. und pro Einwohner in Fr. ab 1997</t>
    </r>
  </si>
  <si>
    <r>
      <t xml:space="preserve">nehmungen </t>
    </r>
    <r>
      <rPr>
        <vertAlign val="superscript"/>
        <sz val="11"/>
        <rFont val="Arial"/>
        <family val="2"/>
      </rPr>
      <t>2</t>
    </r>
  </si>
  <si>
    <r>
      <t xml:space="preserve">Haushalte </t>
    </r>
    <r>
      <rPr>
        <vertAlign val="superscript"/>
        <sz val="11"/>
        <rFont val="Arial"/>
        <family val="2"/>
      </rPr>
      <t>3</t>
    </r>
  </si>
  <si>
    <t>Datenstand: 24.11.08</t>
  </si>
  <si>
    <t>Quelle: 1996-2006 : Statistisches Lexikon BFS, Kosten des Gesundheitswesens / 2007: Prognose der Gesundheitsausgaben, KOF / T 9.10.</t>
  </si>
  <si>
    <t>Aktiven und Passiven der Versicherer ab 1997</t>
  </si>
  <si>
    <t>Eigenkapital, Kapitalanlagen, Grundstücke und Gebäude der Versicherer ab 1997</t>
  </si>
  <si>
    <t>Kosten des Gesundheitswesens in der Schweiz aus der Sicht der sozialen Sicherheit ab 1997</t>
  </si>
  <si>
    <t>Kosten des Gesundheitswesens in der Schweiz nach Direktzahler ab 1997</t>
  </si>
  <si>
    <t>Kosten des Gesundheitswesens in der Schweiz nach Leistungserbringer ab 1997</t>
  </si>
  <si>
    <t>Kosten des Gesundheitswesens in der Schweiz nach Leistungen ab 1997</t>
  </si>
  <si>
    <t>Kosten des Gesundheitswesens in der Schweiz aus der Sicht der Volkswirtschaft und pro Einwohner ab 1997</t>
  </si>
  <si>
    <t>Kosten des Gesundheitswesens in der Schweiz aus der Sicht der Krankenversicherungsprämien ab 1997</t>
  </si>
  <si>
    <t>Kosten des Gesundheitswesens in der Schweiz aus der Sicht der Krankenversicherungsleistungen ab 1997</t>
  </si>
  <si>
    <t>Details des Finanzierungssaldos ab 1997</t>
  </si>
  <si>
    <t>Entwicklung der Wohnbevölkerung, der Ärzte mit Praxistätigkeit und der Apotheken ab 1997</t>
  </si>
  <si>
    <t>Aufteilung der Versicherten nach Art der Spitalzusatzversicherungen ab 1997</t>
  </si>
  <si>
    <t>Entwicklung der Preisindizes für Gesundheitspflege ab 1997</t>
  </si>
  <si>
    <t>Index der Krankenversicherungsprämien nach Versicherungsart ab 1997</t>
  </si>
  <si>
    <t>Index der Krankenpflegekosten, der Löhne sowie der Preise ab 1997</t>
  </si>
  <si>
    <t>Totaler Beitrag je versicherte Person nach Versicherungsform in der OKP ab 1997</t>
  </si>
  <si>
    <t>Krankenversicherung bei den privaten Versicherungsunternehmungen ab 1997</t>
  </si>
  <si>
    <t>Taggeldversicherung KVG / VVG ab 1997</t>
  </si>
  <si>
    <t>Krankenversicherung (KVG-Versicherer und Privatversicherer) ab 1997</t>
  </si>
  <si>
    <t>Gesundheitskosten ausgewählter OECD–Länder in % des BIP ab 1997</t>
  </si>
  <si>
    <t>Sozialleistungen für die Gesundheitsversorgung : Internationaler Vergleich in % des BIP ab 1997</t>
  </si>
  <si>
    <t>Erkrankte, Spitaleinweisungen und Spitaltage in der OKP ab 1997</t>
  </si>
  <si>
    <t>Risikoausgleich: Nettozahler und Nettoempfänger ab 1997</t>
  </si>
  <si>
    <t>Risikoausgleich: Bruttoumverteilung und Nettoumverteilung ab 1997</t>
  </si>
  <si>
    <t xml:space="preserve">KVG-Versicherer: Daten zur freiwilligen Taggeldversicherung </t>
  </si>
  <si>
    <t>Mutationen bei den Krankenversicherern</t>
  </si>
  <si>
    <t>T 5.04  Mutationen bei den Krankenversicherern</t>
  </si>
  <si>
    <t>BAG-</t>
  </si>
  <si>
    <t>Name des Versicherers</t>
  </si>
  <si>
    <t>Datum</t>
  </si>
  <si>
    <t xml:space="preserve">EF1.12A Total nur wenn &gt; 0 </t>
  </si>
  <si>
    <t>=( [ 8A ] / [ 1 ] ) in %</t>
  </si>
  <si>
    <t>EF2 Konten 6 + 7 Krankheit + Unfall Seiten 2.2 -&gt; 2.7</t>
  </si>
  <si>
    <t>EF1 Seite 5 Konten 290 + 290.9</t>
  </si>
  <si>
    <t>EF2 Konto 61 Krankheit + Unfall Seiten 2.2 -&gt; 2.7</t>
  </si>
  <si>
    <r>
      <t xml:space="preserve">1) Vgl. Fussnote </t>
    </r>
    <r>
      <rPr>
        <sz val="9"/>
        <color indexed="10"/>
        <rFont val="Arial"/>
        <family val="2"/>
      </rPr>
      <t>2)</t>
    </r>
    <r>
      <rPr>
        <sz val="9"/>
        <rFont val="Arial"/>
        <family val="2"/>
      </rPr>
      <t xml:space="preserve"> von Tabelle 11.02.</t>
    </r>
  </si>
  <si>
    <t>Versichertenbestand per 31.12 nach Versicherungsform ab 1997</t>
  </si>
  <si>
    <t>Verteilung der Versicherungsformen in % - Versicherte ab 19 Jahren seit 1997</t>
  </si>
  <si>
    <t xml:space="preserve">T 4.09 Reduktionsfaktor und Subventionen nach Reduktion nach Kantonen </t>
  </si>
  <si>
    <t>Reduk-</t>
  </si>
  <si>
    <t>Bundes-</t>
  </si>
  <si>
    <t>Kantons-</t>
  </si>
  <si>
    <t>Subventions-</t>
  </si>
  <si>
    <t>In %</t>
  </si>
  <si>
    <t>tions-</t>
  </si>
  <si>
    <t>beitrag</t>
  </si>
  <si>
    <t>Budget</t>
  </si>
  <si>
    <t>nach Re-</t>
  </si>
  <si>
    <t>Beitrag</t>
  </si>
  <si>
    <t xml:space="preserve">duktion </t>
  </si>
  <si>
    <t>vor Re-</t>
  </si>
  <si>
    <t>Quelle : EFV - Bundes- und Kantonsbeiträge nach Reduktion durch die Kantone für das Jahr 2007.</t>
  </si>
  <si>
    <t>1) Vgl. Art. 66 Abs. 5 KVG: "Der Kanton darf den (...) von ihm zu übernehmenden Betrag um maximal 50 Prozent kürzen,</t>
  </si>
  <si>
    <t xml:space="preserve">  wenn die Prämienverbilligung für Versicherte in bescheidenen wirtschaftlichen Verhältnissen trotzdem sichergestellt ist. </t>
  </si>
  <si>
    <t xml:space="preserve">  Der Beitrag des Bundes an diesen Kanton wird im gleichen Verhältnis gekürzt".  Wert gerundet.</t>
  </si>
  <si>
    <t>2) Budget. Wert in einigen Kantonen gerundet.</t>
  </si>
  <si>
    <t>Verteilung der Versicherungsformen in % - Versicherte 0-18 Jahre seit 1997</t>
  </si>
  <si>
    <t>Aufteilung der Versicherten (Kinder und Erwachsene) nach Versicherungsform ab 1997</t>
  </si>
  <si>
    <t>Anzahl Versicherte OKP nach Grösse der Versicherer ab 1997</t>
  </si>
  <si>
    <t>01.01.07</t>
  </si>
  <si>
    <t>Moove Sympany AG</t>
  </si>
  <si>
    <t>Verein CONCORDIA</t>
  </si>
  <si>
    <t>CONCORDIA AG</t>
  </si>
  <si>
    <t>KPT Krankenkasse</t>
  </si>
  <si>
    <t>KPT Krankenkasse AG</t>
  </si>
  <si>
    <t>Visperterminen</t>
  </si>
  <si>
    <t>Prämienregion 2 des Kantons Wallis</t>
  </si>
  <si>
    <t>Auxilia Assurance-maladie</t>
  </si>
  <si>
    <t>Auxilia Assurance-maladie SA</t>
  </si>
  <si>
    <t>öKK Schweiz AG</t>
  </si>
  <si>
    <t>28.11.07</t>
  </si>
  <si>
    <t>Vivao Sympany Schweiz AG</t>
  </si>
  <si>
    <t>Quelle: Bulletin RKUV BAG 5/06 &amp; Verzeichnis der zugelassenen Krankenversicherer BAG 10/07</t>
  </si>
  <si>
    <t>Datenstand : 3.7.08</t>
  </si>
  <si>
    <t>Datenstand : 1.7.08</t>
  </si>
  <si>
    <t xml:space="preserve">Kostenbeteiligung der Versicherten in Fr. nach Versicherungsform ab 1997 </t>
  </si>
  <si>
    <t xml:space="preserve">Kostenbeteiligung je versicherte Person in Fr. nach Versicherungsform ab 1997 </t>
  </si>
  <si>
    <t>Kantonale bezahlte Leistungen pro Versicherten pro Jahr in Franken ab 1997</t>
  </si>
  <si>
    <t>Leistungen (brutto)  nach Versicherungsform ab 1997</t>
  </si>
  <si>
    <t>Leistungen (brutto)  je versicherte Person nach Versicherungsform ab 1997</t>
  </si>
  <si>
    <t>Leistungen (brutto)  nach Kostengruppen ab 1997</t>
  </si>
  <si>
    <t xml:space="preserve">Leistungen (brutto) je versicherte Person nach Kostengruppen ab 1997 </t>
  </si>
  <si>
    <t>Bezahlte Leistungen nach Versicherungsform ab 1997</t>
  </si>
  <si>
    <t>Bezahlte Leistungen je versicherte Person nach Versicherungsform ab 1997</t>
  </si>
  <si>
    <t>Datenstand: 3.7.08</t>
  </si>
  <si>
    <t>8.7.08: B2, 5.04, 11.14-&gt;11.16, 2.03, 2.07, 2.13</t>
  </si>
  <si>
    <t>Obligatorische Krankenpflegeversicherung ab 1997 : wichtigste Indikatoren</t>
  </si>
  <si>
    <t>Gesamtbetriebsergebnis  nach Versicherungsform ab 1997</t>
  </si>
  <si>
    <t>Gesamtbetriebsergebnis  je versicherte Person nach Versicherungsform ab 1997</t>
  </si>
  <si>
    <t>Verwaltungsaufwand / Abschreibungen  nach Versicherungsform ab 1997</t>
  </si>
  <si>
    <t xml:space="preserve">Verwaltungsaufwand / Abschreibungen  je versicherte Person nach Versicherungsform ab 1997 </t>
  </si>
  <si>
    <t>Stand der Reserven per 31.12. ab 1997</t>
  </si>
  <si>
    <t xml:space="preserve">Stand der Rückstellungen per 31.12. für unerledigte Versicherungsfälle ab 1997 </t>
  </si>
  <si>
    <t>Monatliche Durchschnittsprämien ab 1997 : CH</t>
  </si>
  <si>
    <t>Kantonale Durchschnittsprämien pro Versicherten pro Jahr ab 1997</t>
  </si>
  <si>
    <t>Prämiensoll nach Versicherungsform ab 1997</t>
  </si>
  <si>
    <t>Prämiensoll je versicherte Person nach Versicherungsform ab 1997</t>
  </si>
  <si>
    <t>Anzahl Bezüger, Bezügerquoten, subventionierte Haushalte sowie ausgerichtete Subventionen ab 1997</t>
  </si>
  <si>
    <t>Maximale, budgetierte und ausbezahlte Subventionen ab 1997</t>
  </si>
  <si>
    <t>Prämien, Leistungen, Versichertenbestand und Versichererbestand ab 1997</t>
  </si>
  <si>
    <t>Ertrag, Aufwand und Ergebnis ab 1997</t>
  </si>
  <si>
    <t>Ertrag, Aufwand und Ergebnis der anderen Versicherungen insgesamt ab 1997</t>
  </si>
  <si>
    <t>Anzahl Versicherer ab 1997</t>
  </si>
  <si>
    <t>Anzahl Versicherer OKP nach Grösse ab 1997</t>
  </si>
  <si>
    <t>Stellen- und Personalbestand der Versicherer ab 1997</t>
  </si>
  <si>
    <t>Ertrag, Aufwand und Ergebnis der Versicherer ab 1997</t>
  </si>
  <si>
    <t>T 9.16 Krankenversicherung bei den privaten Versicherungsunternehmungen ab 1997 in Mio. Fr.</t>
  </si>
  <si>
    <t>mit</t>
  </si>
  <si>
    <t>krankenver-</t>
  </si>
  <si>
    <t>1) Prämien = verdiente Prämien brutto; Leistungen = Zahlungen für Versicherungsfälle brutto.</t>
  </si>
  <si>
    <t xml:space="preserve">  1996:  Schätzung  BSV (kursiv).</t>
  </si>
  <si>
    <t xml:space="preserve">   Die Zusatzversicherungen gemäss VVG der KVG-Versicherer (Krankenkassen) ab 1996 sind in diesen Zahlen nicht inbegriffen.</t>
  </si>
  <si>
    <t>2) Prämien und Leistungen ohne Taggeldversicherung und ohne Unfallversicherung.</t>
  </si>
  <si>
    <t>Quelle: Die privaten Versicherungseinrichtungen in der Schweiz (BPV), detaillierte Fassung der Tabelle AS03N.</t>
  </si>
  <si>
    <r>
      <t xml:space="preserve">Prämien </t>
    </r>
    <r>
      <rPr>
        <b/>
        <vertAlign val="superscript"/>
        <sz val="11"/>
        <rFont val="Arial"/>
        <family val="2"/>
      </rPr>
      <t>1</t>
    </r>
  </si>
  <si>
    <r>
      <t xml:space="preserve">Leistungen </t>
    </r>
    <r>
      <rPr>
        <b/>
        <vertAlign val="superscript"/>
        <sz val="11"/>
        <rFont val="Arial"/>
        <family val="2"/>
      </rPr>
      <t>1</t>
    </r>
  </si>
  <si>
    <r>
      <t xml:space="preserve">      Krankenpflegeversicherung</t>
    </r>
    <r>
      <rPr>
        <b/>
        <vertAlign val="superscript"/>
        <sz val="11"/>
        <rFont val="Arial"/>
        <family val="2"/>
      </rPr>
      <t xml:space="preserve"> 2</t>
    </r>
  </si>
  <si>
    <r>
      <t xml:space="preserve">      Krankenpflegeversicherung </t>
    </r>
    <r>
      <rPr>
        <b/>
        <vertAlign val="superscript"/>
        <sz val="11"/>
        <rFont val="Arial"/>
        <family val="2"/>
      </rPr>
      <t>2</t>
    </r>
  </si>
  <si>
    <t>T 9.17 Taggeldversicherung KVG / VVG ab 1997 in Mio. Fr.</t>
  </si>
  <si>
    <t>KVG-Versicherer</t>
  </si>
  <si>
    <t>Privat-versicherer</t>
  </si>
  <si>
    <t>freiwillige</t>
  </si>
  <si>
    <t>Prämien = verdiente Prämien brutto; Leistungen = Zahlungen für Versicherungsfälle .</t>
  </si>
  <si>
    <t>1) Quelle: T 6.04 Brutto-Prämien [60-65] und bezahlte Leistungen [30-33]. Mit Unfallversicherung.</t>
  </si>
  <si>
    <t>2) Quelle: T 7.03 : Krankentaggeld VVG (BAG). Mit Unfallversicherung.</t>
  </si>
  <si>
    <t>3) Total: die kursiv gedruckten Zahlen wurden vom BSV geschätzt auf der Basis der vom BPV gelieferten Zahlen.</t>
  </si>
  <si>
    <t>4) Quelle: Die privaten Versicherungseinrichtungen in der Schweiz (BPV), detaillierte Fassung der Tabelle AS03N. Für 1996 sind keine Zahlen verfügbar.</t>
  </si>
  <si>
    <t>5) Das BPV konnte die definitiven Werte für 2004 bis zum Redaktionsschluss (15.10.05) nicht liefern.</t>
  </si>
  <si>
    <r>
      <t>Total</t>
    </r>
    <r>
      <rPr>
        <b/>
        <vertAlign val="superscript"/>
        <sz val="11"/>
        <rFont val="Arial"/>
        <family val="2"/>
      </rPr>
      <t xml:space="preserve"> 3</t>
    </r>
  </si>
  <si>
    <r>
      <t xml:space="preserve">VVG </t>
    </r>
    <r>
      <rPr>
        <vertAlign val="superscript"/>
        <sz val="11"/>
        <rFont val="Arial"/>
        <family val="2"/>
      </rPr>
      <t>2</t>
    </r>
  </si>
  <si>
    <r>
      <t xml:space="preserve">VVG </t>
    </r>
    <r>
      <rPr>
        <vertAlign val="superscript"/>
        <sz val="11"/>
        <rFont val="Arial"/>
        <family val="2"/>
      </rPr>
      <t>4</t>
    </r>
  </si>
  <si>
    <r>
      <t xml:space="preserve">KVG </t>
    </r>
    <r>
      <rPr>
        <vertAlign val="superscript"/>
        <sz val="11"/>
        <rFont val="Arial"/>
        <family val="2"/>
      </rPr>
      <t>1</t>
    </r>
  </si>
  <si>
    <r>
      <t xml:space="preserve">(-&gt; 2003: Bundesamt für Privatversicherungen [BPV]. Ohne Unfallversicherung.). </t>
    </r>
    <r>
      <rPr>
        <i/>
        <sz val="10"/>
        <rFont val="Arial"/>
        <family val="2"/>
      </rPr>
      <t>1996: Schätzung BSV.</t>
    </r>
  </si>
  <si>
    <r>
      <t xml:space="preserve">     Der Anteil der Kollektivversicherung (Prämien und Leistungen) umfasst mehr als 90 %. Ohne Unfallversicherung. </t>
    </r>
    <r>
      <rPr>
        <i/>
        <sz val="10"/>
        <rFont val="Arial"/>
        <family val="2"/>
      </rPr>
      <t>1996:  Schätzungen  BSV.</t>
    </r>
  </si>
  <si>
    <t>Grund-</t>
  </si>
  <si>
    <t>2) Die Zusatzversicherungen gemäss VVG der KVG-Versicherer (Krankenkassen) ab 1996 sind nicht in diesen Zahlen inbegriffen.</t>
  </si>
  <si>
    <t>3) Zusatzversicherungen der KVG-Versicherer (Krankenkassen) : ab 1996 gemäss VVG. Mit Unfallversicherung.</t>
  </si>
  <si>
    <t>Kantonale monatliche Durchschnittsprämien für Erwachsene pro Prämienregion</t>
  </si>
  <si>
    <t>Kantonale monatliche Durchschnittsprämien für junge Erwachsene pro Prämienregion</t>
  </si>
  <si>
    <t>Kantonale monatliche Durchschnittsprämien für Kinder pro Prämienregion</t>
  </si>
  <si>
    <t>Verteilung der kantonalen monatlichen Durchschnittsprämien für Erwachsene</t>
  </si>
  <si>
    <t>Verteilung der kantonalen monatlichen Durchschnittsprämien für junge Erwachsene</t>
  </si>
  <si>
    <t>Verteilung der kantonalen monatlichen Durchschnittsprämien für Kinder</t>
  </si>
  <si>
    <t xml:space="preserve">Prämiensoll nach Versicherungsform </t>
  </si>
  <si>
    <t>Prämiensoll je versicherte Person nach Versicherungsform</t>
  </si>
  <si>
    <t>4: Prämienverbilligung in der OKP</t>
  </si>
  <si>
    <t>Anzahl Bezüger nach Geschlecht und Kantonen</t>
  </si>
  <si>
    <t>Anzahl Bezüger nach Geschlecht und Altersgruppen</t>
  </si>
  <si>
    <t xml:space="preserve">Anzahl subventionierte Haushalte nach Haushaltsgrösse und Kantonen </t>
  </si>
  <si>
    <t>Anzahl subventionierte Haushalte nach ausbezahltem Jahresbetrag und Kantonen</t>
  </si>
  <si>
    <t xml:space="preserve">Kantonale Grenzbeträge für die Berechtigung: Massgebende Einkommen </t>
  </si>
  <si>
    <t xml:space="preserve">KVG-Verteilmodell: Berechnungsbasis sowie Bundes- und Kantonsbeiträge </t>
  </si>
  <si>
    <t>Reduktionsfaktor und Subventionen nach Reduktion nach Kantonen</t>
  </si>
  <si>
    <t xml:space="preserve">Ausgerichtete Leistungen nach Kantonen </t>
  </si>
  <si>
    <t>Bezügerquoten nach Geschlecht und Kantonen und begünstigte Haushalte in %</t>
  </si>
  <si>
    <t>1: Finanzen und obligatorische Krankenpflegeversicherung (OKP)</t>
  </si>
  <si>
    <t xml:space="preserve">Betriebsrechnung der obligatorischen Krankenpflegeversicherung KVG insgesamt </t>
  </si>
  <si>
    <t>Betriebsrechnung der Versicherung mit ordentlicher Franchise</t>
  </si>
  <si>
    <t xml:space="preserve">Betriebsrechnung der Versicherungen mit wählbarer Franchise </t>
  </si>
  <si>
    <t xml:space="preserve">Betriebsrechnung der BONUS-Versicherung </t>
  </si>
  <si>
    <t xml:space="preserve">Betriebsrechnung der Versicherungen mit eingeschränkter Wahl des Leistungserbringers </t>
  </si>
  <si>
    <t>Betriebsrechnung der obligatorischen Krankenpflegeversicherung Personen mit Wohnsitz in einem EG-Staat</t>
  </si>
  <si>
    <t>Versichertenbestand nach Alter und Geschlecht per 31.12.</t>
  </si>
  <si>
    <t>Versichertenbestand nach Versicherungsform per 31.12.</t>
  </si>
  <si>
    <t>Verteilung der Versicherungsformen in % nach Kanton - Versicherte ab 19 Jahren</t>
  </si>
  <si>
    <t xml:space="preserve">Verteilung der Versicherungsformen in % nach Kanton - Versicherte 0-18 Jahre </t>
  </si>
  <si>
    <t>Versichertenbestand nach Geschlecht am 1.1.</t>
  </si>
  <si>
    <t>Durchschnittlicher Versichertenbestand nach Kantonen und Altersgruppen</t>
  </si>
  <si>
    <t>Durchschnittlicher Versichertenbestand nach Altersgruppen und Geschlecht</t>
  </si>
  <si>
    <t xml:space="preserve">Durchschnittlicher Versichertenbestand nach Kantonen </t>
  </si>
  <si>
    <t>Versicherteneintritte / Versicherungswechsler KVG nach Geschlecht</t>
  </si>
  <si>
    <t>Zahlungsausstände für OKP-Prämien</t>
  </si>
  <si>
    <t>Kanton</t>
  </si>
  <si>
    <t>Kinder</t>
  </si>
  <si>
    <t>Junge</t>
  </si>
  <si>
    <t>Erwachsene</t>
  </si>
  <si>
    <t>Veränd.</t>
  </si>
  <si>
    <t>gegenüb.</t>
  </si>
  <si>
    <t>(0-18 Jahre)</t>
  </si>
  <si>
    <t>(19-25 Jahre)</t>
  </si>
  <si>
    <t>(26 J. und älter)</t>
  </si>
  <si>
    <t>Vorjahr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</si>
  <si>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</si>
  <si>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</si>
  <si>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</si>
  <si>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</si>
  <si>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</si>
  <si>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</si>
  <si>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</si>
  <si>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</si>
  <si>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</si>
  <si>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</si>
  <si>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</si>
  <si>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</si>
  <si>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</si>
  <si>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</si>
  <si>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</si>
  <si>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</si>
  <si>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</si>
  <si>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</si>
  <si>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</si>
  <si>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</si>
  <si>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</si>
  <si>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</si>
  <si>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</si>
  <si>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</si>
  <si>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</si>
  <si>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</si>
  <si>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Quelle: Statistik des Risikoausgleiches - Gemeinsame Einrichtung KVG</t>
  </si>
  <si>
    <t>– Wertberichtigung / Delkredere</t>
  </si>
  <si>
    <t>Forderungen bei Rückversicherern</t>
  </si>
  <si>
    <t>Forderungen von Subventionen, Prämienverbilligung, Risikoausgleich und anderen Beiträgen</t>
  </si>
  <si>
    <t>Vorausbezahlte Versicherungsleistungen, Regress und Rückerstattungsansprüche</t>
  </si>
  <si>
    <t>Übrige Forderungen und aktive Rechnungsabgrenzung</t>
  </si>
  <si>
    <t>Anlagevermögen</t>
  </si>
  <si>
    <t>Kapitalanlagen</t>
  </si>
  <si>
    <t>– Kapitalanlagen brutto</t>
  </si>
  <si>
    <t xml:space="preserve">– Wertberichtigung </t>
  </si>
  <si>
    <t>– Grundstücke und Gebäude brutto</t>
  </si>
  <si>
    <t>– Wertberichtigung</t>
  </si>
  <si>
    <t>Betriebseinrichtungen und Fahrzeuge</t>
  </si>
  <si>
    <t>– Betriebseinrichtungen und Fahrzeuge brutto</t>
  </si>
  <si>
    <t>Total Aktiven</t>
  </si>
  <si>
    <t>Quelle: Formular EF1 [3]</t>
  </si>
  <si>
    <t xml:space="preserve">T 8.06  Gesamtbetriebsrechnung: Aufwand der Versicherer </t>
  </si>
  <si>
    <t>Kostenbeteiligung der Versicherten</t>
  </si>
  <si>
    <t>30 – 33</t>
  </si>
  <si>
    <t>Veränderung der Rückstellungen für unerledigte Versicherungsfälle / versicherungstechnische Rückstellungen</t>
  </si>
  <si>
    <t>30 – 35</t>
  </si>
  <si>
    <t>Leistungsanteile der Rückversicherer</t>
  </si>
  <si>
    <t>– Personalaufwand inkl. Sozialleistungen</t>
  </si>
  <si>
    <t>– Verwaltungsräumlichkeiten und Betriebseinrichtungen</t>
  </si>
  <si>
    <t>– EDV-Kosten</t>
  </si>
  <si>
    <t>– Versicherungsprämien und Verbandsbeiträge</t>
  </si>
  <si>
    <t>– Marketing und Werbung inkl. Provisionen KVG</t>
  </si>
  <si>
    <t>– Marketing und Werbung inkl. Provisionen VVG</t>
  </si>
  <si>
    <t>– Übriger Verwaltungsaufwand</t>
  </si>
  <si>
    <t>– Erhaltene Verwaltungsentschädigung</t>
  </si>
  <si>
    <t>40 – 47</t>
  </si>
  <si>
    <t>Total Verwaltungsaufwand</t>
  </si>
  <si>
    <t>3 / 4</t>
  </si>
  <si>
    <t>800 – 801</t>
  </si>
  <si>
    <t>Vorschlag Gesamtbetriebsrechnung</t>
  </si>
  <si>
    <t>Gesamt-Total</t>
  </si>
  <si>
    <t>1) Mit Versicherten, die dem Versicherungsobligatorium unterstehen und in einem EU- oder EFTA-Staat Wohnsitz haben (EWG);</t>
  </si>
  <si>
    <t>[T 1.02 + T 1.07].</t>
  </si>
  <si>
    <t>– Anzahl Erkrankte je 100 Versicherte</t>
  </si>
  <si>
    <t>– Anzahl Spitaleinweisungen in 1'000</t>
  </si>
  <si>
    <t>– Anzahl Spitaltage in 1'000</t>
  </si>
  <si>
    <t>6B</t>
  </si>
  <si>
    <t>– Prämiensoll pro Versicherte(n) in Fr.</t>
  </si>
  <si>
    <t>7B</t>
  </si>
  <si>
    <t>7C</t>
  </si>
  <si>
    <t>–– davon ambulante Leistungen in Fr.</t>
  </si>
  <si>
    <t>7D</t>
  </si>
  <si>
    <t>–– davon stationäre Leistungen in Fr.</t>
  </si>
  <si>
    <t>8B</t>
  </si>
  <si>
    <t>– Kostenbeteiligung pro Versicherten in Fr.</t>
  </si>
  <si>
    <t>9B</t>
  </si>
  <si>
    <t>10B</t>
  </si>
  <si>
    <t>– Verwaltungsaufwand / Abschreibungen pro Versicherten in Fr.</t>
  </si>
  <si>
    <t>12B</t>
  </si>
  <si>
    <t>– Rückstellungen per 31.12. pro Versicherten in Fr.</t>
  </si>
  <si>
    <t>13B</t>
  </si>
  <si>
    <t>– Reserven per 31.12. pro Versicherten in Fr.</t>
  </si>
  <si>
    <t>6A</t>
  </si>
  <si>
    <t>– Prämiensoll in Mio. Fr.</t>
  </si>
  <si>
    <t>7A</t>
  </si>
  <si>
    <t>8A</t>
  </si>
  <si>
    <t>– Kostenbeteiligung in Mio. Fr.</t>
  </si>
  <si>
    <t>9A</t>
  </si>
  <si>
    <t>10A</t>
  </si>
  <si>
    <t>2) Reserven in % des Prämiensolls (vgl. Tabelle 3.10).</t>
  </si>
  <si>
    <t>Quelle: T 8.10 [290 + 290.9]; T 11.13A; T 3.10</t>
  </si>
  <si>
    <r>
      <t xml:space="preserve">Reserven </t>
    </r>
    <r>
      <rPr>
        <vertAlign val="superscript"/>
        <sz val="11"/>
        <rFont val="Arial"/>
        <family val="2"/>
      </rPr>
      <t>1</t>
    </r>
  </si>
  <si>
    <r>
      <t xml:space="preserve">quote </t>
    </r>
    <r>
      <rPr>
        <vertAlign val="superscript"/>
        <sz val="11"/>
        <rFont val="Arial"/>
        <family val="2"/>
      </rPr>
      <t>2</t>
    </r>
  </si>
  <si>
    <t>18.9.08: 1.12,1.13, 2.20,3.10, 8.01-&gt;8.04, 8.07, 8.08, 8.13</t>
  </si>
  <si>
    <t xml:space="preserve">Übergangsschlüssel Tabellen 2006 -&gt; 2007 / 2007 -&gt; 2006             </t>
  </si>
  <si>
    <t>Beilage B: Übergangsschlüssel Tabellen T  2006 -&gt; 2007 / 2007 -&gt; 2006</t>
  </si>
  <si>
    <t>Publikation 2007</t>
  </si>
  <si>
    <t>1.10</t>
  </si>
  <si>
    <t>(133 Tabellen)</t>
  </si>
  <si>
    <t>nicht vorhanden</t>
  </si>
  <si>
    <t>Erkrankte je 100 Versicherte</t>
  </si>
  <si>
    <t>Einweisungen je 100 Versicherte</t>
  </si>
  <si>
    <t>Spitaltage je 100 Versicherte</t>
  </si>
  <si>
    <t>Spitaltage je Einweisung</t>
  </si>
  <si>
    <t>1) Durchschnittlicher Versichertenbestand.</t>
  </si>
  <si>
    <t>2) Anzahl versicherte Personen, welche im Berichtsjahr mindestens einmal ambulante oder stationäre Kosten verursacht haben</t>
  </si>
  <si>
    <t xml:space="preserve">   (die Anzahl Erkrankte ist somit kleiner oder gleich wie die Anzahl Versicherte).</t>
  </si>
  <si>
    <t>3) Anzahl Einweisungen ins Spital stationär; zu zählensind Einweisungen in Spitäler zur kurzfristigen</t>
  </si>
  <si>
    <t xml:space="preserve">    und zur langfristigen Behandlung körperlich Kranker sowie Einweisungen in psychiatrische Klini-</t>
  </si>
  <si>
    <t xml:space="preserve">    ken; nicht zu zählensind hingegen Einweisungen in Pflegeheime. Sobald zwischen zwei Spital-</t>
  </si>
  <si>
    <t xml:space="preserve">    aufenthalten eine Lücke besteht, zählen diese als zwei Einweisungen.</t>
  </si>
  <si>
    <t>4) Anzahl Spitaltage im Spital stationär; zu zählen sind die Spitaltage in Spitälern zur kurzfristigen</t>
  </si>
  <si>
    <t xml:space="preserve">    und zur langfristigen Behandlung körperlich Kranker sowie die Spitaltage in psychiatrischen Kliniken;</t>
  </si>
  <si>
    <t xml:space="preserve">    nicht zu zählen sind hingegen die Tage in Pflegeheimen.</t>
  </si>
  <si>
    <t>5) Personen, die das 18. Altersjahr noch nicht vollendet haben (vgl. Art. 61 Abs. 3 KVG); bei der</t>
  </si>
  <si>
    <t xml:space="preserve">    "Mutterschaft" von "Kindern" ist die Mutterschaft von noch nicht 18-jährigen Frauen gemeint.</t>
  </si>
  <si>
    <t>Quelle: Formular EF3 [T 3.2 &amp; 3.7.1 &amp; 3.7.2]</t>
  </si>
  <si>
    <r>
      <t xml:space="preserve">Kinder </t>
    </r>
    <r>
      <rPr>
        <vertAlign val="superscript"/>
        <sz val="11"/>
        <rFont val="Arial"/>
        <family val="2"/>
      </rPr>
      <t>5</t>
    </r>
  </si>
  <si>
    <r>
      <t xml:space="preserve">Versicherte </t>
    </r>
    <r>
      <rPr>
        <vertAlign val="superscript"/>
        <sz val="11"/>
        <rFont val="Arial"/>
        <family val="2"/>
      </rPr>
      <t>1</t>
    </r>
  </si>
  <si>
    <r>
      <t xml:space="preserve">Erkrankte </t>
    </r>
    <r>
      <rPr>
        <vertAlign val="superscript"/>
        <sz val="11"/>
        <rFont val="Arial"/>
        <family val="2"/>
      </rPr>
      <t>2</t>
    </r>
  </si>
  <si>
    <r>
      <t xml:space="preserve">Einweisungen </t>
    </r>
    <r>
      <rPr>
        <vertAlign val="superscript"/>
        <sz val="11"/>
        <rFont val="Arial"/>
        <family val="2"/>
      </rPr>
      <t>3</t>
    </r>
  </si>
  <si>
    <r>
      <t xml:space="preserve">Spitaltage </t>
    </r>
    <r>
      <rPr>
        <vertAlign val="superscript"/>
        <sz val="11"/>
        <rFont val="Arial"/>
        <family val="2"/>
      </rPr>
      <t>4</t>
    </r>
  </si>
  <si>
    <t>T 9.22 Erkrankte, Spitaleinweisungen und Spitaltage ab 1997</t>
  </si>
  <si>
    <t>Einwei-</t>
  </si>
  <si>
    <t>1) Anzahl versicherte Personen, welche im Berichtsjahr mindestens einmal ambulante oder stationäre Kosten verursacht haben.</t>
  </si>
  <si>
    <t>2) Die Zeitreihen der Einweisungen und besonders der Spitaltage sind von beschränkter Aussagekraft;</t>
  </si>
  <si>
    <t>der Grund liegt darin, dass vor 1999 nicht von allen Versicherern die Einweisungen und Tage in Pflegeheime(n) vollständig ausge-</t>
  </si>
  <si>
    <t>schieden werden konnten. So ist insbesondere auch die starke Abnahme der Spitaltage zwischen 1998 und 1999 auf diese</t>
  </si>
  <si>
    <t>"Nicht-mehr-Berücksichtigung" von Pflegeheimtagen durch grosse Versicherer zurückzuführen und darf somit nicht als echte</t>
  </si>
  <si>
    <t>Abnahme der Spitaltage im Spital stationär fehlinterpretiert werden.</t>
  </si>
  <si>
    <t>Quelle: T 9.21</t>
  </si>
  <si>
    <r>
      <t xml:space="preserve">Erkrankte </t>
    </r>
    <r>
      <rPr>
        <vertAlign val="superscript"/>
        <sz val="11"/>
        <rFont val="Arial"/>
        <family val="2"/>
      </rPr>
      <t>1</t>
    </r>
  </si>
  <si>
    <r>
      <t>Spitaltage</t>
    </r>
    <r>
      <rPr>
        <vertAlign val="superscript"/>
        <sz val="11"/>
        <rFont val="Arial"/>
        <family val="2"/>
      </rPr>
      <t xml:space="preserve"> 2</t>
    </r>
  </si>
  <si>
    <r>
      <t xml:space="preserve">sungen </t>
    </r>
    <r>
      <rPr>
        <vertAlign val="superscript"/>
        <sz val="11"/>
        <rFont val="Arial"/>
        <family val="2"/>
      </rPr>
      <t>2</t>
    </r>
  </si>
  <si>
    <t xml:space="preserve">1) Anzahl Versicherte, die im betrachteten Jahr betrieben wurden sowie das den Betreibungen unterliegende Prämienvolumen, </t>
  </si>
  <si>
    <t>2)  „Versicherte mit sistierten Leistungen“ sind Versicherte für die ein Leistungsstopp verhängt wurde, weil sie ihre Prämien nicht bezahlt haben.</t>
  </si>
  <si>
    <r>
      <t xml:space="preserve">Versicherte mit Betreibung </t>
    </r>
    <r>
      <rPr>
        <vertAlign val="superscript"/>
        <sz val="11"/>
        <rFont val="Arial"/>
        <family val="2"/>
      </rPr>
      <t>1</t>
    </r>
  </si>
  <si>
    <r>
      <t xml:space="preserve">Versicherte mit sistierten Leistungen </t>
    </r>
    <r>
      <rPr>
        <vertAlign val="superscript"/>
        <sz val="11"/>
        <rFont val="Arial"/>
        <family val="2"/>
      </rPr>
      <t>2</t>
    </r>
  </si>
  <si>
    <r>
      <t xml:space="preserve">     unabhängig davon, ob die Prämien schlussendlich durch das Betreibungsverfahren eingebracht werden konnten. </t>
    </r>
    <r>
      <rPr>
        <b/>
        <sz val="10"/>
        <rFont val="Arial"/>
        <family val="2"/>
      </rPr>
      <t>Unvollständige Daten.</t>
    </r>
  </si>
  <si>
    <r>
      <t xml:space="preserve">     Angegeben ist auch das Total der ausstehenden Prämien dieser Versicherten in Franken. </t>
    </r>
    <r>
      <rPr>
        <b/>
        <sz val="10"/>
        <rFont val="Arial"/>
        <family val="2"/>
      </rPr>
      <t>Unvollständige Daten.</t>
    </r>
  </si>
  <si>
    <r>
      <t xml:space="preserve">     Personen, die </t>
    </r>
    <r>
      <rPr>
        <u/>
        <sz val="10"/>
        <rFont val="Arial"/>
        <family val="2"/>
      </rPr>
      <t>Militärdienst</t>
    </r>
    <r>
      <rPr>
        <sz val="10"/>
        <rFont val="Arial"/>
        <family val="2"/>
      </rPr>
      <t xml:space="preserve"> leisten und deshalb sistiert wurden, sind in dieser Tabelle </t>
    </r>
    <r>
      <rPr>
        <u/>
        <sz val="10"/>
        <rFont val="Arial"/>
        <family val="2"/>
      </rPr>
      <t>nicht</t>
    </r>
    <r>
      <rPr>
        <sz val="10"/>
        <rFont val="Arial"/>
        <family val="2"/>
      </rPr>
      <t xml:space="preserve"> aufzuführt.</t>
    </r>
  </si>
  <si>
    <t>T 11.19  Anzahl Versicherte OKP nach Grösse der Versicherer ab 1997</t>
  </si>
  <si>
    <t>1 – 5'000</t>
  </si>
  <si>
    <t>5'001 –</t>
  </si>
  <si>
    <t>10'001 –</t>
  </si>
  <si>
    <t xml:space="preserve">50'001 – </t>
  </si>
  <si>
    <t xml:space="preserve">100'001 – </t>
  </si>
  <si>
    <t>(in %)</t>
  </si>
  <si>
    <t>(Durchschnittlicher</t>
  </si>
  <si>
    <t>Versichertenbestand)</t>
  </si>
  <si>
    <t>Quelle: T 5.01</t>
  </si>
  <si>
    <t>T 11.12 Versichertenbestand KVG nach Geschlecht  am 1.1.2008</t>
  </si>
  <si>
    <t>Wohnbevölkerung, Ärzte mit Praxistätigkeit und Apotheken nach Kantonen</t>
  </si>
  <si>
    <t>Statistik der obligatorischen Krankenversicherung 2007</t>
  </si>
  <si>
    <t>T 3.09  Prämiensoll in Mio. Franken nach Versicherungsform ab 1997</t>
  </si>
  <si>
    <t>Quelle: T 3.10</t>
  </si>
  <si>
    <t>Abweichung</t>
  </si>
  <si>
    <t>vom Gesamt-</t>
  </si>
  <si>
    <t>durchschnitt</t>
  </si>
  <si>
    <t>Quelle: T 3.10 / T 11.01</t>
  </si>
  <si>
    <t>1) Schätzung des mittleren Versichertenbestandes (ausgenommen Zeile Total) aufgrund der Aufteilung der Versicherten per 31.12 in T 11.05</t>
  </si>
  <si>
    <r>
      <t>T 3.11  Prämiensoll in Franken je versicherte Person nach Versicherungsform</t>
    </r>
    <r>
      <rPr>
        <b/>
        <vertAlign val="superscript"/>
        <sz val="12"/>
        <rFont val="Arial"/>
        <family val="2"/>
      </rPr>
      <t xml:space="preserve"> 1</t>
    </r>
  </si>
  <si>
    <t>T 3.12  Prämiensoll in Franken je versicherte Person nach Versicherungsform ab 1997</t>
  </si>
  <si>
    <t>Quelle: T 3.11</t>
  </si>
  <si>
    <t xml:space="preserve">Zusätzliche Angaben : nach Altersgruppe ab 1996 </t>
  </si>
  <si>
    <t xml:space="preserve">Erwachsene </t>
  </si>
  <si>
    <t>(26 Jahre und mehr)</t>
  </si>
  <si>
    <t xml:space="preserve">Quelle: DATENPOOL santésuisse [Auswertung BAG ; Abdeckungsgrad der Erhebung  : siehe Beilage I ] </t>
  </si>
  <si>
    <t>Obergrenze des massgebenden Einkommens in Fr.</t>
  </si>
  <si>
    <t>Hauhaltsvorstand alleinstehend/alleinerziehend</t>
  </si>
  <si>
    <t>Hauhaltsvorstand verheiratet</t>
  </si>
  <si>
    <t>Keine</t>
  </si>
  <si>
    <t>1 Kind</t>
  </si>
  <si>
    <t>2 Kinder</t>
  </si>
  <si>
    <t>3 Kinder</t>
  </si>
  <si>
    <t>Beilage I2</t>
  </si>
  <si>
    <t>Abdeckungsgrad des Datenpools von santésuisse nach Kanton *</t>
  </si>
  <si>
    <t xml:space="preserve">ZH </t>
  </si>
  <si>
    <t xml:space="preserve">BE </t>
  </si>
  <si>
    <t xml:space="preserve">LU </t>
  </si>
  <si>
    <t xml:space="preserve">UR </t>
  </si>
  <si>
    <t xml:space="preserve">SZ </t>
  </si>
  <si>
    <t xml:space="preserve">OW </t>
  </si>
  <si>
    <t xml:space="preserve">NW </t>
  </si>
  <si>
    <t xml:space="preserve">GL </t>
  </si>
  <si>
    <t xml:space="preserve">ZG </t>
  </si>
  <si>
    <t>BS **</t>
  </si>
  <si>
    <t>BL **</t>
  </si>
  <si>
    <t xml:space="preserve">SH </t>
  </si>
  <si>
    <t xml:space="preserve">AR </t>
  </si>
  <si>
    <t xml:space="preserve">AI </t>
  </si>
  <si>
    <t xml:space="preserve">SG </t>
  </si>
  <si>
    <t xml:space="preserve">GR </t>
  </si>
  <si>
    <t xml:space="preserve">AG </t>
  </si>
  <si>
    <t xml:space="preserve">TG </t>
  </si>
  <si>
    <t xml:space="preserve">TI </t>
  </si>
  <si>
    <t xml:space="preserve">VD </t>
  </si>
  <si>
    <t xml:space="preserve">VS </t>
  </si>
  <si>
    <t xml:space="preserve">NE </t>
  </si>
  <si>
    <t xml:space="preserve">GE </t>
  </si>
  <si>
    <t xml:space="preserve">JU </t>
  </si>
  <si>
    <t xml:space="preserve">CH </t>
  </si>
  <si>
    <t>* Werte vom BAG berechnet</t>
  </si>
  <si>
    <t>** Fehler im Datenpool für BS und BL 1997 – 2002 (1 Gemeinde von BL wurde BS zugeordnet [betrifft Münchenstein])</t>
  </si>
  <si>
    <t>Beilage I3</t>
  </si>
  <si>
    <t>Abdeckungsgrad des Datenpools von santésuisse nach Altersgruppen *</t>
  </si>
  <si>
    <t xml:space="preserve">0-5 Jahre </t>
  </si>
  <si>
    <t xml:space="preserve">6-10 Jahre </t>
  </si>
  <si>
    <t xml:space="preserve">11-15 Jahre </t>
  </si>
  <si>
    <t xml:space="preserve">16-18 Jahre </t>
  </si>
  <si>
    <t xml:space="preserve">19-20 Jahre </t>
  </si>
  <si>
    <t xml:space="preserve">21-25 Jahre </t>
  </si>
  <si>
    <t xml:space="preserve">26-30 Jahre </t>
  </si>
  <si>
    <t xml:space="preserve">31-35 Jahre </t>
  </si>
  <si>
    <t xml:space="preserve">36-40 Jahre </t>
  </si>
  <si>
    <t xml:space="preserve">41-45 Jahre </t>
  </si>
  <si>
    <t xml:space="preserve">46-50 Jahre </t>
  </si>
  <si>
    <t xml:space="preserve">51-55 Jahre </t>
  </si>
  <si>
    <t xml:space="preserve">56-60 Jahre </t>
  </si>
  <si>
    <t xml:space="preserve">61-65 Jahre </t>
  </si>
  <si>
    <t xml:space="preserve">66-70 Jahre </t>
  </si>
  <si>
    <t xml:space="preserve">71-75 Jahre </t>
  </si>
  <si>
    <t xml:space="preserve">76-80 Jahre </t>
  </si>
  <si>
    <t xml:space="preserve">81-85 Jahre </t>
  </si>
  <si>
    <t xml:space="preserve">86-90 Jahre </t>
  </si>
  <si>
    <t xml:space="preserve">91-95 Jahre </t>
  </si>
  <si>
    <t xml:space="preserve">96-100 Jahre </t>
  </si>
  <si>
    <t>101-105 Jahre</t>
  </si>
  <si>
    <t>106-110 Jahre</t>
  </si>
  <si>
    <t>111-115 Jahre</t>
  </si>
  <si>
    <t>116-120 Jahre</t>
  </si>
  <si>
    <t>0-18 Jahre</t>
  </si>
  <si>
    <t>19-25 Jahre</t>
  </si>
  <si>
    <t>Beilagen I1-&gt;4</t>
  </si>
  <si>
    <t xml:space="preserve"> Rückstel-</t>
  </si>
  <si>
    <t>Reserven</t>
  </si>
  <si>
    <t xml:space="preserve">freiwilliger </t>
  </si>
  <si>
    <t>Abschrei-</t>
  </si>
  <si>
    <t>lungen</t>
  </si>
  <si>
    <t>Taggeld-</t>
  </si>
  <si>
    <t>in Tausend</t>
  </si>
  <si>
    <t>bungen</t>
  </si>
  <si>
    <t>versicherung</t>
  </si>
  <si>
    <t>Fr.</t>
  </si>
  <si>
    <t>1) Es gibt OKP-Versicherer, die in der freiwilligen KVG-Krankentaggeld keine Versicherten haben. Name des Versicherers eventuell gekürzt.</t>
  </si>
  <si>
    <t>Quelle: Formular EF123</t>
  </si>
  <si>
    <t>BAG-Nr. nur wenn [2] oder [3] &gt; 0</t>
  </si>
  <si>
    <t xml:space="preserve">* wenn EF 1.12A Total = 0 </t>
  </si>
  <si>
    <t>EF3 Total T 3.9.2</t>
  </si>
  <si>
    <t>EF3 Total T 3.9.3</t>
  </si>
  <si>
    <t>4</t>
  </si>
  <si>
    <t xml:space="preserve">EF2 Konten 40-47 + 48 Krankheit + Unfall Seiten 2.0 -&gt; 2.1 </t>
  </si>
  <si>
    <t>EF2 Konten Gesamtbetriebergebnis ohne Position Krankheit + Unfall Seiten 2.0 -&gt; 2.1</t>
  </si>
  <si>
    <t>EF1 [1.4] Konto 271</t>
  </si>
  <si>
    <t>EF1 [1.5] Konto 291</t>
  </si>
  <si>
    <r>
      <t xml:space="preserve">Name des KVG-Versicherers </t>
    </r>
    <r>
      <rPr>
        <vertAlign val="superscript"/>
        <sz val="10"/>
        <rFont val="Arial"/>
        <family val="2"/>
      </rPr>
      <t>1</t>
    </r>
  </si>
  <si>
    <t>T 5.02 Erklärungen und Quellen für Aufsichtsdaten OKP (T 5.01)</t>
  </si>
  <si>
    <t>0) Nur OKP Versicherer</t>
  </si>
  <si>
    <t>Name des Versicherers eventuell gekürzt</t>
  </si>
  <si>
    <t>1) Durchschnittlicher Versichertenbestand (nur OKP Versicherer)</t>
  </si>
  <si>
    <t xml:space="preserve">Durchschnittsbestand = Mittelwert aller Monate </t>
  </si>
  <si>
    <t>2) Einnahmen Total (in Mio. Fr.)</t>
  </si>
  <si>
    <t>Prämiensoll, Subventionen und Prämienverbilligungen, Erlösminderungen (Rabatte und Skonti) sowie die übrigen Erträge (Kapital- und Liegenschaftserträge).</t>
  </si>
  <si>
    <t>3A + 3B) Prämien (in Mio. Fr., je versicherte Person in Fr.)</t>
  </si>
  <si>
    <t>Prämiensoll = Prämiensumme gemäss den genehmigten Prämientarifen.</t>
  </si>
  <si>
    <t>4A + 4B + 4C) Risikoausgleich (in Mio. Fr., je versicherte Person in Fr., und in % der Einnahmen)</t>
  </si>
  <si>
    <t xml:space="preserve">Über den Risikoausgleich erhalten Versicherer mit überdurchschnittlich kostenverursachenden Versicherten (Frauen, ältere Personen) Beiträge, </t>
  </si>
  <si>
    <t>welche von den Versicherern mit unterdurchschnittlich kostenverursachenden Versicherten (Männer, jüngere Personen) finanziert werden.</t>
  </si>
  <si>
    <t xml:space="preserve">Eine positive Prozentzahl bedeutet, dass der Versicherer in den Risikoausgleich einzahlen muss, ein negativer Wert steht bei Versicherern, </t>
  </si>
  <si>
    <t>welche aus dem Risikoausgleich Mittel beziehen können.</t>
  </si>
  <si>
    <t>5A + 5B) Leistungen (netto) der Versicherer (in Mio. Fr. und je versicherte Person in Fr.)</t>
  </si>
  <si>
    <t>Nettoleistungen = Bezahlte Leistungen der Versicherer an die Leistungserbringer (Ärzte, Spitäler, Apotheken, usw.)</t>
  </si>
  <si>
    <t>nach Abzug der Kostenbeteiligung der Versicherten (Franchise / Selbstbehalt / Tagespauschale im Spital).</t>
  </si>
  <si>
    <t>6A + 6B) Verwaltungsaufwand &amp; Abschreibungen (in % der Ausgaben und je versicherte Person in Fr.)</t>
  </si>
  <si>
    <t xml:space="preserve">Personalaufwand inkl. Sozialleistungen, Verwaltungsräumlichkeiten und Betriebseinrichtungen, EDV-Kosten, Versicherungsprämien </t>
  </si>
  <si>
    <t>(Mobiliar, Haftpflicht usw.), Werbung sowie Abschreibungen. Ausgaben = Total des Versicherungs- und Betriebsaufwands.</t>
  </si>
  <si>
    <t>7) Gesamtergebnis (je versicherte Person in Fr.)</t>
  </si>
  <si>
    <t>Das Gesamtbetriebsergebnis entspricht dem Saldo der Einnahmen (Total des Gesamtertrags) und der Ausgaben (Total des Versicherungs- und Betriebsaufwands).</t>
  </si>
  <si>
    <t>8A + 8B) Rückstellungen (in Mio. Fr. und je versicherte Person in Fr.)</t>
  </si>
  <si>
    <t xml:space="preserve">Rückstellungen für unerledigte Versicherungsfälle, welche am Ende des Jahres für diejenigen Leistungen gebildet werden müssen, </t>
  </si>
  <si>
    <t>welche von den Versicherten bereits in Anspruch genommen worden sind, für die sie aber noch keine Rechnungen erhalten haben.</t>
  </si>
  <si>
    <t xml:space="preserve">Es handelt sich hierbei um geschuldete Leistungen, welche die Versicherer im folgenden Jahr noch zu erbringen haben; sie stellen somit keine Reserven dar. </t>
  </si>
  <si>
    <t>9A + 9B + 9C) Reserven (in Mio. Fr., je versicherte Person in Fr., in % des Prämiensolls)</t>
  </si>
  <si>
    <t>Sicherheits- und Schwankungsreserven = Mittel, die dem Versicherer zur Sicherstellung der langfristigen eigenen Zahlungsfähigkeit dienen.</t>
  </si>
  <si>
    <t>Je nach Grösse des Versicherers müssen folgende Mindestsätze (Reserven in % des jährlichen Prämiensolls) erreicht werden (Art. 78 KVV):</t>
  </si>
  <si>
    <t>2004 -&gt; 2006</t>
  </si>
  <si>
    <t>20% *</t>
  </si>
  <si>
    <t>*) Versicherer mit weniger als 50 000 Versicherten sind verpflichtet, eine Rückversicherung abzuschliessen.</t>
  </si>
  <si>
    <t>10) VVG Zusatzversicherungen : Prämien (in Mio. Fr.)</t>
  </si>
  <si>
    <t>KVG-Versicherer, welche eigene VVG-Zusatzversicherungen anbieten.</t>
  </si>
  <si>
    <t>11A + 11B + 11C) Gesetzlich vorgeschriebene Reserve</t>
  </si>
  <si>
    <t>(in Millionen Fanken, Höher als die gesetzliche vorgeschriebene Reserve, Tiefer als die gesetzliche vorgeschriebene Reserve)</t>
  </si>
  <si>
    <t>Siehe auch 9A.</t>
  </si>
  <si>
    <t>12A + 12B) Leistungen (brutto) der Versicherer (in Mio. Fr. und je versicherte Person in Fr.)</t>
  </si>
  <si>
    <t>Bruttoleistungen = Leistungen der Versicherer an die Leistungserbringer (Ärzte, Spitäler, Apotheken, usw.)</t>
  </si>
  <si>
    <t>13A + 13B) Kostenbeteiligung der Versicherten (in Mio. Fr. und je versicherte Person in Fr.)</t>
  </si>
  <si>
    <t>Kostenbeteiligung der Versicherten : Franchise / Selbstbehalt / Tagespauschale im Spital.</t>
  </si>
  <si>
    <t>Berücksichtigt nur die bei dem Versicherer eingereichten Rechnungen.</t>
  </si>
  <si>
    <t>14) Ausgaben Total (in Mio. Fr.)</t>
  </si>
  <si>
    <t>Ausgaben = Total Versicherungs- und Betriebsaufwand.</t>
  </si>
  <si>
    <t>15) Verhältnis Nettoleistungen / Prämien in %</t>
  </si>
  <si>
    <t>Quelle: Formulare EF 1 2 3</t>
  </si>
  <si>
    <t xml:space="preserve">BAG-Nr. nur wenn EF1.12A Total  &gt; 0 </t>
  </si>
  <si>
    <t>Total Versicherungsaufwand</t>
  </si>
  <si>
    <t>40-47</t>
  </si>
  <si>
    <t>Verwaltungsaufwand</t>
  </si>
  <si>
    <t>Abschreibungen</t>
  </si>
  <si>
    <t>Sonstige Betriebsaufwendungen</t>
  </si>
  <si>
    <t>Total Betriebsaufwand</t>
  </si>
  <si>
    <t>3/4</t>
  </si>
  <si>
    <t>Total Versicherungs- und Betriebsaufwand</t>
  </si>
  <si>
    <t>Versicherungsbetriebsergebnis</t>
  </si>
  <si>
    <t>Neutraler Aufwand / Ertrag</t>
  </si>
  <si>
    <t>Gesamtbetriebsergebnis</t>
  </si>
  <si>
    <t>1) Vgl. Fussnote 3) von Tabelle 11.02.</t>
  </si>
  <si>
    <t>Quelle: Formular EF2 [Summe 2.2 bis 2.7]</t>
  </si>
  <si>
    <r>
      <t xml:space="preserve">T 1.02  Betriebsrechnung der obligatorischen Krankenpflegeversicherung KVG insgesamt </t>
    </r>
    <r>
      <rPr>
        <b/>
        <vertAlign val="superscript"/>
        <sz val="12"/>
        <rFont val="Arial"/>
        <family val="2"/>
      </rPr>
      <t>1</t>
    </r>
  </si>
  <si>
    <t>1) Siehe Fussnote 1) in T 1.02</t>
  </si>
  <si>
    <t>Quelle: Formular EF2 [ 2.2 ]</t>
  </si>
  <si>
    <r>
      <t xml:space="preserve">T 1.03  Betriebsrechnung der Versicherung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ordentlicher Franchise </t>
    </r>
  </si>
  <si>
    <t>Quelle: Formular EF2 [ 2.3]</t>
  </si>
  <si>
    <r>
      <t xml:space="preserve">T 1.04  Betriebsrechnung der Versicherungen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wählbarer Franchise </t>
    </r>
  </si>
  <si>
    <t>Quelle: Formular EF2 [ 2.4]</t>
  </si>
  <si>
    <r>
      <t xml:space="preserve">T 1.05  Betriebsrechnung der BONUS-Versicherung </t>
    </r>
    <r>
      <rPr>
        <b/>
        <vertAlign val="superscript"/>
        <sz val="12"/>
        <rFont val="Arial"/>
        <family val="2"/>
      </rPr>
      <t>1</t>
    </r>
  </si>
  <si>
    <t>Quelle: Formular EF2 [Summe 2.5 bis 2.7]</t>
  </si>
  <si>
    <r>
      <t xml:space="preserve">T 1.06  Betriebsrechnung der Versicherungen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eingeschränkter Wahl des Leistungserbringers </t>
    </r>
  </si>
  <si>
    <t xml:space="preserve">Prämien für Effektivkosten </t>
  </si>
  <si>
    <t>Zahnärztliche Leistungen</t>
  </si>
  <si>
    <t>Spital-leistungen</t>
  </si>
  <si>
    <t>Medizinische Apparate</t>
  </si>
  <si>
    <t>Andere Gesundheits-leistungen</t>
  </si>
  <si>
    <t>Gesundheits-pflege (Total)</t>
  </si>
  <si>
    <t>Allgemeiner Kostenindex (LIK)</t>
  </si>
  <si>
    <t>Methode zur Ermittlung des Index  "Gesundheitspflege":</t>
  </si>
  <si>
    <t>- Gesundheitskosten: Gewichtung nach den 6 in der Folge aufgeführten Teilindizes:</t>
  </si>
  <si>
    <t xml:space="preserve"> - Medikamente: Kostenermittlung bei rund 200 Medikamenten in den 10 umsatzstärksten Behandlungskategorien</t>
  </si>
  <si>
    <t xml:space="preserve"> - Ärztliche Leistungen: Gewichtung nach 26 kantonalen Indizes; </t>
  </si>
  <si>
    <t xml:space="preserve">   für jeden Kanton werden die 30 umsatzstärksten Tarifpositionen ermittelt </t>
  </si>
  <si>
    <t xml:space="preserve"> - Zahnärztliche Leistungen: Kostenermittlung von 11 typischen Leistungsarten in 16 Gemeinden, bei ca. 50 Zahnärzten</t>
  </si>
  <si>
    <t xml:space="preserve"> - Spitalleistungen: Gewichtung nach 26 kantonalen Indizes unter Berücksichtigung der Tarife für stationäre und ambulante Dienste.</t>
  </si>
  <si>
    <t xml:space="preserve">   Betrachtet wurden öffentliche und private Akutspitäler und Psychiatrieeinrichtungen.</t>
  </si>
  <si>
    <t xml:space="preserve"> - Medizinische Geräte: Kostenermittlung nach den typischen Leistungen in den Bereichen Augenoptik (Brillen und </t>
  </si>
  <si>
    <t xml:space="preserve">   Kontaktlinsen in 16 Gemeinden), Hörgeräte (Kostenfeststellung nach den 6 - nach BAG-Tarif - meistverkauften Geräten)</t>
  </si>
  <si>
    <t xml:space="preserve">  und andere medizinische Geräte (z.B. Gehhilfen, Stützen usw.)</t>
  </si>
  <si>
    <t xml:space="preserve"> - Andere Gesundheitsleistungen: Kostenermittlung nach den typischen Leistungen in den Bereichen Physiotherapie, Labor und Spitex. </t>
  </si>
  <si>
    <t>Quelle: BFS, Sektion Preise und Verbrauch.</t>
  </si>
  <si>
    <t>T 9.13 Index der Krankenversicherungsprämien je versicherte Person nach Versicherungsart ab 1997 (Basis 1999 = 100)</t>
  </si>
  <si>
    <t xml:space="preserve">Kinder </t>
  </si>
  <si>
    <t>(ganze CH)</t>
  </si>
  <si>
    <t>Veränderung gegenüber dem Vorjahr</t>
  </si>
  <si>
    <t>Einfluss auf das</t>
  </si>
  <si>
    <t>verfügbares</t>
  </si>
  <si>
    <t>Einkommen</t>
  </si>
  <si>
    <t>1) Auswirkung der Prämienentwicklung auf das Wachstum des verfügbaren Einkommens der Haushalte in %. Quelle: Siehe 3).</t>
  </si>
  <si>
    <t>2) Quelle: T 3.12. Effektive Erhöhungen für alle Versicherungsmodelle.</t>
  </si>
  <si>
    <t>3) Quelle: BFS, Sektion Preise und Verbrauch. Krankenversicherungsprämienindex (KVPI) [Medienmitteilung 11/08].</t>
  </si>
  <si>
    <r>
      <t xml:space="preserve">Obligatorische Krankenpflegeversicherung (OKP) </t>
    </r>
    <r>
      <rPr>
        <b/>
        <vertAlign val="superscript"/>
        <sz val="11"/>
        <rFont val="Arial"/>
        <family val="2"/>
      </rPr>
      <t>2</t>
    </r>
  </si>
  <si>
    <r>
      <t xml:space="preserve">Spitalzusatzversicherungen </t>
    </r>
    <r>
      <rPr>
        <b/>
        <vertAlign val="superscript"/>
        <sz val="11"/>
        <rFont val="Arial"/>
        <family val="2"/>
      </rPr>
      <t>3</t>
    </r>
  </si>
  <si>
    <r>
      <t xml:space="preserve">in %  </t>
    </r>
    <r>
      <rPr>
        <vertAlign val="superscript"/>
        <sz val="10"/>
        <rFont val="Arial"/>
        <family val="2"/>
      </rPr>
      <t>1</t>
    </r>
  </si>
  <si>
    <r>
      <t xml:space="preserve">2008 </t>
    </r>
    <r>
      <rPr>
        <vertAlign val="superscript"/>
        <sz val="11"/>
        <rFont val="Arial"/>
        <family val="2"/>
      </rPr>
      <t>4</t>
    </r>
  </si>
  <si>
    <r>
      <t xml:space="preserve">Werte der </t>
    </r>
    <r>
      <rPr>
        <u/>
        <sz val="10"/>
        <rFont val="Arial"/>
        <family val="2"/>
      </rPr>
      <t>effektiven</t>
    </r>
    <r>
      <rPr>
        <sz val="10"/>
        <rFont val="Arial"/>
        <family val="2"/>
      </rPr>
      <t xml:space="preserve"> Erhöhung der Prämien nach Altersgruppen und Versicherungsform: vgl. T 3.12.</t>
    </r>
  </si>
  <si>
    <r>
      <t xml:space="preserve">Werte der </t>
    </r>
    <r>
      <rPr>
        <u/>
        <sz val="10"/>
        <rFont val="Arial"/>
        <family val="2"/>
      </rPr>
      <t>geschätzten</t>
    </r>
    <r>
      <rPr>
        <sz val="10"/>
        <rFont val="Arial"/>
        <family val="2"/>
      </rPr>
      <t xml:space="preserve"> Erhöhung der Prämien pro Kanton und Altersgruppen für die ordentliche Franchise: vgl. T 3.01.</t>
    </r>
  </si>
  <si>
    <r>
      <t xml:space="preserve">4) OKP: </t>
    </r>
    <r>
      <rPr>
        <i/>
        <sz val="10"/>
        <rFont val="Arial"/>
        <family val="2"/>
      </rPr>
      <t>Schätzung :</t>
    </r>
    <r>
      <rPr>
        <sz val="10"/>
        <rFont val="Arial"/>
        <family val="2"/>
      </rPr>
      <t xml:space="preserve"> Quelle: Siehe 3). Siehe auch Beilage J (Schätzung 1, pro Versicherte Person).</t>
    </r>
  </si>
  <si>
    <t>Datenstand: 6.11.08</t>
  </si>
  <si>
    <t>Grundstücke</t>
  </si>
  <si>
    <t>anlagen</t>
  </si>
  <si>
    <t>und Gebäude</t>
  </si>
  <si>
    <t xml:space="preserve">1) Eigenkapital in % des Prämiensolls. </t>
  </si>
  <si>
    <t>Quelle: T 8.10 [29] ; T 8.05 [60-63] ; T 8.11 [17, 18]</t>
  </si>
  <si>
    <r>
      <t xml:space="preserve">quote </t>
    </r>
    <r>
      <rPr>
        <vertAlign val="superscript"/>
        <sz val="11"/>
        <rFont val="Arial"/>
        <family val="2"/>
      </rPr>
      <t>1</t>
    </r>
  </si>
  <si>
    <t>T 8.04  Ertrag, Aufwand und Ergebnis der Versicherer in Mio. Franken ab 1997</t>
  </si>
  <si>
    <t>1) Vorjahresvergleiche sind nur mit Vorbehalt möglich, da jene Zusatzversicherungen VAG, welche auch unternehmensrechtlich</t>
  </si>
  <si>
    <t>die resp. der Entnahme von den Fonds und Reserven.</t>
  </si>
  <si>
    <t>Quelle:  T 8.05 [6/7]; T 8.06 [3/4]; T 8.06 [800-801] - T 8.05 [800-801]</t>
  </si>
  <si>
    <r>
      <t xml:space="preserve">ergebnis </t>
    </r>
    <r>
      <rPr>
        <vertAlign val="superscript"/>
        <sz val="11"/>
        <rFont val="Arial"/>
        <family val="2"/>
      </rPr>
      <t>2</t>
    </r>
  </si>
  <si>
    <r>
      <t xml:space="preserve">2) Jahresergebnis ( = Vorschlag Gesamtbetriebsrechnung minus Rückschlag Gesamtbetriebsrechnung) </t>
    </r>
    <r>
      <rPr>
        <i/>
        <sz val="10"/>
        <rFont val="Arial"/>
        <family val="2"/>
      </rPr>
      <t>vor</t>
    </r>
    <r>
      <rPr>
        <sz val="10"/>
        <rFont val="Arial"/>
        <family val="2"/>
      </rPr>
      <t xml:space="preserve"> der Zuweisung an</t>
    </r>
  </si>
  <si>
    <t>T 8.03  Stellen- und Personalbestand der Versicherer ab 1997</t>
  </si>
  <si>
    <t xml:space="preserve">   Verwaltung / Haupsitz</t>
  </si>
  <si>
    <t xml:space="preserve">       Sektionen / Agenturen</t>
  </si>
  <si>
    <t xml:space="preserve">                          Total</t>
  </si>
  <si>
    <t>Stellen</t>
  </si>
  <si>
    <t>1) Ab 2001, nur obligatorische Grundversicherung OKP.</t>
  </si>
  <si>
    <t>2) Total Personen.</t>
  </si>
  <si>
    <t>Quelle: Formular EF3 [3.10.3]</t>
  </si>
  <si>
    <r>
      <t xml:space="preserve">Vorjahr </t>
    </r>
    <r>
      <rPr>
        <vertAlign val="superscript"/>
        <sz val="9"/>
        <rFont val="Arial"/>
        <family val="2"/>
      </rPr>
      <t>2</t>
    </r>
  </si>
  <si>
    <t>T 8.13  Stellen, Personal und Löhne in der OKP</t>
  </si>
  <si>
    <t>Total (Hauptsitz und Agenturen)</t>
  </si>
  <si>
    <t>1) Mitglieder der Direktion und der Räte (Verwaltungsrat, Stiftungsrat…)</t>
  </si>
  <si>
    <r>
      <t xml:space="preserve"> - davon Kader </t>
    </r>
    <r>
      <rPr>
        <i/>
        <vertAlign val="superscript"/>
        <sz val="11"/>
        <rFont val="Arial"/>
        <family val="2"/>
      </rPr>
      <t>1</t>
    </r>
  </si>
  <si>
    <t>Bruttogehälter</t>
  </si>
  <si>
    <t>T 8.02  Anzahl Versicherer OKP nach Grösse ab 1997</t>
  </si>
  <si>
    <t>Stellen, Personal und Löhne in der OKP</t>
  </si>
  <si>
    <t>T 8.01 Anzahl KVG Versicherer ab 1997</t>
  </si>
  <si>
    <t>A</t>
  </si>
  <si>
    <t>B</t>
  </si>
  <si>
    <t>C</t>
  </si>
  <si>
    <t>D</t>
  </si>
  <si>
    <t xml:space="preserve">Anzahl </t>
  </si>
  <si>
    <t>Zuwachs</t>
  </si>
  <si>
    <t>Abgang</t>
  </si>
  <si>
    <t>Obligatorische</t>
  </si>
  <si>
    <t>Freiwillige</t>
  </si>
  <si>
    <t>Krankenpflege-</t>
  </si>
  <si>
    <t>KVG</t>
  </si>
  <si>
    <t>1) Nur obligatorische Krankenpflegeversicherung = A - C ; nur freiwillige Taggeldversicherung = A - B</t>
  </si>
  <si>
    <t>Quelle: T 5.01; T 5.03; T 5.04</t>
  </si>
  <si>
    <r>
      <t xml:space="preserve">    Anzahl KVG-Versicherer </t>
    </r>
    <r>
      <rPr>
        <vertAlign val="superscript"/>
        <sz val="11"/>
        <rFont val="Arial"/>
        <family val="2"/>
      </rPr>
      <t>1</t>
    </r>
  </si>
  <si>
    <r>
      <t xml:space="preserve">OKP </t>
    </r>
    <r>
      <rPr>
        <b/>
        <i/>
        <sz val="11"/>
        <rFont val="Arial"/>
        <family val="2"/>
      </rPr>
      <t>und</t>
    </r>
  </si>
  <si>
    <t>20.8.08: 11.01-&gt;11.06,11.1-&gt;11.13,11.17-&gt;11.20</t>
  </si>
  <si>
    <t>25.8.08: 1.02-&gt;1.11,2.03, 3.08, 7.01-&gt;7.05,6.01-&gt;6.06</t>
  </si>
  <si>
    <t>101-115</t>
  </si>
  <si>
    <t>801-813</t>
  </si>
  <si>
    <t>Stand</t>
  </si>
  <si>
    <t>Stand Rück-</t>
  </si>
  <si>
    <t>Rückstellungen</t>
  </si>
  <si>
    <t>Rück-</t>
  </si>
  <si>
    <t>stellungen pro</t>
  </si>
  <si>
    <t>in % der be-</t>
  </si>
  <si>
    <t>stellungen</t>
  </si>
  <si>
    <t>zahlten Lei-</t>
  </si>
  <si>
    <t>1) Vgl. Tabelle 11.13A.</t>
  </si>
  <si>
    <t>2) Vgl. Tabelle 2.20.</t>
  </si>
  <si>
    <t>Quelle: T 8.10 [270]; T 11.13A; T 2.20</t>
  </si>
  <si>
    <r>
      <t xml:space="preserve">Person in Fr. </t>
    </r>
    <r>
      <rPr>
        <vertAlign val="superscript"/>
        <sz val="11"/>
        <rFont val="Arial"/>
        <family val="2"/>
      </rPr>
      <t>1</t>
    </r>
  </si>
  <si>
    <r>
      <t xml:space="preserve">stungen </t>
    </r>
    <r>
      <rPr>
        <vertAlign val="superscript"/>
        <sz val="11"/>
        <rFont val="Arial"/>
        <family val="2"/>
      </rPr>
      <t>2</t>
    </r>
  </si>
  <si>
    <t>1) Bezahlte Leistungen der Versicherer = Leistungen (brutto) der Versicherer minus Kostenbeteiligungen der Versicherten.</t>
  </si>
  <si>
    <t>Quelle: T 1.03; 1.04; 1.05; 1.06 [30-33]</t>
  </si>
  <si>
    <t>01.12.08: 9.16-&gt;9.18, 9.21, 9.22</t>
  </si>
  <si>
    <t>03.12.08: 9.09-&gt;9.15, 9.19, 9.20</t>
  </si>
  <si>
    <t>08.12.08: 9.06-&gt;9.08</t>
  </si>
  <si>
    <t>Finanzierungsträger</t>
  </si>
  <si>
    <t>Durchschnittl.</t>
  </si>
  <si>
    <t>Schätzung</t>
  </si>
  <si>
    <t>des Gesundheitswesens</t>
  </si>
  <si>
    <t>jährl.</t>
  </si>
  <si>
    <t>Bund</t>
  </si>
  <si>
    <t>Kantone</t>
  </si>
  <si>
    <t>Gemeinden</t>
  </si>
  <si>
    <t>Unfallversicherung UVG</t>
  </si>
  <si>
    <t>Militärversicherung</t>
  </si>
  <si>
    <t>Übrige Systeme der sozialen Sicherheit</t>
  </si>
  <si>
    <t xml:space="preserve">  Krankenversicherungsprämien </t>
  </si>
  <si>
    <t>Obligatorische Krankenpflegeversicherung KVG</t>
  </si>
  <si>
    <t xml:space="preserve">Zusatzversicherungen VVG der KVG-Versicherer </t>
  </si>
  <si>
    <t>1) - 15) und Quellen: siehe Fussnoten unter der Tabelle 9.08.</t>
  </si>
  <si>
    <t>Übergangsschlüssel Tabellen 2007 -&gt; 1996 : siehe Beilage B1 Version STAT KV 2007 Tabellen XLS auf dem www.</t>
  </si>
  <si>
    <r>
      <t xml:space="preserve">T 11.16 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Kantonen</t>
    </r>
  </si>
  <si>
    <t>2: Leistungen und Kostenbeteiligung in der OKP</t>
  </si>
  <si>
    <t>Quelle: T 2.04 / T 11.16</t>
  </si>
  <si>
    <r>
      <t xml:space="preserve">T 2.05  Bruttokosten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Fr. pro Versicherten pro Versicherungsmonat nach Kantonen</t>
    </r>
  </si>
  <si>
    <r>
      <t xml:space="preserve">1) Bruttokosten = Leistungen (brutto) der Versicherer in der OKP </t>
    </r>
    <r>
      <rPr>
        <b/>
        <sz val="10"/>
        <rFont val="Arial"/>
        <family val="2"/>
      </rPr>
      <t>mit</t>
    </r>
    <r>
      <rPr>
        <sz val="10"/>
        <rFont val="Arial"/>
        <family val="2"/>
      </rPr>
      <t xml:space="preserve"> Kostenbeteiligung durch die Versicherten.</t>
    </r>
  </si>
  <si>
    <r>
      <t xml:space="preserve">T 2.06  Bruttokosten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Altersgruppen und Geschlecht</t>
    </r>
  </si>
  <si>
    <t>Quelle: T 2.07 / T 11.16</t>
  </si>
  <si>
    <r>
      <t xml:space="preserve">T 2.08  Effektive 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Kantonen</t>
    </r>
  </si>
  <si>
    <r>
      <t xml:space="preserve">1) Effektive Kosten = (bezahlte) Leistungen der Versicherer in der OKP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 durch die Versicherten.</t>
    </r>
  </si>
  <si>
    <r>
      <t xml:space="preserve">T 2.09  Effektive 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Altersgruppen und Geschlecht</t>
    </r>
  </si>
  <si>
    <t>Quelle: T 2.05 - T 2.08</t>
  </si>
  <si>
    <t>1) Berücksichtigt nur die bei dem Versicherer eingereichten Rechnungen.</t>
  </si>
  <si>
    <r>
      <t xml:space="preserve">T 2.10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Versicherten pro Jahr in Fr. nach Kantonen</t>
    </r>
  </si>
  <si>
    <t>Quelle: T 2.06 - T 2.09</t>
  </si>
  <si>
    <r>
      <t xml:space="preserve">T 2.11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Jahr nach Altersgruppen und Geschlecht</t>
    </r>
  </si>
  <si>
    <t>T 2.12 Effektive Kosten pro Versicherten pro Versicherungsmonat nach Kantonen und Altersgruppen</t>
  </si>
  <si>
    <t xml:space="preserve">1) Bei der Berechnung der Abgaben und Beiträge werden die effektiven Durchschnittskosten jeder Risikogruppe mit den </t>
  </si>
  <si>
    <t>effektiven Durchschnittskosten aller erwachsenen Versicherten im Alter von 19 und mehr Jahren (Referenzgruppe) verglichen.</t>
  </si>
  <si>
    <t xml:space="preserve">Sind die effektiven Durchschnittskosten der jeweiligen Risikogruppe höher als die Durchschnittskosten der Referenzgruppe, </t>
  </si>
  <si>
    <t>so erhält der Versicherer für jeden Versicherten in dieser Risikogruppe einen Beitrag (+). Umgekehrt hat er eine Abgabe (-) zu leisten.</t>
  </si>
  <si>
    <t>Kinder (0-18 Jahre) werden für die Berechnung des Risikoausgleichs nicht miteinbezogen.</t>
  </si>
  <si>
    <r>
      <t xml:space="preserve">T 10.03  Risikoausgleich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und Versicherungsmonat nach Altersgruppen und Geschlecht</t>
    </r>
  </si>
  <si>
    <t>Aus-</t>
  </si>
  <si>
    <t>gleichs-</t>
  </si>
  <si>
    <t>nach Ge-</t>
  </si>
  <si>
    <t>nach</t>
  </si>
  <si>
    <t>zwischen</t>
  </si>
  <si>
    <t>jahr</t>
  </si>
  <si>
    <t>schlecht</t>
  </si>
  <si>
    <t>Alter</t>
  </si>
  <si>
    <t>Versicherern</t>
  </si>
  <si>
    <t xml:space="preserve">Vorjahr </t>
  </si>
  <si>
    <t>1) Theoretisch-statistische Grösse: Gesamtschweizerische Umverteilung von Männern zu Frauen resp. von jüngeren</t>
  </si>
  <si>
    <t>Versicherten (19 – 55-jährige Personen) zu älteren Versicherten (56-jährige und ältere Personen).</t>
  </si>
  <si>
    <t>2) Effektiv erfolgte Umverteilung zwischen den Versicherern (von Nettozahlern zu Nettoempfängern; vgl. Tabelle 10.01).</t>
  </si>
  <si>
    <r>
      <t xml:space="preserve">Bruttoumverteilung </t>
    </r>
    <r>
      <rPr>
        <vertAlign val="superscript"/>
        <sz val="11"/>
        <rFont val="Arial"/>
        <family val="2"/>
      </rPr>
      <t>1</t>
    </r>
  </si>
  <si>
    <r>
      <t xml:space="preserve">Nettoumverteilung </t>
    </r>
    <r>
      <rPr>
        <vertAlign val="superscript"/>
        <sz val="11"/>
        <rFont val="Arial"/>
        <family val="2"/>
      </rPr>
      <t>2</t>
    </r>
  </si>
  <si>
    <t>T 11.10  Verteilung der Versicherungsformen in % nach Kanton - Versicherte 0-18 Jahre</t>
  </si>
  <si>
    <t>Ordentl.</t>
  </si>
  <si>
    <t>Andere</t>
  </si>
  <si>
    <t>100 Fr.</t>
  </si>
  <si>
    <t>200 Fr.</t>
  </si>
  <si>
    <t>300 Fr.</t>
  </si>
  <si>
    <t>400 Fr.</t>
  </si>
  <si>
    <t>500 Fr.</t>
  </si>
  <si>
    <t>600 Fr.</t>
  </si>
  <si>
    <t>rungsformen</t>
  </si>
  <si>
    <t>0 Fr.</t>
  </si>
  <si>
    <t>T 11.09 Verteilung der Versicherungsformen in % - Versicherte 0-18 Jahre ab 1997</t>
  </si>
  <si>
    <t>I</t>
  </si>
  <si>
    <t>II</t>
  </si>
  <si>
    <t>III</t>
  </si>
  <si>
    <t>IV</t>
  </si>
  <si>
    <t>V</t>
  </si>
  <si>
    <t>VI</t>
  </si>
  <si>
    <t>1) 1997-2004: ordentliche Jahresfranchise: 0.- ; wählbare Jahresfranchisen: 150.-  300.-  375.-</t>
  </si>
  <si>
    <t xml:space="preserve">    2005-2007: ordentliche Jahresfranchise: 0.- ; wählbare Jahresfranchisen: 100.-  200.-  300.-  400.-  500.-  600.-</t>
  </si>
  <si>
    <t>Quelle: T 11.10</t>
  </si>
  <si>
    <t>T 11.08 Verteilung der Versicherungsformen in % nach Kanton - Versicherte ab 19 Jahren</t>
  </si>
  <si>
    <t>1000 Fr.</t>
  </si>
  <si>
    <t>1500 Fr.</t>
  </si>
  <si>
    <t>2000 Fr.</t>
  </si>
  <si>
    <t>2500 Fr.</t>
  </si>
  <si>
    <t>texte de base pour T 11.07 11.09 et 11.10</t>
  </si>
  <si>
    <t>1) 1997: ordentliche Jahresfranchise: 150.- ; wählbare Jahresfranchisen: 300.-  600.-  1200.-  1500.-</t>
  </si>
  <si>
    <t xml:space="preserve">    1998-2003: ordentliche Jahresfranchise: 230.- ; wählbare Jahresfranchisen: 400.-  600.-  1200.-  1500.-</t>
  </si>
  <si>
    <t xml:space="preserve">    2004: ordentliche Jahresfranchise: 300.- ; wählbare Jahresfranchisen: 400.-  600.-  1200.-  1500.-</t>
  </si>
  <si>
    <t xml:space="preserve">    2005-2007: ordentliche Jahresfranchise: 300.- ; wählbare Jahresfranchisen: 500.-  1000.-  1500.-  2000.- 2500.-</t>
  </si>
  <si>
    <t>Quelle: T 11.08</t>
  </si>
  <si>
    <r>
      <t>T 11.07 Verteilung der Versicherungsformen</t>
    </r>
    <r>
      <rPr>
        <b/>
        <vertAlign val="superscript"/>
        <sz val="12"/>
        <rFont val="Arial"/>
        <family val="2"/>
      </rPr>
      <t xml:space="preserve"> </t>
    </r>
    <r>
      <rPr>
        <b/>
        <sz val="12"/>
        <rFont val="Arial"/>
        <family val="2"/>
      </rPr>
      <t>in % - Versicherte ab 19 Jahren ab 1997</t>
    </r>
  </si>
  <si>
    <t>CH effektiv</t>
  </si>
  <si>
    <t>Quelle : Kantone: Genehmigungsverfahren für Krankenversicherungsprämien, BAG / CH : T 5.01</t>
  </si>
  <si>
    <t>1) Effektive Werte.</t>
  </si>
  <si>
    <t>2) Gemäss den gesetzlichen Bestimmungen berechneter Mindestreservesatz (siehe T 5.01 &amp; T 5.02).</t>
  </si>
  <si>
    <r>
      <t xml:space="preserve">T 1.14 Kalkulatorische Reserven OKP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Kanton in % der Prämien ab 1997</t>
    </r>
  </si>
  <si>
    <r>
      <t xml:space="preserve">CH gesetzlich </t>
    </r>
    <r>
      <rPr>
        <b/>
        <i/>
        <vertAlign val="superscript"/>
        <sz val="11"/>
        <rFont val="Arial"/>
        <family val="2"/>
      </rPr>
      <t>2</t>
    </r>
  </si>
  <si>
    <t xml:space="preserve">T 1.15 Kalkulatorische Reserven OKP pro Kanton in % der Prämien </t>
  </si>
  <si>
    <t>effektiver Wert</t>
  </si>
  <si>
    <t xml:space="preserve">Unterschied effektiver Wert - minimaler gesetzlicher Wert </t>
  </si>
  <si>
    <t>Unterschied effektiver Wert - minimaler gesetzlicher Wert</t>
  </si>
  <si>
    <t>in Fr. pro Versicherten</t>
  </si>
  <si>
    <t>Quelle : Kantone: Genehmigungsverfahren für Krankenversicherungsprämien, BAG / CH : STAT KV 04-07 &amp; Aufsichtsdaten 1997-2003</t>
  </si>
  <si>
    <t>1) Berechnete Werte für den Mindestsatz der Reserven</t>
  </si>
  <si>
    <t xml:space="preserve">   CH: siehe T 5.01 &amp; T 5.02</t>
  </si>
  <si>
    <t>13C</t>
  </si>
  <si>
    <t>1) Leistungen brutto = Leistungen inkl. Kostenbeteiligung der Versicherten.</t>
  </si>
  <si>
    <t>2) Leistungen netto = Leistungen der Versicherer abzüglich Kostenbeteiligung der Versicherten.</t>
  </si>
  <si>
    <t>3) Rückstellungen in Prozent der bezahlten Leistungen.</t>
  </si>
  <si>
    <t>4) Reserven in Prozent des Prämiensolls.</t>
  </si>
  <si>
    <t>Quelle: T 8.02, 11.01, 9.25, 3.14, 3.15, 2.16, 2.18, 2.01, 2.02, 2.20, 2.21, 1.10, 1.08, 1.12, 1.13</t>
  </si>
  <si>
    <t>oder</t>
  </si>
  <si>
    <r>
      <t>T 9.06 Kosten des Gesundheitswesens in der Schweiz aus der Sicht der Krankenversicherungsprämien</t>
    </r>
    <r>
      <rPr>
        <b/>
        <vertAlign val="superscript"/>
        <sz val="12"/>
        <rFont val="Arial"/>
        <family val="2"/>
      </rPr>
      <t xml:space="preserve"> 15 </t>
    </r>
    <r>
      <rPr>
        <b/>
        <sz val="12"/>
        <rFont val="Arial"/>
        <family val="2"/>
      </rPr>
      <t>in Millionen Franken ab 1997</t>
    </r>
  </si>
  <si>
    <r>
      <t xml:space="preserve">2007 </t>
    </r>
    <r>
      <rPr>
        <b/>
        <i/>
        <vertAlign val="superscript"/>
        <sz val="10"/>
        <rFont val="Arial"/>
        <family val="2"/>
      </rPr>
      <t>14</t>
    </r>
  </si>
  <si>
    <r>
      <t xml:space="preserve">Staat </t>
    </r>
    <r>
      <rPr>
        <b/>
        <vertAlign val="superscript"/>
        <sz val="10"/>
        <rFont val="Arial"/>
        <family val="2"/>
      </rPr>
      <t>1</t>
    </r>
  </si>
  <si>
    <r>
      <t xml:space="preserve">Sozialversicherungen </t>
    </r>
    <r>
      <rPr>
        <b/>
        <vertAlign val="superscript"/>
        <sz val="10"/>
        <rFont val="Arial"/>
        <family val="2"/>
      </rPr>
      <t>2</t>
    </r>
  </si>
  <si>
    <r>
      <t xml:space="preserve">AHV / IV </t>
    </r>
    <r>
      <rPr>
        <b/>
        <vertAlign val="superscript"/>
        <sz val="10"/>
        <rFont val="Arial"/>
        <family val="2"/>
      </rPr>
      <t>3</t>
    </r>
  </si>
  <si>
    <r>
      <t xml:space="preserve">Finanzierungssaldo für die Krankenversicherung </t>
    </r>
    <r>
      <rPr>
        <b/>
        <vertAlign val="superscript"/>
        <sz val="10"/>
        <rFont val="Arial"/>
        <family val="2"/>
      </rPr>
      <t>4</t>
    </r>
  </si>
  <si>
    <r>
      <t xml:space="preserve">  Prämienverbilligung KVG </t>
    </r>
    <r>
      <rPr>
        <b/>
        <vertAlign val="superscript"/>
        <sz val="10"/>
        <rFont val="Arial"/>
        <family val="2"/>
      </rPr>
      <t>13</t>
    </r>
  </si>
  <si>
    <r>
      <t xml:space="preserve">  Ergänzungsleistungen </t>
    </r>
    <r>
      <rPr>
        <b/>
        <vertAlign val="superscript"/>
        <sz val="10"/>
        <rFont val="Arial"/>
        <family val="2"/>
      </rPr>
      <t>7</t>
    </r>
  </si>
  <si>
    <r>
      <t xml:space="preserve">  Sozialhilfe </t>
    </r>
    <r>
      <rPr>
        <b/>
        <vertAlign val="superscript"/>
        <sz val="10"/>
        <rFont val="Arial"/>
        <family val="2"/>
      </rPr>
      <t>7</t>
    </r>
  </si>
  <si>
    <r>
      <t xml:space="preserve">  Hilflosenentschädigungen </t>
    </r>
    <r>
      <rPr>
        <b/>
        <vertAlign val="superscript"/>
        <sz val="10"/>
        <rFont val="Arial"/>
        <family val="2"/>
      </rPr>
      <t>7</t>
    </r>
  </si>
  <si>
    <r>
      <t xml:space="preserve">Netto Prämien der obligatorischen Krankenpflegeversicherung KVG </t>
    </r>
    <r>
      <rPr>
        <b/>
        <vertAlign val="superscript"/>
        <sz val="8"/>
        <rFont val="Arial"/>
        <family val="2"/>
      </rPr>
      <t>10</t>
    </r>
  </si>
  <si>
    <r>
      <t xml:space="preserve">Zusatzversicherungen VVG der KVG-Versicherer </t>
    </r>
    <r>
      <rPr>
        <b/>
        <vertAlign val="superscript"/>
        <sz val="8"/>
        <rFont val="Arial"/>
        <family val="2"/>
      </rPr>
      <t>5</t>
    </r>
  </si>
  <si>
    <r>
      <t xml:space="preserve">Zusatzversicherungen VVG der Privatversicherer </t>
    </r>
    <r>
      <rPr>
        <b/>
        <vertAlign val="superscript"/>
        <sz val="8"/>
        <rFont val="Arial"/>
        <family val="2"/>
      </rPr>
      <t>6</t>
    </r>
  </si>
  <si>
    <r>
      <t xml:space="preserve">  Kostenbeteiligung </t>
    </r>
    <r>
      <rPr>
        <b/>
        <vertAlign val="superscript"/>
        <sz val="10"/>
        <rFont val="Arial"/>
        <family val="2"/>
      </rPr>
      <t>11</t>
    </r>
  </si>
  <si>
    <r>
      <t xml:space="preserve">  Out of pocket </t>
    </r>
    <r>
      <rPr>
        <b/>
        <vertAlign val="superscript"/>
        <sz val="10"/>
        <rFont val="Arial"/>
        <family val="2"/>
      </rPr>
      <t>8</t>
    </r>
  </si>
  <si>
    <r>
      <t xml:space="preserve">Übrige private Finanzierung </t>
    </r>
    <r>
      <rPr>
        <b/>
        <vertAlign val="superscript"/>
        <sz val="10"/>
        <rFont val="Arial"/>
        <family val="2"/>
      </rPr>
      <t>9</t>
    </r>
  </si>
  <si>
    <r>
      <t xml:space="preserve">Total Kosten des Gesundheitswesens </t>
    </r>
    <r>
      <rPr>
        <b/>
        <vertAlign val="superscript"/>
        <sz val="10"/>
        <rFont val="Arial"/>
        <family val="2"/>
      </rPr>
      <t>12</t>
    </r>
  </si>
  <si>
    <t xml:space="preserve"> Übriger Aufwand</t>
  </si>
  <si>
    <t xml:space="preserve"> Verwaltungskosten (inkl. Prävention) </t>
  </si>
  <si>
    <t>1) - 18) und Quellen: siehe Fussnoten unter der Tabelle 9.08.</t>
  </si>
  <si>
    <r>
      <t xml:space="preserve">T 9.07 Kosten des Gesundheitswesens in der Schweiz aus der Sicht der Krankenversicherungsleistungen </t>
    </r>
    <r>
      <rPr>
        <b/>
        <vertAlign val="superscript"/>
        <sz val="12"/>
        <rFont val="Arial"/>
        <family val="2"/>
      </rPr>
      <t>18</t>
    </r>
    <r>
      <rPr>
        <b/>
        <sz val="12"/>
        <rFont val="Arial"/>
        <family val="2"/>
      </rPr>
      <t xml:space="preserve"> in Millionen Franken ab 1997</t>
    </r>
  </si>
  <si>
    <r>
      <t xml:space="preserve">2007 </t>
    </r>
    <r>
      <rPr>
        <i/>
        <vertAlign val="superscript"/>
        <sz val="10"/>
        <rFont val="Arial"/>
        <family val="2"/>
      </rPr>
      <t>17</t>
    </r>
  </si>
  <si>
    <r>
      <t xml:space="preserve">     Ergänzungsleistungen </t>
    </r>
    <r>
      <rPr>
        <b/>
        <vertAlign val="superscript"/>
        <sz val="9"/>
        <rFont val="Arial"/>
        <family val="2"/>
      </rPr>
      <t>7</t>
    </r>
  </si>
  <si>
    <r>
      <t xml:space="preserve">     Sozialhilfe </t>
    </r>
    <r>
      <rPr>
        <b/>
        <vertAlign val="superscript"/>
        <sz val="9"/>
        <rFont val="Arial"/>
        <family val="2"/>
      </rPr>
      <t>7</t>
    </r>
  </si>
  <si>
    <r>
      <t xml:space="preserve">     Hilflosenentschädigungen </t>
    </r>
    <r>
      <rPr>
        <b/>
        <vertAlign val="superscript"/>
        <sz val="9"/>
        <rFont val="Arial"/>
        <family val="2"/>
      </rPr>
      <t>7</t>
    </r>
  </si>
  <si>
    <r>
      <t xml:space="preserve">Brutto Krankenversicherungleistungen 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 xml:space="preserve"> </t>
    </r>
  </si>
  <si>
    <r>
      <t xml:space="preserve">       davon Kostenbeteiligung </t>
    </r>
    <r>
      <rPr>
        <b/>
        <vertAlign val="superscript"/>
        <sz val="8"/>
        <rFont val="Arial"/>
        <family val="2"/>
      </rPr>
      <t>11</t>
    </r>
  </si>
  <si>
    <r>
      <t xml:space="preserve">      davon Prämienverbilligung KVG </t>
    </r>
    <r>
      <rPr>
        <b/>
        <vertAlign val="superscript"/>
        <sz val="8"/>
        <rFont val="Arial"/>
        <family val="2"/>
      </rPr>
      <t>13</t>
    </r>
  </si>
  <si>
    <r>
      <t xml:space="preserve">Zusatzversicherungen VVG der KVG-Versicherer </t>
    </r>
    <r>
      <rPr>
        <vertAlign val="superscript"/>
        <sz val="9"/>
        <rFont val="Arial"/>
        <family val="2"/>
      </rPr>
      <t>5</t>
    </r>
  </si>
  <si>
    <r>
      <t xml:space="preserve">      davon Kostenbeteiligung </t>
    </r>
    <r>
      <rPr>
        <b/>
        <vertAlign val="superscript"/>
        <sz val="8"/>
        <rFont val="Arial"/>
        <family val="2"/>
      </rPr>
      <t>11</t>
    </r>
  </si>
  <si>
    <r>
      <t xml:space="preserve">Zusatzversicherungen VVG der Privatversicherer </t>
    </r>
    <r>
      <rPr>
        <vertAlign val="superscript"/>
        <sz val="9"/>
        <rFont val="Arial"/>
        <family val="2"/>
      </rPr>
      <t>6</t>
    </r>
  </si>
  <si>
    <r>
      <t xml:space="preserve">Andere </t>
    </r>
    <r>
      <rPr>
        <b/>
        <vertAlign val="superscript"/>
        <sz val="10"/>
        <rFont val="Arial"/>
        <family val="2"/>
      </rPr>
      <t>16</t>
    </r>
  </si>
  <si>
    <r>
      <t xml:space="preserve">Out of pocket (Haushalte) </t>
    </r>
    <r>
      <rPr>
        <b/>
        <vertAlign val="superscript"/>
        <sz val="10"/>
        <rFont val="Arial"/>
        <family val="2"/>
      </rPr>
      <t>8</t>
    </r>
  </si>
  <si>
    <t>T 9.08 Details des Finanzierungssaldos in Millionen Franken ab 1997</t>
  </si>
  <si>
    <t xml:space="preserve">Durchschnittl. </t>
  </si>
  <si>
    <t>Krankenversicherer</t>
  </si>
  <si>
    <t>Zusatzversicherungen VVG der Privatversicherer</t>
  </si>
  <si>
    <t>Fussnoten T 9.06:</t>
  </si>
  <si>
    <t>1) Subventionen oder direkte Leistungen an das Gesundheitswesen (an die Leistungserbringer (Spitäler), an die</t>
  </si>
  <si>
    <t xml:space="preserve">   sozialmedizinischen Institutionen, an die Spitex- und Rettungsdienste) und die Öffentliche Gesundheit, Verwaltung und Prävention.</t>
  </si>
  <si>
    <t xml:space="preserve">   Quelle: Kosten des Gesundheitswesens [nach Direktzahlern], BFS. Schätzungen: KOF [Medienmitteilung 11/08].</t>
  </si>
  <si>
    <t>2) Leistungen/Zahlungen nur an das Gesundheitswesen.</t>
  </si>
  <si>
    <t xml:space="preserve">   Quelle: Kosten des Gesundheitswesens [aus der Sicht der sozialen Sicherheit], BFS. Schätzungen: BAG: Entwicklung gemäss jährl. Veränderung 2005-2006.</t>
  </si>
  <si>
    <t>3) Individuelle Sachleistungen und Subventionen an die IV-Institutionen; von der AHV bezahlte Hilfsmittel.</t>
  </si>
  <si>
    <t>4) Quelle: T 9.08.</t>
  </si>
  <si>
    <t>5) Ohne Prämien für Taggelder KVG oder VVG. Quelle: T 9.08.</t>
  </si>
  <si>
    <t>6) Ohne Prämien für Taggelder für Verdienstausfall nach VVG. Quelle: T 9.08.</t>
  </si>
  <si>
    <t>7) Quelle: Kosten des Gesundheitswesens [aus der Sicht der sozialen Sicherheit], BFS.</t>
  </si>
  <si>
    <t xml:space="preserve">     Schätzungen: BAG: Entwicklung gemäss jährl. Veränderung 1997-2006.</t>
  </si>
  <si>
    <t xml:space="preserve">8) Zahnpflege, Pensionskosten in Pflegeheimen, Spitexdienste und rezeptfreie Medikamente </t>
  </si>
  <si>
    <t xml:space="preserve">    ("over the counter") bilden die Hauptkosten zur vollen oder teilweisen Last der Haushalte.</t>
  </si>
  <si>
    <t xml:space="preserve">   Wert berechnet wie das Total der Kosten des Gesundheitswesens - Summe der anderen Positionen.</t>
  </si>
  <si>
    <t>9) Spenden und Legate an Organisationen ohne Erwerbszweck wie Pflegeheime für Betagte, Institutionen für Behinderte, Spitexorganisationen, Gesundheitsligen.</t>
  </si>
  <si>
    <t xml:space="preserve">     Quelle: Kosten des Gesundheitswesens [nach Direktzahlern], BFS. Schätzungen: KOF [Medienmitteilung 11/08].</t>
  </si>
  <si>
    <t>11) Quelle: T 9.08.</t>
  </si>
  <si>
    <t>12) Quelle: Kosten des Gesundheitswesens [nach Direktzahlern], BFS. Schätzungen: KOF [Medienmitteilung 11/08].</t>
  </si>
  <si>
    <t>13) Quelle: T 4.07 (Subventionsbudget nach Kürzungen).</t>
  </si>
  <si>
    <t>Fussnoten T 9.07:</t>
  </si>
  <si>
    <t xml:space="preserve">1) - 13) Vgl. Fussnoten von Tabelle 9.06. </t>
  </si>
  <si>
    <t>14) Ohne Prämienverbilligung KVG (in den Bruttoprämien der obligatorischen Krankenpflegeversicherung enthalten).</t>
  </si>
  <si>
    <t>15) Leistungen I der Krankenversicherer [T 9.08 a) ] + Kostenbeteiligung [T 9.08 f) ].</t>
  </si>
  <si>
    <t>16) Siehe T 9.08 : b) Übriger Aufwand und d) Verwaltungskosten (inkl. Prävention).</t>
  </si>
  <si>
    <t>Fussnoten T 9.08:</t>
  </si>
  <si>
    <t>1) Ohne Taggelder (für Verdienstausfall) KVG oder VVG.</t>
  </si>
  <si>
    <t>2) Quelle: T 1.02 [30-33] &amp; T 7.03 [30-33] ohne Taggeld VVG-Prämien oder T 9.18.</t>
  </si>
  <si>
    <t>3) = c) - a). Übriger Versicherungsaufwand gemäss Kosten des Gesundheitswesens, BFS. Schätzungen [BAG] : T 1.02 [34] / T 7.03 [34] / 0.</t>
  </si>
  <si>
    <t>4) = e) - d). Schätzungen [BAG] = a) + b).</t>
  </si>
  <si>
    <t>5) Verwaltungskosten (inkl. Prävention). Quelle: Kosten des Gesundheitswesens [nach Leistungserbringern und Direktzahlern, interne detaillierte Version BFS]. Schätzungen [BAG]: basierend auf dem 2005 festgestellten Verhältnis [d) / a)].</t>
  </si>
  <si>
    <t>6) Quelle: Kosten des Gesundheitswesens [nach Direktzahlern], BFS. Schätzungen [BAG] = c) + d).</t>
  </si>
  <si>
    <t>7) Quelle: T 1.02 [32]; T 7.03 [32], keine Informationen für Privatversicherer [0].</t>
  </si>
  <si>
    <t>8) = e) + f)</t>
  </si>
  <si>
    <t>9) Quelle: T 1.02 [60-65] (Bruttoprämien  inklusive Prämienverbilligung KVG) &amp; T 7.03 [60-65] ohne Taggeld VVG-Prämien oder T 9.18.</t>
  </si>
  <si>
    <t>10) = h) + f)</t>
  </si>
  <si>
    <t>11) Finanzierungssaldo: Differenz zwischen den Leistungen III der Versicherer an das Gesundheitswesen und den Prämieneinzahlungen der Haushalte.</t>
  </si>
  <si>
    <t xml:space="preserve">    Aus der Sicht des Finanzgleichgewichts handelt es sich um die Kapitaleinkommen, die ausserordentlichen Einkommen, die Gewinne und die Veränderungen von Reserven.</t>
  </si>
  <si>
    <t xml:space="preserve">    Ein positiver Saldo bedeutet grundsätzlich einen Abbau, ein negativer Saldo eine Erhöhung der Reserven. = e) - h) oder g) - i).</t>
  </si>
  <si>
    <r>
      <t xml:space="preserve">Krankenversicherung </t>
    </r>
    <r>
      <rPr>
        <b/>
        <i/>
        <vertAlign val="superscript"/>
        <sz val="10"/>
        <rFont val="Arial"/>
        <family val="2"/>
      </rPr>
      <t>1</t>
    </r>
  </si>
  <si>
    <r>
      <t xml:space="preserve">2007 </t>
    </r>
    <r>
      <rPr>
        <b/>
        <i/>
        <vertAlign val="superscript"/>
        <sz val="10"/>
        <rFont val="Arial"/>
        <family val="2"/>
      </rPr>
      <t>12</t>
    </r>
  </si>
  <si>
    <r>
      <t xml:space="preserve">  a) Leistungen der Krankenversicherer I </t>
    </r>
    <r>
      <rPr>
        <b/>
        <vertAlign val="superscript"/>
        <sz val="10"/>
        <rFont val="Arial"/>
        <family val="2"/>
      </rPr>
      <t>2</t>
    </r>
  </si>
  <si>
    <r>
      <t xml:space="preserve">  b) Übriger Aufwand </t>
    </r>
    <r>
      <rPr>
        <b/>
        <vertAlign val="superscript"/>
        <sz val="10"/>
        <rFont val="Arial"/>
        <family val="2"/>
      </rPr>
      <t>3</t>
    </r>
  </si>
  <si>
    <r>
      <t xml:space="preserve">  c) Leistungen II </t>
    </r>
    <r>
      <rPr>
        <b/>
        <vertAlign val="superscript"/>
        <sz val="10"/>
        <rFont val="Arial"/>
        <family val="2"/>
      </rPr>
      <t>4</t>
    </r>
  </si>
  <si>
    <r>
      <t xml:space="preserve">  d) Verwaltungskosten (inkl. Prävention)  </t>
    </r>
    <r>
      <rPr>
        <b/>
        <vertAlign val="superscript"/>
        <sz val="10"/>
        <rFont val="Arial"/>
        <family val="2"/>
      </rPr>
      <t>5</t>
    </r>
  </si>
  <si>
    <r>
      <t xml:space="preserve">  e) Leistungen III  </t>
    </r>
    <r>
      <rPr>
        <b/>
        <vertAlign val="superscript"/>
        <sz val="10"/>
        <rFont val="Arial"/>
        <family val="2"/>
      </rPr>
      <t>6</t>
    </r>
  </si>
  <si>
    <r>
      <t xml:space="preserve">  f) Kostenbeteiligung </t>
    </r>
    <r>
      <rPr>
        <b/>
        <vertAlign val="superscript"/>
        <sz val="10"/>
        <rFont val="Arial"/>
        <family val="2"/>
      </rPr>
      <t>7</t>
    </r>
  </si>
  <si>
    <r>
      <t xml:space="preserve">  g) Gesamtleistungen IV  </t>
    </r>
    <r>
      <rPr>
        <b/>
        <vertAlign val="superscript"/>
        <sz val="10"/>
        <rFont val="Arial"/>
        <family val="2"/>
      </rPr>
      <t>8</t>
    </r>
  </si>
  <si>
    <r>
      <t xml:space="preserve">  h) Prämien der Haushalte </t>
    </r>
    <r>
      <rPr>
        <b/>
        <vertAlign val="superscript"/>
        <sz val="10"/>
        <rFont val="Arial"/>
        <family val="2"/>
      </rPr>
      <t>9</t>
    </r>
  </si>
  <si>
    <r>
      <t xml:space="preserve">Obligatorische Krankenpflegeversicherung KVG </t>
    </r>
    <r>
      <rPr>
        <vertAlign val="superscript"/>
        <sz val="8"/>
        <rFont val="Arial"/>
        <family val="2"/>
      </rPr>
      <t>3</t>
    </r>
  </si>
  <si>
    <r>
      <t xml:space="preserve">  i) Gesamtbeitrag </t>
    </r>
    <r>
      <rPr>
        <b/>
        <vertAlign val="superscript"/>
        <sz val="10"/>
        <rFont val="Arial"/>
        <family val="2"/>
      </rPr>
      <t>10</t>
    </r>
  </si>
  <si>
    <r>
      <t xml:space="preserve">j) Finanzierungssaldo </t>
    </r>
    <r>
      <rPr>
        <b/>
        <vertAlign val="superscript"/>
        <sz val="10"/>
        <rFont val="Arial"/>
        <family val="2"/>
      </rPr>
      <t>11</t>
    </r>
  </si>
  <si>
    <r>
      <t xml:space="preserve">10) NettoPrämien der Haushalte = Bruttoprämien obligatorische Krankenpflegeversicherung (T 9.08 </t>
    </r>
    <r>
      <rPr>
        <vertAlign val="superscript"/>
        <sz val="10"/>
        <rFont val="Arial"/>
        <family val="2"/>
      </rPr>
      <t>h</t>
    </r>
    <r>
      <rPr>
        <sz val="10"/>
        <rFont val="Arial"/>
        <family val="2"/>
      </rPr>
      <t xml:space="preserve"> ) - Prämienverbilligung KVG an Versicherte (T 9.06 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 ).</t>
    </r>
  </si>
  <si>
    <r>
      <t xml:space="preserve">14)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KOF &amp; BAG].</t>
    </r>
  </si>
  <si>
    <r>
      <t>15) Neue BFS-Berechnungsmethode im 2008 -&gt; vom BFS revidierte Werte für 1996-&gt;2006 [</t>
    </r>
    <r>
      <rPr>
        <vertAlign val="superscript"/>
        <sz val="10"/>
        <rFont val="Arial"/>
        <family val="2"/>
      </rPr>
      <t>1, 2, 7, 8, 9, 12</t>
    </r>
    <r>
      <rPr>
        <sz val="10"/>
        <rFont val="Arial"/>
        <family val="2"/>
      </rPr>
      <t>].</t>
    </r>
  </si>
  <si>
    <r>
      <t xml:space="preserve">17)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[KOF &amp; BAG].</t>
    </r>
  </si>
  <si>
    <r>
      <t>18) Neue BFS-Berechnungsmethode im 2008 -&gt; vom BFS revidierte Werte für 1996-&gt;2006  [</t>
    </r>
    <r>
      <rPr>
        <vertAlign val="superscript"/>
        <sz val="10"/>
        <rFont val="Arial"/>
        <family val="2"/>
      </rPr>
      <t>1, 2, 8, 9, 12</t>
    </r>
    <r>
      <rPr>
        <sz val="10"/>
        <rFont val="Arial"/>
        <family val="2"/>
      </rPr>
      <t>].</t>
    </r>
  </si>
  <si>
    <r>
      <t xml:space="preserve">12)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[BAG].</t>
    </r>
  </si>
  <si>
    <t>2005-2006</t>
  </si>
  <si>
    <t>1997-2006</t>
  </si>
  <si>
    <t>unvollständig (136 / 140 T.)</t>
  </si>
  <si>
    <t>Schätzung 1</t>
  </si>
  <si>
    <t>Abweichung S1</t>
  </si>
  <si>
    <t>Schätzung 2</t>
  </si>
  <si>
    <t>Spitäler (ambulant)</t>
  </si>
  <si>
    <t>Medikamente (Ärzte)</t>
  </si>
  <si>
    <t>Medikamente (Apotheken)</t>
  </si>
  <si>
    <t>Laboratorien</t>
  </si>
  <si>
    <t>Spitäler (stationär)</t>
  </si>
  <si>
    <t>Alters- und Pflegeheime</t>
  </si>
  <si>
    <t>Bemerkungen:</t>
  </si>
  <si>
    <t>- 1-11: publizierte Werte aus den Formularen EF123</t>
  </si>
  <si>
    <t xml:space="preserve">  Beispiel: Schätzung von 2006 für 2006 / Schätzung von 2007 für 2007</t>
  </si>
  <si>
    <t xml:space="preserve">  Beispiel: Schätzung von 2006 für 2007 / Schätzung von 2007 für 2008</t>
  </si>
  <si>
    <t xml:space="preserve">Im Allgemeinen ist die Schätzung 1 genauer als die (eher grobe) Schätzung 2. </t>
  </si>
  <si>
    <t>Es ist lediglich die Abweichung zwischen der Schätzung 1 und dem in der STAT KV publizierten Wert (Abweichung S1 in %) aufgeführt.</t>
  </si>
  <si>
    <r>
      <t xml:space="preserve">- Zur Genauigkeit der geschätzten Werte </t>
    </r>
    <r>
      <rPr>
        <u/>
        <sz val="8"/>
        <rFont val="Arial"/>
        <family val="2"/>
      </rPr>
      <t>pro versicherte Person</t>
    </r>
    <r>
      <rPr>
        <sz val="8"/>
        <rFont val="Arial"/>
        <family val="2"/>
      </rPr>
      <t>: Sie berechnen sich nach dem gleichen Grundsatz wie auf der vorangehenden Seite erklärt.</t>
    </r>
  </si>
  <si>
    <t>Beilage J1</t>
  </si>
  <si>
    <t>Schätzungen aus dem Prämiengenehmigungsverfahren: Hauptwerte [in Mio. Fr. ausser Versicherte in Tausend Fr.]</t>
  </si>
  <si>
    <t>Nettoleistungen</t>
  </si>
  <si>
    <t>Kostenbeteiligung</t>
  </si>
  <si>
    <t>Verwaltungskosten</t>
  </si>
  <si>
    <t>Provisionen</t>
  </si>
  <si>
    <t>Bruttoleistungen</t>
  </si>
  <si>
    <t>- 1-8: in der STAT KV publizierte Werte [T 1.01 &amp; 1.02] aus den Formularen EF123</t>
  </si>
  <si>
    <t xml:space="preserve">   der Bevölkerung und der geschätzten Bevölkerung in % zum bzw. vom ebenfalls absoluten, für jede Kategorie aufgeführten Wert nach </t>
  </si>
  <si>
    <t xml:space="preserve">   folgendem Schema addiert oder subtrahiert werden:</t>
  </si>
  <si>
    <t xml:space="preserve">   Das Zeichen der Genauigkeit pro versicherte Person richtet sich nach folgendem Schema:</t>
  </si>
  <si>
    <t>Abweichung geschätzte Bevölkerung - Bevölkerung in %</t>
  </si>
  <si>
    <t>+</t>
  </si>
  <si>
    <t xml:space="preserve">Abweichung geschätzter Wert [2-8] - Wert [2-8] in %   </t>
  </si>
  <si>
    <t>Zeichen der Genauigkeit pro versicherte Person: + oder - %</t>
  </si>
  <si>
    <t xml:space="preserve">   Beispiel: Reserven pro versicherte Person im Jahr 2004 mit der Schätzung 1: -0.2% + 0.52% = Abweichung pro versicherte Person von + 0.72%</t>
  </si>
  <si>
    <r>
      <t xml:space="preserve">- Zur Genauigkeit der geschätzten Werte </t>
    </r>
    <r>
      <rPr>
        <b/>
        <sz val="8"/>
        <rFont val="Arial"/>
        <family val="2"/>
      </rPr>
      <t>pro versicherte Person</t>
    </r>
    <r>
      <rPr>
        <sz val="8"/>
        <rFont val="Arial"/>
        <family val="2"/>
      </rPr>
      <t>: Sie berechnen sich, indem der absolute Wert der Abweichung zwischen</t>
    </r>
  </si>
  <si>
    <t>KVG-Verteilmodell 2007</t>
  </si>
  <si>
    <t>2006/2007</t>
  </si>
  <si>
    <t>1) Schätzung des mittleren Versichertenbestandes (ausgenommen Spalte Total) aufgrund der Aufteilung der Versicherten per 31.12 in T 11.05</t>
  </si>
  <si>
    <r>
      <t xml:space="preserve">Alle Versicherte </t>
    </r>
    <r>
      <rPr>
        <b/>
        <vertAlign val="superscript"/>
        <sz val="11"/>
        <rFont val="Arial"/>
        <family val="2"/>
      </rPr>
      <t>1</t>
    </r>
  </si>
  <si>
    <t>3.10.08: 3.01-&gt;3.04, 3.09, 3.11, 3.12</t>
  </si>
  <si>
    <t>T 2.01  Kostenbeteiligung der Versicherten in Mio. Franken nach Versicherungsform ab 1997</t>
  </si>
  <si>
    <t>Quelle: T 1.03; 1.04; 1.05; 1.06 [32]</t>
  </si>
  <si>
    <t>Quelle: T 2.01 / T 11.01 &amp; T 11.05</t>
  </si>
  <si>
    <t>Zusätzliche Angaben : nach Altersgruppe</t>
  </si>
  <si>
    <t>2) Schätzung des mittleren Versichertenbestandes (ausgenommen Spalte Total) aufgrund der Aufteilung der Versicherten per 31.12 in T 11.05</t>
  </si>
  <si>
    <r>
      <t xml:space="preserve">T 2.02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je versicherte Person in Franken nach Versicherungsform ab 1997</t>
    </r>
  </si>
  <si>
    <r>
      <t xml:space="preserve">Alle Versicherte </t>
    </r>
    <r>
      <rPr>
        <b/>
        <vertAlign val="superscript"/>
        <sz val="11"/>
        <rFont val="Arial"/>
        <family val="2"/>
      </rPr>
      <t>2</t>
    </r>
  </si>
  <si>
    <t xml:space="preserve">T 2.22  Leistungen (brutto) in Franken nach Versicherungsform </t>
  </si>
  <si>
    <t>Quelle: Formular EF3 [T 3.5]</t>
  </si>
  <si>
    <t>T 2.23 Leistungen (brutto) in Franken je versicherte Person nach Versicherungsform</t>
  </si>
  <si>
    <t>Quelle: T 2.22 / T 11.06 &amp; T 11.01</t>
  </si>
  <si>
    <t>1) Schätzung des mittleren Versichertenbestandes (ausgenommen Zeile Total)</t>
  </si>
  <si>
    <t xml:space="preserve">    aufgrund der Aufteilung der Versicherten per 31.12 in T 11.06</t>
  </si>
  <si>
    <r>
      <t xml:space="preserve">Versicherungsform </t>
    </r>
    <r>
      <rPr>
        <vertAlign val="superscript"/>
        <sz val="11"/>
        <rFont val="Arial"/>
        <family val="2"/>
      </rPr>
      <t>1</t>
    </r>
  </si>
  <si>
    <t>T 2.14  Leistungen (brutto) in Mio. Franken nach Versicherungsform ab 1997</t>
  </si>
  <si>
    <t>Quelle: T 2.22</t>
  </si>
  <si>
    <t>T 2.15  Leistungen (brutto) in Franken je versicherte Person nach Versicherungsform ab 1997</t>
  </si>
  <si>
    <t>Quelle: T 2.23</t>
  </si>
  <si>
    <t xml:space="preserve">Quelle: T 2.02 &amp; T 2.21 ; DATENPOOL santésuisse [Auswertung BAG ; Abdeckungsgrad der Erhebung  : siehe Beilage I ] </t>
  </si>
  <si>
    <r>
      <t>Alle Versicherte</t>
    </r>
    <r>
      <rPr>
        <b/>
        <vertAlign val="superscript"/>
        <sz val="11"/>
        <rFont val="Arial"/>
        <family val="2"/>
      </rPr>
      <t xml:space="preserve"> 1</t>
    </r>
  </si>
  <si>
    <t>Quelle: T 2.20 / T 11.01 &amp; T 11.05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</si>
</sst>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"/>
    <numFmt numFmtId="183" formatCode="#,##0.0"/>
    <numFmt numFmtId="184" formatCode="0.0%"/>
  </numFmts>
  <fonts count="111">
    <font>
      <sz val="10"/>
      <name val="55 Helvetica Roman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22"/>
      <name val="Arial"/>
      <family val="2"/>
    </font>
    <font>
      <b/>
      <i/>
      <sz val="18"/>
      <name val="Arial"/>
      <family val="2"/>
    </font>
    <font>
      <b/>
      <sz val="10"/>
      <name val="Arial"/>
      <family val="2"/>
    </font>
    <font>
      <i/>
      <sz val="12"/>
      <name val="55 Helvetica Roman"/>
    </font>
    <font>
      <sz val="12"/>
      <name val="55 Helvetica Roman"/>
    </font>
    <font>
      <b/>
      <sz val="10"/>
      <color indexed="9"/>
      <name val="55 Helvetica Roman"/>
    </font>
    <font>
      <b/>
      <sz val="20"/>
      <name val="55 Helvetica Roman"/>
    </font>
    <font>
      <b/>
      <sz val="10"/>
      <name val="55 Helvetica Roman"/>
    </font>
    <font>
      <b/>
      <sz val="12"/>
      <color indexed="10"/>
      <name val="55 Helvetica Roman"/>
    </font>
    <font>
      <i/>
      <sz val="11"/>
      <name val="55 Helvetica Roman"/>
    </font>
    <font>
      <sz val="12"/>
      <color indexed="8"/>
      <name val="Arial"/>
      <family val="2"/>
    </font>
    <font>
      <b/>
      <sz val="14"/>
      <name val="55 Helvetica Roman"/>
    </font>
    <font>
      <sz val="9"/>
      <name val="Arial"/>
      <family val="2"/>
    </font>
    <font>
      <b/>
      <i/>
      <sz val="24"/>
      <name val="Logo BAG"/>
      <family val="1"/>
    </font>
    <font>
      <b/>
      <i/>
      <sz val="12"/>
      <name val="55 Helvetica Roman"/>
    </font>
    <font>
      <b/>
      <sz val="11"/>
      <color indexed="9"/>
      <name val="55 Helvetica Roman"/>
    </font>
    <font>
      <b/>
      <sz val="12"/>
      <name val="55 Helvetica Roman"/>
    </font>
    <font>
      <sz val="8"/>
      <name val="Arial"/>
      <family val="2"/>
    </font>
    <font>
      <sz val="9"/>
      <name val="Geneva"/>
      <family val="2"/>
    </font>
    <font>
      <i/>
      <sz val="10"/>
      <name val="55 Helvetica Roman"/>
    </font>
    <font>
      <i/>
      <sz val="10"/>
      <name val="Arial"/>
      <family val="2"/>
    </font>
    <font>
      <sz val="10"/>
      <color indexed="10"/>
      <name val="55 Helvetica Roman"/>
    </font>
    <font>
      <b/>
      <sz val="9"/>
      <name val="55 Helvetica Roman"/>
    </font>
    <font>
      <sz val="9"/>
      <name val="55 Helvetica Roman"/>
    </font>
    <font>
      <sz val="10"/>
      <name val="Arial"/>
      <family val="2"/>
    </font>
    <font>
      <sz val="11"/>
      <name val="55 Helvetica Roman"/>
    </font>
    <font>
      <b/>
      <sz val="8"/>
      <name val="Arial"/>
      <family val="2"/>
    </font>
    <font>
      <sz val="10"/>
      <color indexed="42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sz val="12"/>
      <color indexed="12"/>
      <name val="Arial"/>
      <family val="2"/>
    </font>
    <font>
      <sz val="10"/>
      <name val="55 Helvetica Roman"/>
    </font>
    <font>
      <b/>
      <sz val="9"/>
      <name val="Arial"/>
      <family val="2"/>
    </font>
    <font>
      <b/>
      <sz val="11"/>
      <color indexed="42"/>
      <name val="Arial"/>
      <family val="2"/>
    </font>
    <font>
      <sz val="11"/>
      <color indexed="42"/>
      <name val="Arial"/>
      <family val="2"/>
    </font>
    <font>
      <sz val="6"/>
      <name val="Arial"/>
      <family val="2"/>
    </font>
    <font>
      <b/>
      <sz val="11"/>
      <name val="55 Helvetica Roman"/>
    </font>
    <font>
      <sz val="11"/>
      <color indexed="10"/>
      <name val="55 Helvetica Roman"/>
    </font>
    <font>
      <vertAlign val="superscript"/>
      <sz val="10"/>
      <name val="Arial"/>
      <family val="2"/>
    </font>
    <font>
      <sz val="9"/>
      <name val="Arial"/>
      <family val="2"/>
    </font>
    <font>
      <b/>
      <vertAlign val="superscript"/>
      <sz val="12"/>
      <name val="Arial"/>
      <family val="2"/>
    </font>
    <font>
      <i/>
      <sz val="11"/>
      <name val="Arial"/>
      <family val="2"/>
    </font>
    <font>
      <b/>
      <sz val="11"/>
      <color indexed="10"/>
      <name val="Arial"/>
      <family val="2"/>
    </font>
    <font>
      <vertAlign val="superscript"/>
      <sz val="11"/>
      <name val="Arial"/>
      <family val="2"/>
    </font>
    <font>
      <b/>
      <i/>
      <sz val="11"/>
      <name val="Arial"/>
      <family val="2"/>
    </font>
    <font>
      <i/>
      <vertAlign val="superscript"/>
      <sz val="11"/>
      <name val="Arial"/>
      <family val="2"/>
    </font>
    <font>
      <i/>
      <sz val="9"/>
      <name val="Arial"/>
      <family val="2"/>
    </font>
    <font>
      <i/>
      <sz val="12"/>
      <name val="Arial"/>
      <family val="2"/>
    </font>
    <font>
      <b/>
      <vertAlign val="superscript"/>
      <sz val="11"/>
      <name val="Arial"/>
      <family val="2"/>
    </font>
    <font>
      <b/>
      <sz val="14"/>
      <name val="Arial"/>
      <family val="2"/>
    </font>
    <font>
      <b/>
      <vertAlign val="superscript"/>
      <sz val="12"/>
      <name val="55 Helvetica Roman"/>
    </font>
    <font>
      <u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i/>
      <u/>
      <sz val="11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9"/>
      <name val="Arial"/>
      <family val="2"/>
    </font>
    <font>
      <sz val="8"/>
      <name val="55 Helvetica Roman"/>
    </font>
    <font>
      <b/>
      <i/>
      <sz val="1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i/>
      <sz val="8"/>
      <color indexed="10"/>
      <name val="Arial"/>
      <family val="2"/>
    </font>
    <font>
      <b/>
      <i/>
      <sz val="8"/>
      <color indexed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u/>
      <sz val="8"/>
      <name val="Arial"/>
      <family val="2"/>
    </font>
    <font>
      <i/>
      <sz val="9"/>
      <color indexed="10"/>
      <name val="Arial"/>
      <family val="2"/>
    </font>
    <font>
      <b/>
      <sz val="10"/>
      <name val="Arial"/>
      <family val="2"/>
    </font>
    <font>
      <sz val="9"/>
      <color indexed="4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9"/>
      <color indexed="10"/>
      <name val="Arial"/>
      <family val="2"/>
    </font>
    <font>
      <b/>
      <i/>
      <vertAlign val="superscript"/>
      <sz val="11"/>
      <name val="Arial"/>
      <family val="2"/>
    </font>
    <font>
      <sz val="9"/>
      <color indexed="10"/>
      <name val="Arial"/>
      <family val="2"/>
    </font>
    <font>
      <i/>
      <sz val="10"/>
      <color indexed="10"/>
      <name val="Arial"/>
      <family val="2"/>
    </font>
    <font>
      <sz val="10"/>
      <color indexed="9"/>
      <name val="Arial"/>
      <family val="2"/>
    </font>
    <font>
      <sz val="10"/>
      <name val="Tms Rmn"/>
    </font>
    <font>
      <sz val="8"/>
      <name val="Tms Rmn"/>
    </font>
    <font>
      <b/>
      <sz val="10"/>
      <name val="Tms Rmn"/>
    </font>
    <font>
      <b/>
      <i/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8"/>
      <color indexed="10"/>
      <name val="Arial"/>
      <family val="2"/>
    </font>
    <font>
      <b/>
      <vertAlign val="superscript"/>
      <sz val="8"/>
      <name val="Arial"/>
      <family val="2"/>
    </font>
    <font>
      <i/>
      <vertAlign val="superscript"/>
      <sz val="10"/>
      <name val="Arial"/>
      <family val="2"/>
    </font>
    <font>
      <b/>
      <vertAlign val="superscript"/>
      <sz val="9"/>
      <name val="Arial"/>
      <family val="2"/>
    </font>
    <font>
      <sz val="9"/>
      <name val="Tms Rmn"/>
    </font>
    <font>
      <b/>
      <sz val="12"/>
      <name val="Times New Roman"/>
      <family val="1"/>
    </font>
    <font>
      <vertAlign val="superscript"/>
      <sz val="8"/>
      <name val="Arial"/>
      <family val="2"/>
    </font>
    <font>
      <b/>
      <u/>
      <sz val="10"/>
      <name val="Arial"/>
      <family val="2"/>
    </font>
    <font>
      <b/>
      <sz val="10"/>
      <color indexed="56"/>
      <name val="Arial"/>
      <family val="2"/>
    </font>
    <font>
      <i/>
      <sz val="11"/>
      <color indexed="10"/>
      <name val="Arial"/>
      <family val="2"/>
    </font>
    <font>
      <i/>
      <vertAlign val="superscript"/>
      <sz val="11"/>
      <color indexed="10"/>
      <name val="Arial"/>
      <family val="2"/>
    </font>
    <font>
      <i/>
      <sz val="11"/>
      <color indexed="9"/>
      <name val="Arial"/>
      <family val="2"/>
    </font>
    <font>
      <i/>
      <sz val="10"/>
      <color indexed="9"/>
      <name val="Arial"/>
      <family val="2"/>
    </font>
    <font>
      <b/>
      <sz val="12"/>
      <color indexed="56"/>
      <name val="Arial"/>
      <family val="2"/>
    </font>
    <font>
      <i/>
      <sz val="9"/>
      <color indexed="56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10"/>
      <name val="Arial"/>
      <family val="2"/>
    </font>
    <font>
      <b/>
      <sz val="12"/>
      <color indexed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lightGray">
        <fgColor indexed="22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9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9"/>
      </bottom>
      <diagonal/>
    </border>
    <border>
      <left style="thin">
        <color indexed="64"/>
      </left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/>
      <top style="medium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9"/>
      </bottom>
      <diagonal/>
    </border>
    <border>
      <left style="medium">
        <color indexed="64"/>
      </left>
      <right/>
      <top style="medium">
        <color indexed="9"/>
      </top>
      <bottom style="medium">
        <color indexed="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9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9"/>
      </bottom>
      <diagonal/>
    </border>
    <border>
      <left style="medium">
        <color indexed="64"/>
      </left>
      <right/>
      <top style="thin">
        <color indexed="8"/>
      </top>
      <bottom style="medium">
        <color indexed="9"/>
      </bottom>
      <diagonal/>
    </border>
    <border>
      <left/>
      <right style="medium">
        <color indexed="64"/>
      </right>
      <top style="medium">
        <color indexed="9"/>
      </top>
      <bottom style="medium">
        <color indexed="9"/>
      </bottom>
      <diagonal/>
    </border>
    <border>
      <left/>
      <right style="medium">
        <color indexed="64"/>
      </right>
      <top style="thin">
        <color indexed="8"/>
      </top>
      <bottom style="medium">
        <color indexed="9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/>
      <top style="medium">
        <color indexed="9"/>
      </top>
      <bottom style="medium">
        <color indexed="64"/>
      </bottom>
      <diagonal/>
    </border>
    <border>
      <left style="medium">
        <color indexed="64"/>
      </left>
      <right/>
      <top style="medium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1">
    <xf numFmtId="0" fontId="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87" fillId="0" borderId="0"/>
    <xf numFmtId="0" fontId="87" fillId="0" borderId="0"/>
    <xf numFmtId="0" fontId="87" fillId="0" borderId="0"/>
    <xf numFmtId="0" fontId="30" fillId="0" borderId="0"/>
  </cellStyleXfs>
  <cellXfs count="1831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Border="1"/>
    <xf numFmtId="0" fontId="4" fillId="0" borderId="0" xfId="0" applyFont="1" applyFill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4" fillId="0" borderId="0" xfId="0" applyNumberFormat="1" applyFont="1"/>
    <xf numFmtId="3" fontId="3" fillId="0" borderId="0" xfId="0" applyNumberFormat="1" applyFont="1" applyBorder="1" applyAlignment="1">
      <alignment horizontal="right"/>
    </xf>
    <xf numFmtId="0" fontId="12" fillId="2" borderId="0" xfId="0" applyFont="1" applyFill="1"/>
    <xf numFmtId="0" fontId="0" fillId="2" borderId="0" xfId="0" applyFill="1"/>
    <xf numFmtId="0" fontId="4" fillId="2" borderId="0" xfId="0" applyFont="1" applyFill="1"/>
    <xf numFmtId="0" fontId="10" fillId="0" borderId="0" xfId="0" applyFont="1"/>
    <xf numFmtId="2" fontId="2" fillId="0" borderId="0" xfId="0" applyNumberFormat="1" applyFont="1"/>
    <xf numFmtId="2" fontId="10" fillId="0" borderId="0" xfId="0" applyNumberFormat="1" applyFont="1"/>
    <xf numFmtId="0" fontId="4" fillId="3" borderId="0" xfId="0" applyFont="1" applyFill="1"/>
    <xf numFmtId="0" fontId="2" fillId="0" borderId="0" xfId="0" applyFont="1"/>
    <xf numFmtId="0" fontId="11" fillId="4" borderId="0" xfId="0" applyFont="1" applyFill="1"/>
    <xf numFmtId="0" fontId="5" fillId="4" borderId="0" xfId="0" applyFont="1" applyFill="1"/>
    <xf numFmtId="0" fontId="19" fillId="0" borderId="0" xfId="0" applyFont="1"/>
    <xf numFmtId="0" fontId="4" fillId="5" borderId="0" xfId="0" applyFont="1" applyFill="1"/>
    <xf numFmtId="0" fontId="14" fillId="0" borderId="0" xfId="0" applyFont="1" applyFill="1"/>
    <xf numFmtId="14" fontId="4" fillId="5" borderId="0" xfId="0" applyNumberFormat="1" applyFont="1" applyFill="1"/>
    <xf numFmtId="0" fontId="0" fillId="0" borderId="0" xfId="0" applyFill="1"/>
    <xf numFmtId="9" fontId="26" fillId="0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left"/>
    </xf>
    <xf numFmtId="0" fontId="12" fillId="0" borderId="0" xfId="0" applyFont="1" applyFill="1"/>
    <xf numFmtId="0" fontId="13" fillId="0" borderId="0" xfId="0" applyFont="1" applyFill="1"/>
    <xf numFmtId="0" fontId="28" fillId="2" borderId="0" xfId="0" applyFont="1" applyFill="1"/>
    <xf numFmtId="0" fontId="29" fillId="2" borderId="0" xfId="0" applyFont="1" applyFill="1"/>
    <xf numFmtId="0" fontId="18" fillId="2" borderId="0" xfId="0" applyFont="1" applyFill="1"/>
    <xf numFmtId="14" fontId="4" fillId="0" borderId="0" xfId="0" applyNumberFormat="1" applyFont="1" applyFill="1"/>
    <xf numFmtId="2" fontId="4" fillId="0" borderId="0" xfId="0" applyNumberFormat="1" applyFont="1" applyFill="1" applyAlignment="1">
      <alignment horizontal="left"/>
    </xf>
    <xf numFmtId="0" fontId="4" fillId="0" borderId="1" xfId="0" applyFont="1" applyBorder="1"/>
    <xf numFmtId="0" fontId="22" fillId="0" borderId="0" xfId="0" applyFont="1" applyFill="1"/>
    <xf numFmtId="0" fontId="29" fillId="0" borderId="0" xfId="0" applyFont="1" applyFill="1"/>
    <xf numFmtId="0" fontId="18" fillId="0" borderId="0" xfId="0" applyFont="1" applyFill="1"/>
    <xf numFmtId="0" fontId="25" fillId="0" borderId="0" xfId="0" applyFont="1" applyFill="1"/>
    <xf numFmtId="0" fontId="37" fillId="0" borderId="0" xfId="0" applyFont="1"/>
    <xf numFmtId="0" fontId="40" fillId="2" borderId="0" xfId="0" applyFont="1" applyFill="1"/>
    <xf numFmtId="0" fontId="33" fillId="2" borderId="0" xfId="0" applyFont="1" applyFill="1"/>
    <xf numFmtId="0" fontId="41" fillId="2" borderId="0" xfId="0" applyFont="1" applyFill="1"/>
    <xf numFmtId="0" fontId="13" fillId="2" borderId="0" xfId="0" applyFont="1" applyFill="1"/>
    <xf numFmtId="14" fontId="29" fillId="2" borderId="0" xfId="0" applyNumberFormat="1" applyFont="1" applyFill="1"/>
    <xf numFmtId="0" fontId="39" fillId="2" borderId="0" xfId="0" applyFont="1" applyFill="1"/>
    <xf numFmtId="0" fontId="39" fillId="0" borderId="0" xfId="0" applyFont="1" applyFill="1"/>
    <xf numFmtId="0" fontId="43" fillId="5" borderId="0" xfId="0" applyFont="1" applyFill="1"/>
    <xf numFmtId="0" fontId="2" fillId="0" borderId="0" xfId="7" applyFont="1"/>
    <xf numFmtId="0" fontId="30" fillId="0" borderId="0" xfId="7"/>
    <xf numFmtId="0" fontId="4" fillId="0" borderId="0" xfId="7" applyFont="1"/>
    <xf numFmtId="0" fontId="23" fillId="0" borderId="0" xfId="7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3" fontId="1" fillId="0" borderId="0" xfId="0" applyNumberFormat="1" applyFont="1" applyFill="1"/>
    <xf numFmtId="0" fontId="1" fillId="0" borderId="0" xfId="0" applyNumberFormat="1" applyFont="1" applyFill="1"/>
    <xf numFmtId="0" fontId="2" fillId="0" borderId="0" xfId="0" applyFont="1" applyBorder="1" applyAlignment="1">
      <alignment vertical="top"/>
    </xf>
    <xf numFmtId="0" fontId="2" fillId="0" borderId="0" xfId="0" applyFont="1" applyFill="1"/>
    <xf numFmtId="0" fontId="4" fillId="3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3" fontId="4" fillId="6" borderId="2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3" fontId="4" fillId="6" borderId="0" xfId="0" applyNumberFormat="1" applyFont="1" applyFill="1" applyBorder="1" applyAlignment="1">
      <alignment horizontal="center"/>
    </xf>
    <xf numFmtId="3" fontId="4" fillId="3" borderId="0" xfId="0" applyNumberFormat="1" applyFont="1" applyFill="1" applyBorder="1" applyAlignment="1">
      <alignment horizontal="center"/>
    </xf>
    <xf numFmtId="0" fontId="4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3" fontId="4" fillId="6" borderId="3" xfId="0" applyNumberFormat="1" applyFont="1" applyFill="1" applyBorder="1" applyAlignment="1">
      <alignment horizontal="center" vertical="top"/>
    </xf>
    <xf numFmtId="3" fontId="4" fillId="3" borderId="3" xfId="0" applyNumberFormat="1" applyFont="1" applyFill="1" applyBorder="1" applyAlignment="1">
      <alignment horizontal="center" vertical="top"/>
    </xf>
    <xf numFmtId="0" fontId="4" fillId="3" borderId="3" xfId="0" applyNumberFormat="1" applyFont="1" applyFill="1" applyBorder="1" applyAlignment="1">
      <alignment horizontal="center" vertical="top"/>
    </xf>
    <xf numFmtId="1" fontId="4" fillId="3" borderId="4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left" vertical="center"/>
    </xf>
    <xf numFmtId="14" fontId="4" fillId="6" borderId="4" xfId="0" quotePrefix="1" applyNumberFormat="1" applyFont="1" applyFill="1" applyBorder="1" applyAlignment="1">
      <alignment horizontal="center" vertical="center"/>
    </xf>
    <xf numFmtId="183" fontId="4" fillId="3" borderId="4" xfId="0" applyNumberFormat="1" applyFont="1" applyFill="1" applyBorder="1" applyAlignment="1">
      <alignment horizontal="center" vertical="center" wrapText="1"/>
    </xf>
    <xf numFmtId="183" fontId="4" fillId="6" borderId="4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183" fontId="4" fillId="3" borderId="4" xfId="0" applyNumberFormat="1" applyFont="1" applyFill="1" applyBorder="1" applyAlignment="1">
      <alignment horizontal="left" vertical="center" wrapText="1"/>
    </xf>
    <xf numFmtId="1" fontId="4" fillId="3" borderId="4" xfId="0" applyNumberFormat="1" applyFont="1" applyFill="1" applyBorder="1" applyAlignment="1">
      <alignment horizontal="left" vertical="center" wrapText="1"/>
    </xf>
    <xf numFmtId="183" fontId="4" fillId="3" borderId="4" xfId="0" applyNumberFormat="1" applyFont="1" applyFill="1" applyBorder="1" applyAlignment="1">
      <alignment vertical="center" wrapText="1"/>
    </xf>
    <xf numFmtId="0" fontId="8" fillId="0" borderId="0" xfId="0" applyNumberFormat="1" applyFont="1" applyAlignment="1">
      <alignment horizontal="center"/>
    </xf>
    <xf numFmtId="14" fontId="4" fillId="6" borderId="4" xfId="0" applyNumberFormat="1" applyFont="1" applyFill="1" applyBorder="1" applyAlignment="1">
      <alignment horizontal="center" vertical="center"/>
    </xf>
    <xf numFmtId="0" fontId="8" fillId="3" borderId="5" xfId="0" applyNumberFormat="1" applyFont="1" applyFill="1" applyBorder="1" applyAlignment="1">
      <alignment horizontal="center" vertical="center"/>
    </xf>
    <xf numFmtId="0" fontId="8" fillId="3" borderId="5" xfId="0" applyNumberFormat="1" applyFont="1" applyFill="1" applyBorder="1" applyAlignment="1">
      <alignment horizontal="left" vertical="center"/>
    </xf>
    <xf numFmtId="0" fontId="8" fillId="6" borderId="5" xfId="0" applyNumberFormat="1" applyFont="1" applyFill="1" applyBorder="1" applyAlignment="1">
      <alignment horizontal="center" vertical="center"/>
    </xf>
    <xf numFmtId="0" fontId="8" fillId="6" borderId="5" xfId="0" quotePrefix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NumberFormat="1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/>
    <xf numFmtId="1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3" applyFont="1"/>
    <xf numFmtId="0" fontId="30" fillId="0" borderId="0" xfId="3"/>
    <xf numFmtId="2" fontId="46" fillId="0" borderId="0" xfId="3" applyNumberFormat="1" applyFont="1"/>
    <xf numFmtId="0" fontId="46" fillId="0" borderId="0" xfId="3" applyFont="1"/>
    <xf numFmtId="0" fontId="46" fillId="0" borderId="0" xfId="3" applyFont="1" applyAlignment="1"/>
    <xf numFmtId="0" fontId="4" fillId="0" borderId="0" xfId="3" applyFont="1" applyAlignment="1"/>
    <xf numFmtId="0" fontId="23" fillId="0" borderId="0" xfId="3" applyFont="1"/>
    <xf numFmtId="0" fontId="2" fillId="0" borderId="0" xfId="0" applyFont="1" applyAlignment="1">
      <alignment vertical="top"/>
    </xf>
    <xf numFmtId="0" fontId="3" fillId="3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6" borderId="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right" vertical="top"/>
    </xf>
    <xf numFmtId="0" fontId="3" fillId="6" borderId="3" xfId="0" applyFont="1" applyFill="1" applyBorder="1" applyAlignment="1">
      <alignment horizontal="right" vertical="top"/>
    </xf>
    <xf numFmtId="0" fontId="3" fillId="0" borderId="0" xfId="0" applyFont="1"/>
    <xf numFmtId="0" fontId="3" fillId="3" borderId="6" xfId="0" applyFont="1" applyFill="1" applyBorder="1" applyAlignment="1">
      <alignment horizontal="left"/>
    </xf>
    <xf numFmtId="3" fontId="3" fillId="6" borderId="6" xfId="0" applyNumberFormat="1" applyFont="1" applyFill="1" applyBorder="1"/>
    <xf numFmtId="3" fontId="3" fillId="3" borderId="6" xfId="0" applyNumberFormat="1" applyFont="1" applyFill="1" applyBorder="1"/>
    <xf numFmtId="184" fontId="3" fillId="6" borderId="6" xfId="0" applyNumberFormat="1" applyFont="1" applyFill="1" applyBorder="1" applyAlignment="1">
      <alignment horizontal="center"/>
    </xf>
    <xf numFmtId="3" fontId="3" fillId="0" borderId="0" xfId="0" applyNumberFormat="1" applyFont="1"/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3" fontId="5" fillId="6" borderId="6" xfId="0" applyNumberFormat="1" applyFont="1" applyFill="1" applyBorder="1" applyAlignment="1">
      <alignment vertical="center"/>
    </xf>
    <xf numFmtId="3" fontId="5" fillId="3" borderId="6" xfId="0" applyNumberFormat="1" applyFont="1" applyFill="1" applyBorder="1" applyAlignment="1">
      <alignment vertical="center"/>
    </xf>
    <xf numFmtId="184" fontId="5" fillId="6" borderId="6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7" borderId="0" xfId="0" applyFont="1" applyFill="1" applyAlignment="1">
      <alignment horizontal="right" vertical="top"/>
    </xf>
    <xf numFmtId="3" fontId="3" fillId="6" borderId="2" xfId="0" applyNumberFormat="1" applyFont="1" applyFill="1" applyBorder="1" applyAlignment="1">
      <alignment horizontal="right"/>
    </xf>
    <xf numFmtId="3" fontId="3" fillId="6" borderId="0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right" vertical="top"/>
    </xf>
    <xf numFmtId="3" fontId="3" fillId="6" borderId="4" xfId="0" applyNumberFormat="1" applyFont="1" applyFill="1" applyBorder="1" applyAlignment="1">
      <alignment horizontal="right"/>
    </xf>
    <xf numFmtId="184" fontId="3" fillId="3" borderId="4" xfId="0" applyNumberFormat="1" applyFont="1" applyFill="1" applyBorder="1" applyAlignment="1">
      <alignment horizontal="right"/>
    </xf>
    <xf numFmtId="3" fontId="3" fillId="6" borderId="7" xfId="0" applyNumberFormat="1" applyFont="1" applyFill="1" applyBorder="1" applyAlignment="1">
      <alignment horizontal="right"/>
    </xf>
    <xf numFmtId="184" fontId="3" fillId="3" borderId="7" xfId="0" applyNumberFormat="1" applyFont="1" applyFill="1" applyBorder="1" applyAlignment="1">
      <alignment horizontal="right"/>
    </xf>
    <xf numFmtId="3" fontId="5" fillId="6" borderId="7" xfId="0" applyNumberFormat="1" applyFont="1" applyFill="1" applyBorder="1" applyAlignment="1">
      <alignment horizontal="right" vertical="center"/>
    </xf>
    <xf numFmtId="184" fontId="5" fillId="3" borderId="7" xfId="0" applyNumberFormat="1" applyFont="1" applyFill="1" applyBorder="1" applyAlignment="1">
      <alignment horizontal="right" vertical="center"/>
    </xf>
    <xf numFmtId="0" fontId="8" fillId="0" borderId="0" xfId="0" applyFont="1"/>
    <xf numFmtId="1" fontId="8" fillId="0" borderId="0" xfId="0" applyNumberFormat="1" applyFont="1"/>
    <xf numFmtId="3" fontId="4" fillId="0" borderId="8" xfId="0" applyNumberFormat="1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7" borderId="0" xfId="0" applyFont="1" applyFill="1" applyBorder="1" applyProtection="1"/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7" borderId="0" xfId="0" applyFont="1" applyFill="1" applyAlignment="1">
      <alignment vertical="center"/>
    </xf>
    <xf numFmtId="0" fontId="2" fillId="0" borderId="0" xfId="4" applyFont="1"/>
    <xf numFmtId="0" fontId="30" fillId="0" borderId="0" xfId="4"/>
    <xf numFmtId="0" fontId="18" fillId="0" borderId="0" xfId="4" applyFont="1" applyAlignment="1"/>
    <xf numFmtId="0" fontId="18" fillId="0" borderId="0" xfId="4" applyFont="1"/>
    <xf numFmtId="0" fontId="30" fillId="0" borderId="0" xfId="4" applyAlignment="1"/>
    <xf numFmtId="2" fontId="18" fillId="0" borderId="0" xfId="4" quotePrefix="1" applyNumberFormat="1" applyFont="1"/>
    <xf numFmtId="0" fontId="18" fillId="0" borderId="0" xfId="4" quotePrefix="1" applyFont="1" applyAlignment="1">
      <alignment horizontal="right"/>
    </xf>
    <xf numFmtId="0" fontId="23" fillId="0" borderId="0" xfId="4" applyFont="1"/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84" fontId="3" fillId="3" borderId="6" xfId="0" applyNumberFormat="1" applyFont="1" applyFill="1" applyBorder="1" applyAlignment="1">
      <alignment horizontal="center"/>
    </xf>
    <xf numFmtId="184" fontId="5" fillId="3" borderId="6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3" fillId="6" borderId="4" xfId="0" applyNumberFormat="1" applyFont="1" applyFill="1" applyBorder="1"/>
    <xf numFmtId="3" fontId="3" fillId="3" borderId="4" xfId="0" applyNumberFormat="1" applyFont="1" applyFill="1" applyBorder="1"/>
    <xf numFmtId="3" fontId="3" fillId="6" borderId="7" xfId="0" applyNumberFormat="1" applyFont="1" applyFill="1" applyBorder="1"/>
    <xf numFmtId="3" fontId="3" fillId="3" borderId="7" xfId="0" applyNumberFormat="1" applyFont="1" applyFill="1" applyBorder="1"/>
    <xf numFmtId="3" fontId="5" fillId="6" borderId="7" xfId="0" applyNumberFormat="1" applyFont="1" applyFill="1" applyBorder="1" applyAlignment="1">
      <alignment vertical="center"/>
    </xf>
    <xf numFmtId="3" fontId="5" fillId="3" borderId="7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top"/>
    </xf>
    <xf numFmtId="0" fontId="2" fillId="0" borderId="0" xfId="2" applyFont="1"/>
    <xf numFmtId="0" fontId="30" fillId="0" borderId="0" xfId="2"/>
    <xf numFmtId="0" fontId="18" fillId="0" borderId="0" xfId="2" quotePrefix="1" applyFont="1" applyAlignment="1"/>
    <xf numFmtId="0" fontId="18" fillId="0" borderId="0" xfId="2" applyFont="1" applyAlignment="1"/>
    <xf numFmtId="0" fontId="30" fillId="0" borderId="0" xfId="2" applyAlignment="1"/>
    <xf numFmtId="2" fontId="18" fillId="0" borderId="0" xfId="2" quotePrefix="1" applyNumberFormat="1" applyFont="1"/>
    <xf numFmtId="0" fontId="18" fillId="0" borderId="0" xfId="2" applyFont="1"/>
    <xf numFmtId="0" fontId="23" fillId="0" borderId="0" xfId="2" applyFont="1"/>
    <xf numFmtId="0" fontId="2" fillId="0" borderId="0" xfId="6" applyFont="1"/>
    <xf numFmtId="0" fontId="30" fillId="0" borderId="0" xfId="6"/>
    <xf numFmtId="0" fontId="18" fillId="0" borderId="0" xfId="6" applyFont="1" applyAlignment="1"/>
    <xf numFmtId="2" fontId="30" fillId="0" borderId="0" xfId="6" applyNumberFormat="1"/>
    <xf numFmtId="0" fontId="18" fillId="0" borderId="0" xfId="6" applyFont="1"/>
    <xf numFmtId="0" fontId="23" fillId="0" borderId="0" xfId="6" applyFont="1"/>
    <xf numFmtId="0" fontId="2" fillId="0" borderId="0" xfId="1" applyFont="1"/>
    <xf numFmtId="0" fontId="30" fillId="0" borderId="0" xfId="1"/>
    <xf numFmtId="2" fontId="46" fillId="0" borderId="0" xfId="1" applyNumberFormat="1" applyFont="1"/>
    <xf numFmtId="0" fontId="46" fillId="0" borderId="0" xfId="1" applyFont="1"/>
    <xf numFmtId="0" fontId="46" fillId="0" borderId="0" xfId="1" applyFont="1" applyAlignment="1"/>
    <xf numFmtId="0" fontId="4" fillId="0" borderId="0" xfId="1" quotePrefix="1" applyFont="1" applyAlignment="1">
      <alignment horizontal="right"/>
    </xf>
    <xf numFmtId="0" fontId="4" fillId="0" borderId="0" xfId="1" applyFont="1" applyAlignment="1"/>
    <xf numFmtId="0" fontId="23" fillId="0" borderId="0" xfId="1" applyFont="1"/>
    <xf numFmtId="0" fontId="2" fillId="0" borderId="0" xfId="10" applyFont="1"/>
    <xf numFmtId="0" fontId="30" fillId="0" borderId="0" xfId="10"/>
    <xf numFmtId="2" fontId="18" fillId="0" borderId="0" xfId="10" applyNumberFormat="1" applyFont="1"/>
    <xf numFmtId="0" fontId="18" fillId="0" borderId="0" xfId="10" applyFont="1" applyAlignment="1"/>
    <xf numFmtId="0" fontId="46" fillId="0" borderId="0" xfId="10" applyFont="1"/>
    <xf numFmtId="0" fontId="18" fillId="0" borderId="0" xfId="10" applyFont="1"/>
    <xf numFmtId="0" fontId="2" fillId="0" borderId="0" xfId="5" applyFont="1"/>
    <xf numFmtId="0" fontId="30" fillId="0" borderId="0" xfId="5"/>
    <xf numFmtId="0" fontId="18" fillId="0" borderId="0" xfId="5" applyFont="1"/>
    <xf numFmtId="0" fontId="18" fillId="0" borderId="0" xfId="5" applyFont="1" applyAlignment="1"/>
    <xf numFmtId="0" fontId="18" fillId="0" borderId="0" xfId="5" quotePrefix="1" applyFont="1" applyAlignment="1">
      <alignment horizontal="right"/>
    </xf>
    <xf numFmtId="0" fontId="23" fillId="0" borderId="0" xfId="5" applyFont="1"/>
    <xf numFmtId="0" fontId="22" fillId="0" borderId="0" xfId="8" applyFont="1"/>
    <xf numFmtId="0" fontId="30" fillId="0" borderId="0" xfId="8"/>
    <xf numFmtId="0" fontId="2" fillId="0" borderId="0" xfId="8" applyFont="1"/>
    <xf numFmtId="0" fontId="4" fillId="0" borderId="0" xfId="8" applyFont="1" applyAlignment="1"/>
    <xf numFmtId="0" fontId="18" fillId="0" borderId="0" xfId="8" applyFont="1"/>
    <xf numFmtId="0" fontId="22" fillId="0" borderId="0" xfId="9" applyFont="1"/>
    <xf numFmtId="0" fontId="30" fillId="0" borderId="0" xfId="9"/>
    <xf numFmtId="0" fontId="2" fillId="0" borderId="0" xfId="9" applyFont="1"/>
    <xf numFmtId="0" fontId="4" fillId="0" borderId="0" xfId="9" applyFont="1"/>
    <xf numFmtId="0" fontId="4" fillId="0" borderId="0" xfId="9" applyFont="1" applyAlignment="1"/>
    <xf numFmtId="0" fontId="18" fillId="0" borderId="0" xfId="9" applyFont="1"/>
    <xf numFmtId="0" fontId="22" fillId="0" borderId="0" xfId="11" applyFont="1"/>
    <xf numFmtId="0" fontId="30" fillId="0" borderId="0" xfId="11"/>
    <xf numFmtId="0" fontId="2" fillId="0" borderId="0" xfId="11" applyFont="1"/>
    <xf numFmtId="2" fontId="46" fillId="0" borderId="0" xfId="11" applyNumberFormat="1" applyFont="1"/>
    <xf numFmtId="0" fontId="46" fillId="0" borderId="0" xfId="11" applyFont="1" applyAlignment="1"/>
    <xf numFmtId="0" fontId="46" fillId="0" borderId="0" xfId="11" applyFont="1"/>
    <xf numFmtId="0" fontId="23" fillId="0" borderId="0" xfId="11" applyFont="1"/>
    <xf numFmtId="0" fontId="18" fillId="0" borderId="0" xfId="11" applyFont="1" applyAlignment="1"/>
    <xf numFmtId="0" fontId="26" fillId="0" borderId="0" xfId="0" applyFont="1"/>
    <xf numFmtId="0" fontId="38" fillId="0" borderId="0" xfId="0" applyFont="1" applyFill="1"/>
    <xf numFmtId="0" fontId="27" fillId="0" borderId="0" xfId="0" applyFont="1" applyFill="1"/>
    <xf numFmtId="2" fontId="23" fillId="0" borderId="0" xfId="0" applyNumberFormat="1" applyFont="1" applyFill="1" applyAlignment="1">
      <alignment horizontal="left"/>
    </xf>
    <xf numFmtId="0" fontId="4" fillId="0" borderId="0" xfId="12" applyFont="1" applyAlignment="1">
      <alignment horizontal="right"/>
    </xf>
    <xf numFmtId="0" fontId="31" fillId="0" borderId="0" xfId="12" applyFont="1"/>
    <xf numFmtId="0" fontId="2" fillId="0" borderId="0" xfId="13" applyFont="1" applyAlignment="1">
      <alignment horizontal="left"/>
    </xf>
    <xf numFmtId="0" fontId="30" fillId="0" borderId="0" xfId="13"/>
    <xf numFmtId="0" fontId="32" fillId="5" borderId="0" xfId="13" applyFont="1" applyFill="1" applyAlignment="1">
      <alignment horizontal="center" wrapText="1" shrinkToFit="1"/>
    </xf>
    <xf numFmtId="0" fontId="35" fillId="0" borderId="0" xfId="13" applyFont="1" applyAlignment="1">
      <alignment horizontal="center"/>
    </xf>
    <xf numFmtId="0" fontId="35" fillId="0" borderId="0" xfId="13" applyFont="1"/>
    <xf numFmtId="0" fontId="34" fillId="0" borderId="0" xfId="13" applyFont="1" applyAlignment="1">
      <alignment horizontal="center"/>
    </xf>
    <xf numFmtId="0" fontId="36" fillId="0" borderId="0" xfId="13" applyFont="1" applyFill="1" applyAlignment="1">
      <alignment horizontal="center"/>
    </xf>
    <xf numFmtId="0" fontId="36" fillId="0" borderId="0" xfId="13" applyFont="1" applyAlignment="1">
      <alignment horizontal="center"/>
    </xf>
    <xf numFmtId="0" fontId="32" fillId="0" borderId="0" xfId="13" applyFont="1" applyFill="1" applyAlignment="1">
      <alignment horizontal="left" wrapText="1" shrinkToFit="1"/>
    </xf>
    <xf numFmtId="0" fontId="23" fillId="0" borderId="0" xfId="13" applyFont="1"/>
    <xf numFmtId="0" fontId="35" fillId="0" borderId="3" xfId="13" applyFont="1" applyBorder="1"/>
    <xf numFmtId="0" fontId="34" fillId="0" borderId="3" xfId="13" applyFont="1" applyBorder="1" applyAlignment="1">
      <alignment horizontal="center" wrapText="1" shrinkToFit="1"/>
    </xf>
    <xf numFmtId="2" fontId="35" fillId="0" borderId="3" xfId="13" applyNumberFormat="1" applyFont="1" applyFill="1" applyBorder="1" applyAlignment="1">
      <alignment horizontal="center"/>
    </xf>
    <xf numFmtId="2" fontId="35" fillId="0" borderId="3" xfId="13" applyNumberFormat="1" applyFont="1" applyBorder="1" applyAlignment="1">
      <alignment horizontal="center"/>
    </xf>
    <xf numFmtId="0" fontId="35" fillId="0" borderId="3" xfId="13" quotePrefix="1" applyFont="1" applyBorder="1" applyAlignment="1">
      <alignment horizontal="center"/>
    </xf>
    <xf numFmtId="0" fontId="35" fillId="0" borderId="3" xfId="13" applyFont="1" applyBorder="1" applyAlignment="1">
      <alignment horizontal="center"/>
    </xf>
    <xf numFmtId="2" fontId="35" fillId="0" borderId="9" xfId="13" applyNumberFormat="1" applyFont="1" applyFill="1" applyBorder="1" applyAlignment="1">
      <alignment horizontal="center"/>
    </xf>
    <xf numFmtId="2" fontId="35" fillId="0" borderId="9" xfId="13" applyNumberFormat="1" applyFont="1" applyBorder="1" applyAlignment="1">
      <alignment horizontal="center"/>
    </xf>
    <xf numFmtId="0" fontId="35" fillId="0" borderId="9" xfId="13" applyFont="1" applyBorder="1" applyAlignment="1">
      <alignment horizontal="center"/>
    </xf>
    <xf numFmtId="0" fontId="35" fillId="0" borderId="9" xfId="13" quotePrefix="1" applyFont="1" applyFill="1" applyBorder="1" applyAlignment="1">
      <alignment horizontal="center"/>
    </xf>
    <xf numFmtId="0" fontId="35" fillId="0" borderId="9" xfId="13" applyFont="1" applyFill="1" applyBorder="1" applyAlignment="1">
      <alignment horizontal="center"/>
    </xf>
    <xf numFmtId="0" fontId="35" fillId="0" borderId="9" xfId="13" quotePrefix="1" applyFont="1" applyBorder="1" applyAlignment="1">
      <alignment horizontal="center"/>
    </xf>
    <xf numFmtId="2" fontId="35" fillId="0" borderId="9" xfId="13" quotePrefix="1" applyNumberFormat="1" applyFont="1" applyFill="1" applyBorder="1" applyAlignment="1">
      <alignment horizontal="center"/>
    </xf>
    <xf numFmtId="2" fontId="35" fillId="0" borderId="2" xfId="13" applyNumberFormat="1" applyFont="1" applyFill="1" applyBorder="1" applyAlignment="1">
      <alignment horizontal="center"/>
    </xf>
    <xf numFmtId="0" fontId="35" fillId="0" borderId="3" xfId="13" applyFont="1" applyFill="1" applyBorder="1" applyAlignment="1">
      <alignment horizontal="center"/>
    </xf>
    <xf numFmtId="2" fontId="35" fillId="0" borderId="9" xfId="13" quotePrefix="1" applyNumberFormat="1" applyFont="1" applyBorder="1" applyAlignment="1">
      <alignment horizontal="center"/>
    </xf>
    <xf numFmtId="2" fontId="35" fillId="0" borderId="0" xfId="13" applyNumberFormat="1" applyFont="1" applyFill="1" applyAlignment="1">
      <alignment horizontal="center"/>
    </xf>
    <xf numFmtId="0" fontId="35" fillId="0" borderId="3" xfId="13" quotePrefix="1" applyFont="1" applyFill="1" applyBorder="1" applyAlignment="1">
      <alignment horizontal="center"/>
    </xf>
    <xf numFmtId="0" fontId="42" fillId="0" borderId="0" xfId="13" applyFont="1" applyFill="1" applyAlignment="1">
      <alignment horizontal="center"/>
    </xf>
    <xf numFmtId="0" fontId="35" fillId="0" borderId="0" xfId="13" applyFont="1" applyFill="1"/>
    <xf numFmtId="0" fontId="35" fillId="0" borderId="0" xfId="13" applyFont="1" applyFill="1" applyAlignment="1">
      <alignment horizontal="center"/>
    </xf>
    <xf numFmtId="0" fontId="8" fillId="0" borderId="0" xfId="0" applyFont="1" applyFill="1"/>
    <xf numFmtId="0" fontId="49" fillId="2" borderId="0" xfId="0" applyFont="1" applyFill="1"/>
    <xf numFmtId="0" fontId="30" fillId="0" borderId="0" xfId="3" applyFont="1"/>
    <xf numFmtId="0" fontId="26" fillId="0" borderId="1" xfId="0" applyFont="1" applyBorder="1"/>
    <xf numFmtId="0" fontId="23" fillId="0" borderId="0" xfId="10" applyFont="1" applyFill="1" applyBorder="1"/>
    <xf numFmtId="3" fontId="1" fillId="0" borderId="0" xfId="0" applyNumberFormat="1" applyFont="1"/>
    <xf numFmtId="0" fontId="2" fillId="0" borderId="0" xfId="0" applyFont="1" applyAlignment="1">
      <alignment horizontal="right" vertical="top"/>
    </xf>
    <xf numFmtId="3" fontId="3" fillId="3" borderId="2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center"/>
    </xf>
    <xf numFmtId="3" fontId="3" fillId="6" borderId="0" xfId="0" applyNumberFormat="1" applyFont="1" applyFill="1" applyBorder="1" applyAlignment="1">
      <alignment horizontal="center"/>
    </xf>
    <xf numFmtId="3" fontId="3" fillId="3" borderId="0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center" vertical="top"/>
    </xf>
    <xf numFmtId="3" fontId="3" fillId="3" borderId="3" xfId="0" applyNumberFormat="1" applyFont="1" applyFill="1" applyBorder="1" applyAlignment="1">
      <alignment horizontal="center" vertical="top"/>
    </xf>
    <xf numFmtId="3" fontId="3" fillId="3" borderId="3" xfId="0" applyNumberFormat="1" applyFont="1" applyFill="1" applyBorder="1" applyAlignment="1">
      <alignment horizontal="right" vertical="top"/>
    </xf>
    <xf numFmtId="3" fontId="5" fillId="6" borderId="4" xfId="0" applyNumberFormat="1" applyFont="1" applyFill="1" applyBorder="1" applyAlignment="1">
      <alignment vertical="center"/>
    </xf>
    <xf numFmtId="3" fontId="5" fillId="3" borderId="4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4" fillId="0" borderId="8" xfId="0" applyNumberFormat="1" applyFont="1" applyBorder="1"/>
    <xf numFmtId="3" fontId="4" fillId="0" borderId="0" xfId="0" applyNumberFormat="1" applyFont="1" applyBorder="1"/>
    <xf numFmtId="0" fontId="4" fillId="0" borderId="0" xfId="0" applyFont="1" applyBorder="1" applyAlignment="1">
      <alignment vertical="top"/>
    </xf>
    <xf numFmtId="0" fontId="8" fillId="0" borderId="0" xfId="0" applyFont="1" applyAlignment="1">
      <alignment horizontal="center"/>
    </xf>
    <xf numFmtId="3" fontId="3" fillId="3" borderId="4" xfId="0" applyNumberFormat="1" applyFont="1" applyFill="1" applyBorder="1" applyAlignment="1">
      <alignment horizontal="right"/>
    </xf>
    <xf numFmtId="3" fontId="5" fillId="6" borderId="4" xfId="0" applyNumberFormat="1" applyFont="1" applyFill="1" applyBorder="1" applyAlignment="1">
      <alignment horizontal="right" vertical="center"/>
    </xf>
    <xf numFmtId="3" fontId="5" fillId="3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2" fontId="4" fillId="0" borderId="0" xfId="0" applyNumberFormat="1" applyFont="1"/>
    <xf numFmtId="3" fontId="3" fillId="3" borderId="7" xfId="0" applyNumberFormat="1" applyFont="1" applyFill="1" applyBorder="1" applyAlignment="1">
      <alignment horizontal="right"/>
    </xf>
    <xf numFmtId="3" fontId="5" fillId="3" borderId="7" xfId="0" applyNumberFormat="1" applyFont="1" applyFill="1" applyBorder="1" applyAlignment="1">
      <alignment horizontal="right" vertical="center"/>
    </xf>
    <xf numFmtId="0" fontId="0" fillId="0" borderId="0" xfId="0" applyBorder="1"/>
    <xf numFmtId="0" fontId="4" fillId="0" borderId="0" xfId="0" applyFont="1" applyFill="1" applyBorder="1"/>
    <xf numFmtId="3" fontId="4" fillId="0" borderId="0" xfId="0" applyNumberFormat="1" applyFont="1" applyFill="1" applyBorder="1" applyAlignment="1">
      <alignment horizontal="right"/>
    </xf>
    <xf numFmtId="0" fontId="1" fillId="0" borderId="0" xfId="0" applyFont="1" applyAlignment="1">
      <alignment vertical="center"/>
    </xf>
    <xf numFmtId="0" fontId="3" fillId="6" borderId="10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right"/>
    </xf>
    <xf numFmtId="0" fontId="3" fillId="6" borderId="10" xfId="0" applyFont="1" applyFill="1" applyBorder="1" applyAlignment="1">
      <alignment horizontal="right"/>
    </xf>
    <xf numFmtId="0" fontId="3" fillId="6" borderId="9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/>
    </xf>
    <xf numFmtId="0" fontId="3" fillId="3" borderId="4" xfId="0" quotePrefix="1" applyFont="1" applyFill="1" applyBorder="1" applyAlignment="1">
      <alignment horizontal="left"/>
    </xf>
    <xf numFmtId="183" fontId="3" fillId="3" borderId="4" xfId="0" applyNumberFormat="1" applyFont="1" applyFill="1" applyBorder="1" applyAlignment="1">
      <alignment horizontal="right"/>
    </xf>
    <xf numFmtId="0" fontId="3" fillId="3" borderId="7" xfId="0" quotePrefix="1" applyFont="1" applyFill="1" applyBorder="1" applyAlignment="1">
      <alignment horizontal="left"/>
    </xf>
    <xf numFmtId="0" fontId="5" fillId="3" borderId="7" xfId="0" quotePrefix="1" applyFont="1" applyFill="1" applyBorder="1" applyAlignment="1">
      <alignment horizontal="left"/>
    </xf>
    <xf numFmtId="3" fontId="5" fillId="6" borderId="7" xfId="0" applyNumberFormat="1" applyFont="1" applyFill="1" applyBorder="1" applyAlignment="1">
      <alignment horizontal="right"/>
    </xf>
    <xf numFmtId="184" fontId="5" fillId="3" borderId="7" xfId="0" applyNumberFormat="1" applyFont="1" applyFill="1" applyBorder="1" applyAlignment="1">
      <alignment horizontal="right"/>
    </xf>
    <xf numFmtId="3" fontId="5" fillId="6" borderId="7" xfId="0" applyNumberFormat="1" applyFont="1" applyFill="1" applyBorder="1"/>
    <xf numFmtId="0" fontId="31" fillId="8" borderId="0" xfId="0" applyFont="1" applyFill="1" applyAlignment="1">
      <alignment horizontal="left"/>
    </xf>
    <xf numFmtId="2" fontId="15" fillId="8" borderId="0" xfId="0" applyNumberFormat="1" applyFont="1" applyFill="1" applyAlignment="1">
      <alignment horizontal="center"/>
    </xf>
    <xf numFmtId="0" fontId="16" fillId="8" borderId="0" xfId="0" applyFont="1" applyFill="1" applyAlignment="1"/>
    <xf numFmtId="0" fontId="4" fillId="8" borderId="0" xfId="0" applyFont="1" applyFill="1"/>
    <xf numFmtId="0" fontId="2" fillId="0" borderId="0" xfId="0" applyFont="1" applyFill="1" applyAlignment="1">
      <alignment horizontal="right" vertical="top"/>
    </xf>
    <xf numFmtId="0" fontId="0" fillId="3" borderId="2" xfId="0" applyFill="1" applyBorder="1" applyAlignment="1">
      <alignment horizontal="right"/>
    </xf>
    <xf numFmtId="3" fontId="4" fillId="6" borderId="0" xfId="0" applyNumberFormat="1" applyFont="1" applyFill="1" applyBorder="1" applyAlignment="1">
      <alignment horizontal="right"/>
    </xf>
    <xf numFmtId="182" fontId="3" fillId="3" borderId="6" xfId="0" applyNumberFormat="1" applyFont="1" applyFill="1" applyBorder="1" applyAlignment="1">
      <alignment horizontal="left"/>
    </xf>
    <xf numFmtId="184" fontId="3" fillId="3" borderId="6" xfId="0" applyNumberFormat="1" applyFont="1" applyFill="1" applyBorder="1"/>
    <xf numFmtId="3" fontId="3" fillId="6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182" fontId="3" fillId="3" borderId="7" xfId="0" applyNumberFormat="1" applyFont="1" applyFill="1" applyBorder="1" applyAlignment="1">
      <alignment horizontal="left"/>
    </xf>
    <xf numFmtId="182" fontId="5" fillId="3" borderId="0" xfId="0" applyNumberFormat="1" applyFont="1" applyFill="1" applyBorder="1" applyAlignment="1">
      <alignment horizontal="left" vertical="center"/>
    </xf>
    <xf numFmtId="184" fontId="5" fillId="3" borderId="6" xfId="0" applyNumberFormat="1" applyFont="1" applyFill="1" applyBorder="1" applyAlignment="1">
      <alignment vertical="center"/>
    </xf>
    <xf numFmtId="3" fontId="5" fillId="6" borderId="6" xfId="0" applyNumberFormat="1" applyFont="1" applyFill="1" applyBorder="1" applyAlignment="1">
      <alignment horizontal="right" vertical="center"/>
    </xf>
    <xf numFmtId="3" fontId="5" fillId="3" borderId="6" xfId="0" applyNumberFormat="1" applyFont="1" applyFill="1" applyBorder="1" applyAlignment="1">
      <alignment horizontal="right" vertical="center"/>
    </xf>
    <xf numFmtId="3" fontId="5" fillId="6" borderId="5" xfId="0" applyNumberFormat="1" applyFont="1" applyFill="1" applyBorder="1" applyAlignment="1">
      <alignment horizontal="right" vertical="center"/>
    </xf>
    <xf numFmtId="2" fontId="4" fillId="0" borderId="8" xfId="0" applyNumberFormat="1" applyFont="1" applyBorder="1"/>
    <xf numFmtId="3" fontId="3" fillId="0" borderId="8" xfId="0" applyNumberFormat="1" applyFont="1" applyBorder="1" applyAlignment="1">
      <alignment horizontal="right" vertical="top"/>
    </xf>
    <xf numFmtId="2" fontId="4" fillId="0" borderId="0" xfId="0" applyNumberFormat="1" applyFont="1" applyBorder="1"/>
    <xf numFmtId="3" fontId="3" fillId="0" borderId="0" xfId="0" applyNumberFormat="1" applyFont="1" applyBorder="1" applyAlignment="1">
      <alignment horizontal="right" vertical="top"/>
    </xf>
    <xf numFmtId="3" fontId="5" fillId="6" borderId="0" xfId="0" applyNumberFormat="1" applyFont="1" applyFill="1" applyBorder="1" applyAlignment="1">
      <alignment horizontal="right" vertical="center"/>
    </xf>
    <xf numFmtId="3" fontId="5" fillId="3" borderId="0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/>
    </xf>
    <xf numFmtId="3" fontId="5" fillId="3" borderId="0" xfId="0" applyNumberFormat="1" applyFont="1" applyFill="1" applyBorder="1" applyAlignment="1">
      <alignment horizontal="right"/>
    </xf>
    <xf numFmtId="3" fontId="5" fillId="3" borderId="3" xfId="0" applyNumberFormat="1" applyFont="1" applyFill="1" applyBorder="1" applyAlignment="1">
      <alignment horizontal="right" vertical="top"/>
    </xf>
    <xf numFmtId="3" fontId="5" fillId="3" borderId="6" xfId="0" applyNumberFormat="1" applyFont="1" applyFill="1" applyBorder="1"/>
    <xf numFmtId="3" fontId="5" fillId="3" borderId="7" xfId="0" applyNumberFormat="1" applyFont="1" applyFill="1" applyBorder="1"/>
    <xf numFmtId="3" fontId="5" fillId="3" borderId="7" xfId="0" applyNumberFormat="1" applyFont="1" applyFill="1" applyBorder="1" applyAlignment="1">
      <alignment horizontal="right"/>
    </xf>
    <xf numFmtId="3" fontId="5" fillId="3" borderId="0" xfId="0" applyNumberFormat="1" applyFont="1" applyFill="1" applyBorder="1" applyAlignment="1">
      <alignment vertical="center"/>
    </xf>
    <xf numFmtId="3" fontId="5" fillId="6" borderId="0" xfId="0" applyNumberFormat="1" applyFont="1" applyFill="1" applyBorder="1" applyAlignment="1">
      <alignment vertical="center"/>
    </xf>
    <xf numFmtId="0" fontId="4" fillId="7" borderId="0" xfId="0" applyFont="1" applyFill="1"/>
    <xf numFmtId="0" fontId="3" fillId="6" borderId="2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 vertical="top"/>
    </xf>
    <xf numFmtId="182" fontId="4" fillId="0" borderId="0" xfId="0" applyNumberFormat="1" applyFont="1"/>
    <xf numFmtId="0" fontId="0" fillId="0" borderId="3" xfId="0" applyBorder="1" applyAlignment="1">
      <alignment wrapText="1"/>
    </xf>
    <xf numFmtId="0" fontId="2" fillId="0" borderId="3" xfId="0" applyFont="1" applyBorder="1" applyAlignment="1">
      <alignment vertical="top"/>
    </xf>
    <xf numFmtId="0" fontId="0" fillId="0" borderId="3" xfId="0" applyBorder="1" applyAlignment="1"/>
    <xf numFmtId="0" fontId="3" fillId="3" borderId="6" xfId="0" quotePrefix="1" applyFont="1" applyFill="1" applyBorder="1" applyAlignment="1">
      <alignment horizontal="left"/>
    </xf>
    <xf numFmtId="3" fontId="5" fillId="3" borderId="6" xfId="0" applyNumberFormat="1" applyFont="1" applyFill="1" applyBorder="1" applyAlignment="1">
      <alignment horizontal="right"/>
    </xf>
    <xf numFmtId="184" fontId="3" fillId="6" borderId="6" xfId="0" applyNumberFormat="1" applyFont="1" applyFill="1" applyBorder="1" applyAlignment="1">
      <alignment horizontal="right"/>
    </xf>
    <xf numFmtId="0" fontId="3" fillId="3" borderId="5" xfId="0" quotePrefix="1" applyFont="1" applyFill="1" applyBorder="1" applyAlignment="1">
      <alignment horizontal="left" vertical="center"/>
    </xf>
    <xf numFmtId="3" fontId="3" fillId="6" borderId="5" xfId="0" applyNumberFormat="1" applyFont="1" applyFill="1" applyBorder="1" applyAlignment="1">
      <alignment horizontal="right" vertical="center"/>
    </xf>
    <xf numFmtId="3" fontId="3" fillId="3" borderId="5" xfId="0" applyNumberFormat="1" applyFont="1" applyFill="1" applyBorder="1" applyAlignment="1">
      <alignment horizontal="right" vertical="center"/>
    </xf>
    <xf numFmtId="3" fontId="5" fillId="3" borderId="5" xfId="0" applyNumberFormat="1" applyFont="1" applyFill="1" applyBorder="1" applyAlignment="1">
      <alignment horizontal="right" vertical="center"/>
    </xf>
    <xf numFmtId="184" fontId="3" fillId="6" borderId="5" xfId="0" applyNumberFormat="1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184" fontId="3" fillId="0" borderId="0" xfId="0" applyNumberFormat="1" applyFont="1" applyFill="1" applyBorder="1" applyAlignment="1">
      <alignment horizontal="right" vertical="center"/>
    </xf>
    <xf numFmtId="0" fontId="48" fillId="3" borderId="6" xfId="0" quotePrefix="1" applyFont="1" applyFill="1" applyBorder="1" applyAlignment="1">
      <alignment horizontal="left" vertical="center"/>
    </xf>
    <xf numFmtId="3" fontId="48" fillId="6" borderId="6" xfId="0" applyNumberFormat="1" applyFont="1" applyFill="1" applyBorder="1" applyAlignment="1">
      <alignment horizontal="right" vertical="center"/>
    </xf>
    <xf numFmtId="3" fontId="48" fillId="3" borderId="6" xfId="0" applyNumberFormat="1" applyFont="1" applyFill="1" applyBorder="1" applyAlignment="1">
      <alignment horizontal="right" vertical="center"/>
    </xf>
    <xf numFmtId="3" fontId="51" fillId="3" borderId="6" xfId="0" applyNumberFormat="1" applyFont="1" applyFill="1" applyBorder="1" applyAlignment="1">
      <alignment horizontal="right" vertical="center"/>
    </xf>
    <xf numFmtId="184" fontId="48" fillId="6" borderId="6" xfId="0" applyNumberFormat="1" applyFont="1" applyFill="1" applyBorder="1" applyAlignment="1">
      <alignment horizontal="right" vertical="center"/>
    </xf>
    <xf numFmtId="0" fontId="48" fillId="3" borderId="11" xfId="0" quotePrefix="1" applyFont="1" applyFill="1" applyBorder="1" applyAlignment="1">
      <alignment horizontal="left" vertical="center" wrapText="1"/>
    </xf>
    <xf numFmtId="3" fontId="48" fillId="6" borderId="11" xfId="0" applyNumberFormat="1" applyFont="1" applyFill="1" applyBorder="1" applyAlignment="1">
      <alignment horizontal="right" vertical="center"/>
    </xf>
    <xf numFmtId="3" fontId="48" fillId="3" borderId="11" xfId="0" applyNumberFormat="1" applyFont="1" applyFill="1" applyBorder="1" applyAlignment="1">
      <alignment horizontal="right" vertical="center"/>
    </xf>
    <xf numFmtId="3" fontId="51" fillId="3" borderId="11" xfId="0" applyNumberFormat="1" applyFont="1" applyFill="1" applyBorder="1" applyAlignment="1">
      <alignment horizontal="right" vertical="center"/>
    </xf>
    <xf numFmtId="184" fontId="48" fillId="6" borderId="11" xfId="0" applyNumberFormat="1" applyFont="1" applyFill="1" applyBorder="1" applyAlignment="1">
      <alignment horizontal="right" vertical="center"/>
    </xf>
    <xf numFmtId="3" fontId="5" fillId="0" borderId="8" xfId="0" applyNumberFormat="1" applyFont="1" applyBorder="1" applyAlignment="1">
      <alignment horizontal="right" vertical="top"/>
    </xf>
    <xf numFmtId="3" fontId="5" fillId="0" borderId="0" xfId="0" applyNumberFormat="1" applyFont="1" applyBorder="1" applyAlignment="1">
      <alignment horizontal="right" vertical="top"/>
    </xf>
    <xf numFmtId="0" fontId="4" fillId="7" borderId="0" xfId="0" applyFont="1" applyFill="1" applyBorder="1"/>
    <xf numFmtId="0" fontId="1" fillId="7" borderId="0" xfId="0" applyFont="1" applyFill="1"/>
    <xf numFmtId="184" fontId="1" fillId="7" borderId="0" xfId="0" applyNumberFormat="1" applyFont="1" applyFill="1"/>
    <xf numFmtId="0" fontId="23" fillId="0" borderId="0" xfId="0" applyFont="1" applyAlignment="1">
      <alignment horizontal="left" wrapText="1"/>
    </xf>
    <xf numFmtId="0" fontId="2" fillId="7" borderId="0" xfId="0" applyFont="1" applyFill="1" applyAlignment="1">
      <alignment vertical="top"/>
    </xf>
    <xf numFmtId="0" fontId="5" fillId="6" borderId="2" xfId="0" applyFont="1" applyFill="1" applyBorder="1" applyAlignment="1">
      <alignment horizontal="right"/>
    </xf>
    <xf numFmtId="184" fontId="3" fillId="3" borderId="2" xfId="0" applyNumberFormat="1" applyFont="1" applyFill="1" applyBorder="1" applyAlignment="1">
      <alignment horizontal="right"/>
    </xf>
    <xf numFmtId="0" fontId="5" fillId="6" borderId="0" xfId="0" applyFont="1" applyFill="1" applyBorder="1" applyAlignment="1">
      <alignment horizontal="right"/>
    </xf>
    <xf numFmtId="0" fontId="26" fillId="6" borderId="0" xfId="0" applyFont="1" applyFill="1" applyBorder="1" applyAlignment="1">
      <alignment horizontal="right"/>
    </xf>
    <xf numFmtId="184" fontId="26" fillId="3" borderId="0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right" vertical="top"/>
    </xf>
    <xf numFmtId="184" fontId="3" fillId="3" borderId="0" xfId="0" applyNumberFormat="1" applyFont="1" applyFill="1" applyBorder="1" applyAlignment="1">
      <alignment horizontal="right" vertical="top"/>
    </xf>
    <xf numFmtId="0" fontId="26" fillId="6" borderId="0" xfId="0" applyFont="1" applyFill="1" applyBorder="1" applyAlignment="1">
      <alignment horizontal="right" vertical="top"/>
    </xf>
    <xf numFmtId="184" fontId="26" fillId="3" borderId="0" xfId="0" applyNumberFormat="1" applyFont="1" applyFill="1" applyBorder="1" applyAlignment="1">
      <alignment horizontal="right" vertical="top"/>
    </xf>
    <xf numFmtId="184" fontId="3" fillId="3" borderId="3" xfId="0" applyNumberFormat="1" applyFont="1" applyFill="1" applyBorder="1" applyAlignment="1">
      <alignment horizontal="right" vertical="top"/>
    </xf>
    <xf numFmtId="0" fontId="5" fillId="3" borderId="0" xfId="0" quotePrefix="1" applyFont="1" applyFill="1" applyBorder="1" applyAlignment="1">
      <alignment horizontal="left" vertical="center"/>
    </xf>
    <xf numFmtId="184" fontId="5" fillId="3" borderId="12" xfId="0" applyNumberFormat="1" applyFont="1" applyFill="1" applyBorder="1" applyAlignment="1">
      <alignment horizontal="right" vertical="center"/>
    </xf>
    <xf numFmtId="3" fontId="5" fillId="3" borderId="12" xfId="0" applyNumberFormat="1" applyFont="1" applyFill="1" applyBorder="1" applyAlignment="1">
      <alignment horizontal="right" vertical="center"/>
    </xf>
    <xf numFmtId="3" fontId="5" fillId="6" borderId="12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3" fontId="3" fillId="0" borderId="0" xfId="0" applyNumberFormat="1" applyFont="1" applyFill="1" applyBorder="1" applyAlignment="1">
      <alignment horizontal="right" vertical="top"/>
    </xf>
    <xf numFmtId="184" fontId="3" fillId="0" borderId="0" xfId="0" applyNumberFormat="1" applyFont="1" applyFill="1" applyBorder="1" applyAlignment="1">
      <alignment horizontal="right" vertical="top"/>
    </xf>
    <xf numFmtId="0" fontId="18" fillId="3" borderId="5" xfId="0" applyFont="1" applyFill="1" applyBorder="1" applyAlignment="1">
      <alignment horizontal="left" vertical="center" wrapText="1"/>
    </xf>
    <xf numFmtId="184" fontId="3" fillId="6" borderId="11" xfId="0" applyNumberFormat="1" applyFont="1" applyFill="1" applyBorder="1" applyAlignment="1">
      <alignment horizontal="right" vertical="center"/>
    </xf>
    <xf numFmtId="184" fontId="3" fillId="3" borderId="5" xfId="0" applyNumberFormat="1" applyFont="1" applyFill="1" applyBorder="1" applyAlignment="1">
      <alignment horizontal="right" vertical="center"/>
    </xf>
    <xf numFmtId="3" fontId="3" fillId="0" borderId="3" xfId="0" applyNumberFormat="1" applyFont="1" applyFill="1" applyBorder="1" applyAlignment="1">
      <alignment horizontal="right" vertical="top"/>
    </xf>
    <xf numFmtId="0" fontId="26" fillId="6" borderId="0" xfId="0" applyFont="1" applyFill="1" applyBorder="1" applyAlignment="1">
      <alignment horizontal="right" vertical="center"/>
    </xf>
    <xf numFmtId="184" fontId="26" fillId="3" borderId="0" xfId="0" applyNumberFormat="1" applyFont="1" applyFill="1" applyBorder="1" applyAlignment="1">
      <alignment horizontal="right" vertical="center"/>
    </xf>
    <xf numFmtId="0" fontId="53" fillId="6" borderId="0" xfId="0" applyFont="1" applyFill="1" applyBorder="1" applyAlignment="1">
      <alignment horizontal="right" vertical="top"/>
    </xf>
    <xf numFmtId="184" fontId="53" fillId="3" borderId="0" xfId="0" applyNumberFormat="1" applyFont="1" applyFill="1" applyBorder="1" applyAlignment="1">
      <alignment horizontal="right" vertical="top"/>
    </xf>
    <xf numFmtId="0" fontId="38" fillId="0" borderId="0" xfId="0" applyFont="1"/>
    <xf numFmtId="184" fontId="4" fillId="0" borderId="0" xfId="0" applyNumberFormat="1" applyFont="1" applyFill="1"/>
    <xf numFmtId="184" fontId="4" fillId="0" borderId="0" xfId="0" applyNumberFormat="1" applyFont="1"/>
    <xf numFmtId="0" fontId="54" fillId="0" borderId="0" xfId="0" applyFont="1"/>
    <xf numFmtId="184" fontId="3" fillId="6" borderId="7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5" fillId="3" borderId="7" xfId="0" quotePrefix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6" fillId="7" borderId="0" xfId="0" applyFont="1" applyFill="1" applyAlignment="1">
      <alignment vertical="top"/>
    </xf>
    <xf numFmtId="0" fontId="18" fillId="7" borderId="0" xfId="0" applyFont="1" applyFill="1"/>
    <xf numFmtId="0" fontId="8" fillId="7" borderId="0" xfId="0" applyFont="1" applyFill="1"/>
    <xf numFmtId="0" fontId="56" fillId="7" borderId="3" xfId="0" applyFont="1" applyFill="1" applyBorder="1" applyAlignment="1">
      <alignment vertical="top"/>
    </xf>
    <xf numFmtId="0" fontId="18" fillId="7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8" fillId="7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4" fillId="0" borderId="3" xfId="0" applyFont="1" applyBorder="1"/>
    <xf numFmtId="0" fontId="32" fillId="6" borderId="0" xfId="0" applyFont="1" applyFill="1" applyBorder="1" applyAlignment="1">
      <alignment horizontal="center"/>
    </xf>
    <xf numFmtId="0" fontId="5" fillId="6" borderId="0" xfId="0" applyFont="1" applyFill="1" applyBorder="1"/>
    <xf numFmtId="0" fontId="5" fillId="3" borderId="0" xfId="0" applyFont="1" applyFill="1" applyBorder="1"/>
    <xf numFmtId="0" fontId="5" fillId="0" borderId="0" xfId="0" applyFont="1" applyFill="1" applyBorder="1" applyAlignment="1">
      <alignment horizontal="right"/>
    </xf>
    <xf numFmtId="0" fontId="18" fillId="6" borderId="0" xfId="0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 wrapText="1"/>
    </xf>
    <xf numFmtId="0" fontId="18" fillId="0" borderId="0" xfId="0" applyFont="1" applyFill="1" applyBorder="1" applyAlignment="1">
      <alignment horizontal="right" wrapText="1"/>
    </xf>
    <xf numFmtId="0" fontId="39" fillId="3" borderId="0" xfId="0" applyFont="1" applyFill="1" applyBorder="1"/>
    <xf numFmtId="0" fontId="5" fillId="0" borderId="0" xfId="0" applyFont="1" applyFill="1" applyBorder="1"/>
    <xf numFmtId="0" fontId="32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5" fillId="6" borderId="3" xfId="0" applyFont="1" applyFill="1" applyBorder="1" applyAlignment="1">
      <alignment horizontal="right" vertical="top"/>
    </xf>
    <xf numFmtId="0" fontId="5" fillId="3" borderId="3" xfId="0" applyFont="1" applyFill="1" applyBorder="1"/>
    <xf numFmtId="0" fontId="5" fillId="0" borderId="3" xfId="0" applyFont="1" applyFill="1" applyBorder="1" applyAlignment="1">
      <alignment horizontal="right" vertical="top"/>
    </xf>
    <xf numFmtId="0" fontId="5" fillId="6" borderId="3" xfId="0" applyFont="1" applyFill="1" applyBorder="1"/>
    <xf numFmtId="0" fontId="23" fillId="6" borderId="4" xfId="0" applyFont="1" applyFill="1" applyBorder="1" applyAlignment="1">
      <alignment horizontal="center"/>
    </xf>
    <xf numFmtId="0" fontId="3" fillId="6" borderId="4" xfId="0" applyFont="1" applyFill="1" applyBorder="1" applyAlignment="1"/>
    <xf numFmtId="3" fontId="3" fillId="3" borderId="4" xfId="0" applyNumberFormat="1" applyFont="1" applyFill="1" applyBorder="1" applyAlignment="1"/>
    <xf numFmtId="3" fontId="3" fillId="6" borderId="4" xfId="0" applyNumberFormat="1" applyFont="1" applyFill="1" applyBorder="1" applyAlignment="1"/>
    <xf numFmtId="3" fontId="5" fillId="3" borderId="4" xfId="0" applyNumberFormat="1" applyFont="1" applyFill="1" applyBorder="1" applyAlignment="1"/>
    <xf numFmtId="3" fontId="5" fillId="6" borderId="4" xfId="0" applyNumberFormat="1" applyFont="1" applyFill="1" applyBorder="1" applyAlignment="1"/>
    <xf numFmtId="3" fontId="3" fillId="0" borderId="4" xfId="0" applyNumberFormat="1" applyFont="1" applyFill="1" applyBorder="1" applyAlignment="1"/>
    <xf numFmtId="184" fontId="4" fillId="6" borderId="4" xfId="0" applyNumberFormat="1" applyFont="1" applyFill="1" applyBorder="1" applyAlignment="1">
      <alignment horizontal="center"/>
    </xf>
    <xf numFmtId="184" fontId="4" fillId="3" borderId="4" xfId="0" applyNumberFormat="1" applyFont="1" applyFill="1" applyBorder="1" applyAlignment="1">
      <alignment horizontal="center"/>
    </xf>
    <xf numFmtId="184" fontId="4" fillId="0" borderId="0" xfId="0" applyNumberFormat="1" applyFont="1" applyFill="1" applyBorder="1" applyAlignment="1">
      <alignment horizontal="center"/>
    </xf>
    <xf numFmtId="0" fontId="23" fillId="6" borderId="7" xfId="0" applyFont="1" applyFill="1" applyBorder="1" applyAlignment="1">
      <alignment horizontal="center"/>
    </xf>
    <xf numFmtId="0" fontId="3" fillId="6" borderId="7" xfId="0" applyFont="1" applyFill="1" applyBorder="1" applyAlignment="1"/>
    <xf numFmtId="3" fontId="3" fillId="3" borderId="7" xfId="0" applyNumberFormat="1" applyFont="1" applyFill="1" applyBorder="1" applyAlignment="1"/>
    <xf numFmtId="3" fontId="3" fillId="6" borderId="7" xfId="0" applyNumberFormat="1" applyFont="1" applyFill="1" applyBorder="1" applyAlignment="1"/>
    <xf numFmtId="3" fontId="5" fillId="3" borderId="7" xfId="0" applyNumberFormat="1" applyFont="1" applyFill="1" applyBorder="1" applyAlignment="1"/>
    <xf numFmtId="3" fontId="5" fillId="6" borderId="7" xfId="0" applyNumberFormat="1" applyFont="1" applyFill="1" applyBorder="1" applyAlignment="1"/>
    <xf numFmtId="183" fontId="3" fillId="3" borderId="7" xfId="0" applyNumberFormat="1" applyFont="1" applyFill="1" applyBorder="1" applyAlignment="1"/>
    <xf numFmtId="183" fontId="3" fillId="6" borderId="7" xfId="0" applyNumberFormat="1" applyFont="1" applyFill="1" applyBorder="1" applyAlignment="1"/>
    <xf numFmtId="182" fontId="3" fillId="3" borderId="7" xfId="0" applyNumberFormat="1" applyFont="1" applyFill="1" applyBorder="1" applyAlignment="1">
      <alignment horizontal="right"/>
    </xf>
    <xf numFmtId="183" fontId="5" fillId="3" borderId="7" xfId="0" applyNumberFormat="1" applyFont="1" applyFill="1" applyBorder="1" applyAlignment="1"/>
    <xf numFmtId="183" fontId="5" fillId="6" borderId="7" xfId="0" applyNumberFormat="1" applyFont="1" applyFill="1" applyBorder="1" applyAlignment="1"/>
    <xf numFmtId="183" fontId="3" fillId="0" borderId="4" xfId="0" applyNumberFormat="1" applyFont="1" applyFill="1" applyBorder="1" applyAlignment="1"/>
    <xf numFmtId="0" fontId="4" fillId="6" borderId="7" xfId="0" applyFont="1" applyFill="1" applyBorder="1" applyAlignment="1"/>
    <xf numFmtId="184" fontId="3" fillId="3" borderId="7" xfId="0" applyNumberFormat="1" applyFont="1" applyFill="1" applyBorder="1" applyAlignment="1"/>
    <xf numFmtId="184" fontId="3" fillId="6" borderId="7" xfId="0" applyNumberFormat="1" applyFont="1" applyFill="1" applyBorder="1" applyAlignment="1"/>
    <xf numFmtId="184" fontId="5" fillId="3" borderId="7" xfId="0" applyNumberFormat="1" applyFont="1" applyFill="1" applyBorder="1" applyAlignment="1"/>
    <xf numFmtId="184" fontId="5" fillId="6" borderId="7" xfId="0" applyNumberFormat="1" applyFont="1" applyFill="1" applyBorder="1" applyAlignment="1"/>
    <xf numFmtId="0" fontId="23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184" fontId="3" fillId="3" borderId="5" xfId="0" applyNumberFormat="1" applyFont="1" applyFill="1" applyBorder="1" applyAlignment="1">
      <alignment vertical="center"/>
    </xf>
    <xf numFmtId="184" fontId="3" fillId="6" borderId="5" xfId="0" applyNumberFormat="1" applyFont="1" applyFill="1" applyBorder="1" applyAlignment="1">
      <alignment vertical="center"/>
    </xf>
    <xf numFmtId="184" fontId="5" fillId="3" borderId="5" xfId="0" applyNumberFormat="1" applyFont="1" applyFill="1" applyBorder="1" applyAlignment="1">
      <alignment vertical="center"/>
    </xf>
    <xf numFmtId="184" fontId="5" fillId="6" borderId="5" xfId="0" applyNumberFormat="1" applyFont="1" applyFill="1" applyBorder="1" applyAlignment="1">
      <alignment vertical="center"/>
    </xf>
    <xf numFmtId="184" fontId="3" fillId="0" borderId="5" xfId="0" applyNumberFormat="1" applyFont="1" applyFill="1" applyBorder="1" applyAlignment="1">
      <alignment vertical="center"/>
    </xf>
    <xf numFmtId="184" fontId="4" fillId="6" borderId="5" xfId="0" applyNumberFormat="1" applyFont="1" applyFill="1" applyBorder="1" applyAlignment="1">
      <alignment horizontal="center" vertical="center"/>
    </xf>
    <xf numFmtId="184" fontId="4" fillId="3" borderId="5" xfId="0" applyNumberFormat="1" applyFont="1" applyFill="1" applyBorder="1" applyAlignment="1">
      <alignment horizontal="center" vertical="center"/>
    </xf>
    <xf numFmtId="184" fontId="4" fillId="0" borderId="0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/>
    <xf numFmtId="184" fontId="3" fillId="0" borderId="8" xfId="0" applyNumberFormat="1" applyFont="1" applyFill="1" applyBorder="1" applyAlignment="1"/>
    <xf numFmtId="184" fontId="5" fillId="0" borderId="8" xfId="0" applyNumberFormat="1" applyFont="1" applyFill="1" applyBorder="1" applyAlignment="1"/>
    <xf numFmtId="184" fontId="5" fillId="0" borderId="0" xfId="0" applyNumberFormat="1" applyFont="1" applyFill="1" applyBorder="1" applyAlignment="1"/>
    <xf numFmtId="0" fontId="8" fillId="0" borderId="0" xfId="0" applyFont="1" applyBorder="1"/>
    <xf numFmtId="0" fontId="2" fillId="7" borderId="0" xfId="0" applyFont="1" applyFill="1"/>
    <xf numFmtId="0" fontId="3" fillId="0" borderId="0" xfId="0" applyFont="1" applyFill="1" applyBorder="1"/>
    <xf numFmtId="3" fontId="1" fillId="0" borderId="0" xfId="0" applyNumberFormat="1" applyFont="1" applyFill="1" applyBorder="1"/>
    <xf numFmtId="0" fontId="1" fillId="0" borderId="0" xfId="0" applyFont="1" applyBorder="1"/>
    <xf numFmtId="0" fontId="2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Fill="1" applyBorder="1"/>
    <xf numFmtId="0" fontId="18" fillId="0" borderId="13" xfId="0" applyFont="1" applyFill="1" applyBorder="1"/>
    <xf numFmtId="0" fontId="4" fillId="0" borderId="13" xfId="0" applyFont="1" applyFill="1" applyBorder="1" applyAlignment="1">
      <alignment horizontal="right"/>
    </xf>
    <xf numFmtId="0" fontId="4" fillId="0" borderId="13" xfId="0" quotePrefix="1" applyFont="1" applyBorder="1"/>
    <xf numFmtId="0" fontId="4" fillId="0" borderId="13" xfId="0" applyFont="1" applyBorder="1"/>
    <xf numFmtId="0" fontId="8" fillId="0" borderId="13" xfId="0" applyFont="1" applyBorder="1"/>
    <xf numFmtId="0" fontId="4" fillId="0" borderId="14" xfId="16" applyFont="1" applyFill="1" applyBorder="1"/>
    <xf numFmtId="0" fontId="4" fillId="0" borderId="13" xfId="0" applyFont="1" applyBorder="1" applyAlignment="1">
      <alignment horizontal="right"/>
    </xf>
    <xf numFmtId="0" fontId="18" fillId="0" borderId="13" xfId="0" applyFont="1" applyBorder="1"/>
    <xf numFmtId="0" fontId="18" fillId="0" borderId="0" xfId="0" applyFont="1"/>
    <xf numFmtId="0" fontId="3" fillId="6" borderId="2" xfId="0" applyFont="1" applyFill="1" applyBorder="1" applyAlignment="1">
      <alignment horizontal="center"/>
    </xf>
    <xf numFmtId="3" fontId="5" fillId="6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right" vertical="top"/>
    </xf>
    <xf numFmtId="3" fontId="5" fillId="6" borderId="6" xfId="0" applyNumberFormat="1" applyFont="1" applyFill="1" applyBorder="1" applyAlignment="1">
      <alignment horizontal="right"/>
    </xf>
    <xf numFmtId="3" fontId="3" fillId="6" borderId="7" xfId="0" applyNumberFormat="1" applyFont="1" applyFill="1" applyBorder="1" applyAlignment="1">
      <alignment horizontal="right" vertical="center"/>
    </xf>
    <xf numFmtId="3" fontId="3" fillId="3" borderId="7" xfId="0" applyNumberFormat="1" applyFont="1" applyFill="1" applyBorder="1" applyAlignment="1">
      <alignment horizontal="right" vertical="center"/>
    </xf>
    <xf numFmtId="0" fontId="3" fillId="3" borderId="11" xfId="0" applyFont="1" applyFill="1" applyBorder="1" applyAlignment="1">
      <alignment horizontal="left" vertical="center"/>
    </xf>
    <xf numFmtId="3" fontId="3" fillId="6" borderId="11" xfId="0" applyNumberFormat="1" applyFont="1" applyFill="1" applyBorder="1" applyAlignment="1">
      <alignment horizontal="right" vertical="center"/>
    </xf>
    <xf numFmtId="3" fontId="3" fillId="3" borderId="11" xfId="0" applyNumberFormat="1" applyFont="1" applyFill="1" applyBorder="1" applyAlignment="1">
      <alignment horizontal="right" vertical="center"/>
    </xf>
    <xf numFmtId="3" fontId="5" fillId="6" borderId="11" xfId="0" applyNumberFormat="1" applyFont="1" applyFill="1" applyBorder="1" applyAlignment="1">
      <alignment horizontal="right" vertical="center"/>
    </xf>
    <xf numFmtId="0" fontId="18" fillId="7" borderId="0" xfId="0" applyFont="1" applyFill="1" applyBorder="1" applyProtection="1"/>
    <xf numFmtId="0" fontId="23" fillId="7" borderId="0" xfId="0" applyFont="1" applyFill="1" applyBorder="1"/>
    <xf numFmtId="0" fontId="2" fillId="0" borderId="0" xfId="0" applyFont="1" applyBorder="1" applyAlignment="1">
      <alignment vertical="top" wrapText="1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left"/>
    </xf>
    <xf numFmtId="3" fontId="5" fillId="6" borderId="4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3" fontId="3" fillId="6" borderId="5" xfId="0" applyNumberFormat="1" applyFont="1" applyFill="1" applyBorder="1" applyAlignment="1">
      <alignment horizontal="right"/>
    </xf>
    <xf numFmtId="3" fontId="3" fillId="3" borderId="5" xfId="0" applyNumberFormat="1" applyFont="1" applyFill="1" applyBorder="1" applyAlignment="1">
      <alignment horizontal="right"/>
    </xf>
    <xf numFmtId="3" fontId="5" fillId="6" borderId="5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3" fontId="3" fillId="6" borderId="4" xfId="0" applyNumberFormat="1" applyFont="1" applyFill="1" applyBorder="1" applyAlignment="1">
      <alignment horizontal="right" vertical="center"/>
    </xf>
    <xf numFmtId="3" fontId="3" fillId="3" borderId="4" xfId="0" applyNumberFormat="1" applyFont="1" applyFill="1" applyBorder="1" applyAlignment="1">
      <alignment horizontal="right" vertical="center"/>
    </xf>
    <xf numFmtId="3" fontId="8" fillId="0" borderId="8" xfId="0" applyNumberFormat="1" applyFont="1" applyBorder="1"/>
    <xf numFmtId="3" fontId="8" fillId="0" borderId="0" xfId="0" applyNumberFormat="1" applyFont="1"/>
    <xf numFmtId="0" fontId="18" fillId="0" borderId="0" xfId="20" applyFont="1"/>
    <xf numFmtId="0" fontId="3" fillId="6" borderId="3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vertical="top" wrapText="1"/>
    </xf>
    <xf numFmtId="184" fontId="3" fillId="6" borderId="4" xfId="0" applyNumberFormat="1" applyFont="1" applyFill="1" applyBorder="1"/>
    <xf numFmtId="184" fontId="3" fillId="3" borderId="4" xfId="0" applyNumberFormat="1" applyFont="1" applyFill="1" applyBorder="1"/>
    <xf numFmtId="0" fontId="48" fillId="3" borderId="4" xfId="0" applyFont="1" applyFill="1" applyBorder="1" applyAlignment="1">
      <alignment vertical="top" wrapText="1"/>
    </xf>
    <xf numFmtId="3" fontId="48" fillId="6" borderId="4" xfId="0" applyNumberFormat="1" applyFont="1" applyFill="1" applyBorder="1" applyAlignment="1">
      <alignment horizontal="right"/>
    </xf>
    <xf numFmtId="3" fontId="48" fillId="3" borderId="4" xfId="0" applyNumberFormat="1" applyFont="1" applyFill="1" applyBorder="1" applyAlignment="1">
      <alignment horizontal="right"/>
    </xf>
    <xf numFmtId="3" fontId="48" fillId="3" borderId="4" xfId="0" applyNumberFormat="1" applyFont="1" applyFill="1" applyBorder="1"/>
    <xf numFmtId="184" fontId="48" fillId="6" borderId="4" xfId="0" applyNumberFormat="1" applyFont="1" applyFill="1" applyBorder="1"/>
    <xf numFmtId="184" fontId="48" fillId="3" borderId="4" xfId="0" applyNumberFormat="1" applyFont="1" applyFill="1" applyBorder="1" applyAlignment="1">
      <alignment horizontal="right"/>
    </xf>
    <xf numFmtId="0" fontId="5" fillId="3" borderId="0" xfId="0" applyFont="1" applyFill="1" applyBorder="1" applyAlignment="1">
      <alignment vertical="center"/>
    </xf>
    <xf numFmtId="184" fontId="5" fillId="6" borderId="4" xfId="0" applyNumberFormat="1" applyFont="1" applyFill="1" applyBorder="1" applyAlignment="1">
      <alignment vertical="center"/>
    </xf>
    <xf numFmtId="184" fontId="5" fillId="3" borderId="4" xfId="0" applyNumberFormat="1" applyFont="1" applyFill="1" applyBorder="1" applyAlignment="1">
      <alignment vertical="center"/>
    </xf>
    <xf numFmtId="0" fontId="4" fillId="0" borderId="0" xfId="0" applyFont="1" applyAlignment="1">
      <alignment vertical="top"/>
    </xf>
    <xf numFmtId="0" fontId="2" fillId="0" borderId="3" xfId="0" applyFont="1" applyFill="1" applyBorder="1" applyAlignment="1">
      <alignment horizontal="right" vertical="top"/>
    </xf>
    <xf numFmtId="0" fontId="3" fillId="6" borderId="0" xfId="0" applyFont="1" applyFill="1" applyBorder="1" applyAlignment="1">
      <alignment horizontal="right" wrapText="1"/>
    </xf>
    <xf numFmtId="0" fontId="3" fillId="3" borderId="0" xfId="0" applyFont="1" applyFill="1" applyBorder="1" applyAlignment="1">
      <alignment horizontal="right" wrapText="1"/>
    </xf>
    <xf numFmtId="1" fontId="3" fillId="3" borderId="4" xfId="0" applyNumberFormat="1" applyFont="1" applyFill="1" applyBorder="1" applyAlignment="1">
      <alignment horizontal="left"/>
    </xf>
    <xf numFmtId="1" fontId="3" fillId="3" borderId="7" xfId="0" applyNumberFormat="1" applyFont="1" applyFill="1" applyBorder="1" applyAlignment="1">
      <alignment horizontal="left"/>
    </xf>
    <xf numFmtId="184" fontId="3" fillId="3" borderId="6" xfId="0" applyNumberFormat="1" applyFont="1" applyFill="1" applyBorder="1" applyAlignment="1">
      <alignment horizontal="right"/>
    </xf>
    <xf numFmtId="1" fontId="5" fillId="3" borderId="0" xfId="0" applyNumberFormat="1" applyFont="1" applyFill="1" applyBorder="1" applyAlignment="1">
      <alignment horizontal="left" vertical="center"/>
    </xf>
    <xf numFmtId="184" fontId="5" fillId="3" borderId="6" xfId="0" applyNumberFormat="1" applyFont="1" applyFill="1" applyBorder="1" applyAlignment="1">
      <alignment horizontal="right" vertical="center"/>
    </xf>
    <xf numFmtId="3" fontId="0" fillId="0" borderId="0" xfId="0" applyNumberFormat="1"/>
    <xf numFmtId="182" fontId="3" fillId="0" borderId="8" xfId="0" applyNumberFormat="1" applyFont="1" applyBorder="1" applyAlignment="1">
      <alignment horizontal="right" vertical="top"/>
    </xf>
    <xf numFmtId="182" fontId="3" fillId="0" borderId="0" xfId="0" applyNumberFormat="1" applyFont="1" applyBorder="1" applyAlignment="1">
      <alignment horizontal="right" vertical="top"/>
    </xf>
    <xf numFmtId="0" fontId="18" fillId="7" borderId="0" xfId="0" applyFont="1" applyFill="1" applyBorder="1"/>
    <xf numFmtId="184" fontId="1" fillId="0" borderId="0" xfId="0" applyNumberFormat="1" applyFont="1"/>
    <xf numFmtId="184" fontId="3" fillId="6" borderId="2" xfId="0" applyNumberFormat="1" applyFont="1" applyFill="1" applyBorder="1" applyAlignment="1">
      <alignment horizontal="right"/>
    </xf>
    <xf numFmtId="184" fontId="3" fillId="6" borderId="0" xfId="0" applyNumberFormat="1" applyFont="1" applyFill="1" applyBorder="1" applyAlignment="1">
      <alignment horizontal="right"/>
    </xf>
    <xf numFmtId="184" fontId="3" fillId="6" borderId="3" xfId="0" applyNumberFormat="1" applyFont="1" applyFill="1" applyBorder="1" applyAlignment="1">
      <alignment horizontal="right" vertical="top"/>
    </xf>
    <xf numFmtId="184" fontId="3" fillId="6" borderId="6" xfId="0" applyNumberFormat="1" applyFont="1" applyFill="1" applyBorder="1"/>
    <xf numFmtId="184" fontId="3" fillId="6" borderId="7" xfId="0" applyNumberFormat="1" applyFont="1" applyFill="1" applyBorder="1"/>
    <xf numFmtId="3" fontId="3" fillId="6" borderId="7" xfId="0" applyNumberFormat="1" applyFont="1" applyFill="1" applyBorder="1" applyAlignment="1">
      <alignment vertical="center"/>
    </xf>
    <xf numFmtId="3" fontId="3" fillId="3" borderId="7" xfId="0" applyNumberFormat="1" applyFont="1" applyFill="1" applyBorder="1" applyAlignment="1">
      <alignment vertical="center"/>
    </xf>
    <xf numFmtId="184" fontId="3" fillId="6" borderId="7" xfId="0" applyNumberFormat="1" applyFont="1" applyFill="1" applyBorder="1" applyAlignment="1">
      <alignment vertical="center"/>
    </xf>
    <xf numFmtId="184" fontId="3" fillId="6" borderId="7" xfId="0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left" vertical="center"/>
    </xf>
    <xf numFmtId="3" fontId="5" fillId="3" borderId="5" xfId="0" applyNumberFormat="1" applyFont="1" applyFill="1" applyBorder="1" applyAlignment="1">
      <alignment vertical="center"/>
    </xf>
    <xf numFmtId="184" fontId="5" fillId="6" borderId="5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16" fontId="3" fillId="3" borderId="7" xfId="0" applyNumberFormat="1" applyFont="1" applyFill="1" applyBorder="1" applyAlignment="1">
      <alignment horizontal="left"/>
    </xf>
    <xf numFmtId="184" fontId="3" fillId="3" borderId="6" xfId="0" applyNumberFormat="1" applyFont="1" applyFill="1" applyBorder="1" applyAlignment="1">
      <alignment vertical="center"/>
    </xf>
    <xf numFmtId="0" fontId="5" fillId="3" borderId="11" xfId="0" applyFont="1" applyFill="1" applyBorder="1" applyAlignment="1">
      <alignment horizontal="left" vertical="center"/>
    </xf>
    <xf numFmtId="3" fontId="5" fillId="6" borderId="5" xfId="0" applyNumberFormat="1" applyFont="1" applyFill="1" applyBorder="1" applyAlignment="1">
      <alignment vertical="center"/>
    </xf>
    <xf numFmtId="0" fontId="4" fillId="0" borderId="0" xfId="0" applyFont="1" applyBorder="1" applyAlignment="1"/>
    <xf numFmtId="184" fontId="3" fillId="6" borderId="4" xfId="0" applyNumberFormat="1" applyFont="1" applyFill="1" applyBorder="1" applyAlignment="1">
      <alignment horizontal="right"/>
    </xf>
    <xf numFmtId="184" fontId="5" fillId="6" borderId="0" xfId="0" applyNumberFormat="1" applyFont="1" applyFill="1" applyBorder="1" applyAlignment="1">
      <alignment horizontal="right" vertical="center"/>
    </xf>
    <xf numFmtId="184" fontId="5" fillId="3" borderId="0" xfId="0" applyNumberFormat="1" applyFont="1" applyFill="1" applyBorder="1" applyAlignment="1">
      <alignment horizontal="right" vertical="center"/>
    </xf>
    <xf numFmtId="0" fontId="0" fillId="0" borderId="0" xfId="0" applyAlignment="1"/>
    <xf numFmtId="0" fontId="22" fillId="0" borderId="3" xfId="0" applyFont="1" applyBorder="1" applyAlignment="1"/>
    <xf numFmtId="0" fontId="0" fillId="0" borderId="0" xfId="0" applyBorder="1" applyAlignment="1">
      <alignment wrapText="1"/>
    </xf>
    <xf numFmtId="184" fontId="3" fillId="3" borderId="0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vertical="center" wrapText="1"/>
    </xf>
    <xf numFmtId="3" fontId="3" fillId="6" borderId="4" xfId="0" applyNumberFormat="1" applyFont="1" applyFill="1" applyBorder="1" applyAlignment="1">
      <alignment vertical="center"/>
    </xf>
    <xf numFmtId="3" fontId="3" fillId="3" borderId="4" xfId="0" applyNumberFormat="1" applyFont="1" applyFill="1" applyBorder="1" applyAlignment="1">
      <alignment vertical="center"/>
    </xf>
    <xf numFmtId="184" fontId="3" fillId="3" borderId="4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84" fontId="5" fillId="3" borderId="0" xfId="0" applyNumberFormat="1" applyFont="1" applyFill="1" applyBorder="1" applyAlignment="1">
      <alignment vertical="center"/>
    </xf>
    <xf numFmtId="184" fontId="4" fillId="0" borderId="8" xfId="0" applyNumberFormat="1" applyFont="1" applyBorder="1"/>
    <xf numFmtId="184" fontId="4" fillId="0" borderId="0" xfId="0" applyNumberFormat="1" applyFont="1" applyBorder="1"/>
    <xf numFmtId="0" fontId="3" fillId="3" borderId="15" xfId="0" applyFont="1" applyFill="1" applyBorder="1" applyAlignment="1">
      <alignment vertical="center"/>
    </xf>
    <xf numFmtId="4" fontId="3" fillId="6" borderId="15" xfId="0" applyNumberFormat="1" applyFont="1" applyFill="1" applyBorder="1" applyAlignment="1">
      <alignment vertical="center"/>
    </xf>
    <xf numFmtId="4" fontId="3" fillId="3" borderId="15" xfId="0" applyNumberFormat="1" applyFont="1" applyFill="1" applyBorder="1" applyAlignment="1">
      <alignment vertical="center"/>
    </xf>
    <xf numFmtId="184" fontId="48" fillId="3" borderId="15" xfId="0" applyNumberFormat="1" applyFont="1" applyFill="1" applyBorder="1" applyAlignment="1">
      <alignment horizontal="right" vertical="center"/>
    </xf>
    <xf numFmtId="0" fontId="48" fillId="3" borderId="15" xfId="0" applyFont="1" applyFill="1" applyBorder="1" applyAlignment="1">
      <alignment vertical="center"/>
    </xf>
    <xf numFmtId="3" fontId="48" fillId="6" borderId="15" xfId="0" applyNumberFormat="1" applyFont="1" applyFill="1" applyBorder="1" applyAlignment="1">
      <alignment vertical="center"/>
    </xf>
    <xf numFmtId="3" fontId="48" fillId="3" borderId="15" xfId="0" applyNumberFormat="1" applyFont="1" applyFill="1" applyBorder="1" applyAlignment="1">
      <alignment vertical="center"/>
    </xf>
    <xf numFmtId="184" fontId="48" fillId="3" borderId="15" xfId="0" applyNumberFormat="1" applyFont="1" applyFill="1" applyBorder="1" applyAlignment="1">
      <alignment vertical="center"/>
    </xf>
    <xf numFmtId="0" fontId="2" fillId="0" borderId="0" xfId="0" applyFont="1" applyAlignment="1">
      <alignment wrapText="1"/>
    </xf>
    <xf numFmtId="184" fontId="1" fillId="0" borderId="0" xfId="0" applyNumberFormat="1" applyFont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5" fillId="3" borderId="15" xfId="0" applyFont="1" applyFill="1" applyBorder="1" applyAlignment="1">
      <alignment vertical="center"/>
    </xf>
    <xf numFmtId="3" fontId="3" fillId="6" borderId="15" xfId="0" applyNumberFormat="1" applyFont="1" applyFill="1" applyBorder="1" applyAlignment="1">
      <alignment vertical="center"/>
    </xf>
    <xf numFmtId="3" fontId="3" fillId="3" borderId="15" xfId="0" applyNumberFormat="1" applyFont="1" applyFill="1" applyBorder="1" applyAlignment="1">
      <alignment vertical="center"/>
    </xf>
    <xf numFmtId="3" fontId="5" fillId="3" borderId="15" xfId="0" applyNumberFormat="1" applyFont="1" applyFill="1" applyBorder="1" applyAlignment="1">
      <alignment vertical="center"/>
    </xf>
    <xf numFmtId="184" fontId="3" fillId="6" borderId="4" xfId="0" applyNumberFormat="1" applyFont="1" applyFill="1" applyBorder="1" applyAlignment="1">
      <alignment vertical="center"/>
    </xf>
    <xf numFmtId="184" fontId="48" fillId="6" borderId="15" xfId="0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vertical="center" wrapText="1"/>
    </xf>
    <xf numFmtId="3" fontId="3" fillId="6" borderId="5" xfId="0" applyNumberFormat="1" applyFont="1" applyFill="1" applyBorder="1" applyAlignment="1">
      <alignment vertical="center"/>
    </xf>
    <xf numFmtId="3" fontId="3" fillId="3" borderId="5" xfId="0" applyNumberFormat="1" applyFont="1" applyFill="1" applyBorder="1" applyAlignment="1">
      <alignment vertical="center"/>
    </xf>
    <xf numFmtId="0" fontId="58" fillId="0" borderId="0" xfId="0" applyFont="1"/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right"/>
    </xf>
    <xf numFmtId="0" fontId="3" fillId="9" borderId="2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left"/>
    </xf>
    <xf numFmtId="0" fontId="3" fillId="10" borderId="0" xfId="0" applyFont="1" applyFill="1" applyBorder="1" applyAlignment="1">
      <alignment horizontal="right"/>
    </xf>
    <xf numFmtId="3" fontId="3" fillId="9" borderId="0" xfId="0" applyNumberFormat="1" applyFont="1" applyFill="1" applyBorder="1" applyAlignment="1">
      <alignment horizontal="right"/>
    </xf>
    <xf numFmtId="0" fontId="3" fillId="6" borderId="0" xfId="0" quotePrefix="1" applyFont="1" applyFill="1" applyBorder="1" applyAlignment="1">
      <alignment horizontal="right"/>
    </xf>
    <xf numFmtId="0" fontId="4" fillId="9" borderId="0" xfId="0" applyFont="1" applyFill="1" applyBorder="1" applyAlignment="1">
      <alignment horizontal="right"/>
    </xf>
    <xf numFmtId="0" fontId="3" fillId="9" borderId="0" xfId="0" applyFont="1" applyFill="1" applyBorder="1" applyAlignment="1">
      <alignment horizontal="right"/>
    </xf>
    <xf numFmtId="0" fontId="3" fillId="9" borderId="3" xfId="0" applyFont="1" applyFill="1" applyBorder="1" applyAlignment="1">
      <alignment horizontal="left" vertical="top"/>
    </xf>
    <xf numFmtId="0" fontId="3" fillId="10" borderId="3" xfId="0" applyFont="1" applyFill="1" applyBorder="1" applyAlignment="1">
      <alignment horizontal="right" vertical="top"/>
    </xf>
    <xf numFmtId="0" fontId="3" fillId="9" borderId="3" xfId="0" applyFont="1" applyFill="1" applyBorder="1" applyAlignment="1">
      <alignment horizontal="right" vertical="top"/>
    </xf>
    <xf numFmtId="0" fontId="18" fillId="0" borderId="0" xfId="0" applyFont="1" applyFill="1" applyBorder="1" applyAlignment="1">
      <alignment horizontal="center"/>
    </xf>
    <xf numFmtId="0" fontId="3" fillId="9" borderId="4" xfId="0" quotePrefix="1" applyFont="1" applyFill="1" applyBorder="1" applyAlignment="1">
      <alignment horizontal="left"/>
    </xf>
    <xf numFmtId="184" fontId="3" fillId="10" borderId="4" xfId="0" applyNumberFormat="1" applyFont="1" applyFill="1" applyBorder="1" applyAlignment="1">
      <alignment horizontal="right"/>
    </xf>
    <xf numFmtId="184" fontId="3" fillId="9" borderId="4" xfId="0" quotePrefix="1" applyNumberFormat="1" applyFont="1" applyFill="1" applyBorder="1" applyAlignment="1">
      <alignment horizontal="right"/>
    </xf>
    <xf numFmtId="3" fontId="3" fillId="9" borderId="4" xfId="0" quotePrefix="1" applyNumberFormat="1" applyFont="1" applyFill="1" applyBorder="1" applyAlignment="1">
      <alignment horizontal="right"/>
    </xf>
    <xf numFmtId="0" fontId="3" fillId="9" borderId="7" xfId="0" quotePrefix="1" applyFont="1" applyFill="1" applyBorder="1" applyAlignment="1">
      <alignment horizontal="left"/>
    </xf>
    <xf numFmtId="184" fontId="3" fillId="10" borderId="7" xfId="0" applyNumberFormat="1" applyFont="1" applyFill="1" applyBorder="1" applyAlignment="1">
      <alignment horizontal="right"/>
    </xf>
    <xf numFmtId="184" fontId="3" fillId="9" borderId="7" xfId="0" quotePrefix="1" applyNumberFormat="1" applyFont="1" applyFill="1" applyBorder="1" applyAlignment="1">
      <alignment horizontal="right"/>
    </xf>
    <xf numFmtId="3" fontId="3" fillId="9" borderId="7" xfId="0" quotePrefix="1" applyNumberFormat="1" applyFont="1" applyFill="1" applyBorder="1" applyAlignment="1">
      <alignment horizontal="right"/>
    </xf>
    <xf numFmtId="0" fontId="5" fillId="9" borderId="0" xfId="0" quotePrefix="1" applyFont="1" applyFill="1" applyBorder="1" applyAlignment="1">
      <alignment horizontal="left" vertical="center"/>
    </xf>
    <xf numFmtId="184" fontId="5" fillId="10" borderId="0" xfId="0" applyNumberFormat="1" applyFont="1" applyFill="1" applyBorder="1" applyAlignment="1">
      <alignment horizontal="right" vertical="center"/>
    </xf>
    <xf numFmtId="184" fontId="5" fillId="9" borderId="0" xfId="0" quotePrefix="1" applyNumberFormat="1" applyFont="1" applyFill="1" applyBorder="1" applyAlignment="1">
      <alignment horizontal="right" vertical="center"/>
    </xf>
    <xf numFmtId="3" fontId="5" fillId="9" borderId="7" xfId="0" quotePrefix="1" applyNumberFormat="1" applyFont="1" applyFill="1" applyBorder="1" applyAlignment="1">
      <alignment horizontal="right" vertical="center"/>
    </xf>
    <xf numFmtId="0" fontId="3" fillId="6" borderId="0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 vertical="top"/>
    </xf>
    <xf numFmtId="182" fontId="3" fillId="6" borderId="6" xfId="0" applyNumberFormat="1" applyFont="1" applyFill="1" applyBorder="1" applyAlignment="1">
      <alignment horizontal="left"/>
    </xf>
    <xf numFmtId="182" fontId="3" fillId="6" borderId="7" xfId="0" applyNumberFormat="1" applyFont="1" applyFill="1" applyBorder="1" applyAlignment="1">
      <alignment horizontal="left"/>
    </xf>
    <xf numFmtId="0" fontId="5" fillId="6" borderId="0" xfId="0" applyFont="1" applyFill="1" applyBorder="1" applyAlignment="1">
      <alignment horizontal="left" vertical="center"/>
    </xf>
    <xf numFmtId="0" fontId="3" fillId="6" borderId="0" xfId="0" applyNumberFormat="1" applyFont="1" applyFill="1" applyBorder="1" applyAlignment="1">
      <alignment horizontal="right"/>
    </xf>
    <xf numFmtId="0" fontId="3" fillId="3" borderId="0" xfId="0" applyNumberFormat="1" applyFont="1" applyFill="1" applyBorder="1" applyAlignment="1">
      <alignment horizontal="right"/>
    </xf>
    <xf numFmtId="184" fontId="3" fillId="3" borderId="2" xfId="0" applyNumberFormat="1" applyFont="1" applyFill="1" applyBorder="1" applyAlignment="1">
      <alignment horizontal="center"/>
    </xf>
    <xf numFmtId="184" fontId="3" fillId="3" borderId="0" xfId="0" applyNumberFormat="1" applyFont="1" applyFill="1" applyBorder="1" applyAlignment="1">
      <alignment horizontal="center"/>
    </xf>
    <xf numFmtId="184" fontId="3" fillId="3" borderId="3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5" fillId="3" borderId="6" xfId="0" quotePrefix="1" applyFont="1" applyFill="1" applyBorder="1" applyAlignment="1"/>
    <xf numFmtId="184" fontId="5" fillId="3" borderId="4" xfId="0" applyNumberFormat="1" applyFont="1" applyFill="1" applyBorder="1" applyAlignment="1">
      <alignment horizontal="center"/>
    </xf>
    <xf numFmtId="0" fontId="5" fillId="3" borderId="7" xfId="0" quotePrefix="1" applyFont="1" applyFill="1" applyBorder="1" applyAlignment="1"/>
    <xf numFmtId="184" fontId="3" fillId="3" borderId="7" xfId="0" applyNumberFormat="1" applyFont="1" applyFill="1" applyBorder="1" applyAlignment="1">
      <alignment horizontal="center"/>
    </xf>
    <xf numFmtId="184" fontId="5" fillId="3" borderId="7" xfId="0" applyNumberFormat="1" applyFont="1" applyFill="1" applyBorder="1" applyAlignment="1">
      <alignment horizontal="center"/>
    </xf>
    <xf numFmtId="0" fontId="5" fillId="3" borderId="7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vertical="center"/>
    </xf>
    <xf numFmtId="184" fontId="3" fillId="3" borderId="7" xfId="0" applyNumberFormat="1" applyFont="1" applyFill="1" applyBorder="1" applyAlignment="1">
      <alignment horizontal="center" vertical="center"/>
    </xf>
    <xf numFmtId="3" fontId="3" fillId="6" borderId="0" xfId="0" applyNumberFormat="1" applyFont="1" applyFill="1" applyBorder="1" applyAlignment="1">
      <alignment horizontal="right" vertical="center"/>
    </xf>
    <xf numFmtId="0" fontId="8" fillId="0" borderId="8" xfId="0" applyFont="1" applyBorder="1"/>
    <xf numFmtId="184" fontId="4" fillId="0" borderId="8" xfId="0" applyNumberFormat="1" applyFont="1" applyBorder="1" applyAlignment="1">
      <alignment horizontal="center"/>
    </xf>
    <xf numFmtId="184" fontId="4" fillId="0" borderId="0" xfId="0" applyNumberFormat="1" applyFont="1" applyBorder="1" applyAlignment="1">
      <alignment horizontal="center"/>
    </xf>
    <xf numFmtId="184" fontId="4" fillId="0" borderId="0" xfId="0" applyNumberFormat="1" applyFont="1" applyAlignment="1">
      <alignment horizontal="center"/>
    </xf>
    <xf numFmtId="3" fontId="2" fillId="0" borderId="0" xfId="0" applyNumberFormat="1" applyFont="1"/>
    <xf numFmtId="0" fontId="3" fillId="3" borderId="6" xfId="0" applyFont="1" applyFill="1" applyBorder="1" applyAlignment="1">
      <alignment horizontal="left" vertical="center"/>
    </xf>
    <xf numFmtId="3" fontId="8" fillId="0" borderId="0" xfId="0" applyNumberFormat="1" applyFont="1" applyBorder="1"/>
    <xf numFmtId="184" fontId="3" fillId="3" borderId="4" xfId="0" applyNumberFormat="1" applyFont="1" applyFill="1" applyBorder="1" applyAlignment="1">
      <alignment horizontal="center"/>
    </xf>
    <xf numFmtId="184" fontId="5" fillId="3" borderId="7" xfId="0" applyNumberFormat="1" applyFont="1" applyFill="1" applyBorder="1" applyAlignment="1">
      <alignment horizontal="center" vertical="center"/>
    </xf>
    <xf numFmtId="183" fontId="3" fillId="6" borderId="4" xfId="0" applyNumberFormat="1" applyFont="1" applyFill="1" applyBorder="1" applyAlignment="1"/>
    <xf numFmtId="0" fontId="3" fillId="3" borderId="4" xfId="0" applyNumberFormat="1" applyFont="1" applyFill="1" applyBorder="1" applyAlignment="1">
      <alignment horizontal="center"/>
    </xf>
    <xf numFmtId="0" fontId="3" fillId="3" borderId="7" xfId="0" applyNumberFormat="1" applyFont="1" applyFill="1" applyBorder="1" applyAlignment="1">
      <alignment horizontal="center"/>
    </xf>
    <xf numFmtId="183" fontId="5" fillId="6" borderId="7" xfId="0" applyNumberFormat="1" applyFont="1" applyFill="1" applyBorder="1" applyAlignment="1">
      <alignment vertical="center"/>
    </xf>
    <xf numFmtId="0" fontId="5" fillId="3" borderId="7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Alignment="1">
      <alignment horizontal="center"/>
    </xf>
    <xf numFmtId="3" fontId="4" fillId="0" borderId="0" xfId="0" applyNumberFormat="1" applyFont="1" applyFill="1"/>
    <xf numFmtId="0" fontId="4" fillId="0" borderId="0" xfId="0" quotePrefix="1" applyFont="1" applyFill="1" applyAlignment="1">
      <alignment horizontal="center"/>
    </xf>
    <xf numFmtId="0" fontId="50" fillId="6" borderId="0" xfId="0" applyFont="1" applyFill="1" applyBorder="1" applyAlignment="1">
      <alignment horizontal="center"/>
    </xf>
    <xf numFmtId="0" fontId="3" fillId="3" borderId="6" xfId="0" quotePrefix="1" applyFont="1" applyFill="1" applyBorder="1" applyAlignment="1">
      <alignment horizontal="left" vertical="center"/>
    </xf>
    <xf numFmtId="184" fontId="3" fillId="6" borderId="4" xfId="0" applyNumberFormat="1" applyFont="1" applyFill="1" applyBorder="1" applyAlignment="1">
      <alignment horizontal="center" vertical="center"/>
    </xf>
    <xf numFmtId="184" fontId="3" fillId="6" borderId="7" xfId="0" applyNumberFormat="1" applyFont="1" applyFill="1" applyBorder="1" applyAlignment="1">
      <alignment horizontal="center" vertical="center"/>
    </xf>
    <xf numFmtId="0" fontId="3" fillId="3" borderId="0" xfId="0" quotePrefix="1" applyFont="1" applyFill="1" applyBorder="1" applyAlignment="1">
      <alignment horizontal="left" vertical="center"/>
    </xf>
    <xf numFmtId="3" fontId="3" fillId="6" borderId="2" xfId="0" applyNumberFormat="1" applyFont="1" applyFill="1" applyBorder="1" applyAlignment="1">
      <alignment horizontal="center"/>
    </xf>
    <xf numFmtId="0" fontId="51" fillId="3" borderId="6" xfId="0" applyFont="1" applyFill="1" applyBorder="1" applyAlignment="1">
      <alignment horizontal="left"/>
    </xf>
    <xf numFmtId="3" fontId="5" fillId="6" borderId="6" xfId="0" applyNumberFormat="1" applyFont="1" applyFill="1" applyBorder="1" applyAlignment="1">
      <alignment horizontal="left"/>
    </xf>
    <xf numFmtId="184" fontId="5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left" wrapText="1"/>
    </xf>
    <xf numFmtId="3" fontId="61" fillId="6" borderId="7" xfId="0" applyNumberFormat="1" applyFont="1" applyFill="1" applyBorder="1" applyAlignment="1">
      <alignment horizontal="center" wrapText="1"/>
    </xf>
    <xf numFmtId="184" fontId="61" fillId="3" borderId="6" xfId="0" applyNumberFormat="1" applyFont="1" applyFill="1" applyBorder="1" applyAlignment="1">
      <alignment horizontal="center" wrapText="1"/>
    </xf>
    <xf numFmtId="0" fontId="51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 wrapText="1"/>
    </xf>
    <xf numFmtId="0" fontId="51" fillId="3" borderId="7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5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wrapText="1"/>
    </xf>
    <xf numFmtId="0" fontId="51" fillId="3" borderId="6" xfId="0" applyFont="1" applyFill="1" applyBorder="1" applyAlignment="1">
      <alignment horizontal="left" wrapText="1"/>
    </xf>
    <xf numFmtId="0" fontId="48" fillId="3" borderId="7" xfId="0" applyFont="1" applyFill="1" applyBorder="1" applyAlignment="1">
      <alignment horizontal="center"/>
    </xf>
    <xf numFmtId="0" fontId="48" fillId="3" borderId="7" xfId="0" applyFont="1" applyFill="1" applyBorder="1" applyAlignment="1">
      <alignment horizontal="left"/>
    </xf>
    <xf numFmtId="3" fontId="3" fillId="6" borderId="7" xfId="0" applyNumberFormat="1" applyFont="1" applyFill="1" applyBorder="1" applyAlignment="1">
      <alignment horizontal="right" wrapText="1"/>
    </xf>
    <xf numFmtId="0" fontId="5" fillId="3" borderId="6" xfId="0" applyFont="1" applyFill="1" applyBorder="1" applyAlignment="1">
      <alignment horizontal="left"/>
    </xf>
    <xf numFmtId="0" fontId="48" fillId="3" borderId="7" xfId="0" applyFont="1" applyFill="1" applyBorder="1" applyAlignment="1">
      <alignment horizontal="center" wrapText="1"/>
    </xf>
    <xf numFmtId="0" fontId="48" fillId="3" borderId="7" xfId="0" applyFont="1" applyFill="1" applyBorder="1" applyAlignment="1">
      <alignment horizontal="left" wrapText="1"/>
    </xf>
    <xf numFmtId="184" fontId="5" fillId="3" borderId="4" xfId="0" applyNumberFormat="1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left" vertical="center"/>
    </xf>
    <xf numFmtId="3" fontId="1" fillId="0" borderId="0" xfId="0" applyNumberFormat="1" applyFont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left" vertical="center" wrapText="1"/>
    </xf>
    <xf numFmtId="184" fontId="3" fillId="3" borderId="4" xfId="0" applyNumberFormat="1" applyFont="1" applyFill="1" applyBorder="1" applyAlignment="1">
      <alignment horizontal="center" vertical="center"/>
    </xf>
    <xf numFmtId="183" fontId="3" fillId="3" borderId="7" xfId="0" applyNumberFormat="1" applyFont="1" applyFill="1" applyBorder="1" applyAlignment="1">
      <alignment horizontal="center" vertical="center"/>
    </xf>
    <xf numFmtId="183" fontId="3" fillId="3" borderId="0" xfId="0" applyNumberFormat="1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15" fillId="8" borderId="0" xfId="0" applyNumberFormat="1" applyFont="1" applyFill="1" applyAlignment="1">
      <alignment horizontal="center"/>
    </xf>
    <xf numFmtId="0" fontId="2" fillId="0" borderId="0" xfId="0" applyFont="1" applyFill="1" applyAlignment="1">
      <alignment vertical="top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3" fontId="1" fillId="0" borderId="11" xfId="0" applyNumberFormat="1" applyFont="1" applyBorder="1"/>
    <xf numFmtId="0" fontId="4" fillId="3" borderId="11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  <xf numFmtId="3" fontId="4" fillId="3" borderId="11" xfId="0" applyNumberFormat="1" applyFont="1" applyFill="1" applyBorder="1" applyAlignment="1">
      <alignment horizontal="center" vertical="top"/>
    </xf>
    <xf numFmtId="3" fontId="4" fillId="6" borderId="11" xfId="0" applyNumberFormat="1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left" vertical="center"/>
    </xf>
    <xf numFmtId="3" fontId="4" fillId="6" borderId="4" xfId="0" applyNumberFormat="1" applyFont="1" applyFill="1" applyBorder="1" applyAlignment="1">
      <alignment horizontal="center" vertical="center"/>
    </xf>
    <xf numFmtId="183" fontId="4" fillId="3" borderId="4" xfId="0" applyNumberFormat="1" applyFont="1" applyFill="1" applyBorder="1" applyAlignment="1">
      <alignment horizontal="right" vertical="center"/>
    </xf>
    <xf numFmtId="183" fontId="4" fillId="6" borderId="4" xfId="0" applyNumberFormat="1" applyFont="1" applyFill="1" applyBorder="1" applyAlignment="1">
      <alignment horizontal="right" vertical="center"/>
    </xf>
    <xf numFmtId="183" fontId="4" fillId="6" borderId="4" xfId="0" applyNumberFormat="1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183" fontId="4" fillId="3" borderId="7" xfId="0" applyNumberFormat="1" applyFont="1" applyFill="1" applyBorder="1" applyAlignment="1">
      <alignment horizontal="right" vertical="center"/>
    </xf>
    <xf numFmtId="183" fontId="4" fillId="6" borderId="7" xfId="0" applyNumberFormat="1" applyFont="1" applyFill="1" applyBorder="1" applyAlignment="1">
      <alignment horizontal="right" vertical="center"/>
    </xf>
    <xf numFmtId="183" fontId="4" fillId="6" borderId="7" xfId="0" applyNumberFormat="1" applyFont="1" applyFill="1" applyBorder="1" applyAlignment="1">
      <alignment vertical="center"/>
    </xf>
    <xf numFmtId="1" fontId="8" fillId="3" borderId="5" xfId="0" applyNumberFormat="1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3" fontId="8" fillId="6" borderId="5" xfId="0" applyNumberFormat="1" applyFont="1" applyFill="1" applyBorder="1" applyAlignment="1">
      <alignment horizontal="center" vertical="center"/>
    </xf>
    <xf numFmtId="183" fontId="8" fillId="3" borderId="5" xfId="0" applyNumberFormat="1" applyFont="1" applyFill="1" applyBorder="1" applyAlignment="1">
      <alignment horizontal="right" vertical="center"/>
    </xf>
    <xf numFmtId="183" fontId="8" fillId="6" borderId="5" xfId="0" applyNumberFormat="1" applyFont="1" applyFill="1" applyBorder="1" applyAlignment="1">
      <alignment horizontal="right" vertical="center"/>
    </xf>
    <xf numFmtId="183" fontId="8" fillId="6" borderId="5" xfId="0" applyNumberFormat="1" applyFont="1" applyFill="1" applyBorder="1" applyAlignment="1">
      <alignment vertical="center"/>
    </xf>
    <xf numFmtId="3" fontId="4" fillId="0" borderId="7" xfId="0" applyNumberFormat="1" applyFont="1" applyFill="1" applyBorder="1" applyAlignment="1">
      <alignment horizontal="center"/>
    </xf>
    <xf numFmtId="183" fontId="4" fillId="0" borderId="7" xfId="0" applyNumberFormat="1" applyFont="1" applyFill="1" applyBorder="1" applyAlignment="1">
      <alignment horizontal="right"/>
    </xf>
    <xf numFmtId="184" fontId="4" fillId="0" borderId="7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left"/>
    </xf>
    <xf numFmtId="184" fontId="4" fillId="0" borderId="7" xfId="0" applyNumberFormat="1" applyFont="1" applyFill="1" applyBorder="1" applyAlignment="1"/>
    <xf numFmtId="0" fontId="0" fillId="0" borderId="0" xfId="0" applyAlignment="1">
      <alignment vertical="top"/>
    </xf>
    <xf numFmtId="0" fontId="22" fillId="0" borderId="0" xfId="0" applyFont="1" applyAlignment="1">
      <alignment vertical="top"/>
    </xf>
    <xf numFmtId="0" fontId="62" fillId="0" borderId="0" xfId="0" applyFont="1" applyAlignment="1"/>
    <xf numFmtId="0" fontId="63" fillId="0" borderId="0" xfId="0" applyFont="1" applyAlignment="1"/>
    <xf numFmtId="0" fontId="64" fillId="0" borderId="0" xfId="0" applyFont="1" applyFill="1" applyAlignment="1">
      <alignment horizontal="left"/>
    </xf>
    <xf numFmtId="0" fontId="64" fillId="0" borderId="0" xfId="0" applyFont="1" applyAlignment="1"/>
    <xf numFmtId="0" fontId="4" fillId="0" borderId="16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right" vertical="top" wrapText="1"/>
    </xf>
    <xf numFmtId="0" fontId="26" fillId="0" borderId="16" xfId="0" applyFont="1" applyBorder="1" applyAlignment="1">
      <alignment horizontal="center" vertical="top" wrapText="1"/>
    </xf>
    <xf numFmtId="0" fontId="26" fillId="0" borderId="16" xfId="0" applyFont="1" applyBorder="1" applyAlignment="1">
      <alignment horizontal="right" vertical="top" wrapText="1"/>
    </xf>
    <xf numFmtId="9" fontId="26" fillId="0" borderId="16" xfId="0" applyNumberFormat="1" applyFont="1" applyBorder="1" applyAlignment="1">
      <alignment horizontal="right" vertical="top" wrapText="1"/>
    </xf>
    <xf numFmtId="0" fontId="8" fillId="0" borderId="16" xfId="0" applyFont="1" applyFill="1" applyBorder="1" applyAlignment="1">
      <alignment horizontal="center" vertical="top" wrapText="1"/>
    </xf>
    <xf numFmtId="0" fontId="8" fillId="0" borderId="16" xfId="0" applyFont="1" applyFill="1" applyBorder="1" applyAlignment="1">
      <alignment horizontal="right" vertical="top" wrapText="1"/>
    </xf>
    <xf numFmtId="9" fontId="8" fillId="0" borderId="16" xfId="0" applyNumberFormat="1" applyFont="1" applyFill="1" applyBorder="1" applyAlignment="1">
      <alignment horizontal="right" vertical="top" wrapText="1"/>
    </xf>
    <xf numFmtId="0" fontId="26" fillId="0" borderId="16" xfId="0" applyFont="1" applyFill="1" applyBorder="1" applyAlignment="1">
      <alignment horizontal="center" vertical="top" wrapText="1"/>
    </xf>
    <xf numFmtId="0" fontId="26" fillId="0" borderId="16" xfId="0" applyFont="1" applyFill="1" applyBorder="1" applyAlignment="1">
      <alignment horizontal="right" vertical="top" wrapText="1"/>
    </xf>
    <xf numFmtId="9" fontId="26" fillId="0" borderId="16" xfId="0" applyNumberFormat="1" applyFont="1" applyFill="1" applyBorder="1" applyAlignment="1">
      <alignment horizontal="right" vertical="top" wrapText="1"/>
    </xf>
    <xf numFmtId="0" fontId="64" fillId="0" borderId="0" xfId="0" applyFont="1"/>
    <xf numFmtId="0" fontId="63" fillId="0" borderId="0" xfId="0" applyFont="1"/>
    <xf numFmtId="0" fontId="64" fillId="0" borderId="0" xfId="0" applyNumberFormat="1" applyFont="1" applyAlignment="1"/>
    <xf numFmtId="0" fontId="4" fillId="0" borderId="0" xfId="0" applyFont="1" applyAlignment="1"/>
    <xf numFmtId="1" fontId="61" fillId="0" borderId="0" xfId="0" applyNumberFormat="1" applyFont="1" applyFill="1" applyBorder="1" applyAlignment="1"/>
    <xf numFmtId="0" fontId="8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8" fillId="0" borderId="0" xfId="0" quotePrefix="1" applyFont="1" applyFill="1" applyBorder="1" applyAlignment="1">
      <alignment horizontal="center"/>
    </xf>
    <xf numFmtId="0" fontId="18" fillId="0" borderId="0" xfId="0" quotePrefix="1" applyFont="1" applyFill="1" applyBorder="1"/>
    <xf numFmtId="16" fontId="8" fillId="0" borderId="0" xfId="0" quotePrefix="1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8" fillId="0" borderId="0" xfId="0" applyFont="1" applyBorder="1"/>
    <xf numFmtId="18" fontId="8" fillId="0" borderId="0" xfId="0" quotePrefix="1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8" fillId="6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right" vertical="center"/>
    </xf>
    <xf numFmtId="3" fontId="4" fillId="6" borderId="3" xfId="0" applyNumberFormat="1" applyFont="1" applyFill="1" applyBorder="1" applyAlignment="1">
      <alignment horizontal="right" vertical="center"/>
    </xf>
    <xf numFmtId="3" fontId="4" fillId="6" borderId="4" xfId="0" applyNumberFormat="1" applyFont="1" applyFill="1" applyBorder="1" applyAlignment="1">
      <alignment vertical="center"/>
    </xf>
    <xf numFmtId="3" fontId="4" fillId="3" borderId="4" xfId="0" applyNumberFormat="1" applyFont="1" applyFill="1" applyBorder="1" applyAlignment="1">
      <alignment horizontal="right" vertical="center"/>
    </xf>
    <xf numFmtId="3" fontId="4" fillId="3" borderId="4" xfId="0" applyNumberFormat="1" applyFont="1" applyFill="1" applyBorder="1" applyAlignment="1">
      <alignment vertical="center"/>
    </xf>
    <xf numFmtId="184" fontId="4" fillId="6" borderId="4" xfId="0" applyNumberFormat="1" applyFont="1" applyFill="1" applyBorder="1" applyAlignment="1">
      <alignment horizontal="right" vertical="center"/>
    </xf>
    <xf numFmtId="183" fontId="4" fillId="3" borderId="12" xfId="0" applyNumberFormat="1" applyFont="1" applyFill="1" applyBorder="1" applyAlignment="1">
      <alignment horizontal="right" vertical="center"/>
    </xf>
    <xf numFmtId="1" fontId="39" fillId="3" borderId="5" xfId="0" applyNumberFormat="1" applyFont="1" applyFill="1" applyBorder="1" applyAlignment="1">
      <alignment horizontal="left" vertical="center"/>
    </xf>
    <xf numFmtId="1" fontId="8" fillId="3" borderId="5" xfId="0" applyNumberFormat="1" applyFont="1" applyFill="1" applyBorder="1" applyAlignment="1">
      <alignment horizontal="left" vertical="center"/>
    </xf>
    <xf numFmtId="3" fontId="8" fillId="6" borderId="5" xfId="0" applyNumberFormat="1" applyFont="1" applyFill="1" applyBorder="1" applyAlignment="1">
      <alignment vertical="center"/>
    </xf>
    <xf numFmtId="3" fontId="8" fillId="3" borderId="5" xfId="0" applyNumberFormat="1" applyFont="1" applyFill="1" applyBorder="1" applyAlignment="1">
      <alignment horizontal="right" vertical="center"/>
    </xf>
    <xf numFmtId="3" fontId="8" fillId="3" borderId="5" xfId="0" quotePrefix="1" applyNumberFormat="1" applyFont="1" applyFill="1" applyBorder="1" applyAlignment="1">
      <alignment horizontal="right" vertical="center"/>
    </xf>
    <xf numFmtId="3" fontId="8" fillId="3" borderId="5" xfId="0" applyNumberFormat="1" applyFont="1" applyFill="1" applyBorder="1" applyAlignment="1">
      <alignment vertical="center"/>
    </xf>
    <xf numFmtId="184" fontId="8" fillId="6" borderId="5" xfId="0" applyNumberFormat="1" applyFont="1" applyFill="1" applyBorder="1" applyAlignment="1">
      <alignment horizontal="right" vertical="center"/>
    </xf>
    <xf numFmtId="3" fontId="4" fillId="0" borderId="7" xfId="0" applyNumberFormat="1" applyFont="1" applyFill="1" applyBorder="1" applyAlignment="1"/>
    <xf numFmtId="3" fontId="4" fillId="0" borderId="7" xfId="0" applyNumberFormat="1" applyFont="1" applyFill="1" applyBorder="1" applyAlignment="1">
      <alignment horizontal="right"/>
    </xf>
    <xf numFmtId="0" fontId="4" fillId="0" borderId="0" xfId="0" applyNumberFormat="1" applyFont="1" applyAlignment="1">
      <alignment horizontal="center"/>
    </xf>
    <xf numFmtId="183" fontId="3" fillId="6" borderId="4" xfId="0" applyNumberFormat="1" applyFont="1" applyFill="1" applyBorder="1" applyAlignment="1">
      <alignment horizontal="right"/>
    </xf>
    <xf numFmtId="183" fontId="3" fillId="6" borderId="7" xfId="0" applyNumberFormat="1" applyFont="1" applyFill="1" applyBorder="1" applyAlignment="1">
      <alignment horizontal="right"/>
    </xf>
    <xf numFmtId="183" fontId="3" fillId="3" borderId="7" xfId="0" applyNumberFormat="1" applyFont="1" applyFill="1" applyBorder="1" applyAlignment="1">
      <alignment horizontal="right"/>
    </xf>
    <xf numFmtId="183" fontId="5" fillId="6" borderId="7" xfId="0" applyNumberFormat="1" applyFont="1" applyFill="1" applyBorder="1" applyAlignment="1">
      <alignment horizontal="right" vertical="center"/>
    </xf>
    <xf numFmtId="183" fontId="5" fillId="3" borderId="7" xfId="0" applyNumberFormat="1" applyFont="1" applyFill="1" applyBorder="1" applyAlignment="1">
      <alignment horizontal="right" vertical="center"/>
    </xf>
    <xf numFmtId="184" fontId="3" fillId="6" borderId="2" xfId="0" applyNumberFormat="1" applyFont="1" applyFill="1" applyBorder="1" applyAlignment="1">
      <alignment horizontal="center"/>
    </xf>
    <xf numFmtId="184" fontId="3" fillId="6" borderId="0" xfId="0" applyNumberFormat="1" applyFont="1" applyFill="1" applyBorder="1" applyAlignment="1">
      <alignment horizontal="center"/>
    </xf>
    <xf numFmtId="184" fontId="3" fillId="6" borderId="3" xfId="0" applyNumberFormat="1" applyFont="1" applyFill="1" applyBorder="1" applyAlignment="1">
      <alignment horizontal="center" vertical="top"/>
    </xf>
    <xf numFmtId="184" fontId="3" fillId="6" borderId="4" xfId="0" applyNumberFormat="1" applyFont="1" applyFill="1" applyBorder="1" applyAlignment="1">
      <alignment horizontal="center"/>
    </xf>
    <xf numFmtId="184" fontId="3" fillId="6" borderId="7" xfId="0" applyNumberFormat="1" applyFont="1" applyFill="1" applyBorder="1" applyAlignment="1">
      <alignment horizontal="center"/>
    </xf>
    <xf numFmtId="184" fontId="5" fillId="6" borderId="7" xfId="0" applyNumberFormat="1" applyFont="1" applyFill="1" applyBorder="1" applyAlignment="1">
      <alignment horizontal="center" vertical="center"/>
    </xf>
    <xf numFmtId="184" fontId="5" fillId="6" borderId="5" xfId="0" applyNumberFormat="1" applyFont="1" applyFill="1" applyBorder="1" applyAlignment="1">
      <alignment horizontal="center" vertical="center"/>
    </xf>
    <xf numFmtId="183" fontId="5" fillId="3" borderId="5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vertical="center"/>
    </xf>
    <xf numFmtId="0" fontId="18" fillId="6" borderId="2" xfId="0" applyFont="1" applyFill="1" applyBorder="1" applyAlignment="1">
      <alignment horizontal="left"/>
    </xf>
    <xf numFmtId="0" fontId="18" fillId="3" borderId="2" xfId="0" applyFont="1" applyFill="1" applyBorder="1" applyAlignment="1">
      <alignment horizontal="right"/>
    </xf>
    <xf numFmtId="0" fontId="18" fillId="6" borderId="2" xfId="0" applyFont="1" applyFill="1" applyBorder="1" applyAlignment="1">
      <alignment horizontal="center"/>
    </xf>
    <xf numFmtId="184" fontId="18" fillId="6" borderId="2" xfId="0" applyNumberFormat="1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/>
    </xf>
    <xf numFmtId="184" fontId="18" fillId="6" borderId="0" xfId="0" applyNumberFormat="1" applyFont="1" applyFill="1" applyBorder="1" applyAlignment="1">
      <alignment horizontal="center"/>
    </xf>
    <xf numFmtId="0" fontId="18" fillId="6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right"/>
    </xf>
    <xf numFmtId="0" fontId="18" fillId="6" borderId="0" xfId="0" applyFont="1" applyFill="1" applyBorder="1" applyAlignment="1">
      <alignment horizontal="right"/>
    </xf>
    <xf numFmtId="3" fontId="3" fillId="6" borderId="4" xfId="0" quotePrefix="1" applyNumberFormat="1" applyFont="1" applyFill="1" applyBorder="1" applyAlignment="1">
      <alignment horizontal="right"/>
    </xf>
    <xf numFmtId="3" fontId="3" fillId="6" borderId="7" xfId="0" quotePrefix="1" applyNumberFormat="1" applyFont="1" applyFill="1" applyBorder="1" applyAlignment="1">
      <alignment horizontal="right"/>
    </xf>
    <xf numFmtId="3" fontId="5" fillId="6" borderId="7" xfId="0" quotePrefix="1" applyNumberFormat="1" applyFont="1" applyFill="1" applyBorder="1" applyAlignment="1">
      <alignment horizontal="right" vertical="center"/>
    </xf>
    <xf numFmtId="184" fontId="18" fillId="6" borderId="3" xfId="0" applyNumberFormat="1" applyFont="1" applyFill="1" applyBorder="1" applyAlignment="1">
      <alignment horizontal="center" vertical="top"/>
    </xf>
    <xf numFmtId="183" fontId="3" fillId="6" borderId="4" xfId="0" applyNumberFormat="1" applyFont="1" applyFill="1" applyBorder="1" applyAlignment="1">
      <alignment horizontal="right" vertical="center"/>
    </xf>
    <xf numFmtId="3" fontId="48" fillId="6" borderId="7" xfId="0" applyNumberFormat="1" applyFont="1" applyFill="1" applyBorder="1" applyAlignment="1">
      <alignment horizontal="right" vertical="center"/>
    </xf>
    <xf numFmtId="3" fontId="48" fillId="3" borderId="7" xfId="0" applyNumberFormat="1" applyFont="1" applyFill="1" applyBorder="1" applyAlignment="1">
      <alignment horizontal="right" vertical="center"/>
    </xf>
    <xf numFmtId="183" fontId="48" fillId="6" borderId="7" xfId="0" applyNumberFormat="1" applyFont="1" applyFill="1" applyBorder="1" applyAlignment="1">
      <alignment horizontal="right" vertical="center"/>
    </xf>
    <xf numFmtId="3" fontId="3" fillId="10" borderId="4" xfId="0" applyNumberFormat="1" applyFont="1" applyFill="1" applyBorder="1" applyAlignment="1">
      <alignment horizontal="right"/>
    </xf>
    <xf numFmtId="0" fontId="3" fillId="9" borderId="4" xfId="0" quotePrefix="1" applyFont="1" applyFill="1" applyBorder="1" applyAlignment="1">
      <alignment horizontal="right"/>
    </xf>
    <xf numFmtId="3" fontId="3" fillId="10" borderId="7" xfId="0" applyNumberFormat="1" applyFont="1" applyFill="1" applyBorder="1" applyAlignment="1">
      <alignment horizontal="right"/>
    </xf>
    <xf numFmtId="0" fontId="3" fillId="9" borderId="7" xfId="0" quotePrefix="1" applyFont="1" applyFill="1" applyBorder="1" applyAlignment="1">
      <alignment horizontal="right"/>
    </xf>
    <xf numFmtId="3" fontId="5" fillId="10" borderId="0" xfId="0" applyNumberFormat="1" applyFont="1" applyFill="1" applyBorder="1" applyAlignment="1">
      <alignment horizontal="right" vertical="center"/>
    </xf>
    <xf numFmtId="0" fontId="5" fillId="9" borderId="0" xfId="0" quotePrefix="1" applyFont="1" applyFill="1" applyBorder="1" applyAlignment="1">
      <alignment horizontal="right" vertical="center"/>
    </xf>
    <xf numFmtId="184" fontId="5" fillId="9" borderId="7" xfId="0" quotePrefix="1" applyNumberFormat="1" applyFont="1" applyFill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0" fontId="3" fillId="6" borderId="4" xfId="0" applyFont="1" applyFill="1" applyBorder="1" applyAlignment="1">
      <alignment horizontal="left"/>
    </xf>
    <xf numFmtId="3" fontId="3" fillId="3" borderId="4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left"/>
    </xf>
    <xf numFmtId="3" fontId="3" fillId="3" borderId="7" xfId="0" applyNumberFormat="1" applyFont="1" applyFill="1" applyBorder="1" applyAlignment="1">
      <alignment horizontal="center" vertical="center"/>
    </xf>
    <xf numFmtId="3" fontId="3" fillId="6" borderId="7" xfId="0" applyNumberFormat="1" applyFont="1" applyFill="1" applyBorder="1" applyAlignment="1">
      <alignment horizontal="center" vertical="center"/>
    </xf>
    <xf numFmtId="3" fontId="5" fillId="3" borderId="0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6" borderId="0" xfId="0" applyNumberFormat="1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 vertical="top"/>
    </xf>
    <xf numFmtId="184" fontId="3" fillId="0" borderId="0" xfId="0" applyNumberFormat="1" applyFont="1" applyFill="1" applyBorder="1" applyAlignment="1">
      <alignment horizontal="right"/>
    </xf>
    <xf numFmtId="184" fontId="5" fillId="0" borderId="0" xfId="0" applyNumberFormat="1" applyFont="1" applyFill="1" applyBorder="1" applyAlignment="1">
      <alignment horizontal="right" vertical="center"/>
    </xf>
    <xf numFmtId="183" fontId="5" fillId="6" borderId="0" xfId="0" applyNumberFormat="1" applyFont="1" applyFill="1" applyBorder="1" applyAlignment="1">
      <alignment horizontal="right" vertical="center"/>
    </xf>
    <xf numFmtId="183" fontId="5" fillId="3" borderId="0" xfId="0" applyNumberFormat="1" applyFont="1" applyFill="1" applyBorder="1" applyAlignment="1">
      <alignment horizontal="right" vertical="center"/>
    </xf>
    <xf numFmtId="0" fontId="5" fillId="0" borderId="0" xfId="0" applyFont="1" applyFill="1"/>
    <xf numFmtId="3" fontId="5" fillId="0" borderId="0" xfId="0" applyNumberFormat="1" applyFont="1" applyFill="1"/>
    <xf numFmtId="3" fontId="3" fillId="3" borderId="0" xfId="0" applyNumberFormat="1" applyFont="1" applyFill="1" applyBorder="1"/>
    <xf numFmtId="184" fontId="5" fillId="6" borderId="0" xfId="0" applyNumberFormat="1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top"/>
    </xf>
    <xf numFmtId="14" fontId="66" fillId="2" borderId="0" xfId="0" applyNumberFormat="1" applyFont="1" applyFill="1"/>
    <xf numFmtId="0" fontId="30" fillId="0" borderId="0" xfId="13" applyAlignment="1">
      <alignment horizontal="center"/>
    </xf>
    <xf numFmtId="0" fontId="32" fillId="0" borderId="3" xfId="13" applyFont="1" applyBorder="1" applyAlignment="1">
      <alignment horizontal="center" wrapText="1" shrinkToFit="1"/>
    </xf>
    <xf numFmtId="0" fontId="30" fillId="0" borderId="3" xfId="13" applyBorder="1" applyAlignment="1">
      <alignment horizontal="center"/>
    </xf>
    <xf numFmtId="0" fontId="30" fillId="0" borderId="3" xfId="13" applyBorder="1"/>
    <xf numFmtId="0" fontId="4" fillId="0" borderId="3" xfId="13" quotePrefix="1" applyFont="1" applyFill="1" applyBorder="1" applyAlignment="1">
      <alignment horizontal="center"/>
    </xf>
    <xf numFmtId="0" fontId="30" fillId="0" borderId="0" xfId="13" applyFill="1"/>
    <xf numFmtId="2" fontId="30" fillId="0" borderId="9" xfId="13" applyNumberFormat="1" applyBorder="1" applyAlignment="1">
      <alignment horizontal="center"/>
    </xf>
    <xf numFmtId="0" fontId="4" fillId="0" borderId="9" xfId="13" applyFont="1" applyFill="1" applyBorder="1" applyAlignment="1">
      <alignment horizontal="center"/>
    </xf>
    <xf numFmtId="2" fontId="4" fillId="0" borderId="3" xfId="13" applyNumberFormat="1" applyFont="1" applyFill="1" applyBorder="1" applyAlignment="1">
      <alignment horizontal="center"/>
    </xf>
    <xf numFmtId="2" fontId="4" fillId="0" borderId="3" xfId="13" applyNumberFormat="1" applyFont="1" applyBorder="1" applyAlignment="1">
      <alignment horizontal="center"/>
    </xf>
    <xf numFmtId="0" fontId="4" fillId="0" borderId="3" xfId="13" applyFont="1" applyFill="1" applyBorder="1" applyAlignment="1">
      <alignment horizontal="center"/>
    </xf>
    <xf numFmtId="0" fontId="4" fillId="0" borderId="9" xfId="13" quotePrefix="1" applyFont="1" applyFill="1" applyBorder="1" applyAlignment="1">
      <alignment horizontal="center"/>
    </xf>
    <xf numFmtId="2" fontId="4" fillId="0" borderId="9" xfId="13" applyNumberFormat="1" applyFont="1" applyFill="1" applyBorder="1" applyAlignment="1">
      <alignment horizontal="center"/>
    </xf>
    <xf numFmtId="2" fontId="30" fillId="0" borderId="3" xfId="13" applyNumberFormat="1" applyBorder="1" applyAlignment="1">
      <alignment horizontal="center"/>
    </xf>
    <xf numFmtId="0" fontId="30" fillId="0" borderId="3" xfId="13" applyFill="1" applyBorder="1" applyAlignment="1">
      <alignment horizontal="center"/>
    </xf>
    <xf numFmtId="0" fontId="8" fillId="0" borderId="3" xfId="13" applyFont="1" applyFill="1" applyBorder="1" applyAlignment="1">
      <alignment horizontal="center"/>
    </xf>
    <xf numFmtId="2" fontId="30" fillId="0" borderId="3" xfId="13" applyNumberFormat="1" applyFill="1" applyBorder="1" applyAlignment="1">
      <alignment horizontal="center"/>
    </xf>
    <xf numFmtId="2" fontId="67" fillId="11" borderId="9" xfId="13" applyNumberFormat="1" applyFont="1" applyFill="1" applyBorder="1" applyAlignment="1">
      <alignment horizontal="center"/>
    </xf>
    <xf numFmtId="0" fontId="67" fillId="11" borderId="9" xfId="13" applyFont="1" applyFill="1" applyBorder="1" applyAlignment="1">
      <alignment horizontal="center"/>
    </xf>
    <xf numFmtId="2" fontId="4" fillId="0" borderId="9" xfId="13" applyNumberFormat="1" applyFont="1" applyBorder="1" applyAlignment="1">
      <alignment horizontal="center"/>
    </xf>
    <xf numFmtId="2" fontId="30" fillId="0" borderId="3" xfId="13" quotePrefix="1" applyNumberFormat="1" applyFill="1" applyBorder="1" applyAlignment="1">
      <alignment horizontal="center"/>
    </xf>
    <xf numFmtId="0" fontId="4" fillId="0" borderId="3" xfId="13" applyFont="1" applyBorder="1" applyAlignment="1">
      <alignment horizontal="center"/>
    </xf>
    <xf numFmtId="2" fontId="4" fillId="0" borderId="3" xfId="13" quotePrefix="1" applyNumberFormat="1" applyFont="1" applyBorder="1" applyAlignment="1">
      <alignment horizontal="center"/>
    </xf>
    <xf numFmtId="2" fontId="30" fillId="0" borderId="9" xfId="13" applyNumberFormat="1" applyFill="1" applyBorder="1" applyAlignment="1">
      <alignment horizontal="center"/>
    </xf>
    <xf numFmtId="0" fontId="26" fillId="0" borderId="9" xfId="13" quotePrefix="1" applyFont="1" applyFill="1" applyBorder="1" applyAlignment="1">
      <alignment horizontal="center"/>
    </xf>
    <xf numFmtId="0" fontId="4" fillId="0" borderId="0" xfId="13" quotePrefix="1" applyFont="1" applyFill="1" applyBorder="1" applyAlignment="1">
      <alignment horizontal="center"/>
    </xf>
    <xf numFmtId="0" fontId="4" fillId="0" borderId="0" xfId="13" applyFont="1" applyFill="1" applyBorder="1" applyAlignment="1">
      <alignment horizontal="center"/>
    </xf>
    <xf numFmtId="0" fontId="8" fillId="0" borderId="0" xfId="13" quotePrefix="1" applyFont="1" applyFill="1" applyBorder="1" applyAlignment="1">
      <alignment horizontal="center"/>
    </xf>
    <xf numFmtId="2" fontId="30" fillId="0" borderId="0" xfId="13" quotePrefix="1" applyNumberFormat="1" applyFill="1" applyBorder="1" applyAlignment="1">
      <alignment horizontal="center"/>
    </xf>
    <xf numFmtId="0" fontId="68" fillId="0" borderId="0" xfId="13" applyFont="1"/>
    <xf numFmtId="2" fontId="30" fillId="0" borderId="0" xfId="13" applyNumberFormat="1" applyBorder="1" applyAlignment="1">
      <alignment horizontal="center"/>
    </xf>
    <xf numFmtId="0" fontId="30" fillId="0" borderId="0" xfId="13" applyBorder="1"/>
    <xf numFmtId="0" fontId="30" fillId="11" borderId="3" xfId="13" applyFill="1" applyBorder="1"/>
    <xf numFmtId="0" fontId="23" fillId="0" borderId="0" xfId="13" applyFont="1" applyAlignment="1">
      <alignment horizontal="left"/>
    </xf>
    <xf numFmtId="0" fontId="30" fillId="0" borderId="9" xfId="13" quotePrefix="1" applyBorder="1" applyAlignment="1">
      <alignment horizontal="center"/>
    </xf>
    <xf numFmtId="0" fontId="68" fillId="0" borderId="0" xfId="13" applyFont="1" applyAlignment="1">
      <alignment horizontal="left"/>
    </xf>
    <xf numFmtId="0" fontId="30" fillId="0" borderId="9" xfId="13" applyBorder="1" applyAlignment="1">
      <alignment horizontal="center"/>
    </xf>
    <xf numFmtId="0" fontId="69" fillId="0" borderId="0" xfId="13" applyFont="1" applyAlignment="1">
      <alignment horizontal="left"/>
    </xf>
    <xf numFmtId="0" fontId="30" fillId="0" borderId="0" xfId="13" applyBorder="1" applyAlignment="1">
      <alignment horizontal="center"/>
    </xf>
    <xf numFmtId="9" fontId="5" fillId="6" borderId="2" xfId="0" applyNumberFormat="1" applyFont="1" applyFill="1" applyBorder="1" applyAlignment="1">
      <alignment horizontal="right" wrapText="1"/>
    </xf>
    <xf numFmtId="9" fontId="5" fillId="3" borderId="2" xfId="0" applyNumberFormat="1" applyFont="1" applyFill="1" applyBorder="1" applyAlignment="1">
      <alignment horizontal="right" wrapText="1"/>
    </xf>
    <xf numFmtId="9" fontId="3" fillId="3" borderId="2" xfId="0" applyNumberFormat="1" applyFont="1" applyFill="1" applyBorder="1" applyAlignment="1">
      <alignment horizontal="center" vertical="center" wrapText="1"/>
    </xf>
    <xf numFmtId="9" fontId="3" fillId="6" borderId="2" xfId="0" applyNumberFormat="1" applyFont="1" applyFill="1" applyBorder="1" applyAlignment="1">
      <alignment horizontal="center" vertical="center" wrapText="1"/>
    </xf>
    <xf numFmtId="9" fontId="3" fillId="6" borderId="0" xfId="0" applyNumberFormat="1" applyFont="1" applyFill="1" applyBorder="1" applyAlignment="1">
      <alignment horizontal="right" wrapText="1"/>
    </xf>
    <xf numFmtId="9" fontId="3" fillId="3" borderId="0" xfId="0" applyNumberFormat="1" applyFont="1" applyFill="1" applyBorder="1" applyAlignment="1">
      <alignment horizontal="right" wrapText="1"/>
    </xf>
    <xf numFmtId="9" fontId="3" fillId="3" borderId="0" xfId="0" applyNumberFormat="1" applyFont="1" applyFill="1" applyBorder="1" applyAlignment="1">
      <alignment horizontal="center" vertical="center" wrapText="1"/>
    </xf>
    <xf numFmtId="9" fontId="3" fillId="6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right" vertical="top"/>
    </xf>
    <xf numFmtId="3" fontId="3" fillId="6" borderId="0" xfId="0" applyNumberFormat="1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center" vertical="center"/>
    </xf>
    <xf numFmtId="3" fontId="3" fillId="6" borderId="0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3" fontId="3" fillId="6" borderId="3" xfId="0" applyNumberFormat="1" applyFont="1" applyFill="1" applyBorder="1" applyAlignment="1">
      <alignment horizontal="center" vertical="center"/>
    </xf>
    <xf numFmtId="183" fontId="5" fillId="6" borderId="4" xfId="0" applyNumberFormat="1" applyFont="1" applyFill="1" applyBorder="1" applyAlignment="1">
      <alignment horizontal="right"/>
    </xf>
    <xf numFmtId="183" fontId="5" fillId="6" borderId="7" xfId="0" applyNumberFormat="1" applyFont="1" applyFill="1" applyBorder="1" applyAlignment="1">
      <alignment horizontal="right"/>
    </xf>
    <xf numFmtId="184" fontId="5" fillId="3" borderId="5" xfId="0" applyNumberFormat="1" applyFont="1" applyFill="1" applyBorder="1" applyAlignment="1">
      <alignment horizontal="center" vertical="center"/>
    </xf>
    <xf numFmtId="3" fontId="3" fillId="7" borderId="8" xfId="0" applyNumberFormat="1" applyFont="1" applyFill="1" applyBorder="1" applyAlignment="1">
      <alignment horizontal="right" vertical="top"/>
    </xf>
    <xf numFmtId="3" fontId="3" fillId="7" borderId="0" xfId="0" applyNumberFormat="1" applyFont="1" applyFill="1" applyBorder="1" applyAlignment="1">
      <alignment horizontal="right" vertical="top"/>
    </xf>
    <xf numFmtId="182" fontId="3" fillId="6" borderId="4" xfId="0" applyNumberFormat="1" applyFont="1" applyFill="1" applyBorder="1" applyAlignment="1">
      <alignment horizontal="right"/>
    </xf>
    <xf numFmtId="182" fontId="3" fillId="6" borderId="7" xfId="0" applyNumberFormat="1" applyFont="1" applyFill="1" applyBorder="1" applyAlignment="1">
      <alignment horizontal="right"/>
    </xf>
    <xf numFmtId="182" fontId="5" fillId="6" borderId="0" xfId="0" applyNumberFormat="1" applyFont="1" applyFill="1" applyBorder="1" applyAlignment="1">
      <alignment horizontal="right" vertical="center"/>
    </xf>
    <xf numFmtId="182" fontId="29" fillId="0" borderId="0" xfId="0" applyNumberFormat="1" applyFont="1"/>
    <xf numFmtId="0" fontId="5" fillId="3" borderId="12" xfId="0" quotePrefix="1" applyFont="1" applyFill="1" applyBorder="1" applyAlignment="1">
      <alignment horizontal="left" vertical="center"/>
    </xf>
    <xf numFmtId="183" fontId="5" fillId="6" borderId="12" xfId="0" applyNumberFormat="1" applyFont="1" applyFill="1" applyBorder="1" applyAlignment="1">
      <alignment horizontal="right" vertical="center"/>
    </xf>
    <xf numFmtId="183" fontId="5" fillId="3" borderId="12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5" fillId="3" borderId="5" xfId="0" quotePrefix="1" applyFont="1" applyFill="1" applyBorder="1" applyAlignment="1">
      <alignment horizontal="left" vertical="center"/>
    </xf>
    <xf numFmtId="0" fontId="4" fillId="7" borderId="8" xfId="0" applyFont="1" applyFill="1" applyBorder="1"/>
    <xf numFmtId="3" fontId="3" fillId="6" borderId="6" xfId="0" applyNumberFormat="1" applyFont="1" applyFill="1" applyBorder="1" applyAlignment="1">
      <alignment horizontal="center"/>
    </xf>
    <xf numFmtId="3" fontId="3" fillId="6" borderId="7" xfId="0" applyNumberFormat="1" applyFont="1" applyFill="1" applyBorder="1" applyAlignment="1">
      <alignment horizontal="center"/>
    </xf>
    <xf numFmtId="184" fontId="5" fillId="6" borderId="0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3" fontId="3" fillId="0" borderId="8" xfId="0" applyNumberFormat="1" applyFont="1" applyBorder="1" applyAlignment="1">
      <alignment horizontal="center" vertical="top"/>
    </xf>
    <xf numFmtId="3" fontId="3" fillId="0" borderId="0" xfId="0" applyNumberFormat="1" applyFont="1" applyBorder="1" applyAlignment="1">
      <alignment horizontal="center" vertical="top"/>
    </xf>
    <xf numFmtId="0" fontId="30" fillId="0" borderId="0" xfId="15"/>
    <xf numFmtId="0" fontId="54" fillId="0" borderId="0" xfId="0" applyFont="1" applyAlignment="1">
      <alignment horizontal="center"/>
    </xf>
    <xf numFmtId="0" fontId="48" fillId="6" borderId="2" xfId="0" applyFont="1" applyFill="1" applyBorder="1" applyAlignment="1">
      <alignment horizontal="center"/>
    </xf>
    <xf numFmtId="3" fontId="5" fillId="6" borderId="0" xfId="0" applyNumberFormat="1" applyFont="1" applyFill="1" applyBorder="1" applyAlignment="1">
      <alignment horizontal="right"/>
    </xf>
    <xf numFmtId="3" fontId="48" fillId="6" borderId="0" xfId="0" applyNumberFormat="1" applyFont="1" applyFill="1" applyBorder="1" applyAlignment="1">
      <alignment horizontal="center"/>
    </xf>
    <xf numFmtId="3" fontId="48" fillId="6" borderId="3" xfId="0" applyNumberFormat="1" applyFont="1" applyFill="1" applyBorder="1" applyAlignment="1">
      <alignment horizontal="center" vertical="top"/>
    </xf>
    <xf numFmtId="3" fontId="5" fillId="6" borderId="6" xfId="0" applyNumberFormat="1" applyFont="1" applyFill="1" applyBorder="1"/>
    <xf numFmtId="184" fontId="48" fillId="6" borderId="6" xfId="0" applyNumberFormat="1" applyFont="1" applyFill="1" applyBorder="1" applyAlignment="1">
      <alignment horizontal="center"/>
    </xf>
    <xf numFmtId="184" fontId="48" fillId="6" borderId="7" xfId="0" applyNumberFormat="1" applyFon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/>
    </xf>
    <xf numFmtId="184" fontId="51" fillId="6" borderId="0" xfId="0" applyNumberFormat="1" applyFont="1" applyFill="1" applyBorder="1" applyAlignment="1">
      <alignment horizontal="center" vertical="center"/>
    </xf>
    <xf numFmtId="3" fontId="5" fillId="6" borderId="6" xfId="0" applyNumberFormat="1" applyFont="1" applyFill="1" applyBorder="1" applyAlignment="1">
      <alignment horizontal="center" vertical="center"/>
    </xf>
    <xf numFmtId="3" fontId="48" fillId="0" borderId="8" xfId="0" applyNumberFormat="1" applyFont="1" applyBorder="1" applyAlignment="1">
      <alignment horizontal="center" vertical="top"/>
    </xf>
    <xf numFmtId="3" fontId="48" fillId="0" borderId="0" xfId="0" applyNumberFormat="1" applyFont="1" applyBorder="1" applyAlignment="1">
      <alignment horizontal="center" vertical="top"/>
    </xf>
    <xf numFmtId="0" fontId="26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" fontId="3" fillId="6" borderId="0" xfId="0" applyNumberFormat="1" applyFont="1" applyFill="1" applyBorder="1" applyAlignment="1">
      <alignment horizontal="center"/>
    </xf>
    <xf numFmtId="9" fontId="3" fillId="3" borderId="6" xfId="0" applyNumberFormat="1" applyFont="1" applyFill="1" applyBorder="1" applyAlignment="1">
      <alignment horizontal="center"/>
    </xf>
    <xf numFmtId="184" fontId="5" fillId="6" borderId="6" xfId="0" applyNumberFormat="1" applyFont="1" applyFill="1" applyBorder="1" applyAlignment="1">
      <alignment vertical="center"/>
    </xf>
    <xf numFmtId="9" fontId="5" fillId="3" borderId="5" xfId="0" applyNumberFormat="1" applyFont="1" applyFill="1" applyBorder="1" applyAlignment="1">
      <alignment horizontal="center" vertical="center"/>
    </xf>
    <xf numFmtId="0" fontId="4" fillId="0" borderId="0" xfId="0" quotePrefix="1" applyFont="1"/>
    <xf numFmtId="3" fontId="48" fillId="6" borderId="0" xfId="0" applyNumberFormat="1" applyFont="1" applyFill="1" applyBorder="1" applyAlignment="1">
      <alignment horizontal="center" vertical="top"/>
    </xf>
    <xf numFmtId="183" fontId="3" fillId="6" borderId="6" xfId="0" quotePrefix="1" applyNumberFormat="1" applyFont="1" applyFill="1" applyBorder="1" applyAlignment="1">
      <alignment horizontal="right"/>
    </xf>
    <xf numFmtId="183" fontId="3" fillId="3" borderId="6" xfId="0" applyNumberFormat="1" applyFont="1" applyFill="1" applyBorder="1" applyAlignment="1">
      <alignment horizontal="center"/>
    </xf>
    <xf numFmtId="183" fontId="3" fillId="3" borderId="6" xfId="0" applyNumberFormat="1" applyFont="1" applyFill="1" applyBorder="1" applyAlignment="1">
      <alignment horizontal="right"/>
    </xf>
    <xf numFmtId="183" fontId="3" fillId="6" borderId="7" xfId="0" quotePrefix="1" applyNumberFormat="1" applyFont="1" applyFill="1" applyBorder="1" applyAlignment="1">
      <alignment horizontal="right"/>
    </xf>
    <xf numFmtId="183" fontId="5" fillId="6" borderId="7" xfId="0" quotePrefix="1" applyNumberFormat="1" applyFont="1" applyFill="1" applyBorder="1" applyAlignment="1">
      <alignment horizontal="right" vertical="center"/>
    </xf>
    <xf numFmtId="182" fontId="4" fillId="0" borderId="8" xfId="0" applyNumberFormat="1" applyFont="1" applyBorder="1"/>
    <xf numFmtId="182" fontId="4" fillId="0" borderId="0" xfId="0" applyNumberFormat="1" applyFont="1" applyBorder="1"/>
    <xf numFmtId="0" fontId="3" fillId="3" borderId="7" xfId="0" quotePrefix="1" applyFont="1" applyFill="1" applyBorder="1" applyAlignment="1">
      <alignment horizontal="left" vertical="center"/>
    </xf>
    <xf numFmtId="184" fontId="3" fillId="3" borderId="7" xfId="0" applyNumberFormat="1" applyFont="1" applyFill="1" applyBorder="1" applyAlignment="1">
      <alignment horizontal="right" vertical="center"/>
    </xf>
    <xf numFmtId="184" fontId="5" fillId="3" borderId="4" xfId="0" applyNumberFormat="1" applyFont="1" applyFill="1" applyBorder="1" applyAlignment="1">
      <alignment horizontal="right" vertical="center"/>
    </xf>
    <xf numFmtId="184" fontId="5" fillId="6" borderId="4" xfId="0" applyNumberFormat="1" applyFont="1" applyFill="1" applyBorder="1" applyAlignment="1">
      <alignment horizontal="right" vertical="center"/>
    </xf>
    <xf numFmtId="0" fontId="1" fillId="0" borderId="0" xfId="0" applyFont="1" applyAlignment="1"/>
    <xf numFmtId="0" fontId="13" fillId="4" borderId="0" xfId="0" applyFont="1" applyFill="1"/>
    <xf numFmtId="0" fontId="8" fillId="4" borderId="0" xfId="0" applyFont="1" applyFill="1"/>
    <xf numFmtId="14" fontId="66" fillId="5" borderId="0" xfId="0" applyNumberFormat="1" applyFont="1" applyFill="1"/>
    <xf numFmtId="184" fontId="5" fillId="3" borderId="0" xfId="0" applyNumberFormat="1" applyFont="1" applyFill="1" applyBorder="1" applyAlignment="1">
      <alignment horizontal="center" vertical="center"/>
    </xf>
    <xf numFmtId="0" fontId="70" fillId="0" borderId="0" xfId="0" applyFont="1"/>
    <xf numFmtId="182" fontId="70" fillId="0" borderId="0" xfId="0" applyNumberFormat="1" applyFont="1" applyBorder="1"/>
    <xf numFmtId="0" fontId="32" fillId="0" borderId="0" xfId="15" applyFont="1"/>
    <xf numFmtId="0" fontId="4" fillId="0" borderId="0" xfId="15" applyFont="1"/>
    <xf numFmtId="0" fontId="8" fillId="0" borderId="0" xfId="15" applyFont="1"/>
    <xf numFmtId="0" fontId="71" fillId="0" borderId="0" xfId="15" applyFont="1" applyAlignment="1">
      <alignment horizontal="center"/>
    </xf>
    <xf numFmtId="0" fontId="71" fillId="0" borderId="0" xfId="15" applyFont="1"/>
    <xf numFmtId="0" fontId="72" fillId="0" borderId="0" xfId="15" applyFont="1"/>
    <xf numFmtId="0" fontId="73" fillId="0" borderId="0" xfId="15" applyFont="1"/>
    <xf numFmtId="0" fontId="30" fillId="0" borderId="0" xfId="15" applyAlignment="1">
      <alignment horizontal="center"/>
    </xf>
    <xf numFmtId="0" fontId="30" fillId="11" borderId="0" xfId="15" applyFont="1" applyFill="1"/>
    <xf numFmtId="0" fontId="4" fillId="11" borderId="0" xfId="15" applyFont="1" applyFill="1"/>
    <xf numFmtId="0" fontId="8" fillId="11" borderId="0" xfId="15" applyFont="1" applyFill="1"/>
    <xf numFmtId="0" fontId="74" fillId="11" borderId="0" xfId="15" applyFont="1" applyFill="1" applyAlignment="1">
      <alignment horizontal="center" wrapText="1"/>
    </xf>
    <xf numFmtId="1" fontId="46" fillId="0" borderId="0" xfId="15" applyNumberFormat="1" applyFont="1" applyFill="1" applyAlignment="1">
      <alignment horizontal="right"/>
    </xf>
    <xf numFmtId="1" fontId="46" fillId="0" borderId="0" xfId="15" applyNumberFormat="1" applyFont="1" applyFill="1"/>
    <xf numFmtId="1" fontId="46" fillId="0" borderId="0" xfId="15" applyNumberFormat="1" applyFont="1"/>
    <xf numFmtId="1" fontId="18" fillId="0" borderId="0" xfId="15" applyNumberFormat="1" applyFont="1"/>
    <xf numFmtId="1" fontId="39" fillId="0" borderId="0" xfId="15" applyNumberFormat="1" applyFont="1"/>
    <xf numFmtId="10" fontId="46" fillId="0" borderId="0" xfId="15" applyNumberFormat="1" applyFont="1" applyAlignment="1">
      <alignment horizontal="center"/>
    </xf>
    <xf numFmtId="1" fontId="46" fillId="0" borderId="0" xfId="15" applyNumberFormat="1" applyFont="1" applyAlignment="1">
      <alignment horizontal="right"/>
    </xf>
    <xf numFmtId="0" fontId="68" fillId="0" borderId="0" xfId="15" applyFont="1"/>
    <xf numFmtId="1" fontId="53" fillId="0" borderId="0" xfId="15" applyNumberFormat="1" applyFont="1" applyAlignment="1">
      <alignment horizontal="right"/>
    </xf>
    <xf numFmtId="1" fontId="53" fillId="0" borderId="0" xfId="15" applyNumberFormat="1" applyFont="1"/>
    <xf numFmtId="1" fontId="75" fillId="0" borderId="0" xfId="15" applyNumberFormat="1" applyFont="1"/>
    <xf numFmtId="10" fontId="53" fillId="0" borderId="0" xfId="15" applyNumberFormat="1" applyFont="1" applyAlignment="1">
      <alignment horizontal="center"/>
    </xf>
    <xf numFmtId="0" fontId="30" fillId="0" borderId="0" xfId="15" applyAlignment="1">
      <alignment horizontal="right"/>
    </xf>
    <xf numFmtId="10" fontId="53" fillId="0" borderId="0" xfId="15" applyNumberFormat="1" applyFont="1" applyAlignment="1">
      <alignment horizontal="right"/>
    </xf>
    <xf numFmtId="10" fontId="53" fillId="0" borderId="0" xfId="15" applyNumberFormat="1" applyFont="1"/>
    <xf numFmtId="1" fontId="53" fillId="0" borderId="0" xfId="15" quotePrefix="1" applyNumberFormat="1" applyFont="1" applyAlignment="1">
      <alignment horizontal="right"/>
    </xf>
    <xf numFmtId="1" fontId="74" fillId="0" borderId="0" xfId="15" applyNumberFormat="1" applyFont="1"/>
    <xf numFmtId="0" fontId="30" fillId="0" borderId="0" xfId="15" quotePrefix="1" applyAlignment="1">
      <alignment horizontal="right"/>
    </xf>
    <xf numFmtId="1" fontId="53" fillId="0" borderId="0" xfId="15" applyNumberFormat="1" applyFont="1" applyFill="1"/>
    <xf numFmtId="0" fontId="23" fillId="0" borderId="0" xfId="15" quotePrefix="1" applyFont="1"/>
    <xf numFmtId="0" fontId="23" fillId="0" borderId="0" xfId="15" applyFont="1"/>
    <xf numFmtId="0" fontId="71" fillId="0" borderId="0" xfId="15" quotePrefix="1" applyFont="1"/>
    <xf numFmtId="0" fontId="18" fillId="0" borderId="0" xfId="15" applyFont="1" applyAlignment="1">
      <alignment horizontal="center"/>
    </xf>
    <xf numFmtId="0" fontId="77" fillId="0" borderId="0" xfId="15" applyFont="1" applyAlignment="1">
      <alignment horizontal="center"/>
    </xf>
    <xf numFmtId="0" fontId="39" fillId="11" borderId="0" xfId="15" applyFont="1" applyFill="1" applyAlignment="1">
      <alignment horizontal="center" wrapText="1"/>
    </xf>
    <xf numFmtId="3" fontId="18" fillId="0" borderId="0" xfId="15" applyNumberFormat="1" applyFont="1" applyAlignment="1">
      <alignment horizontal="right"/>
    </xf>
    <xf numFmtId="3" fontId="18" fillId="0" borderId="0" xfId="15" applyNumberFormat="1" applyFont="1"/>
    <xf numFmtId="3" fontId="39" fillId="0" borderId="0" xfId="15" applyNumberFormat="1" applyFont="1"/>
    <xf numFmtId="10" fontId="18" fillId="0" borderId="0" xfId="15" applyNumberFormat="1" applyFont="1" applyAlignment="1">
      <alignment horizontal="center"/>
    </xf>
    <xf numFmtId="3" fontId="53" fillId="0" borderId="0" xfId="15" applyNumberFormat="1" applyFont="1" applyAlignment="1">
      <alignment horizontal="right"/>
    </xf>
    <xf numFmtId="3" fontId="53" fillId="0" borderId="0" xfId="15" applyNumberFormat="1" applyFont="1"/>
    <xf numFmtId="3" fontId="75" fillId="0" borderId="0" xfId="15" applyNumberFormat="1" applyFont="1"/>
    <xf numFmtId="3" fontId="53" fillId="0" borderId="0" xfId="15" applyNumberFormat="1" applyFont="1" applyFill="1" applyAlignment="1">
      <alignment horizontal="right"/>
    </xf>
    <xf numFmtId="3" fontId="18" fillId="0" borderId="0" xfId="15" applyNumberFormat="1" applyFont="1" applyFill="1" applyAlignment="1">
      <alignment horizontal="right"/>
    </xf>
    <xf numFmtId="3" fontId="18" fillId="0" borderId="0" xfId="15" applyNumberFormat="1" applyFont="1" applyFill="1"/>
    <xf numFmtId="10" fontId="18" fillId="0" borderId="0" xfId="15" applyNumberFormat="1" applyFont="1"/>
    <xf numFmtId="3" fontId="53" fillId="0" borderId="0" xfId="15" applyNumberFormat="1" applyFont="1" applyFill="1"/>
    <xf numFmtId="10" fontId="53" fillId="0" borderId="0" xfId="15" applyNumberFormat="1" applyFont="1" applyFill="1"/>
    <xf numFmtId="0" fontId="30" fillId="0" borderId="0" xfId="15" applyFont="1"/>
    <xf numFmtId="0" fontId="78" fillId="0" borderId="0" xfId="15" applyFont="1"/>
    <xf numFmtId="0" fontId="79" fillId="0" borderId="0" xfId="15" applyFont="1" applyAlignment="1">
      <alignment horizontal="center"/>
    </xf>
    <xf numFmtId="0" fontId="71" fillId="0" borderId="0" xfId="15" applyFont="1" applyAlignment="1">
      <alignment vertical="center"/>
    </xf>
    <xf numFmtId="0" fontId="80" fillId="0" borderId="17" xfId="15" applyFont="1" applyBorder="1"/>
    <xf numFmtId="0" fontId="30" fillId="0" borderId="18" xfId="15" applyFont="1" applyBorder="1"/>
    <xf numFmtId="0" fontId="30" fillId="0" borderId="2" xfId="15" applyFont="1" applyBorder="1"/>
    <xf numFmtId="0" fontId="30" fillId="0" borderId="19" xfId="15" applyFont="1" applyBorder="1" applyAlignment="1">
      <alignment horizontal="center"/>
    </xf>
    <xf numFmtId="0" fontId="30" fillId="0" borderId="16" xfId="15" applyFont="1" applyBorder="1" applyAlignment="1">
      <alignment horizontal="center"/>
    </xf>
    <xf numFmtId="0" fontId="4" fillId="0" borderId="16" xfId="15" applyFont="1" applyBorder="1" applyAlignment="1">
      <alignment horizontal="center"/>
    </xf>
    <xf numFmtId="0" fontId="79" fillId="0" borderId="0" xfId="15" applyFont="1" applyBorder="1" applyAlignment="1">
      <alignment horizontal="center"/>
    </xf>
    <xf numFmtId="0" fontId="80" fillId="0" borderId="1" xfId="15" applyFont="1" applyBorder="1"/>
    <xf numFmtId="0" fontId="30" fillId="0" borderId="0" xfId="15" applyFont="1" applyBorder="1" applyAlignment="1">
      <alignment horizontal="center"/>
    </xf>
    <xf numFmtId="0" fontId="30" fillId="0" borderId="0" xfId="15" applyFont="1" applyBorder="1"/>
    <xf numFmtId="0" fontId="30" fillId="0" borderId="20" xfId="15" applyFont="1" applyBorder="1"/>
    <xf numFmtId="0" fontId="81" fillId="0" borderId="21" xfId="15" applyFont="1" applyBorder="1"/>
    <xf numFmtId="0" fontId="78" fillId="0" borderId="3" xfId="15" applyFont="1" applyBorder="1"/>
    <xf numFmtId="0" fontId="78" fillId="0" borderId="22" xfId="15" applyFont="1" applyBorder="1"/>
    <xf numFmtId="0" fontId="78" fillId="0" borderId="16" xfId="15" applyFont="1" applyBorder="1" applyAlignment="1">
      <alignment horizontal="center"/>
    </xf>
    <xf numFmtId="0" fontId="3" fillId="8" borderId="0" xfId="0" applyFont="1" applyFill="1" applyAlignment="1">
      <alignment horizontal="left"/>
    </xf>
    <xf numFmtId="0" fontId="3" fillId="8" borderId="0" xfId="0" applyFont="1" applyFill="1"/>
    <xf numFmtId="0" fontId="3" fillId="6" borderId="2" xfId="0" applyFont="1" applyFill="1" applyBorder="1" applyAlignment="1">
      <alignment horizontal="center" wrapText="1"/>
    </xf>
    <xf numFmtId="3" fontId="3" fillId="6" borderId="0" xfId="0" applyNumberFormat="1" applyFont="1" applyFill="1" applyBorder="1" applyAlignment="1">
      <alignment horizontal="left"/>
    </xf>
    <xf numFmtId="182" fontId="3" fillId="3" borderId="4" xfId="0" applyNumberFormat="1" applyFont="1" applyFill="1" applyBorder="1" applyAlignment="1">
      <alignment horizontal="left"/>
    </xf>
    <xf numFmtId="3" fontId="3" fillId="6" borderId="23" xfId="0" applyNumberFormat="1" applyFont="1" applyFill="1" applyBorder="1"/>
    <xf numFmtId="3" fontId="3" fillId="6" borderId="24" xfId="0" applyNumberFormat="1" applyFont="1" applyFill="1" applyBorder="1"/>
    <xf numFmtId="3" fontId="3" fillId="6" borderId="24" xfId="0" applyNumberFormat="1" applyFont="1" applyFill="1" applyBorder="1" applyAlignment="1">
      <alignment horizontal="right"/>
    </xf>
    <xf numFmtId="182" fontId="3" fillId="3" borderId="5" xfId="0" applyNumberFormat="1" applyFont="1" applyFill="1" applyBorder="1" applyAlignment="1">
      <alignment horizontal="left"/>
    </xf>
    <xf numFmtId="3" fontId="3" fillId="6" borderId="5" xfId="0" applyNumberFormat="1" applyFont="1" applyFill="1" applyBorder="1"/>
    <xf numFmtId="3" fontId="3" fillId="3" borderId="5" xfId="0" applyNumberFormat="1" applyFont="1" applyFill="1" applyBorder="1"/>
    <xf numFmtId="3" fontId="3" fillId="6" borderId="25" xfId="0" applyNumberFormat="1" applyFont="1" applyFill="1" applyBorder="1"/>
    <xf numFmtId="0" fontId="71" fillId="0" borderId="0" xfId="0" applyFont="1"/>
    <xf numFmtId="2" fontId="82" fillId="0" borderId="0" xfId="1" applyNumberFormat="1" applyFont="1"/>
    <xf numFmtId="0" fontId="2" fillId="7" borderId="0" xfId="0" applyFont="1" applyFill="1" applyAlignment="1">
      <alignment horizontal="center"/>
    </xf>
    <xf numFmtId="0" fontId="2" fillId="7" borderId="3" xfId="0" applyFont="1" applyFill="1" applyBorder="1"/>
    <xf numFmtId="0" fontId="2" fillId="7" borderId="3" xfId="0" applyFont="1" applyFill="1" applyBorder="1" applyAlignment="1">
      <alignment horizontal="center"/>
    </xf>
    <xf numFmtId="1" fontId="48" fillId="3" borderId="0" xfId="0" applyNumberFormat="1" applyFont="1" applyFill="1" applyBorder="1" applyAlignment="1">
      <alignment horizontal="left" vertical="center"/>
    </xf>
    <xf numFmtId="3" fontId="48" fillId="6" borderId="0" xfId="0" applyNumberFormat="1" applyFont="1" applyFill="1" applyBorder="1" applyAlignment="1">
      <alignment horizontal="right" vertical="center"/>
    </xf>
    <xf numFmtId="3" fontId="48" fillId="3" borderId="0" xfId="0" applyNumberFormat="1" applyFont="1" applyFill="1" applyBorder="1" applyAlignment="1">
      <alignment horizontal="right" vertical="center"/>
    </xf>
    <xf numFmtId="1" fontId="4" fillId="7" borderId="8" xfId="0" applyNumberFormat="1" applyFont="1" applyFill="1" applyBorder="1" applyAlignment="1">
      <alignment horizontal="left"/>
    </xf>
    <xf numFmtId="183" fontId="3" fillId="7" borderId="8" xfId="0" applyNumberFormat="1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left"/>
    </xf>
    <xf numFmtId="0" fontId="5" fillId="6" borderId="3" xfId="0" applyFont="1" applyFill="1" applyBorder="1" applyAlignment="1">
      <alignment horizontal="center" vertical="top"/>
    </xf>
    <xf numFmtId="184" fontId="5" fillId="6" borderId="6" xfId="0" applyNumberFormat="1" applyFont="1" applyFill="1" applyBorder="1" applyAlignment="1">
      <alignment horizontal="right"/>
    </xf>
    <xf numFmtId="184" fontId="5" fillId="3" borderId="6" xfId="0" applyNumberFormat="1" applyFont="1" applyFill="1" applyBorder="1" applyAlignment="1">
      <alignment horizontal="right"/>
    </xf>
    <xf numFmtId="184" fontId="5" fillId="6" borderId="6" xfId="0" applyNumberFormat="1" applyFont="1" applyFill="1" applyBorder="1" applyAlignment="1">
      <alignment horizontal="right" vertical="center"/>
    </xf>
    <xf numFmtId="0" fontId="8" fillId="7" borderId="8" xfId="0" applyFont="1" applyFill="1" applyBorder="1"/>
    <xf numFmtId="0" fontId="8" fillId="7" borderId="8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6" borderId="0" xfId="0" applyFont="1" applyFill="1" applyBorder="1" applyAlignment="1">
      <alignment horizontal="center"/>
    </xf>
    <xf numFmtId="184" fontId="5" fillId="3" borderId="5" xfId="0" applyNumberFormat="1" applyFont="1" applyFill="1" applyBorder="1" applyAlignment="1">
      <alignment horizontal="right" vertical="center"/>
    </xf>
    <xf numFmtId="0" fontId="8" fillId="0" borderId="8" xfId="0" applyFont="1" applyBorder="1" applyAlignment="1">
      <alignment horizontal="center"/>
    </xf>
    <xf numFmtId="0" fontId="8" fillId="12" borderId="0" xfId="0" applyFont="1" applyFill="1"/>
    <xf numFmtId="0" fontId="4" fillId="12" borderId="0" xfId="0" applyFont="1" applyFill="1"/>
    <xf numFmtId="182" fontId="5" fillId="6" borderId="7" xfId="0" applyNumberFormat="1" applyFont="1" applyFill="1" applyBorder="1" applyAlignment="1">
      <alignment horizontal="left"/>
    </xf>
    <xf numFmtId="184" fontId="5" fillId="6" borderId="7" xfId="0" applyNumberFormat="1" applyFont="1" applyFill="1" applyBorder="1" applyAlignment="1">
      <alignment horizontal="right"/>
    </xf>
    <xf numFmtId="184" fontId="5" fillId="3" borderId="4" xfId="0" applyNumberFormat="1" applyFont="1" applyFill="1" applyBorder="1" applyAlignment="1">
      <alignment horizontal="right"/>
    </xf>
    <xf numFmtId="184" fontId="5" fillId="6" borderId="4" xfId="0" applyNumberFormat="1" applyFont="1" applyFill="1" applyBorder="1" applyAlignment="1">
      <alignment horizontal="right"/>
    </xf>
    <xf numFmtId="0" fontId="51" fillId="6" borderId="0" xfId="0" applyFont="1" applyFill="1" applyBorder="1" applyAlignment="1">
      <alignment horizontal="left" vertical="center"/>
    </xf>
    <xf numFmtId="184" fontId="51" fillId="6" borderId="0" xfId="0" applyNumberFormat="1" applyFont="1" applyFill="1" applyBorder="1" applyAlignment="1">
      <alignment horizontal="right" vertical="center"/>
    </xf>
    <xf numFmtId="184" fontId="51" fillId="3" borderId="0" xfId="0" applyNumberFormat="1" applyFont="1" applyFill="1" applyBorder="1" applyAlignment="1">
      <alignment horizontal="right" vertical="center"/>
    </xf>
    <xf numFmtId="184" fontId="51" fillId="3" borderId="4" xfId="0" applyNumberFormat="1" applyFont="1" applyFill="1" applyBorder="1" applyAlignment="1">
      <alignment horizontal="right" vertical="center"/>
    </xf>
    <xf numFmtId="184" fontId="51" fillId="6" borderId="5" xfId="0" applyNumberFormat="1" applyFont="1" applyFill="1" applyBorder="1" applyAlignment="1">
      <alignment horizontal="right" vertical="center"/>
    </xf>
    <xf numFmtId="184" fontId="51" fillId="3" borderId="5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wrapText="1"/>
    </xf>
    <xf numFmtId="0" fontId="46" fillId="0" borderId="0" xfId="0" applyFont="1"/>
    <xf numFmtId="0" fontId="84" fillId="0" borderId="0" xfId="0" applyFont="1" applyBorder="1"/>
    <xf numFmtId="0" fontId="70" fillId="0" borderId="0" xfId="0" applyFont="1" applyAlignment="1"/>
    <xf numFmtId="0" fontId="70" fillId="0" borderId="16" xfId="0" applyFont="1" applyBorder="1" applyAlignment="1">
      <alignment horizontal="center" vertical="top" wrapText="1"/>
    </xf>
    <xf numFmtId="0" fontId="1" fillId="7" borderId="0" xfId="0" applyFont="1" applyFill="1" applyAlignment="1">
      <alignment horizontal="right"/>
    </xf>
    <xf numFmtId="0" fontId="70" fillId="0" borderId="19" xfId="0" applyFont="1" applyBorder="1" applyAlignment="1">
      <alignment horizontal="justify" vertical="top" wrapText="1"/>
    </xf>
    <xf numFmtId="0" fontId="70" fillId="0" borderId="16" xfId="0" applyFont="1" applyBorder="1" applyAlignment="1">
      <alignment horizontal="justify" vertical="top" wrapText="1"/>
    </xf>
    <xf numFmtId="0" fontId="85" fillId="0" borderId="26" xfId="0" applyFont="1" applyBorder="1" applyAlignment="1">
      <alignment horizontal="center" vertical="top" wrapText="1"/>
    </xf>
    <xf numFmtId="9" fontId="85" fillId="0" borderId="22" xfId="0" applyNumberFormat="1" applyFont="1" applyBorder="1" applyAlignment="1">
      <alignment horizontal="justify" vertical="top" wrapText="1"/>
    </xf>
    <xf numFmtId="183" fontId="3" fillId="0" borderId="0" xfId="0" applyNumberFormat="1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4" fillId="7" borderId="0" xfId="0" applyFont="1" applyFill="1" applyAlignment="1">
      <alignment horizontal="right"/>
    </xf>
    <xf numFmtId="0" fontId="3" fillId="3" borderId="4" xfId="0" applyNumberFormat="1" applyFont="1" applyFill="1" applyBorder="1" applyAlignment="1">
      <alignment horizontal="left"/>
    </xf>
    <xf numFmtId="0" fontId="3" fillId="3" borderId="7" xfId="0" applyNumberFormat="1" applyFont="1" applyFill="1" applyBorder="1" applyAlignment="1">
      <alignment horizontal="left"/>
    </xf>
    <xf numFmtId="1" fontId="4" fillId="0" borderId="8" xfId="0" applyNumberFormat="1" applyFont="1" applyFill="1" applyBorder="1" applyAlignment="1">
      <alignment horizontal="left"/>
    </xf>
    <xf numFmtId="183" fontId="3" fillId="0" borderId="8" xfId="0" applyNumberFormat="1" applyFont="1" applyFill="1" applyBorder="1" applyAlignment="1">
      <alignment horizontal="right"/>
    </xf>
    <xf numFmtId="0" fontId="67" fillId="0" borderId="0" xfId="0" applyFont="1" applyAlignment="1">
      <alignment vertical="center"/>
    </xf>
    <xf numFmtId="1" fontId="4" fillId="7" borderId="0" xfId="0" applyNumberFormat="1" applyFont="1" applyFill="1" applyBorder="1" applyAlignment="1">
      <alignment horizontal="left"/>
    </xf>
    <xf numFmtId="183" fontId="3" fillId="7" borderId="0" xfId="0" applyNumberFormat="1" applyFont="1" applyFill="1" applyBorder="1" applyAlignment="1">
      <alignment horizontal="right"/>
    </xf>
    <xf numFmtId="183" fontId="48" fillId="6" borderId="7" xfId="0" applyNumberFormat="1" applyFont="1" applyFill="1" applyBorder="1" applyAlignment="1">
      <alignment horizontal="right"/>
    </xf>
    <xf numFmtId="183" fontId="48" fillId="3" borderId="7" xfId="0" applyNumberFormat="1" applyFont="1" applyFill="1" applyBorder="1" applyAlignment="1">
      <alignment horizontal="right"/>
    </xf>
    <xf numFmtId="3" fontId="48" fillId="3" borderId="7" xfId="0" applyNumberFormat="1" applyFont="1" applyFill="1" applyBorder="1" applyAlignment="1">
      <alignment horizontal="right"/>
    </xf>
    <xf numFmtId="184" fontId="48" fillId="6" borderId="7" xfId="0" applyNumberFormat="1" applyFont="1" applyFill="1" applyBorder="1" applyAlignment="1">
      <alignment horizontal="right"/>
    </xf>
    <xf numFmtId="183" fontId="48" fillId="3" borderId="5" xfId="0" applyNumberFormat="1" applyFont="1" applyFill="1" applyBorder="1" applyAlignment="1">
      <alignment horizontal="right"/>
    </xf>
    <xf numFmtId="184" fontId="48" fillId="6" borderId="5" xfId="0" applyNumberFormat="1" applyFont="1" applyFill="1" applyBorder="1" applyAlignment="1">
      <alignment horizontal="right"/>
    </xf>
    <xf numFmtId="0" fontId="5" fillId="6" borderId="27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6" borderId="28" xfId="0" applyFont="1" applyFill="1" applyBorder="1" applyAlignment="1">
      <alignment horizontal="left"/>
    </xf>
    <xf numFmtId="0" fontId="3" fillId="6" borderId="29" xfId="0" applyFont="1" applyFill="1" applyBorder="1" applyAlignment="1">
      <alignment horizontal="right"/>
    </xf>
    <xf numFmtId="0" fontId="3" fillId="6" borderId="28" xfId="0" applyFont="1" applyFill="1" applyBorder="1" applyAlignment="1">
      <alignment horizontal="right" vertical="top"/>
    </xf>
    <xf numFmtId="1" fontId="3" fillId="3" borderId="6" xfId="0" applyNumberFormat="1" applyFont="1" applyFill="1" applyBorder="1" applyAlignment="1">
      <alignment horizontal="left"/>
    </xf>
    <xf numFmtId="183" fontId="3" fillId="6" borderId="6" xfId="0" applyNumberFormat="1" applyFont="1" applyFill="1" applyBorder="1" applyAlignment="1">
      <alignment horizontal="right"/>
    </xf>
    <xf numFmtId="183" fontId="3" fillId="6" borderId="30" xfId="0" applyNumberFormat="1" applyFont="1" applyFill="1" applyBorder="1" applyAlignment="1">
      <alignment horizontal="right"/>
    </xf>
    <xf numFmtId="183" fontId="3" fillId="6" borderId="31" xfId="0" applyNumberFormat="1" applyFont="1" applyFill="1" applyBorder="1" applyAlignment="1">
      <alignment horizontal="right"/>
    </xf>
    <xf numFmtId="183" fontId="5" fillId="6" borderId="32" xfId="0" applyNumberFormat="1" applyFont="1" applyFill="1" applyBorder="1" applyAlignment="1">
      <alignment horizontal="right" vertical="center"/>
    </xf>
    <xf numFmtId="0" fontId="26" fillId="7" borderId="0" xfId="0" applyFont="1" applyFill="1"/>
    <xf numFmtId="0" fontId="2" fillId="7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right"/>
    </xf>
    <xf numFmtId="0" fontId="5" fillId="6" borderId="0" xfId="0" applyFont="1" applyFill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right" wrapText="1"/>
    </xf>
    <xf numFmtId="0" fontId="5" fillId="3" borderId="28" xfId="0" applyFont="1" applyFill="1" applyBorder="1" applyAlignment="1">
      <alignment horizontal="left"/>
    </xf>
    <xf numFmtId="0" fontId="3" fillId="3" borderId="9" xfId="0" applyFont="1" applyFill="1" applyBorder="1" applyAlignment="1">
      <alignment vertical="center"/>
    </xf>
    <xf numFmtId="0" fontId="5" fillId="6" borderId="0" xfId="0" applyFont="1" applyFill="1" applyBorder="1" applyAlignment="1">
      <alignment horizontal="right" wrapText="1"/>
    </xf>
    <xf numFmtId="0" fontId="3" fillId="3" borderId="29" xfId="0" applyFont="1" applyFill="1" applyBorder="1" applyAlignment="1">
      <alignment horizontal="right"/>
    </xf>
    <xf numFmtId="0" fontId="3" fillId="3" borderId="29" xfId="0" applyFont="1" applyFill="1" applyBorder="1" applyAlignment="1">
      <alignment horizontal="right" vertical="top"/>
    </xf>
    <xf numFmtId="0" fontId="3" fillId="3" borderId="28" xfId="0" applyFont="1" applyFill="1" applyBorder="1" applyAlignment="1">
      <alignment horizontal="right" vertical="top"/>
    </xf>
    <xf numFmtId="183" fontId="3" fillId="6" borderId="4" xfId="0" quotePrefix="1" applyNumberFormat="1" applyFont="1" applyFill="1" applyBorder="1" applyAlignment="1">
      <alignment horizontal="right"/>
    </xf>
    <xf numFmtId="183" fontId="3" fillId="3" borderId="4" xfId="0" quotePrefix="1" applyNumberFormat="1" applyFont="1" applyFill="1" applyBorder="1" applyAlignment="1">
      <alignment horizontal="right"/>
    </xf>
    <xf numFmtId="183" fontId="3" fillId="3" borderId="33" xfId="0" quotePrefix="1" applyNumberFormat="1" applyFont="1" applyFill="1" applyBorder="1" applyAlignment="1">
      <alignment horizontal="right"/>
    </xf>
    <xf numFmtId="183" fontId="48" fillId="3" borderId="6" xfId="0" quotePrefix="1" applyNumberFormat="1" applyFont="1" applyFill="1" applyBorder="1" applyAlignment="1">
      <alignment horizontal="right"/>
    </xf>
    <xf numFmtId="183" fontId="48" fillId="6" borderId="4" xfId="0" quotePrefix="1" applyNumberFormat="1" applyFont="1" applyFill="1" applyBorder="1" applyAlignment="1">
      <alignment horizontal="right"/>
    </xf>
    <xf numFmtId="183" fontId="3" fillId="3" borderId="30" xfId="0" quotePrefix="1" applyNumberFormat="1" applyFont="1" applyFill="1" applyBorder="1" applyAlignment="1">
      <alignment horizontal="right"/>
    </xf>
    <xf numFmtId="183" fontId="48" fillId="3" borderId="4" xfId="0" applyNumberFormat="1" applyFont="1" applyFill="1" applyBorder="1" applyAlignment="1">
      <alignment horizontal="right"/>
    </xf>
    <xf numFmtId="183" fontId="48" fillId="6" borderId="6" xfId="0" quotePrefix="1" applyNumberFormat="1" applyFont="1" applyFill="1" applyBorder="1" applyAlignment="1">
      <alignment horizontal="right"/>
    </xf>
    <xf numFmtId="183" fontId="48" fillId="3" borderId="4" xfId="0" quotePrefix="1" applyNumberFormat="1" applyFont="1" applyFill="1" applyBorder="1" applyAlignment="1">
      <alignment horizontal="right"/>
    </xf>
    <xf numFmtId="183" fontId="5" fillId="6" borderId="6" xfId="0" quotePrefix="1" applyNumberFormat="1" applyFont="1" applyFill="1" applyBorder="1" applyAlignment="1">
      <alignment horizontal="right" vertical="center"/>
    </xf>
    <xf numFmtId="183" fontId="5" fillId="6" borderId="4" xfId="0" quotePrefix="1" applyNumberFormat="1" applyFont="1" applyFill="1" applyBorder="1" applyAlignment="1">
      <alignment horizontal="right" vertical="center"/>
    </xf>
    <xf numFmtId="183" fontId="5" fillId="3" borderId="34" xfId="0" quotePrefix="1" applyNumberFormat="1" applyFont="1" applyFill="1" applyBorder="1" applyAlignment="1">
      <alignment horizontal="right" vertical="center"/>
    </xf>
    <xf numFmtId="183" fontId="5" fillId="3" borderId="4" xfId="0" quotePrefix="1" applyNumberFormat="1" applyFont="1" applyFill="1" applyBorder="1" applyAlignment="1">
      <alignment horizontal="right" vertical="center"/>
    </xf>
    <xf numFmtId="183" fontId="5" fillId="3" borderId="4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1" fontId="86" fillId="0" borderId="0" xfId="0" applyNumberFormat="1" applyFont="1" applyFill="1" applyBorder="1" applyAlignment="1">
      <alignment horizontal="left"/>
    </xf>
    <xf numFmtId="0" fontId="5" fillId="6" borderId="29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right" vertical="top"/>
    </xf>
    <xf numFmtId="0" fontId="4" fillId="6" borderId="29" xfId="0" applyFont="1" applyFill="1" applyBorder="1" applyAlignment="1">
      <alignment horizontal="right" vertical="top"/>
    </xf>
    <xf numFmtId="183" fontId="3" fillId="6" borderId="33" xfId="0" quotePrefix="1" applyNumberFormat="1" applyFont="1" applyFill="1" applyBorder="1" applyAlignment="1">
      <alignment horizontal="right"/>
    </xf>
    <xf numFmtId="183" fontId="3" fillId="6" borderId="30" xfId="0" quotePrefix="1" applyNumberFormat="1" applyFont="1" applyFill="1" applyBorder="1" applyAlignment="1">
      <alignment horizontal="right"/>
    </xf>
    <xf numFmtId="0" fontId="3" fillId="3" borderId="2" xfId="0" applyFont="1" applyFill="1" applyBorder="1"/>
    <xf numFmtId="0" fontId="3" fillId="3" borderId="0" xfId="0" applyFont="1" applyFill="1" applyBorder="1"/>
    <xf numFmtId="0" fontId="3" fillId="3" borderId="3" xfId="0" applyFont="1" applyFill="1" applyBorder="1"/>
    <xf numFmtId="3" fontId="3" fillId="6" borderId="3" xfId="0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0" fontId="4" fillId="3" borderId="7" xfId="0" applyFont="1" applyFill="1" applyBorder="1"/>
    <xf numFmtId="0" fontId="3" fillId="3" borderId="0" xfId="0" applyFont="1" applyFill="1" applyBorder="1" applyAlignment="1">
      <alignment vertical="center"/>
    </xf>
    <xf numFmtId="183" fontId="3" fillId="6" borderId="0" xfId="0" applyNumberFormat="1" applyFont="1" applyFill="1" applyBorder="1" applyAlignment="1">
      <alignment horizontal="right" vertical="center"/>
    </xf>
    <xf numFmtId="183" fontId="3" fillId="3" borderId="0" xfId="0" applyNumberFormat="1" applyFont="1" applyFill="1" applyBorder="1" applyAlignment="1">
      <alignment horizontal="right" vertical="center"/>
    </xf>
    <xf numFmtId="0" fontId="4" fillId="7" borderId="0" xfId="0" applyFont="1" applyFill="1" applyBorder="1" applyAlignment="1" applyProtection="1">
      <alignment vertical="center"/>
    </xf>
    <xf numFmtId="0" fontId="1" fillId="7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 vertical="top"/>
    </xf>
    <xf numFmtId="4" fontId="3" fillId="6" borderId="6" xfId="0" applyNumberFormat="1" applyFont="1" applyFill="1" applyBorder="1" applyAlignment="1">
      <alignment horizontal="right"/>
    </xf>
    <xf numFmtId="0" fontId="3" fillId="3" borderId="6" xfId="0" applyNumberFormat="1" applyFont="1" applyFill="1" applyBorder="1" applyAlignment="1">
      <alignment horizontal="center"/>
    </xf>
    <xf numFmtId="4" fontId="5" fillId="6" borderId="6" xfId="0" applyNumberFormat="1" applyFont="1" applyFill="1" applyBorder="1" applyAlignment="1">
      <alignment horizontal="right" vertical="center"/>
    </xf>
    <xf numFmtId="0" fontId="5" fillId="3" borderId="6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vertical="center"/>
    </xf>
    <xf numFmtId="183" fontId="3" fillId="7" borderId="8" xfId="0" applyNumberFormat="1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left"/>
    </xf>
    <xf numFmtId="183" fontId="3" fillId="0" borderId="8" xfId="0" applyNumberFormat="1" applyFont="1" applyBorder="1" applyAlignment="1">
      <alignment horizontal="right"/>
    </xf>
    <xf numFmtId="183" fontId="3" fillId="7" borderId="0" xfId="0" applyNumberFormat="1" applyFont="1" applyFill="1" applyBorder="1" applyAlignment="1">
      <alignment horizontal="center"/>
    </xf>
    <xf numFmtId="183" fontId="3" fillId="0" borderId="0" xfId="0" applyNumberFormat="1" applyFont="1" applyBorder="1" applyAlignment="1">
      <alignment horizontal="right"/>
    </xf>
    <xf numFmtId="183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4" fontId="3" fillId="3" borderId="4" xfId="0" applyNumberFormat="1" applyFont="1" applyFill="1" applyBorder="1" applyAlignment="1">
      <alignment horizontal="right"/>
    </xf>
    <xf numFmtId="4" fontId="3" fillId="6" borderId="4" xfId="0" applyNumberFormat="1" applyFont="1" applyFill="1" applyBorder="1" applyAlignment="1">
      <alignment horizontal="right"/>
    </xf>
    <xf numFmtId="4" fontId="3" fillId="3" borderId="7" xfId="0" applyNumberFormat="1" applyFont="1" applyFill="1" applyBorder="1" applyAlignment="1">
      <alignment horizontal="right"/>
    </xf>
    <xf numFmtId="2" fontId="5" fillId="3" borderId="0" xfId="0" applyNumberFormat="1" applyFont="1" applyFill="1" applyBorder="1" applyAlignment="1">
      <alignment horizontal="right" vertical="center"/>
    </xf>
    <xf numFmtId="2" fontId="5" fillId="6" borderId="0" xfId="0" applyNumberFormat="1" applyFont="1" applyFill="1" applyBorder="1" applyAlignment="1">
      <alignment horizontal="right" vertical="center"/>
    </xf>
    <xf numFmtId="0" fontId="5" fillId="3" borderId="29" xfId="0" applyFont="1" applyFill="1" applyBorder="1" applyAlignment="1">
      <alignment horizontal="left"/>
    </xf>
    <xf numFmtId="0" fontId="5" fillId="13" borderId="29" xfId="0" applyFont="1" applyFill="1" applyBorder="1" applyAlignment="1">
      <alignment horizontal="left" vertical="top"/>
    </xf>
    <xf numFmtId="0" fontId="3" fillId="13" borderId="0" xfId="0" applyFont="1" applyFill="1" applyBorder="1" applyAlignment="1">
      <alignment horizontal="right" vertical="top"/>
    </xf>
    <xf numFmtId="0" fontId="3" fillId="13" borderId="0" xfId="0" applyFont="1" applyFill="1" applyBorder="1" applyAlignment="1">
      <alignment horizontal="right"/>
    </xf>
    <xf numFmtId="0" fontId="5" fillId="3" borderId="29" xfId="0" applyFont="1" applyFill="1" applyBorder="1" applyAlignment="1">
      <alignment horizontal="left" vertical="top"/>
    </xf>
    <xf numFmtId="0" fontId="5" fillId="6" borderId="0" xfId="0" applyFont="1" applyFill="1" applyBorder="1" applyAlignment="1">
      <alignment horizontal="left" vertical="top"/>
    </xf>
    <xf numFmtId="0" fontId="3" fillId="3" borderId="29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3" fillId="6" borderId="0" xfId="0" quotePrefix="1" applyFont="1" applyFill="1" applyBorder="1" applyAlignment="1">
      <alignment horizontal="right" vertical="center"/>
    </xf>
    <xf numFmtId="0" fontId="18" fillId="6" borderId="0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center"/>
    </xf>
    <xf numFmtId="0" fontId="4" fillId="6" borderId="0" xfId="0" applyFont="1" applyFill="1" applyAlignment="1">
      <alignment vertical="center"/>
    </xf>
    <xf numFmtId="0" fontId="3" fillId="3" borderId="29" xfId="0" applyFont="1" applyFill="1" applyBorder="1" applyAlignment="1">
      <alignment horizontal="left" vertical="center"/>
    </xf>
    <xf numFmtId="0" fontId="18" fillId="3" borderId="29" xfId="0" applyFont="1" applyFill="1" applyBorder="1" applyAlignment="1">
      <alignment horizontal="left" vertical="center"/>
    </xf>
    <xf numFmtId="1" fontId="3" fillId="3" borderId="35" xfId="0" applyNumberFormat="1" applyFont="1" applyFill="1" applyBorder="1" applyAlignment="1">
      <alignment horizontal="left"/>
    </xf>
    <xf numFmtId="3" fontId="3" fillId="6" borderId="35" xfId="0" applyNumberFormat="1" applyFont="1" applyFill="1" applyBorder="1" applyAlignment="1">
      <alignment horizontal="right"/>
    </xf>
    <xf numFmtId="184" fontId="3" fillId="3" borderId="36" xfId="0" applyNumberFormat="1" applyFont="1" applyFill="1" applyBorder="1" applyAlignment="1">
      <alignment horizontal="right"/>
    </xf>
    <xf numFmtId="184" fontId="3" fillId="6" borderId="35" xfId="0" applyNumberFormat="1" applyFont="1" applyFill="1" applyBorder="1" applyAlignment="1">
      <alignment horizontal="right"/>
    </xf>
    <xf numFmtId="184" fontId="3" fillId="3" borderId="35" xfId="0" applyNumberFormat="1" applyFont="1" applyFill="1" applyBorder="1" applyAlignment="1">
      <alignment horizontal="right"/>
    </xf>
    <xf numFmtId="184" fontId="3" fillId="6" borderId="37" xfId="0" applyNumberFormat="1" applyFont="1" applyFill="1" applyBorder="1" applyAlignment="1">
      <alignment horizontal="right"/>
    </xf>
    <xf numFmtId="184" fontId="3" fillId="6" borderId="38" xfId="0" applyNumberFormat="1" applyFont="1" applyFill="1" applyBorder="1" applyAlignment="1">
      <alignment horizontal="right"/>
    </xf>
    <xf numFmtId="184" fontId="5" fillId="3" borderId="39" xfId="0" applyNumberFormat="1" applyFont="1" applyFill="1" applyBorder="1" applyAlignment="1">
      <alignment horizontal="right" vertical="center"/>
    </xf>
    <xf numFmtId="184" fontId="5" fillId="6" borderId="35" xfId="0" applyNumberFormat="1" applyFont="1" applyFill="1" applyBorder="1" applyAlignment="1">
      <alignment horizontal="right" vertical="center"/>
    </xf>
    <xf numFmtId="184" fontId="5" fillId="3" borderId="35" xfId="0" applyNumberFormat="1" applyFont="1" applyFill="1" applyBorder="1" applyAlignment="1">
      <alignment horizontal="right" vertical="center"/>
    </xf>
    <xf numFmtId="184" fontId="5" fillId="6" borderId="40" xfId="0" applyNumberFormat="1" applyFont="1" applyFill="1" applyBorder="1" applyAlignment="1">
      <alignment horizontal="right" vertical="center"/>
    </xf>
    <xf numFmtId="184" fontId="5" fillId="3" borderId="41" xfId="0" applyNumberFormat="1" applyFont="1" applyFill="1" applyBorder="1" applyAlignment="1">
      <alignment horizontal="right" vertical="center"/>
    </xf>
    <xf numFmtId="0" fontId="4" fillId="0" borderId="0" xfId="0" quotePrefix="1" applyFont="1" applyAlignment="1"/>
    <xf numFmtId="183" fontId="51" fillId="6" borderId="0" xfId="0" applyNumberFormat="1" applyFont="1" applyFill="1" applyBorder="1" applyAlignment="1">
      <alignment horizontal="right" vertical="center"/>
    </xf>
    <xf numFmtId="183" fontId="5" fillId="6" borderId="5" xfId="0" applyNumberFormat="1" applyFont="1" applyFill="1" applyBorder="1" applyAlignment="1">
      <alignment horizontal="right" vertical="center"/>
    </xf>
    <xf numFmtId="1" fontId="5" fillId="3" borderId="5" xfId="0" applyNumberFormat="1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3" fillId="6" borderId="9" xfId="0" applyFont="1" applyFill="1" applyBorder="1" applyAlignment="1">
      <alignment horizontal="left" vertical="center"/>
    </xf>
    <xf numFmtId="1" fontId="3" fillId="6" borderId="6" xfId="0" applyNumberFormat="1" applyFont="1" applyFill="1" applyBorder="1" applyAlignment="1">
      <alignment horizontal="left"/>
    </xf>
    <xf numFmtId="1" fontId="3" fillId="6" borderId="7" xfId="0" applyNumberFormat="1" applyFont="1" applyFill="1" applyBorder="1" applyAlignment="1">
      <alignment horizontal="left"/>
    </xf>
    <xf numFmtId="1" fontId="5" fillId="6" borderId="5" xfId="0" applyNumberFormat="1" applyFont="1" applyFill="1" applyBorder="1" applyAlignment="1">
      <alignment horizontal="left" vertical="center"/>
    </xf>
    <xf numFmtId="1" fontId="3" fillId="7" borderId="0" xfId="0" applyNumberFormat="1" applyFont="1" applyFill="1" applyBorder="1" applyAlignment="1">
      <alignment horizontal="left"/>
    </xf>
    <xf numFmtId="0" fontId="0" fillId="0" borderId="0" xfId="0" applyNumberFormat="1"/>
    <xf numFmtId="0" fontId="3" fillId="3" borderId="0" xfId="0" applyFont="1" applyFill="1" applyBorder="1" applyAlignment="1">
      <alignment horizontal="left" vertical="top" wrapText="1"/>
    </xf>
    <xf numFmtId="0" fontId="3" fillId="6" borderId="0" xfId="0" applyFont="1" applyFill="1" applyBorder="1" applyAlignment="1">
      <alignment horizontal="right" vertical="top" wrapText="1"/>
    </xf>
    <xf numFmtId="0" fontId="3" fillId="3" borderId="0" xfId="0" applyFont="1" applyFill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1" fontId="2" fillId="7" borderId="0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vertical="top"/>
    </xf>
    <xf numFmtId="0" fontId="5" fillId="6" borderId="2" xfId="0" applyFont="1" applyFill="1" applyBorder="1" applyAlignment="1">
      <alignment horizontal="left"/>
    </xf>
    <xf numFmtId="0" fontId="3" fillId="3" borderId="2" xfId="0" applyFont="1" applyFill="1" applyBorder="1" applyAlignment="1"/>
    <xf numFmtId="0" fontId="4" fillId="6" borderId="0" xfId="0" applyFont="1" applyFill="1"/>
    <xf numFmtId="0" fontId="3" fillId="6" borderId="2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 vertical="center"/>
    </xf>
    <xf numFmtId="0" fontId="3" fillId="6" borderId="29" xfId="0" applyFont="1" applyFill="1" applyBorder="1" applyAlignment="1">
      <alignment horizontal="right" vertical="top"/>
    </xf>
    <xf numFmtId="1" fontId="3" fillId="3" borderId="12" xfId="0" applyNumberFormat="1" applyFont="1" applyFill="1" applyBorder="1" applyAlignment="1">
      <alignment horizontal="left"/>
    </xf>
    <xf numFmtId="183" fontId="3" fillId="3" borderId="12" xfId="0" applyNumberFormat="1" applyFont="1" applyFill="1" applyBorder="1" applyAlignment="1">
      <alignment horizontal="right"/>
    </xf>
    <xf numFmtId="183" fontId="3" fillId="6" borderId="12" xfId="0" applyNumberFormat="1" applyFont="1" applyFill="1" applyBorder="1" applyAlignment="1">
      <alignment horizontal="right"/>
    </xf>
    <xf numFmtId="183" fontId="3" fillId="6" borderId="33" xfId="0" applyNumberFormat="1" applyFont="1" applyFill="1" applyBorder="1" applyAlignment="1">
      <alignment horizontal="right"/>
    </xf>
    <xf numFmtId="183" fontId="3" fillId="6" borderId="42" xfId="0" applyNumberFormat="1" applyFont="1" applyFill="1" applyBorder="1" applyAlignment="1">
      <alignment horizontal="right"/>
    </xf>
    <xf numFmtId="1" fontId="5" fillId="3" borderId="12" xfId="0" applyNumberFormat="1" applyFont="1" applyFill="1" applyBorder="1" applyAlignment="1">
      <alignment horizontal="left"/>
    </xf>
    <xf numFmtId="183" fontId="5" fillId="6" borderId="12" xfId="0" applyNumberFormat="1" applyFont="1" applyFill="1" applyBorder="1" applyAlignment="1">
      <alignment horizontal="right"/>
    </xf>
    <xf numFmtId="183" fontId="5" fillId="3" borderId="12" xfId="0" applyNumberFormat="1" applyFont="1" applyFill="1" applyBorder="1" applyAlignment="1">
      <alignment horizontal="right"/>
    </xf>
    <xf numFmtId="183" fontId="5" fillId="6" borderId="42" xfId="0" applyNumberFormat="1" applyFont="1" applyFill="1" applyBorder="1" applyAlignment="1">
      <alignment horizontal="right"/>
    </xf>
    <xf numFmtId="183" fontId="5" fillId="0" borderId="0" xfId="0" applyNumberFormat="1" applyFont="1" applyFill="1" applyBorder="1" applyAlignment="1">
      <alignment horizontal="right"/>
    </xf>
    <xf numFmtId="1" fontId="3" fillId="3" borderId="5" xfId="0" applyNumberFormat="1" applyFont="1" applyFill="1" applyBorder="1" applyAlignment="1">
      <alignment horizontal="left" vertical="center"/>
    </xf>
    <xf numFmtId="183" fontId="48" fillId="6" borderId="5" xfId="0" applyNumberFormat="1" applyFont="1" applyFill="1" applyBorder="1" applyAlignment="1">
      <alignment horizontal="right" vertical="center"/>
    </xf>
    <xf numFmtId="183" fontId="3" fillId="3" borderId="5" xfId="0" applyNumberFormat="1" applyFont="1" applyFill="1" applyBorder="1" applyAlignment="1">
      <alignment horizontal="right" vertical="center"/>
    </xf>
    <xf numFmtId="183" fontId="3" fillId="6" borderId="5" xfId="0" applyNumberFormat="1" applyFont="1" applyFill="1" applyBorder="1" applyAlignment="1">
      <alignment horizontal="right" vertical="center"/>
    </xf>
    <xf numFmtId="183" fontId="3" fillId="6" borderId="41" xfId="0" applyNumberFormat="1" applyFont="1" applyFill="1" applyBorder="1" applyAlignment="1">
      <alignment horizontal="right" vertical="center"/>
    </xf>
    <xf numFmtId="183" fontId="3" fillId="0" borderId="0" xfId="0" applyNumberFormat="1" applyFont="1" applyFill="1" applyBorder="1" applyAlignment="1">
      <alignment horizontal="right" vertical="center"/>
    </xf>
    <xf numFmtId="1" fontId="2" fillId="0" borderId="0" xfId="0" applyNumberFormat="1" applyFont="1" applyFill="1" applyBorder="1" applyAlignment="1">
      <alignment horizontal="left"/>
    </xf>
    <xf numFmtId="1" fontId="3" fillId="0" borderId="3" xfId="0" applyNumberFormat="1" applyFont="1" applyFill="1" applyBorder="1" applyAlignment="1">
      <alignment horizontal="left"/>
    </xf>
    <xf numFmtId="183" fontId="3" fillId="0" borderId="3" xfId="0" applyNumberFormat="1" applyFont="1" applyFill="1" applyBorder="1" applyAlignment="1">
      <alignment horizontal="right"/>
    </xf>
    <xf numFmtId="184" fontId="3" fillId="0" borderId="3" xfId="0" applyNumberFormat="1" applyFont="1" applyFill="1" applyBorder="1" applyAlignment="1">
      <alignment horizontal="right"/>
    </xf>
    <xf numFmtId="0" fontId="4" fillId="6" borderId="0" xfId="0" applyFont="1" applyFill="1" applyAlignment="1">
      <alignment horizontal="right"/>
    </xf>
    <xf numFmtId="0" fontId="4" fillId="6" borderId="0" xfId="0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right" vertical="top"/>
    </xf>
    <xf numFmtId="184" fontId="3" fillId="6" borderId="33" xfId="0" applyNumberFormat="1" applyFont="1" applyFill="1" applyBorder="1" applyAlignment="1">
      <alignment horizontal="right"/>
    </xf>
    <xf numFmtId="184" fontId="3" fillId="6" borderId="31" xfId="0" applyNumberFormat="1" applyFont="1" applyFill="1" applyBorder="1" applyAlignment="1">
      <alignment horizontal="right"/>
    </xf>
    <xf numFmtId="184" fontId="3" fillId="6" borderId="12" xfId="0" applyNumberFormat="1" applyFont="1" applyFill="1" applyBorder="1" applyAlignment="1">
      <alignment horizontal="right"/>
    </xf>
    <xf numFmtId="0" fontId="38" fillId="0" borderId="0" xfId="0" applyFont="1" applyBorder="1"/>
    <xf numFmtId="184" fontId="5" fillId="6" borderId="31" xfId="0" applyNumberFormat="1" applyFont="1" applyFill="1" applyBorder="1" applyAlignment="1">
      <alignment horizontal="right"/>
    </xf>
    <xf numFmtId="0" fontId="13" fillId="0" borderId="0" xfId="0" applyFont="1" applyBorder="1"/>
    <xf numFmtId="184" fontId="5" fillId="6" borderId="12" xfId="0" applyNumberFormat="1" applyFont="1" applyFill="1" applyBorder="1" applyAlignment="1">
      <alignment horizontal="right"/>
    </xf>
    <xf numFmtId="184" fontId="48" fillId="6" borderId="7" xfId="0" applyNumberFormat="1" applyFont="1" applyFill="1" applyBorder="1" applyAlignment="1">
      <alignment horizontal="right" vertical="center"/>
    </xf>
    <xf numFmtId="184" fontId="3" fillId="6" borderId="31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182" fontId="0" fillId="0" borderId="0" xfId="0" applyNumberFormat="1" applyFill="1"/>
    <xf numFmtId="0" fontId="2" fillId="0" borderId="0" xfId="17" applyFont="1"/>
    <xf numFmtId="0" fontId="4" fillId="0" borderId="0" xfId="17" applyFont="1"/>
    <xf numFmtId="0" fontId="87" fillId="0" borderId="0" xfId="17"/>
    <xf numFmtId="0" fontId="89" fillId="0" borderId="0" xfId="17" applyFont="1"/>
    <xf numFmtId="0" fontId="4" fillId="0" borderId="11" xfId="17" applyFont="1" applyBorder="1"/>
    <xf numFmtId="0" fontId="87" fillId="0" borderId="11" xfId="17" applyBorder="1"/>
    <xf numFmtId="0" fontId="4" fillId="6" borderId="0" xfId="17" applyFont="1" applyFill="1" applyAlignment="1">
      <alignment horizontal="right"/>
    </xf>
    <xf numFmtId="0" fontId="4" fillId="3" borderId="0" xfId="17" applyFont="1" applyFill="1" applyAlignment="1">
      <alignment horizontal="right"/>
    </xf>
    <xf numFmtId="0" fontId="4" fillId="0" borderId="0" xfId="17" applyFont="1" applyFill="1" applyAlignment="1">
      <alignment horizontal="right"/>
    </xf>
    <xf numFmtId="184" fontId="23" fillId="3" borderId="0" xfId="17" applyNumberFormat="1" applyFont="1" applyFill="1" applyBorder="1" applyAlignment="1">
      <alignment horizontal="center"/>
    </xf>
    <xf numFmtId="184" fontId="23" fillId="6" borderId="0" xfId="17" applyNumberFormat="1" applyFont="1" applyFill="1" applyBorder="1" applyAlignment="1">
      <alignment horizontal="center"/>
    </xf>
    <xf numFmtId="184" fontId="23" fillId="0" borderId="0" xfId="17" applyNumberFormat="1" applyFont="1" applyFill="1" applyBorder="1" applyAlignment="1">
      <alignment horizontal="center"/>
    </xf>
    <xf numFmtId="0" fontId="87" fillId="0" borderId="0" xfId="17" applyAlignment="1">
      <alignment horizontal="right"/>
    </xf>
    <xf numFmtId="2" fontId="87" fillId="0" borderId="0" xfId="17" applyNumberFormat="1"/>
    <xf numFmtId="183" fontId="87" fillId="0" borderId="0" xfId="17" applyNumberFormat="1" applyAlignment="1">
      <alignment horizontal="right"/>
    </xf>
    <xf numFmtId="2" fontId="87" fillId="0" borderId="0" xfId="17" applyNumberFormat="1" applyAlignment="1">
      <alignment horizontal="right"/>
    </xf>
    <xf numFmtId="0" fontId="67" fillId="6" borderId="0" xfId="17" applyFont="1" applyFill="1" applyBorder="1" applyAlignment="1">
      <alignment horizontal="left"/>
    </xf>
    <xf numFmtId="0" fontId="4" fillId="6" borderId="0" xfId="17" applyFont="1" applyFill="1" applyBorder="1" applyAlignment="1">
      <alignment horizontal="right"/>
    </xf>
    <xf numFmtId="0" fontId="8" fillId="3" borderId="0" xfId="17" applyFont="1" applyFill="1" applyAlignment="1">
      <alignment horizontal="center"/>
    </xf>
    <xf numFmtId="0" fontId="8" fillId="6" borderId="0" xfId="17" applyFont="1" applyFill="1" applyAlignment="1">
      <alignment horizontal="center"/>
    </xf>
    <xf numFmtId="0" fontId="8" fillId="0" borderId="0" xfId="17" applyFont="1" applyFill="1" applyAlignment="1">
      <alignment horizontal="center"/>
    </xf>
    <xf numFmtId="0" fontId="67" fillId="3" borderId="0" xfId="17" applyFont="1" applyFill="1" applyAlignment="1">
      <alignment horizontal="center"/>
    </xf>
    <xf numFmtId="183" fontId="87" fillId="0" borderId="0" xfId="17" applyNumberFormat="1"/>
    <xf numFmtId="0" fontId="4" fillId="6" borderId="0" xfId="17" applyFont="1" applyFill="1" applyBorder="1"/>
    <xf numFmtId="0" fontId="4" fillId="3" borderId="0" xfId="17" applyFont="1" applyFill="1" applyAlignment="1">
      <alignment horizontal="center"/>
    </xf>
    <xf numFmtId="0" fontId="4" fillId="6" borderId="0" xfId="17" applyFont="1" applyFill="1" applyAlignment="1">
      <alignment horizontal="center"/>
    </xf>
    <xf numFmtId="0" fontId="4" fillId="0" borderId="0" xfId="17" applyFont="1" applyFill="1" applyAlignment="1">
      <alignment horizontal="center"/>
    </xf>
    <xf numFmtId="0" fontId="8" fillId="6" borderId="0" xfId="17" applyFont="1" applyFill="1" applyBorder="1"/>
    <xf numFmtId="0" fontId="4" fillId="3" borderId="0" xfId="17" applyFont="1" applyFill="1" applyBorder="1" applyAlignment="1">
      <alignment horizontal="center"/>
    </xf>
    <xf numFmtId="0" fontId="4" fillId="6" borderId="0" xfId="17" applyFont="1" applyFill="1" applyBorder="1" applyAlignment="1">
      <alignment horizontal="center"/>
    </xf>
    <xf numFmtId="0" fontId="4" fillId="0" borderId="0" xfId="17" applyFont="1" applyFill="1" applyBorder="1" applyAlignment="1">
      <alignment horizontal="center"/>
    </xf>
    <xf numFmtId="184" fontId="23" fillId="3" borderId="0" xfId="17" applyNumberFormat="1" applyFont="1" applyFill="1" applyBorder="1" applyAlignment="1">
      <alignment horizontal="center" vertical="top"/>
    </xf>
    <xf numFmtId="184" fontId="23" fillId="6" borderId="0" xfId="17" applyNumberFormat="1" applyFont="1" applyFill="1" applyBorder="1" applyAlignment="1">
      <alignment horizontal="center" vertical="top"/>
    </xf>
    <xf numFmtId="184" fontId="23" fillId="0" borderId="0" xfId="17" applyNumberFormat="1" applyFont="1" applyFill="1" applyBorder="1" applyAlignment="1">
      <alignment horizontal="center" vertical="top"/>
    </xf>
    <xf numFmtId="183" fontId="89" fillId="0" borderId="0" xfId="17" applyNumberFormat="1" applyFont="1"/>
    <xf numFmtId="0" fontId="8" fillId="6" borderId="3" xfId="17" applyFont="1" applyFill="1" applyBorder="1"/>
    <xf numFmtId="0" fontId="4" fillId="6" borderId="3" xfId="17" applyFont="1" applyFill="1" applyBorder="1"/>
    <xf numFmtId="0" fontId="4" fillId="3" borderId="3" xfId="17" applyFont="1" applyFill="1" applyBorder="1"/>
    <xf numFmtId="0" fontId="4" fillId="0" borderId="3" xfId="17" applyFont="1" applyFill="1" applyBorder="1"/>
    <xf numFmtId="0" fontId="23" fillId="6" borderId="3" xfId="17" applyFont="1" applyFill="1" applyBorder="1" applyAlignment="1">
      <alignment horizontal="center"/>
    </xf>
    <xf numFmtId="0" fontId="23" fillId="0" borderId="3" xfId="17" applyFont="1" applyFill="1" applyBorder="1" applyAlignment="1">
      <alignment horizontal="center"/>
    </xf>
    <xf numFmtId="0" fontId="8" fillId="6" borderId="6" xfId="17" applyFont="1" applyFill="1" applyBorder="1"/>
    <xf numFmtId="0" fontId="4" fillId="6" borderId="6" xfId="17" applyFont="1" applyFill="1" applyBorder="1"/>
    <xf numFmtId="183" fontId="8" fillId="3" borderId="6" xfId="17" applyNumberFormat="1" applyFont="1" applyFill="1" applyBorder="1" applyAlignment="1">
      <alignment horizontal="left"/>
    </xf>
    <xf numFmtId="183" fontId="8" fillId="6" borderId="6" xfId="17" applyNumberFormat="1" applyFont="1" applyFill="1" applyBorder="1" applyAlignment="1">
      <alignment horizontal="left"/>
    </xf>
    <xf numFmtId="183" fontId="8" fillId="0" borderId="6" xfId="17" applyNumberFormat="1" applyFont="1" applyFill="1" applyBorder="1" applyAlignment="1">
      <alignment horizontal="left"/>
    </xf>
    <xf numFmtId="184" fontId="8" fillId="3" borderId="6" xfId="17" applyNumberFormat="1" applyFont="1" applyFill="1" applyBorder="1" applyAlignment="1">
      <alignment horizontal="left"/>
    </xf>
    <xf numFmtId="184" fontId="8" fillId="6" borderId="6" xfId="17" applyNumberFormat="1" applyFont="1" applyFill="1" applyBorder="1" applyAlignment="1">
      <alignment horizontal="left"/>
    </xf>
    <xf numFmtId="184" fontId="8" fillId="0" borderId="6" xfId="17" applyNumberFormat="1" applyFont="1" applyFill="1" applyBorder="1" applyAlignment="1">
      <alignment horizontal="left"/>
    </xf>
    <xf numFmtId="3" fontId="67" fillId="3" borderId="6" xfId="17" applyNumberFormat="1" applyFont="1" applyFill="1" applyBorder="1" applyAlignment="1">
      <alignment horizontal="left"/>
    </xf>
    <xf numFmtId="0" fontId="8" fillId="6" borderId="7" xfId="17" applyFont="1" applyFill="1" applyBorder="1"/>
    <xf numFmtId="0" fontId="4" fillId="6" borderId="7" xfId="17" applyFont="1" applyFill="1" applyBorder="1"/>
    <xf numFmtId="183" fontId="18" fillId="3" borderId="7" xfId="17" applyNumberFormat="1" applyFont="1" applyFill="1" applyBorder="1" applyAlignment="1">
      <alignment horizontal="center"/>
    </xf>
    <xf numFmtId="183" fontId="18" fillId="6" borderId="7" xfId="17" applyNumberFormat="1" applyFont="1" applyFill="1" applyBorder="1" applyAlignment="1">
      <alignment horizontal="center"/>
    </xf>
    <xf numFmtId="183" fontId="18" fillId="0" borderId="7" xfId="17" applyNumberFormat="1" applyFont="1" applyFill="1" applyBorder="1" applyAlignment="1">
      <alignment horizontal="center"/>
    </xf>
    <xf numFmtId="184" fontId="18" fillId="3" borderId="7" xfId="17" applyNumberFormat="1" applyFont="1" applyFill="1" applyBorder="1" applyAlignment="1">
      <alignment horizontal="center"/>
    </xf>
    <xf numFmtId="184" fontId="18" fillId="6" borderId="7" xfId="17" applyNumberFormat="1" applyFont="1" applyFill="1" applyBorder="1" applyAlignment="1">
      <alignment horizontal="center"/>
    </xf>
    <xf numFmtId="184" fontId="18" fillId="0" borderId="7" xfId="17" applyNumberFormat="1" applyFont="1" applyFill="1" applyBorder="1" applyAlignment="1">
      <alignment horizontal="center"/>
    </xf>
    <xf numFmtId="3" fontId="53" fillId="3" borderId="7" xfId="17" applyNumberFormat="1" applyFont="1" applyFill="1" applyBorder="1" applyAlignment="1">
      <alignment horizontal="center"/>
    </xf>
    <xf numFmtId="0" fontId="92" fillId="6" borderId="7" xfId="17" applyFont="1" applyFill="1" applyBorder="1"/>
    <xf numFmtId="183" fontId="4" fillId="3" borderId="7" xfId="17" applyNumberFormat="1" applyFont="1" applyFill="1" applyBorder="1"/>
    <xf numFmtId="183" fontId="4" fillId="6" borderId="7" xfId="17" applyNumberFormat="1" applyFont="1" applyFill="1" applyBorder="1"/>
    <xf numFmtId="183" fontId="4" fillId="0" borderId="7" xfId="17" applyNumberFormat="1" applyFont="1" applyFill="1" applyBorder="1"/>
    <xf numFmtId="184" fontId="4" fillId="3" borderId="7" xfId="17" applyNumberFormat="1" applyFont="1" applyFill="1" applyBorder="1"/>
    <xf numFmtId="184" fontId="4" fillId="6" borderId="7" xfId="17" applyNumberFormat="1" applyFont="1" applyFill="1" applyBorder="1"/>
    <xf numFmtId="184" fontId="4" fillId="0" borderId="7" xfId="17" applyNumberFormat="1" applyFont="1" applyFill="1" applyBorder="1"/>
    <xf numFmtId="3" fontId="26" fillId="3" borderId="7" xfId="17" applyNumberFormat="1" applyFont="1" applyFill="1" applyBorder="1"/>
    <xf numFmtId="2" fontId="88" fillId="0" borderId="0" xfId="17" applyNumberFormat="1" applyFont="1"/>
    <xf numFmtId="0" fontId="88" fillId="0" borderId="0" xfId="17" applyFont="1"/>
    <xf numFmtId="183" fontId="8" fillId="3" borderId="7" xfId="17" applyNumberFormat="1" applyFont="1" applyFill="1" applyBorder="1" applyAlignment="1">
      <alignment horizontal="left"/>
    </xf>
    <xf numFmtId="183" fontId="8" fillId="6" borderId="7" xfId="17" applyNumberFormat="1" applyFont="1" applyFill="1" applyBorder="1" applyAlignment="1">
      <alignment horizontal="left"/>
    </xf>
    <xf numFmtId="183" fontId="8" fillId="0" borderId="7" xfId="17" applyNumberFormat="1" applyFont="1" applyFill="1" applyBorder="1" applyAlignment="1">
      <alignment horizontal="left"/>
    </xf>
    <xf numFmtId="184" fontId="8" fillId="3" borderId="7" xfId="17" applyNumberFormat="1" applyFont="1" applyFill="1" applyBorder="1" applyAlignment="1">
      <alignment horizontal="left"/>
    </xf>
    <xf numFmtId="184" fontId="8" fillId="6" borderId="7" xfId="17" applyNumberFormat="1" applyFont="1" applyFill="1" applyBorder="1" applyAlignment="1">
      <alignment horizontal="left"/>
    </xf>
    <xf numFmtId="184" fontId="8" fillId="0" borderId="7" xfId="17" applyNumberFormat="1" applyFont="1" applyFill="1" applyBorder="1" applyAlignment="1">
      <alignment horizontal="left"/>
    </xf>
    <xf numFmtId="3" fontId="67" fillId="3" borderId="7" xfId="17" applyNumberFormat="1" applyFont="1" applyFill="1" applyBorder="1" applyAlignment="1">
      <alignment horizontal="left"/>
    </xf>
    <xf numFmtId="0" fontId="23" fillId="6" borderId="7" xfId="17" applyFont="1" applyFill="1" applyBorder="1"/>
    <xf numFmtId="183" fontId="23" fillId="3" borderId="7" xfId="17" applyNumberFormat="1" applyFont="1" applyFill="1" applyBorder="1" applyAlignment="1">
      <alignment horizontal="right"/>
    </xf>
    <xf numFmtId="183" fontId="23" fillId="6" borderId="7" xfId="17" applyNumberFormat="1" applyFont="1" applyFill="1" applyBorder="1" applyAlignment="1">
      <alignment horizontal="right"/>
    </xf>
    <xf numFmtId="183" fontId="23" fillId="0" borderId="7" xfId="17" applyNumberFormat="1" applyFont="1" applyFill="1" applyBorder="1" applyAlignment="1">
      <alignment horizontal="right"/>
    </xf>
    <xf numFmtId="184" fontId="23" fillId="3" borderId="7" xfId="17" applyNumberFormat="1" applyFont="1" applyFill="1" applyBorder="1" applyAlignment="1">
      <alignment horizontal="right"/>
    </xf>
    <xf numFmtId="184" fontId="23" fillId="6" borderId="7" xfId="17" applyNumberFormat="1" applyFont="1" applyFill="1" applyBorder="1" applyAlignment="1">
      <alignment horizontal="right"/>
    </xf>
    <xf numFmtId="184" fontId="23" fillId="0" borderId="7" xfId="17" applyNumberFormat="1" applyFont="1" applyFill="1" applyBorder="1" applyAlignment="1">
      <alignment horizontal="right"/>
    </xf>
    <xf numFmtId="183" fontId="4" fillId="3" borderId="7" xfId="17" applyNumberFormat="1" applyFont="1" applyFill="1" applyBorder="1" applyAlignment="1">
      <alignment horizontal="center"/>
    </xf>
    <xf numFmtId="183" fontId="4" fillId="6" borderId="7" xfId="17" applyNumberFormat="1" applyFont="1" applyFill="1" applyBorder="1" applyAlignment="1">
      <alignment horizontal="center"/>
    </xf>
    <xf numFmtId="183" fontId="4" fillId="0" borderId="7" xfId="17" applyNumberFormat="1" applyFont="1" applyFill="1" applyBorder="1" applyAlignment="1">
      <alignment horizontal="center"/>
    </xf>
    <xf numFmtId="184" fontId="4" fillId="3" borderId="7" xfId="17" applyNumberFormat="1" applyFont="1" applyFill="1" applyBorder="1" applyAlignment="1">
      <alignment horizontal="center"/>
    </xf>
    <xf numFmtId="184" fontId="4" fillId="6" borderId="7" xfId="17" applyNumberFormat="1" applyFont="1" applyFill="1" applyBorder="1" applyAlignment="1">
      <alignment horizontal="center"/>
    </xf>
    <xf numFmtId="184" fontId="4" fillId="0" borderId="7" xfId="17" applyNumberFormat="1" applyFont="1" applyFill="1" applyBorder="1" applyAlignment="1">
      <alignment horizontal="center"/>
    </xf>
    <xf numFmtId="3" fontId="26" fillId="3" borderId="7" xfId="17" applyNumberFormat="1" applyFont="1" applyFill="1" applyBorder="1" applyAlignment="1">
      <alignment horizontal="center"/>
    </xf>
    <xf numFmtId="0" fontId="4" fillId="6" borderId="4" xfId="17" applyFont="1" applyFill="1" applyBorder="1"/>
    <xf numFmtId="183" fontId="4" fillId="3" borderId="4" xfId="17" applyNumberFormat="1" applyFont="1" applyFill="1" applyBorder="1"/>
    <xf numFmtId="183" fontId="4" fillId="6" borderId="4" xfId="17" applyNumberFormat="1" applyFont="1" applyFill="1" applyBorder="1"/>
    <xf numFmtId="183" fontId="4" fillId="0" borderId="4" xfId="17" applyNumberFormat="1" applyFont="1" applyFill="1" applyBorder="1"/>
    <xf numFmtId="184" fontId="4" fillId="3" borderId="4" xfId="17" applyNumberFormat="1" applyFont="1" applyFill="1" applyBorder="1"/>
    <xf numFmtId="184" fontId="4" fillId="6" borderId="4" xfId="17" applyNumberFormat="1" applyFont="1" applyFill="1" applyBorder="1"/>
    <xf numFmtId="184" fontId="4" fillId="0" borderId="4" xfId="17" applyNumberFormat="1" applyFont="1" applyFill="1" applyBorder="1"/>
    <xf numFmtId="3" fontId="26" fillId="3" borderId="4" xfId="17" applyNumberFormat="1" applyFont="1" applyFill="1" applyBorder="1"/>
    <xf numFmtId="183" fontId="23" fillId="3" borderId="7" xfId="17" applyNumberFormat="1" applyFont="1" applyFill="1" applyBorder="1"/>
    <xf numFmtId="183" fontId="23" fillId="6" borderId="7" xfId="17" applyNumberFormat="1" applyFont="1" applyFill="1" applyBorder="1"/>
    <xf numFmtId="183" fontId="23" fillId="0" borderId="7" xfId="17" applyNumberFormat="1" applyFont="1" applyFill="1" applyBorder="1"/>
    <xf numFmtId="184" fontId="23" fillId="3" borderId="7" xfId="17" applyNumberFormat="1" applyFont="1" applyFill="1" applyBorder="1"/>
    <xf numFmtId="184" fontId="23" fillId="6" borderId="7" xfId="17" applyNumberFormat="1" applyFont="1" applyFill="1" applyBorder="1"/>
    <xf numFmtId="184" fontId="23" fillId="0" borderId="7" xfId="17" applyNumberFormat="1" applyFont="1" applyFill="1" applyBorder="1"/>
    <xf numFmtId="0" fontId="87" fillId="0" borderId="0" xfId="17" applyFill="1"/>
    <xf numFmtId="183" fontId="8" fillId="3" borderId="7" xfId="17" applyNumberFormat="1" applyFont="1" applyFill="1" applyBorder="1"/>
    <xf numFmtId="183" fontId="8" fillId="6" borderId="7" xfId="17" applyNumberFormat="1" applyFont="1" applyFill="1" applyBorder="1"/>
    <xf numFmtId="3" fontId="67" fillId="3" borderId="7" xfId="17" applyNumberFormat="1" applyFont="1" applyFill="1" applyBorder="1"/>
    <xf numFmtId="0" fontId="8" fillId="6" borderId="5" xfId="17" applyFont="1" applyFill="1" applyBorder="1"/>
    <xf numFmtId="0" fontId="23" fillId="6" borderId="5" xfId="17" applyFont="1" applyFill="1" applyBorder="1"/>
    <xf numFmtId="183" fontId="8" fillId="3" borderId="5" xfId="17" applyNumberFormat="1" applyFont="1" applyFill="1" applyBorder="1" applyAlignment="1">
      <alignment horizontal="left"/>
    </xf>
    <xf numFmtId="183" fontId="8" fillId="6" borderId="5" xfId="17" applyNumberFormat="1" applyFont="1" applyFill="1" applyBorder="1" applyAlignment="1">
      <alignment horizontal="left"/>
    </xf>
    <xf numFmtId="183" fontId="8" fillId="0" borderId="5" xfId="17" applyNumberFormat="1" applyFont="1" applyFill="1" applyBorder="1" applyAlignment="1">
      <alignment horizontal="left"/>
    </xf>
    <xf numFmtId="184" fontId="8" fillId="3" borderId="5" xfId="17" applyNumberFormat="1" applyFont="1" applyFill="1" applyBorder="1" applyAlignment="1">
      <alignment horizontal="left"/>
    </xf>
    <xf numFmtId="184" fontId="8" fillId="6" borderId="5" xfId="17" applyNumberFormat="1" applyFont="1" applyFill="1" applyBorder="1" applyAlignment="1">
      <alignment horizontal="left"/>
    </xf>
    <xf numFmtId="184" fontId="8" fillId="0" borderId="5" xfId="17" applyNumberFormat="1" applyFont="1" applyFill="1" applyBorder="1" applyAlignment="1">
      <alignment horizontal="left"/>
    </xf>
    <xf numFmtId="3" fontId="67" fillId="3" borderId="5" xfId="17" applyNumberFormat="1" applyFont="1" applyFill="1" applyBorder="1" applyAlignment="1">
      <alignment horizontal="left"/>
    </xf>
    <xf numFmtId="0" fontId="18" fillId="0" borderId="0" xfId="17" applyFont="1" applyBorder="1"/>
    <xf numFmtId="0" fontId="4" fillId="0" borderId="0" xfId="17" applyFont="1" applyBorder="1"/>
    <xf numFmtId="10" fontId="87" fillId="0" borderId="0" xfId="17" applyNumberFormat="1"/>
    <xf numFmtId="183" fontId="4" fillId="0" borderId="0" xfId="17" applyNumberFormat="1" applyFont="1"/>
    <xf numFmtId="0" fontId="2" fillId="0" borderId="0" xfId="18" applyFont="1"/>
    <xf numFmtId="0" fontId="4" fillId="0" borderId="0" xfId="18" applyFont="1"/>
    <xf numFmtId="0" fontId="87" fillId="0" borderId="0" xfId="18"/>
    <xf numFmtId="0" fontId="89" fillId="0" borderId="0" xfId="18" applyFont="1"/>
    <xf numFmtId="0" fontId="4" fillId="0" borderId="11" xfId="18" applyFont="1" applyBorder="1"/>
    <xf numFmtId="0" fontId="87" fillId="0" borderId="11" xfId="18" applyBorder="1"/>
    <xf numFmtId="0" fontId="4" fillId="6" borderId="0" xfId="18" applyFont="1" applyFill="1" applyAlignment="1">
      <alignment horizontal="right"/>
    </xf>
    <xf numFmtId="0" fontId="4" fillId="3" borderId="0" xfId="18" applyFont="1" applyFill="1" applyAlignment="1">
      <alignment horizontal="right"/>
    </xf>
    <xf numFmtId="0" fontId="4" fillId="0" borderId="0" xfId="18" applyFont="1" applyFill="1" applyAlignment="1">
      <alignment horizontal="right"/>
    </xf>
    <xf numFmtId="184" fontId="23" fillId="3" borderId="0" xfId="18" applyNumberFormat="1" applyFont="1" applyFill="1" applyBorder="1" applyAlignment="1">
      <alignment horizontal="center"/>
    </xf>
    <xf numFmtId="184" fontId="23" fillId="6" borderId="0" xfId="18" applyNumberFormat="1" applyFont="1" applyFill="1" applyBorder="1" applyAlignment="1">
      <alignment horizontal="center"/>
    </xf>
    <xf numFmtId="184" fontId="23" fillId="0" borderId="0" xfId="18" applyNumberFormat="1" applyFont="1" applyFill="1" applyBorder="1" applyAlignment="1">
      <alignment horizontal="center"/>
    </xf>
    <xf numFmtId="2" fontId="87" fillId="0" borderId="0" xfId="18" applyNumberFormat="1"/>
    <xf numFmtId="183" fontId="87" fillId="0" borderId="0" xfId="18" applyNumberFormat="1" applyAlignment="1">
      <alignment horizontal="right"/>
    </xf>
    <xf numFmtId="0" fontId="87" fillId="0" borderId="0" xfId="18" applyAlignment="1">
      <alignment horizontal="right"/>
    </xf>
    <xf numFmtId="2" fontId="87" fillId="0" borderId="0" xfId="18" applyNumberFormat="1" applyAlignment="1">
      <alignment horizontal="right"/>
    </xf>
    <xf numFmtId="0" fontId="67" fillId="6" borderId="0" xfId="18" applyFont="1" applyFill="1" applyBorder="1" applyAlignment="1">
      <alignment horizontal="left"/>
    </xf>
    <xf numFmtId="0" fontId="4" fillId="6" borderId="0" xfId="18" applyFont="1" applyFill="1" applyBorder="1" applyAlignment="1">
      <alignment horizontal="right"/>
    </xf>
    <xf numFmtId="0" fontId="8" fillId="3" borderId="0" xfId="18" applyFont="1" applyFill="1" applyAlignment="1">
      <alignment horizontal="center"/>
    </xf>
    <xf numFmtId="0" fontId="8" fillId="6" borderId="0" xfId="18" applyFont="1" applyFill="1" applyAlignment="1">
      <alignment horizontal="center"/>
    </xf>
    <xf numFmtId="0" fontId="8" fillId="0" borderId="0" xfId="18" applyFont="1" applyFill="1" applyAlignment="1">
      <alignment horizontal="center"/>
    </xf>
    <xf numFmtId="0" fontId="67" fillId="3" borderId="0" xfId="18" applyFont="1" applyFill="1" applyAlignment="1">
      <alignment horizontal="center"/>
    </xf>
    <xf numFmtId="183" fontId="87" fillId="0" borderId="0" xfId="18" applyNumberFormat="1"/>
    <xf numFmtId="0" fontId="4" fillId="6" borderId="0" xfId="18" applyFont="1" applyFill="1" applyBorder="1"/>
    <xf numFmtId="0" fontId="4" fillId="3" borderId="0" xfId="18" applyFont="1" applyFill="1" applyAlignment="1">
      <alignment horizontal="center"/>
    </xf>
    <xf numFmtId="0" fontId="4" fillId="6" borderId="0" xfId="18" applyFont="1" applyFill="1" applyAlignment="1">
      <alignment horizontal="center"/>
    </xf>
    <xf numFmtId="0" fontId="4" fillId="0" borderId="0" xfId="18" applyFont="1" applyFill="1" applyAlignment="1">
      <alignment horizontal="center"/>
    </xf>
    <xf numFmtId="0" fontId="8" fillId="6" borderId="0" xfId="18" applyFont="1" applyFill="1" applyBorder="1"/>
    <xf numFmtId="0" fontId="4" fillId="3" borderId="0" xfId="18" applyFont="1" applyFill="1" applyBorder="1" applyAlignment="1">
      <alignment horizontal="center"/>
    </xf>
    <xf numFmtId="0" fontId="4" fillId="6" borderId="0" xfId="18" applyFont="1" applyFill="1" applyBorder="1" applyAlignment="1">
      <alignment horizontal="center"/>
    </xf>
    <xf numFmtId="0" fontId="4" fillId="0" borderId="0" xfId="18" applyFont="1" applyFill="1" applyBorder="1" applyAlignment="1">
      <alignment horizontal="center"/>
    </xf>
    <xf numFmtId="184" fontId="23" fillId="3" borderId="0" xfId="18" applyNumberFormat="1" applyFont="1" applyFill="1" applyBorder="1" applyAlignment="1">
      <alignment horizontal="center" vertical="top"/>
    </xf>
    <xf numFmtId="184" fontId="23" fillId="6" borderId="0" xfId="18" applyNumberFormat="1" applyFont="1" applyFill="1" applyBorder="1" applyAlignment="1">
      <alignment horizontal="center" vertical="top"/>
    </xf>
    <xf numFmtId="184" fontId="23" fillId="0" borderId="0" xfId="18" applyNumberFormat="1" applyFont="1" applyFill="1" applyBorder="1" applyAlignment="1">
      <alignment horizontal="center" vertical="top"/>
    </xf>
    <xf numFmtId="183" fontId="89" fillId="0" borderId="0" xfId="18" applyNumberFormat="1" applyFont="1"/>
    <xf numFmtId="0" fontId="8" fillId="6" borderId="3" xfId="18" applyFont="1" applyFill="1" applyBorder="1"/>
    <xf numFmtId="0" fontId="4" fillId="6" borderId="3" xfId="18" applyFont="1" applyFill="1" applyBorder="1"/>
    <xf numFmtId="0" fontId="4" fillId="3" borderId="3" xfId="18" applyFont="1" applyFill="1" applyBorder="1"/>
    <xf numFmtId="0" fontId="4" fillId="0" borderId="3" xfId="18" applyFont="1" applyFill="1" applyBorder="1"/>
    <xf numFmtId="0" fontId="23" fillId="6" borderId="3" xfId="18" applyFont="1" applyFill="1" applyBorder="1" applyAlignment="1">
      <alignment horizontal="center"/>
    </xf>
    <xf numFmtId="0" fontId="23" fillId="0" borderId="3" xfId="18" applyFont="1" applyFill="1" applyBorder="1" applyAlignment="1">
      <alignment horizontal="center"/>
    </xf>
    <xf numFmtId="0" fontId="8" fillId="6" borderId="6" xfId="18" applyFont="1" applyFill="1" applyBorder="1"/>
    <xf numFmtId="0" fontId="4" fillId="6" borderId="6" xfId="18" applyFont="1" applyFill="1" applyBorder="1"/>
    <xf numFmtId="183" fontId="8" fillId="3" borderId="4" xfId="18" applyNumberFormat="1" applyFont="1" applyFill="1" applyBorder="1" applyAlignment="1">
      <alignment horizontal="left"/>
    </xf>
    <xf numFmtId="183" fontId="8" fillId="6" borderId="4" xfId="18" applyNumberFormat="1" applyFont="1" applyFill="1" applyBorder="1" applyAlignment="1">
      <alignment horizontal="left"/>
    </xf>
    <xf numFmtId="183" fontId="8" fillId="0" borderId="4" xfId="18" applyNumberFormat="1" applyFont="1" applyFill="1" applyBorder="1" applyAlignment="1">
      <alignment horizontal="left"/>
    </xf>
    <xf numFmtId="184" fontId="8" fillId="3" borderId="4" xfId="18" applyNumberFormat="1" applyFont="1" applyFill="1" applyBorder="1" applyAlignment="1">
      <alignment horizontal="left"/>
    </xf>
    <xf numFmtId="184" fontId="8" fillId="6" borderId="4" xfId="18" applyNumberFormat="1" applyFont="1" applyFill="1" applyBorder="1" applyAlignment="1">
      <alignment horizontal="left"/>
    </xf>
    <xf numFmtId="184" fontId="8" fillId="0" borderId="4" xfId="18" applyNumberFormat="1" applyFont="1" applyFill="1" applyBorder="1" applyAlignment="1">
      <alignment horizontal="left"/>
    </xf>
    <xf numFmtId="3" fontId="67" fillId="3" borderId="4" xfId="18" applyNumberFormat="1" applyFont="1" applyFill="1" applyBorder="1" applyAlignment="1">
      <alignment horizontal="left"/>
    </xf>
    <xf numFmtId="0" fontId="4" fillId="6" borderId="7" xfId="18" applyFont="1" applyFill="1" applyBorder="1"/>
    <xf numFmtId="0" fontId="92" fillId="6" borderId="7" xfId="18" applyFont="1" applyFill="1" applyBorder="1"/>
    <xf numFmtId="183" fontId="4" fillId="3" borderId="7" xfId="18" applyNumberFormat="1" applyFont="1" applyFill="1" applyBorder="1"/>
    <xf numFmtId="183" fontId="4" fillId="6" borderId="7" xfId="18" applyNumberFormat="1" applyFont="1" applyFill="1" applyBorder="1"/>
    <xf numFmtId="183" fontId="4" fillId="0" borderId="7" xfId="18" applyNumberFormat="1" applyFont="1" applyFill="1" applyBorder="1"/>
    <xf numFmtId="184" fontId="4" fillId="3" borderId="7" xfId="18" applyNumberFormat="1" applyFont="1" applyFill="1" applyBorder="1"/>
    <xf numFmtId="184" fontId="4" fillId="6" borderId="7" xfId="18" applyNumberFormat="1" applyFont="1" applyFill="1" applyBorder="1"/>
    <xf numFmtId="184" fontId="4" fillId="0" borderId="7" xfId="18" applyNumberFormat="1" applyFont="1" applyFill="1" applyBorder="1"/>
    <xf numFmtId="3" fontId="26" fillId="3" borderId="7" xfId="18" applyNumberFormat="1" applyFont="1" applyFill="1" applyBorder="1"/>
    <xf numFmtId="0" fontId="88" fillId="0" borderId="0" xfId="18" applyFont="1"/>
    <xf numFmtId="0" fontId="8" fillId="6" borderId="7" xfId="18" applyFont="1" applyFill="1" applyBorder="1"/>
    <xf numFmtId="183" fontId="8" fillId="3" borderId="7" xfId="18" applyNumberFormat="1" applyFont="1" applyFill="1" applyBorder="1" applyAlignment="1">
      <alignment horizontal="left"/>
    </xf>
    <xf numFmtId="183" fontId="8" fillId="6" borderId="7" xfId="18" applyNumberFormat="1" applyFont="1" applyFill="1" applyBorder="1" applyAlignment="1">
      <alignment horizontal="left"/>
    </xf>
    <xf numFmtId="183" fontId="8" fillId="0" borderId="7" xfId="18" applyNumberFormat="1" applyFont="1" applyFill="1" applyBorder="1" applyAlignment="1">
      <alignment horizontal="left"/>
    </xf>
    <xf numFmtId="184" fontId="8" fillId="3" borderId="7" xfId="18" applyNumberFormat="1" applyFont="1" applyFill="1" applyBorder="1" applyAlignment="1">
      <alignment horizontal="left"/>
    </xf>
    <xf numFmtId="184" fontId="8" fillId="6" borderId="7" xfId="18" applyNumberFormat="1" applyFont="1" applyFill="1" applyBorder="1" applyAlignment="1">
      <alignment horizontal="left"/>
    </xf>
    <xf numFmtId="184" fontId="8" fillId="0" borderId="7" xfId="18" applyNumberFormat="1" applyFont="1" applyFill="1" applyBorder="1" applyAlignment="1">
      <alignment horizontal="left"/>
    </xf>
    <xf numFmtId="3" fontId="67" fillId="3" borderId="7" xfId="18" applyNumberFormat="1" applyFont="1" applyFill="1" applyBorder="1" applyAlignment="1">
      <alignment horizontal="left"/>
    </xf>
    <xf numFmtId="0" fontId="23" fillId="6" borderId="7" xfId="18" applyFont="1" applyFill="1" applyBorder="1"/>
    <xf numFmtId="0" fontId="18" fillId="6" borderId="7" xfId="18" applyFont="1" applyFill="1" applyBorder="1"/>
    <xf numFmtId="183" fontId="18" fillId="3" borderId="7" xfId="18" applyNumberFormat="1" applyFont="1" applyFill="1" applyBorder="1" applyAlignment="1">
      <alignment horizontal="center"/>
    </xf>
    <xf numFmtId="183" fontId="18" fillId="6" borderId="7" xfId="18" applyNumberFormat="1" applyFont="1" applyFill="1" applyBorder="1" applyAlignment="1">
      <alignment horizontal="center"/>
    </xf>
    <xf numFmtId="183" fontId="18" fillId="0" borderId="7" xfId="18" applyNumberFormat="1" applyFont="1" applyFill="1" applyBorder="1" applyAlignment="1">
      <alignment horizontal="center"/>
    </xf>
    <xf numFmtId="184" fontId="18" fillId="3" borderId="7" xfId="18" applyNumberFormat="1" applyFont="1" applyFill="1" applyBorder="1" applyAlignment="1">
      <alignment horizontal="center"/>
    </xf>
    <xf numFmtId="184" fontId="18" fillId="6" borderId="7" xfId="18" applyNumberFormat="1" applyFont="1" applyFill="1" applyBorder="1" applyAlignment="1">
      <alignment horizontal="center"/>
    </xf>
    <xf numFmtId="184" fontId="18" fillId="0" borderId="7" xfId="18" applyNumberFormat="1" applyFont="1" applyFill="1" applyBorder="1" applyAlignment="1">
      <alignment horizontal="center"/>
    </xf>
    <xf numFmtId="3" fontId="53" fillId="3" borderId="7" xfId="18" applyNumberFormat="1" applyFont="1" applyFill="1" applyBorder="1" applyAlignment="1">
      <alignment horizontal="center"/>
    </xf>
    <xf numFmtId="0" fontId="96" fillId="0" borderId="0" xfId="18" applyFont="1"/>
    <xf numFmtId="0" fontId="4" fillId="6" borderId="4" xfId="18" applyFont="1" applyFill="1" applyBorder="1"/>
    <xf numFmtId="183" fontId="4" fillId="3" borderId="4" xfId="18" applyNumberFormat="1" applyFont="1" applyFill="1" applyBorder="1"/>
    <xf numFmtId="183" fontId="4" fillId="6" borderId="4" xfId="18" applyNumberFormat="1" applyFont="1" applyFill="1" applyBorder="1"/>
    <xf numFmtId="183" fontId="4" fillId="0" borderId="4" xfId="18" applyNumberFormat="1" applyFont="1" applyFill="1" applyBorder="1"/>
    <xf numFmtId="184" fontId="4" fillId="3" borderId="4" xfId="18" applyNumberFormat="1" applyFont="1" applyFill="1" applyBorder="1"/>
    <xf numFmtId="184" fontId="4" fillId="6" borderId="4" xfId="18" applyNumberFormat="1" applyFont="1" applyFill="1" applyBorder="1"/>
    <xf numFmtId="184" fontId="4" fillId="0" borderId="4" xfId="18" applyNumberFormat="1" applyFont="1" applyFill="1" applyBorder="1"/>
    <xf numFmtId="3" fontId="26" fillId="3" borderId="4" xfId="18" applyNumberFormat="1" applyFont="1" applyFill="1" applyBorder="1"/>
    <xf numFmtId="0" fontId="8" fillId="6" borderId="7" xfId="18" applyFont="1" applyFill="1" applyBorder="1" applyAlignment="1">
      <alignment horizontal="left"/>
    </xf>
    <xf numFmtId="0" fontId="89" fillId="0" borderId="0" xfId="18" applyFont="1" applyAlignment="1">
      <alignment horizontal="left"/>
    </xf>
    <xf numFmtId="183" fontId="23" fillId="3" borderId="7" xfId="18" applyNumberFormat="1" applyFont="1" applyFill="1" applyBorder="1"/>
    <xf numFmtId="183" fontId="23" fillId="6" borderId="7" xfId="18" applyNumberFormat="1" applyFont="1" applyFill="1" applyBorder="1"/>
    <xf numFmtId="183" fontId="23" fillId="0" borderId="7" xfId="18" applyNumberFormat="1" applyFont="1" applyFill="1" applyBorder="1"/>
    <xf numFmtId="184" fontId="23" fillId="3" borderId="7" xfId="18" applyNumberFormat="1" applyFont="1" applyFill="1" applyBorder="1"/>
    <xf numFmtId="184" fontId="23" fillId="6" borderId="7" xfId="18" applyNumberFormat="1" applyFont="1" applyFill="1" applyBorder="1"/>
    <xf numFmtId="184" fontId="23" fillId="0" borderId="7" xfId="18" applyNumberFormat="1" applyFont="1" applyFill="1" applyBorder="1"/>
    <xf numFmtId="183" fontId="23" fillId="3" borderId="7" xfId="18" applyNumberFormat="1" applyFont="1" applyFill="1" applyBorder="1" applyAlignment="1">
      <alignment horizontal="right"/>
    </xf>
    <xf numFmtId="183" fontId="23" fillId="6" borderId="7" xfId="18" applyNumberFormat="1" applyFont="1" applyFill="1" applyBorder="1" applyAlignment="1">
      <alignment horizontal="right"/>
    </xf>
    <xf numFmtId="183" fontId="23" fillId="0" borderId="7" xfId="18" applyNumberFormat="1" applyFont="1" applyFill="1" applyBorder="1" applyAlignment="1">
      <alignment horizontal="right"/>
    </xf>
    <xf numFmtId="184" fontId="23" fillId="3" borderId="7" xfId="18" applyNumberFormat="1" applyFont="1" applyFill="1" applyBorder="1" applyAlignment="1">
      <alignment horizontal="right"/>
    </xf>
    <xf numFmtId="184" fontId="23" fillId="6" borderId="7" xfId="18" applyNumberFormat="1" applyFont="1" applyFill="1" applyBorder="1" applyAlignment="1">
      <alignment horizontal="right"/>
    </xf>
    <xf numFmtId="184" fontId="23" fillId="0" borderId="7" xfId="18" applyNumberFormat="1" applyFont="1" applyFill="1" applyBorder="1" applyAlignment="1">
      <alignment horizontal="right"/>
    </xf>
    <xf numFmtId="183" fontId="18" fillId="0" borderId="7" xfId="18" applyNumberFormat="1" applyFont="1" applyFill="1" applyBorder="1" applyAlignment="1">
      <alignment horizontal="right"/>
    </xf>
    <xf numFmtId="184" fontId="18" fillId="3" borderId="7" xfId="18" applyNumberFormat="1" applyFont="1" applyFill="1" applyBorder="1" applyAlignment="1">
      <alignment horizontal="right"/>
    </xf>
    <xf numFmtId="184" fontId="18" fillId="6" borderId="7" xfId="18" applyNumberFormat="1" applyFont="1" applyFill="1" applyBorder="1" applyAlignment="1">
      <alignment horizontal="right"/>
    </xf>
    <xf numFmtId="184" fontId="18" fillId="0" borderId="7" xfId="18" applyNumberFormat="1" applyFont="1" applyFill="1" applyBorder="1" applyAlignment="1">
      <alignment horizontal="right"/>
    </xf>
    <xf numFmtId="183" fontId="4" fillId="0" borderId="7" xfId="18" applyNumberFormat="1" applyFont="1" applyFill="1" applyBorder="1" applyAlignment="1">
      <alignment horizontal="center"/>
    </xf>
    <xf numFmtId="184" fontId="4" fillId="0" borderId="7" xfId="18" applyNumberFormat="1" applyFont="1" applyFill="1" applyBorder="1" applyAlignment="1">
      <alignment horizontal="center"/>
    </xf>
    <xf numFmtId="183" fontId="8" fillId="3" borderId="7" xfId="18" applyNumberFormat="1" applyFont="1" applyFill="1" applyBorder="1"/>
    <xf numFmtId="183" fontId="8" fillId="6" borderId="7" xfId="18" applyNumberFormat="1" applyFont="1" applyFill="1" applyBorder="1"/>
    <xf numFmtId="183" fontId="26" fillId="3" borderId="7" xfId="18" applyNumberFormat="1" applyFont="1" applyFill="1" applyBorder="1"/>
    <xf numFmtId="0" fontId="8" fillId="6" borderId="5" xfId="18" applyFont="1" applyFill="1" applyBorder="1"/>
    <xf numFmtId="0" fontId="23" fillId="6" borderId="5" xfId="18" applyFont="1" applyFill="1" applyBorder="1"/>
    <xf numFmtId="183" fontId="8" fillId="3" borderId="5" xfId="18" applyNumberFormat="1" applyFont="1" applyFill="1" applyBorder="1" applyAlignment="1">
      <alignment horizontal="left"/>
    </xf>
    <xf numFmtId="183" fontId="8" fillId="6" borderId="5" xfId="18" applyNumberFormat="1" applyFont="1" applyFill="1" applyBorder="1" applyAlignment="1">
      <alignment horizontal="left"/>
    </xf>
    <xf numFmtId="183" fontId="8" fillId="0" borderId="5" xfId="18" applyNumberFormat="1" applyFont="1" applyFill="1" applyBorder="1" applyAlignment="1">
      <alignment horizontal="left"/>
    </xf>
    <xf numFmtId="184" fontId="8" fillId="3" borderId="5" xfId="18" applyNumberFormat="1" applyFont="1" applyFill="1" applyBorder="1" applyAlignment="1">
      <alignment horizontal="left"/>
    </xf>
    <xf numFmtId="184" fontId="8" fillId="6" borderId="5" xfId="18" applyNumberFormat="1" applyFont="1" applyFill="1" applyBorder="1" applyAlignment="1">
      <alignment horizontal="left"/>
    </xf>
    <xf numFmtId="184" fontId="8" fillId="0" borderId="5" xfId="18" applyNumberFormat="1" applyFont="1" applyFill="1" applyBorder="1" applyAlignment="1">
      <alignment horizontal="left"/>
    </xf>
    <xf numFmtId="3" fontId="67" fillId="3" borderId="5" xfId="18" applyNumberFormat="1" applyFont="1" applyFill="1" applyBorder="1" applyAlignment="1">
      <alignment horizontal="left"/>
    </xf>
    <xf numFmtId="0" fontId="18" fillId="0" borderId="0" xfId="18" applyFont="1" applyBorder="1"/>
    <xf numFmtId="0" fontId="4" fillId="0" borderId="0" xfId="18" applyFont="1" applyBorder="1"/>
    <xf numFmtId="0" fontId="18" fillId="0" borderId="0" xfId="18" applyFont="1"/>
    <xf numFmtId="10" fontId="87" fillId="0" borderId="0" xfId="18" applyNumberFormat="1"/>
    <xf numFmtId="0" fontId="87" fillId="0" borderId="0" xfId="18" applyBorder="1"/>
    <xf numFmtId="0" fontId="97" fillId="0" borderId="0" xfId="18" applyFont="1"/>
    <xf numFmtId="0" fontId="4" fillId="0" borderId="0" xfId="19" applyFont="1"/>
    <xf numFmtId="0" fontId="2" fillId="0" borderId="0" xfId="19" applyFont="1"/>
    <xf numFmtId="0" fontId="87" fillId="0" borderId="0" xfId="19"/>
    <xf numFmtId="0" fontId="4" fillId="0" borderId="11" xfId="19" applyFont="1" applyBorder="1"/>
    <xf numFmtId="0" fontId="4" fillId="6" borderId="8" xfId="19" applyFont="1" applyFill="1" applyBorder="1" applyAlignment="1">
      <alignment horizontal="right"/>
    </xf>
    <xf numFmtId="0" fontId="4" fillId="3" borderId="8" xfId="19" applyFont="1" applyFill="1" applyBorder="1" applyAlignment="1">
      <alignment horizontal="right"/>
    </xf>
    <xf numFmtId="184" fontId="23" fillId="6" borderId="0" xfId="19" applyNumberFormat="1" applyFont="1" applyFill="1" applyBorder="1" applyAlignment="1">
      <alignment horizontal="center"/>
    </xf>
    <xf numFmtId="184" fontId="23" fillId="3" borderId="0" xfId="19" applyNumberFormat="1" applyFont="1" applyFill="1" applyBorder="1" applyAlignment="1">
      <alignment horizontal="center"/>
    </xf>
    <xf numFmtId="184" fontId="23" fillId="0" borderId="0" xfId="19" applyNumberFormat="1" applyFont="1" applyFill="1" applyBorder="1" applyAlignment="1">
      <alignment horizontal="center"/>
    </xf>
    <xf numFmtId="0" fontId="23" fillId="6" borderId="8" xfId="19" applyFont="1" applyFill="1" applyBorder="1" applyAlignment="1">
      <alignment horizontal="center"/>
    </xf>
    <xf numFmtId="0" fontId="23" fillId="0" borderId="8" xfId="19" applyFont="1" applyFill="1" applyBorder="1" applyAlignment="1">
      <alignment horizontal="center"/>
    </xf>
    <xf numFmtId="0" fontId="67" fillId="3" borderId="8" xfId="19" applyFont="1" applyFill="1" applyBorder="1" applyAlignment="1">
      <alignment horizontal="center"/>
    </xf>
    <xf numFmtId="0" fontId="67" fillId="6" borderId="0" xfId="19" applyFont="1" applyFill="1" applyBorder="1" applyAlignment="1">
      <alignment horizontal="left"/>
    </xf>
    <xf numFmtId="0" fontId="4" fillId="6" borderId="0" xfId="19" applyFont="1" applyFill="1" applyBorder="1" applyAlignment="1">
      <alignment horizontal="right"/>
    </xf>
    <xf numFmtId="0" fontId="8" fillId="3" borderId="0" xfId="19" applyFont="1" applyFill="1" applyBorder="1" applyAlignment="1">
      <alignment horizontal="center"/>
    </xf>
    <xf numFmtId="0" fontId="8" fillId="6" borderId="0" xfId="19" applyFont="1" applyFill="1" applyBorder="1" applyAlignment="1">
      <alignment horizontal="center"/>
    </xf>
    <xf numFmtId="0" fontId="8" fillId="0" borderId="0" xfId="19" applyFont="1" applyFill="1" applyBorder="1" applyAlignment="1">
      <alignment horizontal="center"/>
    </xf>
    <xf numFmtId="0" fontId="23" fillId="6" borderId="0" xfId="19" applyFont="1" applyFill="1" applyBorder="1" applyAlignment="1">
      <alignment horizontal="center"/>
    </xf>
    <xf numFmtId="0" fontId="23" fillId="0" borderId="0" xfId="19" applyFont="1" applyFill="1" applyBorder="1" applyAlignment="1">
      <alignment horizontal="center"/>
    </xf>
    <xf numFmtId="0" fontId="67" fillId="3" borderId="0" xfId="19" applyFont="1" applyFill="1" applyBorder="1" applyAlignment="1">
      <alignment horizontal="center"/>
    </xf>
    <xf numFmtId="0" fontId="4" fillId="3" borderId="0" xfId="19" applyFont="1" applyFill="1" applyBorder="1" applyAlignment="1">
      <alignment horizontal="center"/>
    </xf>
    <xf numFmtId="0" fontId="4" fillId="6" borderId="0" xfId="19" applyFont="1" applyFill="1" applyBorder="1" applyAlignment="1">
      <alignment horizontal="center"/>
    </xf>
    <xf numFmtId="184" fontId="23" fillId="6" borderId="0" xfId="19" applyNumberFormat="1" applyFont="1" applyFill="1" applyBorder="1" applyAlignment="1">
      <alignment horizontal="center" vertical="top"/>
    </xf>
    <xf numFmtId="184" fontId="23" fillId="3" borderId="0" xfId="19" applyNumberFormat="1" applyFont="1" applyFill="1" applyBorder="1" applyAlignment="1">
      <alignment horizontal="center" vertical="top"/>
    </xf>
    <xf numFmtId="184" fontId="23" fillId="0" borderId="0" xfId="19" applyNumberFormat="1" applyFont="1" applyFill="1" applyBorder="1" applyAlignment="1">
      <alignment horizontal="center" vertical="top"/>
    </xf>
    <xf numFmtId="0" fontId="67" fillId="6" borderId="3" xfId="19" applyFont="1" applyFill="1" applyBorder="1" applyAlignment="1">
      <alignment horizontal="left"/>
    </xf>
    <xf numFmtId="0" fontId="4" fillId="6" borderId="3" xfId="19" applyFont="1" applyFill="1" applyBorder="1"/>
    <xf numFmtId="0" fontId="4" fillId="3" borderId="3" xfId="19" applyFont="1" applyFill="1" applyBorder="1" applyAlignment="1">
      <alignment horizontal="center"/>
    </xf>
    <xf numFmtId="0" fontId="4" fillId="6" borderId="3" xfId="19" applyFont="1" applyFill="1" applyBorder="1" applyAlignment="1">
      <alignment horizontal="center"/>
    </xf>
    <xf numFmtId="184" fontId="23" fillId="6" borderId="3" xfId="19" applyNumberFormat="1" applyFont="1" applyFill="1" applyBorder="1" applyAlignment="1">
      <alignment horizontal="center" vertical="top"/>
    </xf>
    <xf numFmtId="184" fontId="23" fillId="3" borderId="3" xfId="19" applyNumberFormat="1" applyFont="1" applyFill="1" applyBorder="1" applyAlignment="1">
      <alignment horizontal="center" vertical="top"/>
    </xf>
    <xf numFmtId="184" fontId="23" fillId="0" borderId="3" xfId="19" applyNumberFormat="1" applyFont="1" applyFill="1" applyBorder="1" applyAlignment="1">
      <alignment horizontal="center" vertical="top"/>
    </xf>
    <xf numFmtId="0" fontId="23" fillId="6" borderId="3" xfId="19" applyFont="1" applyFill="1" applyBorder="1" applyAlignment="1">
      <alignment horizontal="center"/>
    </xf>
    <xf numFmtId="0" fontId="23" fillId="0" borderId="3" xfId="19" applyFont="1" applyFill="1" applyBorder="1" applyAlignment="1">
      <alignment horizontal="center"/>
    </xf>
    <xf numFmtId="0" fontId="8" fillId="6" borderId="4" xfId="19" applyFont="1" applyFill="1" applyBorder="1"/>
    <xf numFmtId="0" fontId="4" fillId="6" borderId="4" xfId="19" applyFont="1" applyFill="1" applyBorder="1"/>
    <xf numFmtId="183" fontId="4" fillId="3" borderId="4" xfId="19" applyNumberFormat="1" applyFont="1" applyFill="1" applyBorder="1" applyAlignment="1">
      <alignment horizontal="center"/>
    </xf>
    <xf numFmtId="183" fontId="4" fillId="6" borderId="4" xfId="19" applyNumberFormat="1" applyFont="1" applyFill="1" applyBorder="1" applyAlignment="1">
      <alignment horizontal="center"/>
    </xf>
    <xf numFmtId="183" fontId="4" fillId="0" borderId="4" xfId="19" applyNumberFormat="1" applyFont="1" applyFill="1" applyBorder="1" applyAlignment="1">
      <alignment horizontal="center"/>
    </xf>
    <xf numFmtId="184" fontId="4" fillId="3" borderId="4" xfId="19" applyNumberFormat="1" applyFont="1" applyFill="1" applyBorder="1" applyAlignment="1">
      <alignment horizontal="center"/>
    </xf>
    <xf numFmtId="184" fontId="4" fillId="6" borderId="4" xfId="19" applyNumberFormat="1" applyFont="1" applyFill="1" applyBorder="1" applyAlignment="1">
      <alignment horizontal="center"/>
    </xf>
    <xf numFmtId="184" fontId="4" fillId="0" borderId="4" xfId="19" applyNumberFormat="1" applyFont="1" applyFill="1" applyBorder="1" applyAlignment="1">
      <alignment horizontal="center"/>
    </xf>
    <xf numFmtId="0" fontId="4" fillId="6" borderId="7" xfId="19" applyFont="1" applyFill="1" applyBorder="1"/>
    <xf numFmtId="0" fontId="23" fillId="6" borderId="7" xfId="19" applyFont="1" applyFill="1" applyBorder="1"/>
    <xf numFmtId="183" fontId="23" fillId="3" borderId="7" xfId="19" applyNumberFormat="1" applyFont="1" applyFill="1" applyBorder="1" applyAlignment="1">
      <alignment horizontal="right"/>
    </xf>
    <xf numFmtId="183" fontId="23" fillId="6" borderId="7" xfId="19" applyNumberFormat="1" applyFont="1" applyFill="1" applyBorder="1" applyAlignment="1">
      <alignment horizontal="right"/>
    </xf>
    <xf numFmtId="183" fontId="23" fillId="0" borderId="7" xfId="19" applyNumberFormat="1" applyFont="1" applyFill="1" applyBorder="1" applyAlignment="1">
      <alignment horizontal="right"/>
    </xf>
    <xf numFmtId="184" fontId="23" fillId="3" borderId="7" xfId="19" applyNumberFormat="1" applyFont="1" applyFill="1" applyBorder="1" applyAlignment="1">
      <alignment horizontal="right"/>
    </xf>
    <xf numFmtId="184" fontId="23" fillId="6" borderId="7" xfId="19" applyNumberFormat="1" applyFont="1" applyFill="1" applyBorder="1" applyAlignment="1">
      <alignment horizontal="right"/>
    </xf>
    <xf numFmtId="184" fontId="23" fillId="0" borderId="7" xfId="19" applyNumberFormat="1" applyFont="1" applyFill="1" applyBorder="1" applyAlignment="1">
      <alignment horizontal="right"/>
    </xf>
    <xf numFmtId="183" fontId="4" fillId="3" borderId="7" xfId="19" applyNumberFormat="1" applyFont="1" applyFill="1" applyBorder="1"/>
    <xf numFmtId="183" fontId="4" fillId="6" borderId="7" xfId="19" applyNumberFormat="1" applyFont="1" applyFill="1" applyBorder="1"/>
    <xf numFmtId="183" fontId="4" fillId="0" borderId="7" xfId="19" applyNumberFormat="1" applyFont="1" applyFill="1" applyBorder="1"/>
    <xf numFmtId="184" fontId="4" fillId="3" borderId="7" xfId="19" applyNumberFormat="1" applyFont="1" applyFill="1" applyBorder="1"/>
    <xf numFmtId="184" fontId="4" fillId="6" borderId="7" xfId="19" applyNumberFormat="1" applyFont="1" applyFill="1" applyBorder="1"/>
    <xf numFmtId="184" fontId="4" fillId="0" borderId="7" xfId="19" applyNumberFormat="1" applyFont="1" applyFill="1" applyBorder="1"/>
    <xf numFmtId="3" fontId="26" fillId="3" borderId="7" xfId="19" applyNumberFormat="1" applyFont="1" applyFill="1" applyBorder="1"/>
    <xf numFmtId="0" fontId="8" fillId="6" borderId="7" xfId="19" applyFont="1" applyFill="1" applyBorder="1"/>
    <xf numFmtId="183" fontId="4" fillId="3" borderId="7" xfId="19" applyNumberFormat="1" applyFont="1" applyFill="1" applyBorder="1" applyAlignment="1">
      <alignment horizontal="center"/>
    </xf>
    <xf numFmtId="183" fontId="4" fillId="6" borderId="7" xfId="19" applyNumberFormat="1" applyFont="1" applyFill="1" applyBorder="1" applyAlignment="1">
      <alignment horizontal="center"/>
    </xf>
    <xf numFmtId="184" fontId="4" fillId="0" borderId="7" xfId="19" applyNumberFormat="1" applyFont="1" applyFill="1" applyBorder="1" applyAlignment="1">
      <alignment horizontal="center"/>
    </xf>
    <xf numFmtId="184" fontId="4" fillId="3" borderId="7" xfId="19" applyNumberFormat="1" applyFont="1" applyFill="1" applyBorder="1" applyAlignment="1">
      <alignment horizontal="center"/>
    </xf>
    <xf numFmtId="184" fontId="4" fillId="6" borderId="7" xfId="19" applyNumberFormat="1" applyFont="1" applyFill="1" applyBorder="1" applyAlignment="1">
      <alignment horizontal="center"/>
    </xf>
    <xf numFmtId="3" fontId="26" fillId="0" borderId="7" xfId="19" applyNumberFormat="1" applyFont="1" applyFill="1" applyBorder="1" applyAlignment="1">
      <alignment horizontal="center"/>
    </xf>
    <xf numFmtId="3" fontId="26" fillId="3" borderId="7" xfId="19" applyNumberFormat="1" applyFont="1" applyFill="1" applyBorder="1" applyAlignment="1">
      <alignment horizontal="center"/>
    </xf>
    <xf numFmtId="0" fontId="87" fillId="0" borderId="0" xfId="19" applyFill="1"/>
    <xf numFmtId="0" fontId="4" fillId="3" borderId="7" xfId="19" applyFont="1" applyFill="1" applyBorder="1"/>
    <xf numFmtId="0" fontId="4" fillId="0" borderId="7" xfId="19" applyFont="1" applyFill="1" applyBorder="1"/>
    <xf numFmtId="183" fontId="4" fillId="0" borderId="7" xfId="19" applyNumberFormat="1" applyFont="1" applyFill="1" applyBorder="1" applyAlignment="1">
      <alignment horizontal="center"/>
    </xf>
    <xf numFmtId="3" fontId="68" fillId="3" borderId="7" xfId="19" applyNumberFormat="1" applyFont="1" applyFill="1" applyBorder="1" applyAlignment="1">
      <alignment horizontal="right"/>
    </xf>
    <xf numFmtId="183" fontId="8" fillId="3" borderId="7" xfId="19" applyNumberFormat="1" applyFont="1" applyFill="1" applyBorder="1"/>
    <xf numFmtId="183" fontId="8" fillId="6" borderId="7" xfId="19" applyNumberFormat="1" applyFont="1" applyFill="1" applyBorder="1"/>
    <xf numFmtId="183" fontId="8" fillId="0" borderId="7" xfId="19" applyNumberFormat="1" applyFont="1" applyFill="1" applyBorder="1"/>
    <xf numFmtId="184" fontId="8" fillId="3" borderId="7" xfId="19" applyNumberFormat="1" applyFont="1" applyFill="1" applyBorder="1"/>
    <xf numFmtId="184" fontId="8" fillId="6" borderId="7" xfId="19" applyNumberFormat="1" applyFont="1" applyFill="1" applyBorder="1"/>
    <xf numFmtId="184" fontId="8" fillId="0" borderId="7" xfId="19" applyNumberFormat="1" applyFont="1" applyFill="1" applyBorder="1"/>
    <xf numFmtId="3" fontId="67" fillId="3" borderId="7" xfId="19" applyNumberFormat="1" applyFont="1" applyFill="1" applyBorder="1"/>
    <xf numFmtId="183" fontId="8" fillId="3" borderId="7" xfId="19" applyNumberFormat="1" applyFont="1" applyFill="1" applyBorder="1" applyAlignment="1">
      <alignment horizontal="left"/>
    </xf>
    <xf numFmtId="183" fontId="8" fillId="6" borderId="7" xfId="19" applyNumberFormat="1" applyFont="1" applyFill="1" applyBorder="1" applyAlignment="1">
      <alignment horizontal="left"/>
    </xf>
    <xf numFmtId="183" fontId="8" fillId="0" borderId="7" xfId="19" applyNumberFormat="1" applyFont="1" applyFill="1" applyBorder="1" applyAlignment="1">
      <alignment horizontal="left"/>
    </xf>
    <xf numFmtId="184" fontId="8" fillId="3" borderId="7" xfId="19" applyNumberFormat="1" applyFont="1" applyFill="1" applyBorder="1" applyAlignment="1">
      <alignment horizontal="left"/>
    </xf>
    <xf numFmtId="184" fontId="8" fillId="6" borderId="7" xfId="19" applyNumberFormat="1" applyFont="1" applyFill="1" applyBorder="1" applyAlignment="1">
      <alignment horizontal="left"/>
    </xf>
    <xf numFmtId="184" fontId="8" fillId="0" borderId="7" xfId="19" applyNumberFormat="1" applyFont="1" applyFill="1" applyBorder="1" applyAlignment="1">
      <alignment horizontal="left"/>
    </xf>
    <xf numFmtId="3" fontId="67" fillId="3" borderId="7" xfId="19" applyNumberFormat="1" applyFont="1" applyFill="1" applyBorder="1" applyAlignment="1">
      <alignment horizontal="left"/>
    </xf>
    <xf numFmtId="183" fontId="32" fillId="3" borderId="7" xfId="19" applyNumberFormat="1" applyFont="1" applyFill="1" applyBorder="1" applyAlignment="1">
      <alignment horizontal="center"/>
    </xf>
    <xf numFmtId="183" fontId="32" fillId="6" borderId="7" xfId="19" applyNumberFormat="1" applyFont="1" applyFill="1" applyBorder="1" applyAlignment="1">
      <alignment horizontal="center"/>
    </xf>
    <xf numFmtId="183" fontId="32" fillId="0" borderId="7" xfId="19" applyNumberFormat="1" applyFont="1" applyFill="1" applyBorder="1" applyAlignment="1">
      <alignment horizontal="center"/>
    </xf>
    <xf numFmtId="184" fontId="32" fillId="3" borderId="7" xfId="19" applyNumberFormat="1" applyFont="1" applyFill="1" applyBorder="1" applyAlignment="1">
      <alignment horizontal="center"/>
    </xf>
    <xf numFmtId="184" fontId="32" fillId="6" borderId="7" xfId="19" applyNumberFormat="1" applyFont="1" applyFill="1" applyBorder="1" applyAlignment="1">
      <alignment horizontal="center"/>
    </xf>
    <xf numFmtId="184" fontId="32" fillId="0" borderId="7" xfId="19" applyNumberFormat="1" applyFont="1" applyFill="1" applyBorder="1" applyAlignment="1">
      <alignment horizontal="center"/>
    </xf>
    <xf numFmtId="3" fontId="69" fillId="3" borderId="7" xfId="19" applyNumberFormat="1" applyFont="1" applyFill="1" applyBorder="1" applyAlignment="1">
      <alignment horizontal="center"/>
    </xf>
    <xf numFmtId="0" fontId="4" fillId="6" borderId="12" xfId="19" applyFont="1" applyFill="1" applyBorder="1"/>
    <xf numFmtId="0" fontId="23" fillId="6" borderId="12" xfId="19" applyFont="1" applyFill="1" applyBorder="1"/>
    <xf numFmtId="183" fontId="32" fillId="3" borderId="12" xfId="19" applyNumberFormat="1" applyFont="1" applyFill="1" applyBorder="1" applyAlignment="1">
      <alignment horizontal="center"/>
    </xf>
    <xf numFmtId="183" fontId="32" fillId="6" borderId="12" xfId="19" applyNumberFormat="1" applyFont="1" applyFill="1" applyBorder="1" applyAlignment="1">
      <alignment horizontal="center"/>
    </xf>
    <xf numFmtId="183" fontId="32" fillId="0" borderId="12" xfId="19" applyNumberFormat="1" applyFont="1" applyFill="1" applyBorder="1" applyAlignment="1">
      <alignment horizontal="center"/>
    </xf>
    <xf numFmtId="184" fontId="32" fillId="3" borderId="12" xfId="19" applyNumberFormat="1" applyFont="1" applyFill="1" applyBorder="1" applyAlignment="1">
      <alignment horizontal="center"/>
    </xf>
    <xf numFmtId="184" fontId="32" fillId="6" borderId="12" xfId="19" applyNumberFormat="1" applyFont="1" applyFill="1" applyBorder="1" applyAlignment="1">
      <alignment horizontal="center"/>
    </xf>
    <xf numFmtId="184" fontId="32" fillId="0" borderId="12" xfId="19" applyNumberFormat="1" applyFont="1" applyFill="1" applyBorder="1" applyAlignment="1">
      <alignment horizontal="center"/>
    </xf>
    <xf numFmtId="3" fontId="69" fillId="3" borderId="12" xfId="19" applyNumberFormat="1" applyFont="1" applyFill="1" applyBorder="1" applyAlignment="1">
      <alignment horizontal="center"/>
    </xf>
    <xf numFmtId="0" fontId="4" fillId="0" borderId="3" xfId="19" applyFont="1" applyBorder="1"/>
    <xf numFmtId="0" fontId="23" fillId="0" borderId="3" xfId="19" applyFont="1" applyBorder="1"/>
    <xf numFmtId="183" fontId="23" fillId="0" borderId="3" xfId="19" applyNumberFormat="1" applyFont="1" applyBorder="1" applyAlignment="1">
      <alignment horizontal="right"/>
    </xf>
    <xf numFmtId="183" fontId="23" fillId="0" borderId="3" xfId="19" applyNumberFormat="1" applyFont="1" applyFill="1" applyBorder="1" applyAlignment="1">
      <alignment horizontal="right"/>
    </xf>
    <xf numFmtId="184" fontId="23" fillId="0" borderId="3" xfId="19" applyNumberFormat="1" applyFont="1" applyFill="1" applyBorder="1" applyAlignment="1">
      <alignment horizontal="right"/>
    </xf>
    <xf numFmtId="184" fontId="23" fillId="0" borderId="3" xfId="19" applyNumberFormat="1" applyFont="1" applyBorder="1" applyAlignment="1">
      <alignment horizontal="right"/>
    </xf>
    <xf numFmtId="3" fontId="68" fillId="0" borderId="3" xfId="19" applyNumberFormat="1" applyFont="1" applyBorder="1" applyAlignment="1">
      <alignment horizontal="right"/>
    </xf>
    <xf numFmtId="0" fontId="4" fillId="0" borderId="0" xfId="19" applyFont="1" applyBorder="1"/>
    <xf numFmtId="0" fontId="23" fillId="0" borderId="0" xfId="19" applyFont="1" applyBorder="1"/>
    <xf numFmtId="183" fontId="23" fillId="0" borderId="0" xfId="19" applyNumberFormat="1" applyFont="1" applyBorder="1" applyAlignment="1">
      <alignment horizontal="right"/>
    </xf>
    <xf numFmtId="183" fontId="23" fillId="0" borderId="0" xfId="19" applyNumberFormat="1" applyFont="1" applyFill="1" applyBorder="1" applyAlignment="1">
      <alignment horizontal="right"/>
    </xf>
    <xf numFmtId="184" fontId="23" fillId="0" borderId="0" xfId="19" applyNumberFormat="1" applyFont="1" applyFill="1" applyBorder="1" applyAlignment="1">
      <alignment horizontal="right"/>
    </xf>
    <xf numFmtId="184" fontId="23" fillId="0" borderId="0" xfId="19" applyNumberFormat="1" applyFont="1" applyBorder="1" applyAlignment="1">
      <alignment horizontal="right"/>
    </xf>
    <xf numFmtId="3" fontId="68" fillId="0" borderId="0" xfId="19" applyNumberFormat="1" applyFont="1" applyBorder="1" applyAlignment="1">
      <alignment horizontal="right"/>
    </xf>
    <xf numFmtId="3" fontId="23" fillId="3" borderId="7" xfId="19" applyNumberFormat="1" applyFont="1" applyFill="1" applyBorder="1" applyAlignment="1">
      <alignment horizontal="right"/>
    </xf>
    <xf numFmtId="0" fontId="4" fillId="5" borderId="0" xfId="19" applyFont="1" applyFill="1"/>
    <xf numFmtId="3" fontId="4" fillId="3" borderId="7" xfId="19" applyNumberFormat="1" applyFont="1" applyFill="1" applyBorder="1"/>
    <xf numFmtId="183" fontId="4" fillId="3" borderId="7" xfId="19" applyNumberFormat="1" applyFont="1" applyFill="1" applyBorder="1" applyAlignment="1">
      <alignment horizontal="left"/>
    </xf>
    <xf numFmtId="183" fontId="23" fillId="3" borderId="7" xfId="19" applyNumberFormat="1" applyFont="1" applyFill="1" applyBorder="1" applyAlignment="1">
      <alignment horizontal="center"/>
    </xf>
    <xf numFmtId="183" fontId="23" fillId="3" borderId="12" xfId="19" applyNumberFormat="1" applyFont="1" applyFill="1" applyBorder="1" applyAlignment="1">
      <alignment horizontal="center"/>
    </xf>
    <xf numFmtId="0" fontId="4" fillId="0" borderId="0" xfId="19" applyFont="1" applyFill="1"/>
    <xf numFmtId="3" fontId="68" fillId="0" borderId="3" xfId="19" applyNumberFormat="1" applyFont="1" applyFill="1" applyBorder="1" applyAlignment="1">
      <alignment horizontal="right"/>
    </xf>
    <xf numFmtId="183" fontId="4" fillId="0" borderId="0" xfId="19" applyNumberFormat="1" applyFont="1" applyBorder="1"/>
    <xf numFmtId="183" fontId="4" fillId="0" borderId="0" xfId="19" applyNumberFormat="1" applyFont="1" applyFill="1" applyBorder="1"/>
    <xf numFmtId="184" fontId="4" fillId="0" borderId="0" xfId="19" applyNumberFormat="1" applyFont="1" applyFill="1" applyBorder="1"/>
    <xf numFmtId="184" fontId="4" fillId="0" borderId="0" xfId="19" applyNumberFormat="1" applyFont="1" applyBorder="1"/>
    <xf numFmtId="3" fontId="26" fillId="0" borderId="0" xfId="19" applyNumberFormat="1" applyFont="1" applyBorder="1"/>
    <xf numFmtId="183" fontId="8" fillId="3" borderId="4" xfId="19" applyNumberFormat="1" applyFont="1" applyFill="1" applyBorder="1" applyAlignment="1">
      <alignment horizontal="left"/>
    </xf>
    <xf numFmtId="183" fontId="8" fillId="6" borderId="4" xfId="19" applyNumberFormat="1" applyFont="1" applyFill="1" applyBorder="1" applyAlignment="1">
      <alignment horizontal="left"/>
    </xf>
    <xf numFmtId="183" fontId="8" fillId="0" borderId="4" xfId="19" applyNumberFormat="1" applyFont="1" applyFill="1" applyBorder="1" applyAlignment="1">
      <alignment horizontal="left"/>
    </xf>
    <xf numFmtId="184" fontId="8" fillId="3" borderId="4" xfId="19" applyNumberFormat="1" applyFont="1" applyFill="1" applyBorder="1" applyAlignment="1">
      <alignment horizontal="left"/>
    </xf>
    <xf numFmtId="184" fontId="8" fillId="6" borderId="4" xfId="19" applyNumberFormat="1" applyFont="1" applyFill="1" applyBorder="1" applyAlignment="1">
      <alignment horizontal="left"/>
    </xf>
    <xf numFmtId="184" fontId="8" fillId="0" borderId="4" xfId="19" applyNumberFormat="1" applyFont="1" applyFill="1" applyBorder="1" applyAlignment="1">
      <alignment horizontal="left"/>
    </xf>
    <xf numFmtId="3" fontId="67" fillId="3" borderId="4" xfId="19" applyNumberFormat="1" applyFont="1" applyFill="1" applyBorder="1" applyAlignment="1">
      <alignment horizontal="left"/>
    </xf>
    <xf numFmtId="183" fontId="4" fillId="3" borderId="12" xfId="19" applyNumberFormat="1" applyFont="1" applyFill="1" applyBorder="1" applyAlignment="1">
      <alignment horizontal="center"/>
    </xf>
    <xf numFmtId="183" fontId="4" fillId="6" borderId="12" xfId="19" applyNumberFormat="1" applyFont="1" applyFill="1" applyBorder="1" applyAlignment="1">
      <alignment horizontal="center"/>
    </xf>
    <xf numFmtId="183" fontId="4" fillId="0" borderId="12" xfId="19" applyNumberFormat="1" applyFont="1" applyFill="1" applyBorder="1" applyAlignment="1">
      <alignment horizontal="center"/>
    </xf>
    <xf numFmtId="184" fontId="4" fillId="3" borderId="12" xfId="19" applyNumberFormat="1" applyFont="1" applyFill="1" applyBorder="1" applyAlignment="1">
      <alignment horizontal="center"/>
    </xf>
    <xf numFmtId="184" fontId="4" fillId="6" borderId="12" xfId="19" applyNumberFormat="1" applyFont="1" applyFill="1" applyBorder="1" applyAlignment="1">
      <alignment horizontal="center"/>
    </xf>
    <xf numFmtId="184" fontId="4" fillId="0" borderId="12" xfId="19" applyNumberFormat="1" applyFont="1" applyFill="1" applyBorder="1" applyAlignment="1">
      <alignment horizontal="center"/>
    </xf>
    <xf numFmtId="3" fontId="26" fillId="3" borderId="12" xfId="19" applyNumberFormat="1" applyFont="1" applyFill="1" applyBorder="1" applyAlignment="1">
      <alignment horizontal="center"/>
    </xf>
    <xf numFmtId="183" fontId="4" fillId="0" borderId="11" xfId="19" applyNumberFormat="1" applyFont="1" applyBorder="1"/>
    <xf numFmtId="183" fontId="4" fillId="0" borderId="11" xfId="19" applyNumberFormat="1" applyFont="1" applyFill="1" applyBorder="1"/>
    <xf numFmtId="0" fontId="18" fillId="0" borderId="0" xfId="19" applyFont="1" applyBorder="1"/>
    <xf numFmtId="0" fontId="99" fillId="0" borderId="0" xfId="19" applyFont="1"/>
    <xf numFmtId="0" fontId="100" fillId="0" borderId="0" xfId="19" applyFont="1" applyFill="1"/>
    <xf numFmtId="49" fontId="4" fillId="0" borderId="0" xfId="19" applyNumberFormat="1" applyFont="1" applyBorder="1"/>
    <xf numFmtId="0" fontId="18" fillId="0" borderId="0" xfId="19" applyFont="1"/>
    <xf numFmtId="0" fontId="4" fillId="0" borderId="0" xfId="19" applyFont="1" applyFill="1" applyBorder="1"/>
    <xf numFmtId="1" fontId="4" fillId="0" borderId="0" xfId="19" applyNumberFormat="1" applyFont="1" applyFill="1" applyBorder="1" applyAlignment="1">
      <alignment horizontal="left"/>
    </xf>
    <xf numFmtId="0" fontId="99" fillId="0" borderId="0" xfId="19" applyFont="1" applyFill="1"/>
    <xf numFmtId="0" fontId="70" fillId="0" borderId="0" xfId="19" applyFont="1"/>
    <xf numFmtId="0" fontId="33" fillId="8" borderId="0" xfId="0" applyFont="1" applyFill="1"/>
    <xf numFmtId="1" fontId="101" fillId="3" borderId="7" xfId="0" applyNumberFormat="1" applyFont="1" applyFill="1" applyBorder="1" applyAlignment="1">
      <alignment horizontal="left"/>
    </xf>
    <xf numFmtId="0" fontId="34" fillId="3" borderId="0" xfId="13" applyFont="1" applyFill="1" applyAlignment="1">
      <alignment horizontal="center"/>
    </xf>
    <xf numFmtId="0" fontId="103" fillId="0" borderId="0" xfId="0" applyFont="1" applyFill="1" applyAlignment="1">
      <alignment horizontal="left"/>
    </xf>
    <xf numFmtId="0" fontId="103" fillId="0" borderId="0" xfId="0" applyFont="1" applyFill="1"/>
    <xf numFmtId="0" fontId="104" fillId="0" borderId="0" xfId="0" applyFont="1" applyFill="1"/>
    <xf numFmtId="0" fontId="4" fillId="11" borderId="3" xfId="13" quotePrefix="1" applyFont="1" applyFill="1" applyBorder="1" applyAlignment="1">
      <alignment horizontal="center"/>
    </xf>
    <xf numFmtId="0" fontId="8" fillId="0" borderId="0" xfId="14" applyFont="1"/>
    <xf numFmtId="0" fontId="30" fillId="0" borderId="0" xfId="14"/>
    <xf numFmtId="0" fontId="8" fillId="0" borderId="0" xfId="14" applyFont="1" applyAlignment="1">
      <alignment wrapText="1"/>
    </xf>
    <xf numFmtId="0" fontId="105" fillId="3" borderId="43" xfId="14" applyFont="1" applyFill="1" applyBorder="1" applyAlignment="1">
      <alignment horizontal="left" vertical="top" wrapText="1"/>
    </xf>
    <xf numFmtId="184" fontId="30" fillId="0" borderId="0" xfId="14" applyNumberFormat="1" applyAlignment="1">
      <alignment horizontal="right"/>
    </xf>
    <xf numFmtId="184" fontId="26" fillId="0" borderId="0" xfId="14" applyNumberFormat="1" applyFont="1" applyFill="1" applyAlignment="1">
      <alignment horizontal="right"/>
    </xf>
    <xf numFmtId="184" fontId="8" fillId="0" borderId="0" xfId="14" applyNumberFormat="1" applyFont="1" applyAlignment="1">
      <alignment horizontal="right"/>
    </xf>
    <xf numFmtId="0" fontId="106" fillId="0" borderId="0" xfId="14" applyNumberFormat="1" applyFont="1" applyFill="1" applyBorder="1" applyAlignment="1">
      <alignment horizontal="left" vertical="top"/>
    </xf>
    <xf numFmtId="0" fontId="105" fillId="3" borderId="43" xfId="14" applyFont="1" applyFill="1" applyBorder="1" applyAlignment="1">
      <alignment horizontal="left" vertical="top"/>
    </xf>
    <xf numFmtId="3" fontId="30" fillId="0" borderId="0" xfId="14" applyNumberFormat="1" applyAlignment="1">
      <alignment horizontal="right"/>
    </xf>
    <xf numFmtId="184" fontId="30" fillId="0" borderId="0" xfId="14" applyNumberFormat="1"/>
    <xf numFmtId="0" fontId="105" fillId="3" borderId="44" xfId="14" applyFont="1" applyFill="1" applyBorder="1" applyAlignment="1">
      <alignment horizontal="left" vertical="top" wrapText="1"/>
    </xf>
    <xf numFmtId="184" fontId="8" fillId="0" borderId="0" xfId="14" applyNumberFormat="1" applyFont="1"/>
    <xf numFmtId="0" fontId="105" fillId="4" borderId="16" xfId="14" applyFont="1" applyFill="1" applyBorder="1" applyAlignment="1">
      <alignment horizontal="left" vertical="top"/>
    </xf>
    <xf numFmtId="184" fontId="49" fillId="6" borderId="7" xfId="0" applyNumberFormat="1" applyFont="1" applyFill="1" applyBorder="1" applyAlignment="1">
      <alignment horizontal="right"/>
    </xf>
    <xf numFmtId="184" fontId="49" fillId="3" borderId="7" xfId="0" applyNumberFormat="1" applyFont="1" applyFill="1" applyBorder="1" applyAlignment="1">
      <alignment horizontal="right"/>
    </xf>
    <xf numFmtId="184" fontId="49" fillId="3" borderId="4" xfId="0" applyNumberFormat="1" applyFont="1" applyFill="1" applyBorder="1" applyAlignment="1">
      <alignment horizontal="right"/>
    </xf>
    <xf numFmtId="184" fontId="49" fillId="6" borderId="4" xfId="0" applyNumberFormat="1" applyFont="1" applyFill="1" applyBorder="1" applyAlignment="1">
      <alignment horizontal="right"/>
    </xf>
    <xf numFmtId="0" fontId="99" fillId="0" borderId="0" xfId="14" applyFont="1"/>
    <xf numFmtId="0" fontId="4" fillId="0" borderId="0" xfId="14" applyFont="1"/>
    <xf numFmtId="0" fontId="4" fillId="0" borderId="0" xfId="14" quotePrefix="1" applyFont="1"/>
    <xf numFmtId="0" fontId="99" fillId="7" borderId="0" xfId="14" applyFont="1" applyFill="1" applyBorder="1"/>
    <xf numFmtId="0" fontId="4" fillId="7" borderId="0" xfId="14" applyFont="1" applyFill="1" applyBorder="1"/>
    <xf numFmtId="0" fontId="30" fillId="0" borderId="0" xfId="14" applyFill="1"/>
    <xf numFmtId="0" fontId="18" fillId="0" borderId="0" xfId="14" applyFont="1" applyFill="1" applyBorder="1"/>
    <xf numFmtId="0" fontId="32" fillId="3" borderId="0" xfId="14" applyFont="1" applyFill="1"/>
    <xf numFmtId="0" fontId="30" fillId="3" borderId="0" xfId="14" applyFill="1"/>
    <xf numFmtId="0" fontId="32" fillId="0" borderId="0" xfId="14" applyFont="1" applyAlignment="1">
      <alignment horizontal="right" wrapText="1"/>
    </xf>
    <xf numFmtId="0" fontId="32" fillId="0" borderId="0" xfId="14" applyFont="1" applyAlignment="1">
      <alignment horizontal="center" wrapText="1"/>
    </xf>
    <xf numFmtId="0" fontId="71" fillId="0" borderId="0" xfId="14" applyFont="1" applyAlignment="1">
      <alignment horizontal="center"/>
    </xf>
    <xf numFmtId="3" fontId="71" fillId="0" borderId="0" xfId="14" applyNumberFormat="1" applyFont="1"/>
    <xf numFmtId="184" fontId="107" fillId="0" borderId="0" xfId="14" applyNumberFormat="1" applyFont="1" applyAlignment="1">
      <alignment horizontal="center" wrapText="1"/>
    </xf>
    <xf numFmtId="4" fontId="64" fillId="0" borderId="0" xfId="14" applyNumberFormat="1" applyFont="1" applyAlignment="1">
      <alignment wrapText="1"/>
    </xf>
    <xf numFmtId="4" fontId="107" fillId="0" borderId="0" xfId="14" applyNumberFormat="1" applyFont="1" applyAlignment="1">
      <alignment horizontal="center" wrapText="1"/>
    </xf>
    <xf numFmtId="3" fontId="107" fillId="0" borderId="0" xfId="14" applyNumberFormat="1" applyFont="1" applyAlignment="1">
      <alignment wrapText="1"/>
    </xf>
    <xf numFmtId="0" fontId="23" fillId="0" borderId="0" xfId="14" applyFont="1" applyAlignment="1">
      <alignment horizontal="center"/>
    </xf>
    <xf numFmtId="3" fontId="23" fillId="0" borderId="0" xfId="14" applyNumberFormat="1" applyFont="1"/>
    <xf numFmtId="0" fontId="23" fillId="3" borderId="0" xfId="14" applyFont="1" applyFill="1"/>
    <xf numFmtId="3" fontId="108" fillId="0" borderId="0" xfId="14" applyNumberFormat="1" applyFont="1" applyAlignment="1">
      <alignment wrapText="1"/>
    </xf>
    <xf numFmtId="3" fontId="71" fillId="0" borderId="0" xfId="14" applyNumberFormat="1" applyFont="1" applyAlignment="1">
      <alignment horizontal="right"/>
    </xf>
    <xf numFmtId="0" fontId="46" fillId="0" borderId="0" xfId="14" applyFont="1"/>
    <xf numFmtId="0" fontId="32" fillId="0" borderId="0" xfId="14" applyFont="1"/>
    <xf numFmtId="0" fontId="8" fillId="0" borderId="0" xfId="14" applyFont="1" applyFill="1"/>
    <xf numFmtId="0" fontId="71" fillId="0" borderId="0" xfId="14" applyFont="1"/>
    <xf numFmtId="0" fontId="72" fillId="0" borderId="0" xfId="14" applyFont="1"/>
    <xf numFmtId="184" fontId="73" fillId="0" borderId="0" xfId="14" applyNumberFormat="1" applyFont="1"/>
    <xf numFmtId="0" fontId="30" fillId="11" borderId="0" xfId="14" applyFont="1" applyFill="1"/>
    <xf numFmtId="0" fontId="4" fillId="11" borderId="0" xfId="14" applyFont="1" applyFill="1"/>
    <xf numFmtId="0" fontId="8" fillId="11" borderId="0" xfId="14" applyFont="1" applyFill="1"/>
    <xf numFmtId="184" fontId="74" fillId="11" borderId="0" xfId="14" applyNumberFormat="1" applyFont="1" applyFill="1" applyAlignment="1">
      <alignment horizontal="center" wrapText="1"/>
    </xf>
    <xf numFmtId="1" fontId="46" fillId="0" borderId="0" xfId="14" applyNumberFormat="1" applyFont="1" applyFill="1"/>
    <xf numFmtId="1" fontId="46" fillId="0" borderId="0" xfId="14" applyNumberFormat="1" applyFont="1"/>
    <xf numFmtId="1" fontId="46" fillId="0" borderId="0" xfId="14" applyNumberFormat="1" applyFont="1" applyFill="1" applyAlignment="1">
      <alignment horizontal="right"/>
    </xf>
    <xf numFmtId="1" fontId="18" fillId="0" borderId="0" xfId="14" applyNumberFormat="1" applyFont="1"/>
    <xf numFmtId="1" fontId="39" fillId="0" borderId="0" xfId="14" applyNumberFormat="1" applyFont="1" applyFill="1"/>
    <xf numFmtId="184" fontId="46" fillId="0" borderId="0" xfId="14" applyNumberFormat="1" applyFont="1" applyAlignment="1">
      <alignment horizontal="center"/>
    </xf>
    <xf numFmtId="0" fontId="68" fillId="0" borderId="0" xfId="14" applyFont="1"/>
    <xf numFmtId="1" fontId="53" fillId="0" borderId="0" xfId="14" applyNumberFormat="1" applyFont="1"/>
    <xf numFmtId="1" fontId="53" fillId="0" borderId="0" xfId="14" applyNumberFormat="1" applyFont="1" applyAlignment="1">
      <alignment horizontal="right"/>
    </xf>
    <xf numFmtId="1" fontId="75" fillId="0" borderId="0" xfId="14" applyNumberFormat="1" applyFont="1" applyFill="1"/>
    <xf numFmtId="184" fontId="53" fillId="0" borderId="0" xfId="14" applyNumberFormat="1" applyFont="1" applyAlignment="1">
      <alignment horizontal="center"/>
    </xf>
    <xf numFmtId="184" fontId="68" fillId="0" borderId="0" xfId="14" applyNumberFormat="1" applyFont="1"/>
    <xf numFmtId="184" fontId="53" fillId="0" borderId="0" xfId="14" applyNumberFormat="1" applyFont="1"/>
    <xf numFmtId="184" fontId="53" fillId="0" borderId="0" xfId="14" applyNumberFormat="1" applyFont="1" applyAlignment="1">
      <alignment horizontal="right"/>
    </xf>
    <xf numFmtId="184" fontId="75" fillId="0" borderId="0" xfId="14" applyNumberFormat="1" applyFont="1" applyFill="1"/>
    <xf numFmtId="1" fontId="46" fillId="0" borderId="0" xfId="14" applyNumberFormat="1" applyFont="1" applyAlignment="1">
      <alignment horizontal="right"/>
    </xf>
    <xf numFmtId="184" fontId="74" fillId="0" borderId="0" xfId="14" applyNumberFormat="1" applyFont="1"/>
    <xf numFmtId="182" fontId="46" fillId="0" borderId="0" xfId="14" applyNumberFormat="1" applyFont="1" applyFill="1"/>
    <xf numFmtId="182" fontId="46" fillId="0" borderId="0" xfId="14" applyNumberFormat="1" applyFont="1"/>
    <xf numFmtId="182" fontId="46" fillId="0" borderId="0" xfId="14" applyNumberFormat="1" applyFont="1" applyFill="1" applyAlignment="1">
      <alignment horizontal="right"/>
    </xf>
    <xf numFmtId="182" fontId="18" fillId="0" borderId="0" xfId="14" applyNumberFormat="1" applyFont="1"/>
    <xf numFmtId="182" fontId="39" fillId="0" borderId="0" xfId="14" applyNumberFormat="1" applyFont="1" applyFill="1"/>
    <xf numFmtId="182" fontId="53" fillId="0" borderId="0" xfId="14" applyNumberFormat="1" applyFont="1"/>
    <xf numFmtId="182" fontId="53" fillId="0" borderId="0" xfId="14" applyNumberFormat="1" applyFont="1" applyAlignment="1">
      <alignment horizontal="right"/>
    </xf>
    <xf numFmtId="182" fontId="75" fillId="0" borderId="0" xfId="14" applyNumberFormat="1" applyFont="1" applyFill="1"/>
    <xf numFmtId="182" fontId="46" fillId="0" borderId="0" xfId="14" applyNumberFormat="1" applyFont="1" applyAlignment="1">
      <alignment horizontal="right"/>
    </xf>
    <xf numFmtId="182" fontId="75" fillId="0" borderId="0" xfId="14" applyNumberFormat="1" applyFont="1" applyFill="1" applyAlignment="1">
      <alignment horizontal="right"/>
    </xf>
    <xf numFmtId="184" fontId="53" fillId="0" borderId="0" xfId="14" quotePrefix="1" applyNumberFormat="1" applyFont="1" applyAlignment="1">
      <alignment horizontal="center"/>
    </xf>
    <xf numFmtId="184" fontId="75" fillId="0" borderId="0" xfId="14" applyNumberFormat="1" applyFont="1" applyFill="1" applyAlignment="1">
      <alignment horizontal="right"/>
    </xf>
    <xf numFmtId="0" fontId="23" fillId="0" borderId="0" xfId="14" quotePrefix="1" applyFont="1"/>
    <xf numFmtId="0" fontId="92" fillId="0" borderId="0" xfId="0" applyFont="1" applyAlignment="1">
      <alignment horizontal="left"/>
    </xf>
    <xf numFmtId="0" fontId="92" fillId="0" borderId="0" xfId="0" applyNumberFormat="1" applyFont="1"/>
    <xf numFmtId="0" fontId="92" fillId="0" borderId="0" xfId="0" applyFont="1"/>
    <xf numFmtId="0" fontId="109" fillId="3" borderId="7" xfId="0" quotePrefix="1" applyFont="1" applyFill="1" applyBorder="1" applyAlignment="1">
      <alignment horizontal="left"/>
    </xf>
    <xf numFmtId="3" fontId="109" fillId="6" borderId="7" xfId="0" applyNumberFormat="1" applyFont="1" applyFill="1" applyBorder="1" applyAlignment="1">
      <alignment horizontal="right"/>
    </xf>
    <xf numFmtId="184" fontId="109" fillId="3" borderId="7" xfId="0" applyNumberFormat="1" applyFont="1" applyFill="1" applyBorder="1" applyAlignment="1">
      <alignment horizontal="right"/>
    </xf>
    <xf numFmtId="3" fontId="109" fillId="3" borderId="7" xfId="0" applyNumberFormat="1" applyFont="1" applyFill="1" applyBorder="1" applyAlignment="1">
      <alignment horizontal="right"/>
    </xf>
    <xf numFmtId="0" fontId="27" fillId="0" borderId="0" xfId="0" applyFont="1"/>
    <xf numFmtId="184" fontId="109" fillId="3" borderId="7" xfId="0" applyNumberFormat="1" applyFont="1" applyFill="1" applyBorder="1" applyAlignment="1">
      <alignment horizontal="center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/>
    <xf numFmtId="0" fontId="2" fillId="7" borderId="3" xfId="0" applyFont="1" applyFill="1" applyBorder="1" applyAlignment="1">
      <alignment vertical="top" wrapText="1"/>
    </xf>
    <xf numFmtId="3" fontId="2" fillId="0" borderId="3" xfId="0" applyNumberFormat="1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3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7" borderId="0" xfId="0" applyFont="1" applyFill="1" applyAlignment="1">
      <alignment vertical="top" wrapText="1"/>
    </xf>
    <xf numFmtId="0" fontId="8" fillId="5" borderId="0" xfId="19" applyFont="1" applyFill="1" applyAlignment="1">
      <alignment horizontal="center" textRotation="180" wrapText="1"/>
    </xf>
    <xf numFmtId="0" fontId="4" fillId="5" borderId="0" xfId="19" applyFont="1" applyFill="1" applyAlignment="1">
      <alignment horizontal="center"/>
    </xf>
    <xf numFmtId="0" fontId="8" fillId="2" borderId="0" xfId="19" applyFont="1" applyFill="1" applyAlignment="1">
      <alignment horizontal="center" vertical="center" textRotation="180"/>
    </xf>
    <xf numFmtId="0" fontId="87" fillId="0" borderId="0" xfId="19" applyAlignment="1">
      <alignment vertical="center"/>
    </xf>
    <xf numFmtId="0" fontId="2" fillId="0" borderId="3" xfId="0" applyFont="1" applyFill="1" applyBorder="1" applyAlignment="1">
      <alignment vertical="top" wrapText="1"/>
    </xf>
    <xf numFmtId="0" fontId="0" fillId="0" borderId="3" xfId="0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0" fillId="0" borderId="2" xfId="0" applyBorder="1" applyAlignment="1"/>
    <xf numFmtId="0" fontId="22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0" fontId="22" fillId="0" borderId="0" xfId="0" applyFont="1" applyBorder="1" applyAlignment="1">
      <alignment vertical="top" wrapText="1"/>
    </xf>
    <xf numFmtId="3" fontId="2" fillId="7" borderId="3" xfId="0" applyNumberFormat="1" applyFont="1" applyFill="1" applyBorder="1" applyAlignment="1">
      <alignment horizontal="left" vertical="top" wrapText="1"/>
    </xf>
  </cellXfs>
  <cellStyles count="21">
    <cellStyle name="Normal_KV_liste T1" xfId="1" xr:uid="{1DF76219-664F-104F-9CB0-AF1EF54F6AFE}"/>
    <cellStyle name="Normal_KV_liste T10" xfId="2" xr:uid="{0BCA971B-BCE1-F345-A370-FD537CFBE3C0}"/>
    <cellStyle name="Normal_KV_liste T11" xfId="3" xr:uid="{1EB9DE8B-B55E-6144-89B6-9D49D22F0EAE}"/>
    <cellStyle name="Normal_KV_liste T2" xfId="4" xr:uid="{8F55A9C3-41A1-144E-A458-FC21B03DB9C5}"/>
    <cellStyle name="Normal_KV_liste T3" xfId="5" xr:uid="{DD904B9D-B073-9B4A-BDE4-20ED2E33A875}"/>
    <cellStyle name="Normal_KV_liste T4" xfId="6" xr:uid="{2A63CAE8-4CB8-C043-862F-04703328BB80}"/>
    <cellStyle name="Normal_KV_liste T5" xfId="7" xr:uid="{15E6B54A-26E4-8849-BD18-453775C936C0}"/>
    <cellStyle name="Normal_KV_liste T6" xfId="8" xr:uid="{2735ED09-56D7-1045-8B41-C648E1D3BA0D}"/>
    <cellStyle name="Normal_KV_liste T7" xfId="9" xr:uid="{A9E98330-8108-9349-AE40-F48D0B1A4D7C}"/>
    <cellStyle name="Normal_KV_liste T8" xfId="10" xr:uid="{4B7F445D-1DAE-3044-8992-0F9961E88CF7}"/>
    <cellStyle name="Normal_KV_liste T9" xfId="11" xr:uid="{447C9CB1-C931-0B4C-8BD8-B34038779E61}"/>
    <cellStyle name="Normal_KV_T_2006_all_220807_d_sans liaisons" xfId="12" xr:uid="{68781032-900F-2A40-8D4F-BBE46C2913C2}"/>
    <cellStyle name="Normal_KV0_6 annexe B_fd" xfId="13" xr:uid="{8763C8A4-6C8B-644F-A7C2-E1F68CFB46B9}"/>
    <cellStyle name="Normal_KV0_6 annexe I_fd" xfId="14" xr:uid="{8DEA2FBD-C016-2544-BAD4-40417B84EABE}"/>
    <cellStyle name="Normal_KV0_6 annexe J_fd" xfId="15" xr:uid="{105CCE1D-A979-2A46-A2C1-52447905E44B}"/>
    <cellStyle name="Normal_KV5_Aufsichtsdaten_2004_formate_310505" xfId="16" xr:uid="{53D278E9-15D2-4942-80B9-62C12C731BDF}"/>
    <cellStyle name="Normal_KV906" xfId="17" xr:uid="{2112E915-ECA9-F244-BB6D-F3AE2D10E8CC}"/>
    <cellStyle name="Normal_KV907" xfId="18" xr:uid="{52787F1A-C95F-914E-9DF6-FBA5DDCA63B9}"/>
    <cellStyle name="Normal_KV908" xfId="19" xr:uid="{21844664-3CC3-6748-8AA0-8BBBEB521A4E}"/>
    <cellStyle name="Normal_modif EF1_112_d_241104" xfId="20" xr:uid="{8742A586-5EDE-D548-B141-2D944629909F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'909d'!$D$5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'909d'!$D$8:$D$34</c:f>
              <c:numCache>
                <c:formatCode>#,##0</c:formatCode>
                <c:ptCount val="27"/>
                <c:pt idx="0">
                  <c:v>1852</c:v>
                </c:pt>
                <c:pt idx="1">
                  <c:v>1183</c:v>
                </c:pt>
                <c:pt idx="2">
                  <c:v>295</c:v>
                </c:pt>
                <c:pt idx="3">
                  <c:v>18</c:v>
                </c:pt>
                <c:pt idx="4">
                  <c:v>92</c:v>
                </c:pt>
                <c:pt idx="5">
                  <c:v>12</c:v>
                </c:pt>
                <c:pt idx="6">
                  <c:v>21</c:v>
                </c:pt>
                <c:pt idx="7">
                  <c:v>25</c:v>
                </c:pt>
                <c:pt idx="8">
                  <c:v>121</c:v>
                </c:pt>
                <c:pt idx="9">
                  <c:v>243</c:v>
                </c:pt>
                <c:pt idx="10">
                  <c:v>187</c:v>
                </c:pt>
                <c:pt idx="11">
                  <c:v>514</c:v>
                </c:pt>
                <c:pt idx="12">
                  <c:v>303</c:v>
                </c:pt>
                <c:pt idx="13">
                  <c:v>74</c:v>
                </c:pt>
                <c:pt idx="14">
                  <c:v>52</c:v>
                </c:pt>
                <c:pt idx="15">
                  <c:v>6</c:v>
                </c:pt>
                <c:pt idx="16">
                  <c:v>415</c:v>
                </c:pt>
                <c:pt idx="17">
                  <c:v>153</c:v>
                </c:pt>
                <c:pt idx="18">
                  <c:v>510</c:v>
                </c:pt>
                <c:pt idx="19">
                  <c:v>153</c:v>
                </c:pt>
                <c:pt idx="20">
                  <c:v>384</c:v>
                </c:pt>
                <c:pt idx="21">
                  <c:v>1091</c:v>
                </c:pt>
                <c:pt idx="22">
                  <c:v>285</c:v>
                </c:pt>
                <c:pt idx="23">
                  <c:v>213</c:v>
                </c:pt>
                <c:pt idx="24">
                  <c:v>1005</c:v>
                </c:pt>
                <c:pt idx="25">
                  <c:v>64</c:v>
                </c:pt>
                <c:pt idx="26">
                  <c:v>9271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5-4B4B-B41B-53D3A3920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268528"/>
        <c:axId val="1"/>
      </c:lineChart>
      <c:lineChart>
        <c:grouping val="standard"/>
        <c:varyColors val="0"/>
        <c:ser>
          <c:idx val="0"/>
          <c:order val="1"/>
          <c:tx>
            <c:strRef>
              <c:f>'909d'!$H$5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'909d'!$H$8:$H$34</c:f>
              <c:numCache>
                <c:formatCode>#,##0</c:formatCode>
                <c:ptCount val="27"/>
                <c:pt idx="0">
                  <c:v>226</c:v>
                </c:pt>
                <c:pt idx="1">
                  <c:v>178</c:v>
                </c:pt>
                <c:pt idx="2">
                  <c:v>33</c:v>
                </c:pt>
                <c:pt idx="3">
                  <c:v>2</c:v>
                </c:pt>
                <c:pt idx="4">
                  <c:v>12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13</c:v>
                </c:pt>
                <c:pt idx="9">
                  <c:v>69</c:v>
                </c:pt>
                <c:pt idx="10">
                  <c:v>26</c:v>
                </c:pt>
                <c:pt idx="11">
                  <c:v>69</c:v>
                </c:pt>
                <c:pt idx="12">
                  <c:v>41</c:v>
                </c:pt>
                <c:pt idx="13">
                  <c:v>13</c:v>
                </c:pt>
                <c:pt idx="14">
                  <c:v>6</c:v>
                </c:pt>
                <c:pt idx="15">
                  <c:v>1</c:v>
                </c:pt>
                <c:pt idx="16">
                  <c:v>49</c:v>
                </c:pt>
                <c:pt idx="17">
                  <c:v>40</c:v>
                </c:pt>
                <c:pt idx="18">
                  <c:v>111</c:v>
                </c:pt>
                <c:pt idx="19">
                  <c:v>23</c:v>
                </c:pt>
                <c:pt idx="20">
                  <c:v>182</c:v>
                </c:pt>
                <c:pt idx="21">
                  <c:v>242</c:v>
                </c:pt>
                <c:pt idx="22">
                  <c:v>110</c:v>
                </c:pt>
                <c:pt idx="23">
                  <c:v>57</c:v>
                </c:pt>
                <c:pt idx="24">
                  <c:v>170</c:v>
                </c:pt>
                <c:pt idx="25">
                  <c:v>19</c:v>
                </c:pt>
                <c:pt idx="26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5-4B4B-B41B-53D3A3920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6242685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62426852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'909d'!$D$5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'909d'!$D$8:$D$34</c:f>
              <c:numCache>
                <c:formatCode>#,##0</c:formatCode>
                <c:ptCount val="27"/>
                <c:pt idx="0">
                  <c:v>1852</c:v>
                </c:pt>
                <c:pt idx="1">
                  <c:v>1183</c:v>
                </c:pt>
                <c:pt idx="2">
                  <c:v>295</c:v>
                </c:pt>
                <c:pt idx="3">
                  <c:v>18</c:v>
                </c:pt>
                <c:pt idx="4">
                  <c:v>92</c:v>
                </c:pt>
                <c:pt idx="5">
                  <c:v>12</c:v>
                </c:pt>
                <c:pt idx="6">
                  <c:v>21</c:v>
                </c:pt>
                <c:pt idx="7">
                  <c:v>25</c:v>
                </c:pt>
                <c:pt idx="8">
                  <c:v>121</c:v>
                </c:pt>
                <c:pt idx="9">
                  <c:v>243</c:v>
                </c:pt>
                <c:pt idx="10">
                  <c:v>187</c:v>
                </c:pt>
                <c:pt idx="11">
                  <c:v>514</c:v>
                </c:pt>
                <c:pt idx="12">
                  <c:v>303</c:v>
                </c:pt>
                <c:pt idx="13">
                  <c:v>74</c:v>
                </c:pt>
                <c:pt idx="14">
                  <c:v>52</c:v>
                </c:pt>
                <c:pt idx="15">
                  <c:v>6</c:v>
                </c:pt>
                <c:pt idx="16">
                  <c:v>415</c:v>
                </c:pt>
                <c:pt idx="17">
                  <c:v>153</c:v>
                </c:pt>
                <c:pt idx="18">
                  <c:v>510</c:v>
                </c:pt>
                <c:pt idx="19">
                  <c:v>153</c:v>
                </c:pt>
                <c:pt idx="20">
                  <c:v>384</c:v>
                </c:pt>
                <c:pt idx="21">
                  <c:v>1091</c:v>
                </c:pt>
                <c:pt idx="22">
                  <c:v>285</c:v>
                </c:pt>
                <c:pt idx="23">
                  <c:v>213</c:v>
                </c:pt>
                <c:pt idx="24">
                  <c:v>1005</c:v>
                </c:pt>
                <c:pt idx="25">
                  <c:v>64</c:v>
                </c:pt>
                <c:pt idx="26">
                  <c:v>9271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5-A040-B52B-7A9E34B0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5330096"/>
        <c:axId val="1"/>
      </c:lineChart>
      <c:lineChart>
        <c:grouping val="standard"/>
        <c:varyColors val="0"/>
        <c:ser>
          <c:idx val="0"/>
          <c:order val="1"/>
          <c:tx>
            <c:strRef>
              <c:f>'909d'!$H$5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'909d'!$H$8:$H$34</c:f>
              <c:numCache>
                <c:formatCode>#,##0</c:formatCode>
                <c:ptCount val="27"/>
                <c:pt idx="0">
                  <c:v>226</c:v>
                </c:pt>
                <c:pt idx="1">
                  <c:v>178</c:v>
                </c:pt>
                <c:pt idx="2">
                  <c:v>33</c:v>
                </c:pt>
                <c:pt idx="3">
                  <c:v>2</c:v>
                </c:pt>
                <c:pt idx="4">
                  <c:v>12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13</c:v>
                </c:pt>
                <c:pt idx="9">
                  <c:v>69</c:v>
                </c:pt>
                <c:pt idx="10">
                  <c:v>26</c:v>
                </c:pt>
                <c:pt idx="11">
                  <c:v>69</c:v>
                </c:pt>
                <c:pt idx="12">
                  <c:v>41</c:v>
                </c:pt>
                <c:pt idx="13">
                  <c:v>13</c:v>
                </c:pt>
                <c:pt idx="14">
                  <c:v>6</c:v>
                </c:pt>
                <c:pt idx="15">
                  <c:v>1</c:v>
                </c:pt>
                <c:pt idx="16">
                  <c:v>49</c:v>
                </c:pt>
                <c:pt idx="17">
                  <c:v>40</c:v>
                </c:pt>
                <c:pt idx="18">
                  <c:v>111</c:v>
                </c:pt>
                <c:pt idx="19">
                  <c:v>23</c:v>
                </c:pt>
                <c:pt idx="20">
                  <c:v>182</c:v>
                </c:pt>
                <c:pt idx="21">
                  <c:v>242</c:v>
                </c:pt>
                <c:pt idx="22">
                  <c:v>110</c:v>
                </c:pt>
                <c:pt idx="23">
                  <c:v>57</c:v>
                </c:pt>
                <c:pt idx="24">
                  <c:v>170</c:v>
                </c:pt>
                <c:pt idx="25">
                  <c:v>19</c:v>
                </c:pt>
                <c:pt idx="26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5-A040-B52B-7A9E34B0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6253300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5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62533009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</xdr:row>
      <xdr:rowOff>317500</xdr:rowOff>
    </xdr:from>
    <xdr:to>
      <xdr:col>8</xdr:col>
      <xdr:colOff>317500</xdr:colOff>
      <xdr:row>8</xdr:row>
      <xdr:rowOff>63500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D249132E-7B83-5F97-4999-E29D8F5E2177}"/>
            </a:ext>
          </a:extLst>
        </xdr:cNvPr>
        <xdr:cNvSpPr>
          <a:spLocks noChangeArrowheads="1"/>
        </xdr:cNvSpPr>
      </xdr:nvSpPr>
      <xdr:spPr bwMode="auto">
        <a:xfrm>
          <a:off x="4165600" y="850900"/>
          <a:ext cx="2616200" cy="1193800"/>
        </a:xfrm>
        <a:prstGeom prst="wedgeRectCallout">
          <a:avLst>
            <a:gd name="adj1" fmla="val -103625"/>
            <a:gd name="adj2" fmla="val 132171"/>
          </a:avLst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55 Helvetica Roman" charset="0"/>
            </a:rPr>
            <a:t>La partie tableaux sous forme Excel n'est disponible qu'en allemand.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55 Helvetica Roman" charset="0"/>
            </a:rPr>
            <a:t>La version </a:t>
          </a:r>
          <a:r>
            <a:rPr lang="de-DE" sz="1000" b="1" i="0" u="none" strike="noStrike" baseline="0">
              <a:solidFill>
                <a:srgbClr val="000000"/>
              </a:solidFill>
              <a:latin typeface="55 Helvetica Roman" charset="0"/>
            </a:rPr>
            <a:t>française</a:t>
          </a:r>
          <a:r>
            <a:rPr lang="de-DE" sz="1000" b="0" i="0" u="none" strike="noStrike" baseline="0">
              <a:solidFill>
                <a:srgbClr val="000000"/>
              </a:solidFill>
              <a:latin typeface="55 Helvetica Roman" charset="0"/>
            </a:rPr>
            <a:t> est disponible dans la version complète 2007 sous forme PDF publiée ultérieurement (~janvier 2009). Il est aussi possible de se référer à la publication PDF 2006 contenant tous les tableaux en français .</a:t>
          </a:r>
        </a:p>
      </xdr:txBody>
    </xdr:sp>
    <xdr:clientData/>
  </xdr:twoCellAnchor>
  <xdr:twoCellAnchor>
    <xdr:from>
      <xdr:col>0</xdr:col>
      <xdr:colOff>292100</xdr:colOff>
      <xdr:row>70</xdr:row>
      <xdr:rowOff>114300</xdr:rowOff>
    </xdr:from>
    <xdr:to>
      <xdr:col>2</xdr:col>
      <xdr:colOff>622300</xdr:colOff>
      <xdr:row>73</xdr:row>
      <xdr:rowOff>139700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4BABD874-24BC-8229-D081-F92F3ED74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754100"/>
          <a:ext cx="20193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51</xdr:row>
      <xdr:rowOff>0</xdr:rowOff>
    </xdr:from>
    <xdr:to>
      <xdr:col>11</xdr:col>
      <xdr:colOff>0</xdr:colOff>
      <xdr:row>51</xdr:row>
      <xdr:rowOff>0</xdr:rowOff>
    </xdr:to>
    <xdr:graphicFrame macro="">
      <xdr:nvGraphicFramePr>
        <xdr:cNvPr id="14337" name="Diagramm 1">
          <a:extLst>
            <a:ext uri="{FF2B5EF4-FFF2-40B4-BE49-F238E27FC236}">
              <a16:creationId xmlns:a16="http://schemas.microsoft.com/office/drawing/2014/main" id="{DDD83EDC-6CB8-6260-A106-B109DE66A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51</xdr:row>
      <xdr:rowOff>0</xdr:rowOff>
    </xdr:from>
    <xdr:to>
      <xdr:col>22</xdr:col>
      <xdr:colOff>0</xdr:colOff>
      <xdr:row>51</xdr:row>
      <xdr:rowOff>0</xdr:rowOff>
    </xdr:to>
    <xdr:graphicFrame macro="">
      <xdr:nvGraphicFramePr>
        <xdr:cNvPr id="14338" name="Diagramm 2">
          <a:extLst>
            <a:ext uri="{FF2B5EF4-FFF2-40B4-BE49-F238E27FC236}">
              <a16:creationId xmlns:a16="http://schemas.microsoft.com/office/drawing/2014/main" id="{220D6274-A262-EDDC-5E38-41BA4114C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443E-8354-8746-B0BA-51B91F292B06}">
  <sheetPr>
    <pageSetUpPr fitToPage="1"/>
  </sheetPr>
  <dimension ref="A1:M74"/>
  <sheetViews>
    <sheetView tabSelected="1" topLeftCell="A12" zoomScale="75" workbookViewId="0">
      <selection activeCell="F31" sqref="F31"/>
    </sheetView>
  </sheetViews>
  <sheetFormatPr baseColWidth="10" defaultColWidth="11.3984375" defaultRowHeight="13"/>
  <cols>
    <col min="1" max="1" width="14.796875" style="2" customWidth="1"/>
    <col min="2" max="2" width="11.796875" style="2" customWidth="1"/>
    <col min="3" max="3" width="14.19921875" style="2" customWidth="1"/>
    <col min="4" max="6" width="11.796875" style="2" customWidth="1"/>
    <col min="7" max="7" width="13.796875" style="2" customWidth="1"/>
    <col min="8" max="9" width="11.796875" style="2" customWidth="1"/>
    <col min="10" max="10" width="9.796875" style="2" customWidth="1"/>
    <col min="11" max="11" width="10.796875" style="2" customWidth="1"/>
    <col min="12" max="16384" width="11.3984375" style="2"/>
  </cols>
  <sheetData>
    <row r="1" spans="1:13" s="1" customFormat="1" ht="12" customHeight="1">
      <c r="A1"/>
      <c r="B1"/>
      <c r="C1"/>
      <c r="D1"/>
      <c r="E1"/>
      <c r="F1"/>
      <c r="G1"/>
      <c r="H1"/>
      <c r="I1"/>
    </row>
    <row r="2" spans="1:13" ht="30.75" customHeight="1">
      <c r="A2" s="5" t="s">
        <v>1961</v>
      </c>
      <c r="B2"/>
      <c r="C2"/>
      <c r="D2"/>
      <c r="E2"/>
      <c r="F2"/>
      <c r="G2"/>
      <c r="H2"/>
      <c r="I2"/>
    </row>
    <row r="3" spans="1:13" ht="27" customHeight="1">
      <c r="A3" s="6"/>
      <c r="B3"/>
      <c r="C3"/>
      <c r="D3"/>
      <c r="E3"/>
      <c r="F3"/>
      <c r="G3"/>
      <c r="H3"/>
      <c r="I3"/>
    </row>
    <row r="4" spans="1:13" ht="15" customHeight="1">
      <c r="A4" s="7" t="s">
        <v>219</v>
      </c>
      <c r="B4"/>
      <c r="C4"/>
      <c r="D4"/>
      <c r="E4"/>
      <c r="F4"/>
      <c r="G4"/>
      <c r="H4"/>
      <c r="I4"/>
    </row>
    <row r="5" spans="1:13" ht="17.25" customHeight="1">
      <c r="A5"/>
      <c r="B5"/>
      <c r="C5"/>
      <c r="D5"/>
      <c r="E5"/>
      <c r="F5"/>
      <c r="G5"/>
      <c r="H5"/>
      <c r="I5"/>
    </row>
    <row r="6" spans="1:13" ht="15.75" customHeight="1">
      <c r="B6"/>
      <c r="C6"/>
      <c r="D6"/>
      <c r="E6"/>
      <c r="F6"/>
      <c r="G6"/>
      <c r="H6"/>
      <c r="I6"/>
      <c r="J6" s="8"/>
    </row>
    <row r="7" spans="1:13" ht="9.75" customHeight="1">
      <c r="A7"/>
      <c r="B7"/>
      <c r="C7"/>
      <c r="D7"/>
      <c r="E7"/>
      <c r="F7"/>
      <c r="G7"/>
      <c r="H7"/>
      <c r="I7"/>
      <c r="J7" s="8"/>
    </row>
    <row r="8" spans="1:13" ht="31.5" customHeight="1">
      <c r="A8" s="20" t="s">
        <v>164</v>
      </c>
      <c r="B8"/>
      <c r="C8"/>
      <c r="D8"/>
      <c r="E8"/>
      <c r="F8"/>
      <c r="G8"/>
      <c r="H8"/>
      <c r="I8"/>
    </row>
    <row r="9" spans="1:13" ht="11.25" customHeight="1">
      <c r="B9"/>
      <c r="C9"/>
      <c r="D9"/>
      <c r="E9"/>
      <c r="F9"/>
      <c r="G9"/>
      <c r="H9"/>
      <c r="I9"/>
      <c r="K9" s="9"/>
      <c r="L9" s="9"/>
      <c r="M9" s="9"/>
    </row>
    <row r="10" spans="1:13" ht="20" customHeight="1">
      <c r="A10"/>
      <c r="B10"/>
      <c r="C10"/>
      <c r="D10"/>
      <c r="E10"/>
      <c r="F10"/>
      <c r="G10"/>
      <c r="H10"/>
      <c r="I10"/>
    </row>
    <row r="11" spans="1:13" ht="20" customHeight="1">
      <c r="A11" s="7" t="s">
        <v>158</v>
      </c>
      <c r="B11"/>
      <c r="C11"/>
      <c r="D11"/>
      <c r="E11"/>
      <c r="F11"/>
      <c r="G11" s="19" t="s">
        <v>161</v>
      </c>
      <c r="H11" s="18"/>
      <c r="I11"/>
    </row>
    <row r="12" spans="1:13" ht="20" customHeight="1">
      <c r="A12"/>
      <c r="B12"/>
      <c r="C12"/>
      <c r="D12"/>
      <c r="E12"/>
      <c r="F12"/>
      <c r="G12"/>
      <c r="H12"/>
      <c r="I12"/>
    </row>
    <row r="13" spans="1:13" ht="20.25" customHeight="1">
      <c r="A13"/>
      <c r="B13"/>
      <c r="C13"/>
      <c r="D13"/>
      <c r="E13"/>
      <c r="I13"/>
    </row>
    <row r="14" spans="1:13" ht="26.25" customHeight="1">
      <c r="A14" s="10" t="s">
        <v>55</v>
      </c>
      <c r="B14" s="11"/>
      <c r="C14" s="11"/>
      <c r="D14" s="12"/>
      <c r="E14" s="12"/>
      <c r="G14" s="43" t="s">
        <v>939</v>
      </c>
      <c r="H14" s="11"/>
      <c r="I14"/>
    </row>
    <row r="15" spans="1:13" s="4" customFormat="1" ht="8.25" customHeight="1">
      <c r="A15" s="27"/>
      <c r="B15" s="24"/>
      <c r="C15" s="24"/>
      <c r="G15" s="28"/>
      <c r="H15" s="24"/>
      <c r="I15" s="24"/>
    </row>
    <row r="16" spans="1:13" ht="15" customHeight="1">
      <c r="A16" s="29" t="s">
        <v>218</v>
      </c>
      <c r="B16"/>
      <c r="C16"/>
      <c r="D16"/>
      <c r="E16"/>
      <c r="F16"/>
      <c r="G16"/>
      <c r="H16"/>
      <c r="I16"/>
    </row>
    <row r="17" spans="1:13" s="4" customFormat="1" ht="5.25" customHeight="1">
      <c r="A17" s="24"/>
      <c r="B17" s="24"/>
      <c r="C17" s="24"/>
      <c r="D17" s="24"/>
      <c r="E17" s="24"/>
      <c r="F17" s="24"/>
      <c r="G17" s="24"/>
      <c r="H17" s="24"/>
      <c r="I17" s="24"/>
    </row>
    <row r="18" spans="1:13" ht="17.25" customHeight="1">
      <c r="A18" s="44" t="s">
        <v>1710</v>
      </c>
      <c r="B18" s="30"/>
      <c r="C18" s="45"/>
      <c r="D18" s="46"/>
      <c r="E18" s="880" t="s">
        <v>613</v>
      </c>
      <c r="F18" s="30"/>
      <c r="G18" s="30"/>
      <c r="H18" s="4"/>
      <c r="I18" s="233"/>
      <c r="J18" s="4"/>
      <c r="K18" s="4"/>
    </row>
    <row r="19" spans="1:13" ht="15" customHeight="1">
      <c r="A19" s="44" t="s">
        <v>408</v>
      </c>
      <c r="B19" s="30"/>
      <c r="C19" s="30"/>
      <c r="D19" s="36"/>
      <c r="E19" s="880" t="s">
        <v>390</v>
      </c>
      <c r="F19" s="30"/>
      <c r="G19" s="30"/>
      <c r="H19" s="4"/>
      <c r="I19" s="234"/>
      <c r="J19" s="4"/>
      <c r="K19" s="4"/>
    </row>
    <row r="20" spans="1:13" ht="15" customHeight="1">
      <c r="A20" s="44" t="s">
        <v>490</v>
      </c>
      <c r="B20" s="31"/>
      <c r="C20" s="31"/>
      <c r="D20" s="37"/>
      <c r="E20" s="880" t="s">
        <v>959</v>
      </c>
      <c r="F20" s="30"/>
      <c r="G20" s="30"/>
      <c r="H20" s="4"/>
      <c r="I20" s="234"/>
      <c r="J20" s="4"/>
      <c r="K20" s="4"/>
    </row>
    <row r="21" spans="1:13">
      <c r="A21" s="44" t="s">
        <v>1484</v>
      </c>
      <c r="B21" s="30"/>
      <c r="C21" s="31"/>
      <c r="D21" s="37"/>
      <c r="E21" s="880" t="s">
        <v>1518</v>
      </c>
      <c r="F21" s="31"/>
      <c r="G21" s="31"/>
      <c r="H21" s="4"/>
      <c r="I21" s="990" t="s">
        <v>395</v>
      </c>
      <c r="J21" s="991"/>
      <c r="K21" s="991"/>
    </row>
    <row r="22" spans="1:13">
      <c r="A22" s="44" t="s">
        <v>2216</v>
      </c>
      <c r="B22" s="30"/>
      <c r="C22" s="31"/>
      <c r="D22" s="37"/>
      <c r="E22" s="880" t="s">
        <v>2235</v>
      </c>
      <c r="F22" s="31"/>
      <c r="G22" s="31"/>
      <c r="H22" s="4"/>
      <c r="I22" s="991" t="s">
        <v>396</v>
      </c>
      <c r="J22" s="991"/>
      <c r="K22" s="991"/>
    </row>
    <row r="23" spans="1:13">
      <c r="A23" s="44" t="s">
        <v>2217</v>
      </c>
      <c r="B23" s="30"/>
      <c r="C23" s="31"/>
      <c r="D23" s="37"/>
      <c r="E23" s="880" t="s">
        <v>2236</v>
      </c>
      <c r="F23" s="31"/>
      <c r="G23" s="31"/>
      <c r="H23" s="4"/>
    </row>
    <row r="24" spans="1:13">
      <c r="A24" s="44" t="s">
        <v>849</v>
      </c>
      <c r="B24" s="30"/>
      <c r="C24" s="31"/>
      <c r="D24" s="37"/>
      <c r="E24" s="880" t="s">
        <v>2237</v>
      </c>
      <c r="F24" s="44"/>
      <c r="G24" s="31"/>
      <c r="H24" s="4"/>
    </row>
    <row r="25" spans="1:13">
      <c r="A25" s="880" t="s">
        <v>1901</v>
      </c>
      <c r="B25" s="30"/>
      <c r="C25" s="31"/>
      <c r="D25" s="37"/>
      <c r="E25" s="880" t="s">
        <v>1440</v>
      </c>
      <c r="F25" s="31"/>
      <c r="G25" s="31"/>
      <c r="H25" s="4"/>
    </row>
    <row r="26" spans="1:13">
      <c r="A26" s="880" t="s">
        <v>2480</v>
      </c>
      <c r="B26" s="30"/>
      <c r="C26" s="31"/>
      <c r="D26" s="37"/>
      <c r="E26" s="44"/>
      <c r="F26" s="31"/>
      <c r="G26" s="31"/>
      <c r="H26" s="4"/>
    </row>
    <row r="27" spans="1:13">
      <c r="A27" s="880" t="s">
        <v>1479</v>
      </c>
      <c r="B27" s="30"/>
      <c r="C27" s="44"/>
      <c r="D27" s="37"/>
      <c r="E27" s="44"/>
      <c r="F27" s="31"/>
      <c r="G27" s="31"/>
      <c r="H27" s="4"/>
    </row>
    <row r="28" spans="1:13" ht="16">
      <c r="A28" s="14"/>
      <c r="B28" s="22"/>
      <c r="C28" s="13"/>
      <c r="I28" s="40" t="s">
        <v>2442</v>
      </c>
      <c r="J28" s="41"/>
      <c r="K28" s="41"/>
    </row>
    <row r="29" spans="1:13" ht="16">
      <c r="A29" s="14"/>
      <c r="I29" s="40" t="s">
        <v>165</v>
      </c>
      <c r="J29" s="42"/>
      <c r="K29" s="41"/>
      <c r="L29" s="4"/>
      <c r="M29" s="4"/>
    </row>
    <row r="30" spans="1:13" ht="16">
      <c r="A30" s="14"/>
      <c r="B30" s="13"/>
      <c r="C30" s="13"/>
      <c r="F30" s="4"/>
    </row>
    <row r="31" spans="1:13" ht="16">
      <c r="A31" s="14"/>
      <c r="I31" s="270" t="s">
        <v>1329</v>
      </c>
      <c r="J31" s="12"/>
      <c r="K31" s="12"/>
    </row>
    <row r="32" spans="1:13" ht="15">
      <c r="A32" s="47" t="s">
        <v>264</v>
      </c>
      <c r="B32" s="21"/>
      <c r="C32" s="4"/>
      <c r="D32" s="4"/>
      <c r="E32" s="4"/>
      <c r="F32" s="4"/>
      <c r="G32" s="269"/>
    </row>
    <row r="33" spans="1:11">
      <c r="A33" s="992" t="s">
        <v>397</v>
      </c>
      <c r="B33" s="23"/>
      <c r="D33" s="26" t="s">
        <v>1192</v>
      </c>
      <c r="E33" s="26"/>
      <c r="G33" s="26" t="s">
        <v>1207</v>
      </c>
      <c r="H33" s="26"/>
      <c r="I33" s="4"/>
      <c r="J33" s="235"/>
      <c r="K33" s="32"/>
    </row>
    <row r="34" spans="1:11">
      <c r="A34" s="992" t="s">
        <v>973</v>
      </c>
      <c r="B34" s="23"/>
      <c r="D34" s="26" t="s">
        <v>1441</v>
      </c>
      <c r="E34" s="23"/>
      <c r="G34" s="26" t="s">
        <v>938</v>
      </c>
      <c r="H34" s="23"/>
      <c r="I34" s="4"/>
      <c r="J34" s="4"/>
      <c r="K34" s="4"/>
    </row>
    <row r="35" spans="1:11">
      <c r="A35" s="992" t="s">
        <v>1448</v>
      </c>
      <c r="B35" s="23"/>
      <c r="D35" s="26" t="s">
        <v>1442</v>
      </c>
      <c r="E35" s="23"/>
      <c r="G35" s="26"/>
      <c r="H35" s="23"/>
      <c r="I35" s="4"/>
      <c r="J35" s="4"/>
      <c r="K35" s="4"/>
    </row>
    <row r="36" spans="1:11">
      <c r="A36" s="33"/>
      <c r="B36" s="32"/>
      <c r="C36" s="4"/>
      <c r="D36" s="33"/>
      <c r="E36" s="32"/>
      <c r="G36" s="33"/>
      <c r="H36" s="32"/>
      <c r="I36" s="4"/>
      <c r="J36" s="4"/>
      <c r="K36" s="4"/>
    </row>
    <row r="37" spans="1:11" ht="16">
      <c r="A37" s="14"/>
    </row>
    <row r="38" spans="1:11" ht="16">
      <c r="A38" s="14"/>
      <c r="B38" s="35" t="s">
        <v>220</v>
      </c>
      <c r="C38" s="38" t="s">
        <v>162</v>
      </c>
      <c r="J38" s="25"/>
    </row>
    <row r="39" spans="1:11" ht="16">
      <c r="A39" s="15"/>
      <c r="B39" s="13"/>
      <c r="C39" s="13"/>
    </row>
    <row r="40" spans="1:11" ht="16">
      <c r="A40" s="317" t="s">
        <v>221</v>
      </c>
      <c r="B40" s="318" t="s">
        <v>2218</v>
      </c>
      <c r="C40" s="319" t="s">
        <v>241</v>
      </c>
      <c r="D40" s="320"/>
      <c r="E40" s="320"/>
      <c r="F40" s="320"/>
      <c r="G40" s="320"/>
      <c r="H40" s="320"/>
      <c r="I40" s="320"/>
      <c r="J40" s="320"/>
      <c r="K40" s="34"/>
    </row>
    <row r="41" spans="1:11" ht="16">
      <c r="A41" s="317" t="s">
        <v>222</v>
      </c>
      <c r="B41" s="318" t="s">
        <v>215</v>
      </c>
      <c r="C41" s="319" t="s">
        <v>223</v>
      </c>
      <c r="D41" s="320"/>
      <c r="E41" s="320"/>
      <c r="F41" s="320"/>
      <c r="G41" s="320"/>
      <c r="H41" s="320"/>
      <c r="I41" s="320"/>
      <c r="J41" s="320"/>
      <c r="K41" s="34"/>
    </row>
    <row r="42" spans="1:11" ht="16">
      <c r="A42" s="317" t="s">
        <v>224</v>
      </c>
      <c r="B42" s="318" t="s">
        <v>67</v>
      </c>
      <c r="C42" s="319" t="s">
        <v>225</v>
      </c>
      <c r="D42" s="320"/>
      <c r="E42" s="320"/>
      <c r="F42" s="320"/>
      <c r="G42" s="320"/>
      <c r="H42" s="320"/>
      <c r="I42" s="320"/>
      <c r="J42" s="320"/>
      <c r="K42" s="34"/>
    </row>
    <row r="43" spans="1:11" ht="16">
      <c r="A43" s="317" t="s">
        <v>226</v>
      </c>
      <c r="B43" s="318" t="s">
        <v>240</v>
      </c>
      <c r="C43" s="319" t="s">
        <v>227</v>
      </c>
      <c r="D43" s="320"/>
      <c r="E43" s="320"/>
      <c r="F43" s="320"/>
      <c r="G43" s="320"/>
      <c r="H43" s="320"/>
      <c r="I43" s="320"/>
      <c r="J43" s="320"/>
      <c r="K43" s="34"/>
    </row>
    <row r="44" spans="1:11" ht="16">
      <c r="A44" s="317" t="s">
        <v>228</v>
      </c>
      <c r="B44" s="730" t="s">
        <v>166</v>
      </c>
      <c r="C44" s="319" t="s">
        <v>229</v>
      </c>
      <c r="D44" s="320"/>
      <c r="E44" s="320"/>
      <c r="F44" s="320"/>
      <c r="G44" s="320"/>
      <c r="H44" s="320"/>
      <c r="I44" s="320"/>
      <c r="J44" s="320"/>
      <c r="K44" s="34"/>
    </row>
    <row r="45" spans="1:11" ht="16">
      <c r="A45" s="317" t="s">
        <v>230</v>
      </c>
      <c r="B45" s="318" t="s">
        <v>231</v>
      </c>
      <c r="C45" s="319" t="s">
        <v>232</v>
      </c>
      <c r="D45" s="320"/>
      <c r="E45" s="320"/>
      <c r="F45" s="320"/>
      <c r="G45" s="320"/>
      <c r="H45" s="320"/>
      <c r="I45" s="320"/>
      <c r="J45" s="320"/>
      <c r="K45" s="34"/>
    </row>
    <row r="46" spans="1:11" ht="16">
      <c r="A46" s="317" t="s">
        <v>233</v>
      </c>
      <c r="B46" s="318" t="s">
        <v>61</v>
      </c>
      <c r="C46" s="319" t="s">
        <v>237</v>
      </c>
      <c r="D46" s="320"/>
      <c r="E46" s="320"/>
      <c r="F46" s="320"/>
      <c r="G46" s="320"/>
      <c r="H46" s="320"/>
      <c r="I46" s="320"/>
      <c r="J46" s="320"/>
      <c r="K46" s="34"/>
    </row>
    <row r="47" spans="1:11" ht="16">
      <c r="A47" s="317" t="s">
        <v>234</v>
      </c>
      <c r="B47" s="318" t="s">
        <v>2219</v>
      </c>
      <c r="C47" s="319" t="s">
        <v>163</v>
      </c>
      <c r="D47" s="320"/>
      <c r="E47" s="320"/>
      <c r="F47" s="320"/>
      <c r="G47" s="320"/>
      <c r="H47" s="320"/>
      <c r="I47" s="320"/>
      <c r="J47" s="320"/>
      <c r="K47" s="34"/>
    </row>
    <row r="48" spans="1:11" ht="16">
      <c r="A48" s="317" t="s">
        <v>235</v>
      </c>
      <c r="B48" s="318" t="s">
        <v>157</v>
      </c>
      <c r="C48" s="319" t="s">
        <v>236</v>
      </c>
      <c r="D48" s="320"/>
      <c r="E48" s="320"/>
      <c r="F48" s="320"/>
      <c r="G48" s="320"/>
      <c r="H48" s="320"/>
      <c r="I48" s="320"/>
      <c r="J48" s="1704"/>
      <c r="K48" s="34"/>
    </row>
    <row r="49" spans="1:11" ht="16">
      <c r="A49" s="317" t="s">
        <v>167</v>
      </c>
      <c r="B49" s="318" t="s">
        <v>168</v>
      </c>
      <c r="C49" s="319" t="s">
        <v>169</v>
      </c>
      <c r="D49" s="320"/>
      <c r="E49" s="320"/>
      <c r="F49" s="320"/>
      <c r="G49" s="320"/>
      <c r="H49" s="320"/>
      <c r="I49" s="320"/>
      <c r="J49" s="320"/>
      <c r="K49" s="34"/>
    </row>
    <row r="50" spans="1:11" ht="16">
      <c r="A50" s="317" t="s">
        <v>68</v>
      </c>
      <c r="B50" s="318" t="s">
        <v>52</v>
      </c>
      <c r="C50" s="319" t="s">
        <v>69</v>
      </c>
      <c r="D50" s="320"/>
      <c r="E50" s="320"/>
      <c r="F50" s="320"/>
      <c r="G50" s="320"/>
      <c r="H50" s="320"/>
      <c r="I50" s="320"/>
      <c r="J50" s="320"/>
      <c r="K50" s="34"/>
    </row>
    <row r="51" spans="1:11" ht="14">
      <c r="A51" s="1065" t="s">
        <v>238</v>
      </c>
      <c r="B51" s="1066" t="s">
        <v>1902</v>
      </c>
      <c r="C51" s="1066"/>
      <c r="D51" s="1066"/>
      <c r="E51" s="320"/>
      <c r="F51" s="320"/>
      <c r="G51" s="320"/>
      <c r="H51" s="320"/>
      <c r="I51" s="320"/>
      <c r="J51" s="320"/>
      <c r="K51" s="34"/>
    </row>
    <row r="52" spans="1:11" ht="14">
      <c r="A52" s="1065" t="s">
        <v>66</v>
      </c>
      <c r="B52" s="1066" t="s">
        <v>638</v>
      </c>
      <c r="C52" s="1066"/>
      <c r="D52" s="1066"/>
      <c r="E52" s="320"/>
      <c r="F52" s="320"/>
      <c r="G52" s="320"/>
      <c r="H52" s="320"/>
      <c r="I52" s="320"/>
      <c r="J52" s="320"/>
      <c r="K52" s="34"/>
    </row>
    <row r="53" spans="1:11" s="232" customFormat="1" ht="14">
      <c r="A53" s="1707" t="s">
        <v>635</v>
      </c>
      <c r="B53" s="1708" t="s">
        <v>636</v>
      </c>
      <c r="C53" s="1708"/>
      <c r="D53" s="1708"/>
      <c r="E53" s="1709"/>
      <c r="F53" s="1709"/>
      <c r="G53" s="1709"/>
      <c r="H53" s="1709"/>
      <c r="I53" s="1709"/>
      <c r="J53" s="1709"/>
      <c r="K53" s="272"/>
    </row>
    <row r="54" spans="1:11" ht="14">
      <c r="A54" s="1065" t="s">
        <v>2041</v>
      </c>
      <c r="B54" s="1066" t="s">
        <v>639</v>
      </c>
      <c r="C54" s="1066"/>
      <c r="D54" s="1066"/>
      <c r="E54" s="320"/>
      <c r="F54" s="320"/>
      <c r="G54" s="320"/>
      <c r="H54" s="320"/>
      <c r="I54" s="320"/>
      <c r="J54" s="320"/>
      <c r="K54" s="34"/>
    </row>
    <row r="55" spans="1:11" ht="14">
      <c r="A55" s="1065" t="s">
        <v>48</v>
      </c>
      <c r="B55" s="1066" t="s">
        <v>640</v>
      </c>
      <c r="C55" s="1066"/>
      <c r="D55" s="1066"/>
      <c r="E55" s="320"/>
      <c r="F55" s="320"/>
      <c r="G55" s="320"/>
      <c r="H55" s="320"/>
      <c r="I55" s="320"/>
      <c r="J55" s="320"/>
      <c r="K55" s="34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9" spans="1:11" ht="14.25" customHeight="1">
      <c r="A59" s="237" t="s">
        <v>1439</v>
      </c>
      <c r="B59"/>
      <c r="C59"/>
      <c r="D59"/>
      <c r="E59"/>
      <c r="F59"/>
      <c r="G59"/>
      <c r="H59"/>
      <c r="I59"/>
    </row>
    <row r="60" spans="1:11" ht="14.25" customHeight="1">
      <c r="A60" s="13"/>
      <c r="B60"/>
      <c r="C60"/>
      <c r="D60"/>
      <c r="E60"/>
      <c r="F60"/>
      <c r="G60"/>
      <c r="H60"/>
      <c r="I60"/>
    </row>
    <row r="61" spans="1:11" ht="18" customHeight="1">
      <c r="A61" s="1" t="s">
        <v>637</v>
      </c>
      <c r="B61"/>
      <c r="C61"/>
      <c r="D61"/>
      <c r="E61"/>
      <c r="F61"/>
      <c r="G61"/>
      <c r="H61"/>
      <c r="I61"/>
    </row>
    <row r="62" spans="1:11" ht="12.75" customHeight="1">
      <c r="A62" s="1"/>
      <c r="B62"/>
      <c r="C62"/>
      <c r="D62"/>
      <c r="E62"/>
      <c r="F62"/>
      <c r="G62"/>
      <c r="H62"/>
      <c r="I62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5" spans="1:10" ht="16">
      <c r="A65" s="17" t="s">
        <v>159</v>
      </c>
    </row>
    <row r="66" spans="1:10" ht="10.5" customHeight="1">
      <c r="A66" s="17"/>
    </row>
    <row r="67" spans="1:10" ht="16">
      <c r="A67" s="39" t="s">
        <v>160</v>
      </c>
    </row>
    <row r="68" spans="1:10" ht="16">
      <c r="A68" s="39" t="s">
        <v>65</v>
      </c>
    </row>
    <row r="69" spans="1:10" ht="16">
      <c r="A69" s="39" t="s">
        <v>217</v>
      </c>
    </row>
    <row r="74" spans="1:10">
      <c r="J74" s="236" t="s">
        <v>54</v>
      </c>
    </row>
  </sheetData>
  <phoneticPr fontId="0" type="noConversion"/>
  <pageMargins left="0.47244094488188981" right="0.35433070866141736" top="0.33" bottom="0.28000000000000003" header="0.26" footer="0.19"/>
  <pageSetup paperSize="9" scale="72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6929-9AC6-5A45-ABCC-0B9FF674580F}">
  <sheetPr>
    <pageSetUpPr fitToPage="1"/>
  </sheetPr>
  <dimension ref="A1:M80"/>
  <sheetViews>
    <sheetView workbookViewId="0">
      <selection activeCell="K55" sqref="K55"/>
    </sheetView>
  </sheetViews>
  <sheetFormatPr baseColWidth="10" defaultColWidth="11.3984375" defaultRowHeight="13"/>
  <cols>
    <col min="1" max="1" width="11.3984375" style="239"/>
    <col min="2" max="2" width="10.19921875" style="881" customWidth="1"/>
    <col min="3" max="3" width="4.3984375" style="239" customWidth="1"/>
    <col min="4" max="4" width="11.3984375" style="239"/>
    <col min="5" max="5" width="11.3984375" style="881"/>
    <col min="6" max="7" width="11.3984375" style="239"/>
    <col min="8" max="8" width="3.59765625" style="239" customWidth="1"/>
    <col min="9" max="9" width="11.3984375" style="239"/>
    <col min="10" max="10" width="3.796875" style="239" customWidth="1"/>
    <col min="11" max="11" width="11.3984375" style="239"/>
    <col min="12" max="12" width="3.796875" style="239" customWidth="1"/>
    <col min="13" max="16384" width="11.3984375" style="239"/>
  </cols>
  <sheetData>
    <row r="1" spans="1:13" ht="16">
      <c r="A1" s="238" t="s">
        <v>1903</v>
      </c>
    </row>
    <row r="2" spans="1:13" ht="18" customHeight="1"/>
    <row r="3" spans="1:13" ht="30" customHeight="1">
      <c r="A3" s="240" t="s">
        <v>156</v>
      </c>
      <c r="B3" s="240" t="s">
        <v>1904</v>
      </c>
      <c r="C3" s="881"/>
      <c r="D3" s="240" t="str">
        <f>A3</f>
        <v>Publikation 2006</v>
      </c>
      <c r="E3" s="240" t="str">
        <f>B3</f>
        <v>Publikation 2007</v>
      </c>
      <c r="G3" s="240" t="str">
        <f>E3</f>
        <v>Publikation 2007</v>
      </c>
      <c r="H3" s="240"/>
      <c r="I3" s="240" t="str">
        <f>D3</f>
        <v>Publikation 2006</v>
      </c>
      <c r="K3" s="240" t="str">
        <f>G3</f>
        <v>Publikation 2007</v>
      </c>
      <c r="L3" s="240"/>
      <c r="M3" s="240" t="str">
        <f>I3</f>
        <v>Publikation 2006</v>
      </c>
    </row>
    <row r="4" spans="1:13" ht="13.5" customHeight="1">
      <c r="A4" s="882"/>
      <c r="B4" s="882"/>
      <c r="D4" s="883"/>
      <c r="E4" s="883"/>
      <c r="G4" s="884"/>
      <c r="H4" s="884"/>
      <c r="I4" s="884"/>
      <c r="K4" s="884"/>
      <c r="L4" s="884"/>
      <c r="M4" s="884"/>
    </row>
    <row r="5" spans="1:13">
      <c r="A5" s="885">
        <v>1.01</v>
      </c>
      <c r="B5" s="885">
        <v>1.01</v>
      </c>
      <c r="C5" s="886"/>
      <c r="D5" s="887">
        <v>7.01</v>
      </c>
      <c r="E5" s="888">
        <v>7.01</v>
      </c>
      <c r="G5" s="889">
        <v>1.01</v>
      </c>
      <c r="H5" s="889"/>
      <c r="I5" s="890">
        <v>1.01</v>
      </c>
      <c r="K5" s="888">
        <v>6.05</v>
      </c>
      <c r="L5" s="891"/>
      <c r="M5" s="885">
        <v>6.05</v>
      </c>
    </row>
    <row r="6" spans="1:13">
      <c r="A6" s="885">
        <v>1.02</v>
      </c>
      <c r="B6" s="892">
        <v>1.02</v>
      </c>
      <c r="C6" s="886"/>
      <c r="D6" s="887">
        <v>7.02</v>
      </c>
      <c r="E6" s="888">
        <v>7.02</v>
      </c>
      <c r="G6" s="893">
        <v>1.02</v>
      </c>
      <c r="H6" s="889"/>
      <c r="I6" s="890">
        <v>1.02</v>
      </c>
      <c r="K6" s="888">
        <v>6.06</v>
      </c>
      <c r="L6" s="888"/>
      <c r="M6" s="892">
        <v>6.06</v>
      </c>
    </row>
    <row r="7" spans="1:13">
      <c r="A7" s="885">
        <v>1.03</v>
      </c>
      <c r="B7" s="892">
        <v>1.03</v>
      </c>
      <c r="C7" s="886"/>
      <c r="D7" s="894">
        <v>7.03</v>
      </c>
      <c r="E7" s="888">
        <v>7.03</v>
      </c>
      <c r="G7" s="893">
        <v>1.03</v>
      </c>
      <c r="H7" s="889"/>
      <c r="I7" s="890">
        <v>1.03</v>
      </c>
      <c r="K7" s="888">
        <v>7.01</v>
      </c>
      <c r="L7" s="895"/>
      <c r="M7" s="885">
        <v>7.01</v>
      </c>
    </row>
    <row r="8" spans="1:13">
      <c r="A8" s="885">
        <v>1.04</v>
      </c>
      <c r="B8" s="892">
        <v>1.04</v>
      </c>
      <c r="C8" s="886"/>
      <c r="D8" s="885">
        <v>7.04</v>
      </c>
      <c r="E8" s="892">
        <v>7.04</v>
      </c>
      <c r="G8" s="893">
        <v>1.04</v>
      </c>
      <c r="H8" s="889"/>
      <c r="I8" s="890">
        <v>1.04</v>
      </c>
      <c r="K8" s="888">
        <v>7.02</v>
      </c>
      <c r="L8" s="895"/>
      <c r="M8" s="885">
        <v>7.02</v>
      </c>
    </row>
    <row r="9" spans="1:13">
      <c r="A9" s="885">
        <v>1.05</v>
      </c>
      <c r="B9" s="892">
        <v>1.05</v>
      </c>
      <c r="C9" s="886"/>
      <c r="D9" s="891">
        <v>7.05</v>
      </c>
      <c r="E9" s="888">
        <v>7.05</v>
      </c>
      <c r="G9" s="893">
        <v>1.05</v>
      </c>
      <c r="H9" s="889"/>
      <c r="I9" s="890">
        <v>1.05</v>
      </c>
      <c r="K9" s="888">
        <v>7.03</v>
      </c>
      <c r="L9" s="895"/>
      <c r="M9" s="885">
        <v>7.03</v>
      </c>
    </row>
    <row r="10" spans="1:13">
      <c r="A10" s="885">
        <v>1.06</v>
      </c>
      <c r="B10" s="892">
        <v>1.06</v>
      </c>
      <c r="C10" s="886"/>
      <c r="D10" s="891">
        <v>8.01</v>
      </c>
      <c r="E10" s="888">
        <v>8.01</v>
      </c>
      <c r="G10" s="893">
        <v>1.06</v>
      </c>
      <c r="H10" s="889"/>
      <c r="I10" s="890">
        <v>1.06</v>
      </c>
      <c r="K10" s="888">
        <v>7.04</v>
      </c>
      <c r="L10" s="895"/>
      <c r="M10" s="885">
        <v>7.04</v>
      </c>
    </row>
    <row r="11" spans="1:13">
      <c r="A11" s="885">
        <v>1.07</v>
      </c>
      <c r="B11" s="892">
        <v>1.07</v>
      </c>
      <c r="C11" s="886"/>
      <c r="D11" s="891">
        <v>8.02</v>
      </c>
      <c r="E11" s="888">
        <v>8.02</v>
      </c>
      <c r="G11" s="893">
        <v>1.07</v>
      </c>
      <c r="H11" s="889"/>
      <c r="I11" s="890">
        <v>1.07</v>
      </c>
      <c r="K11" s="888">
        <v>7.05</v>
      </c>
      <c r="L11" s="896"/>
      <c r="M11" s="885">
        <v>7.05</v>
      </c>
    </row>
    <row r="12" spans="1:13">
      <c r="A12" s="885">
        <v>1.08</v>
      </c>
      <c r="B12" s="892">
        <v>1.08</v>
      </c>
      <c r="C12" s="886"/>
      <c r="D12" s="885">
        <v>8.0299999999999994</v>
      </c>
      <c r="E12" s="888">
        <v>8.0299999999999994</v>
      </c>
      <c r="G12" s="893">
        <v>1.08</v>
      </c>
      <c r="H12" s="889"/>
      <c r="I12" s="890">
        <v>1.08</v>
      </c>
      <c r="K12" s="885">
        <v>8.01</v>
      </c>
      <c r="L12" s="897"/>
      <c r="M12" s="885">
        <v>8.01</v>
      </c>
    </row>
    <row r="13" spans="1:13">
      <c r="A13" s="894">
        <v>1.0900000000000001</v>
      </c>
      <c r="B13" s="888">
        <v>1.0900000000000001</v>
      </c>
      <c r="C13" s="886"/>
      <c r="D13" s="885">
        <v>8.0399999999999991</v>
      </c>
      <c r="E13" s="888">
        <v>8.0399999999999991</v>
      </c>
      <c r="G13" s="893">
        <v>1.0900000000000001</v>
      </c>
      <c r="H13" s="889"/>
      <c r="I13" s="890">
        <v>1.0900000000000001</v>
      </c>
      <c r="K13" s="885">
        <v>8.02</v>
      </c>
      <c r="L13" s="897"/>
      <c r="M13" s="885">
        <v>8.02</v>
      </c>
    </row>
    <row r="14" spans="1:13">
      <c r="A14" s="894">
        <v>1.1000000000000001</v>
      </c>
      <c r="B14" s="892" t="s">
        <v>1905</v>
      </c>
      <c r="C14" s="886"/>
      <c r="D14" s="885">
        <v>8.0500000000000007</v>
      </c>
      <c r="E14" s="888">
        <v>8.0500000000000007</v>
      </c>
      <c r="G14" s="893">
        <v>1.1000000000000001</v>
      </c>
      <c r="H14" s="889"/>
      <c r="I14" s="890">
        <v>1.1000000000000001</v>
      </c>
      <c r="K14" s="885">
        <v>8.0299999999999994</v>
      </c>
      <c r="L14" s="897"/>
      <c r="M14" s="885">
        <v>8.0299999999999994</v>
      </c>
    </row>
    <row r="15" spans="1:13">
      <c r="A15" s="894">
        <v>1.1100000000000001</v>
      </c>
      <c r="B15" s="892">
        <v>1.1100000000000001</v>
      </c>
      <c r="C15" s="886"/>
      <c r="D15" s="885">
        <v>8.06</v>
      </c>
      <c r="E15" s="888">
        <v>8.06</v>
      </c>
      <c r="G15" s="893">
        <v>1.1100000000000001</v>
      </c>
      <c r="H15" s="889"/>
      <c r="I15" s="890">
        <v>1.1100000000000001</v>
      </c>
      <c r="K15" s="885">
        <v>8.0399999999999991</v>
      </c>
      <c r="L15" s="897"/>
      <c r="M15" s="885">
        <v>8.0399999999999991</v>
      </c>
    </row>
    <row r="16" spans="1:13">
      <c r="A16" s="894">
        <v>1.1200000000000001</v>
      </c>
      <c r="B16" s="888">
        <v>1.1200000000000001</v>
      </c>
      <c r="C16" s="886"/>
      <c r="D16" s="885">
        <v>8.07</v>
      </c>
      <c r="E16" s="888">
        <v>8.07</v>
      </c>
      <c r="G16" s="893">
        <v>1.1200000000000001</v>
      </c>
      <c r="H16" s="889"/>
      <c r="I16" s="890">
        <v>1.1200000000000001</v>
      </c>
      <c r="K16" s="885">
        <v>8.0500000000000007</v>
      </c>
      <c r="L16" s="897"/>
      <c r="M16" s="885">
        <v>8.0500000000000007</v>
      </c>
    </row>
    <row r="17" spans="1:13">
      <c r="A17" s="894">
        <v>1.1299999999999999</v>
      </c>
      <c r="B17" s="888">
        <v>1.1299999999999999</v>
      </c>
      <c r="C17" s="886"/>
      <c r="D17" s="885">
        <v>8.08</v>
      </c>
      <c r="E17" s="888">
        <v>8.08</v>
      </c>
      <c r="G17" s="893">
        <v>1.1299999999999999</v>
      </c>
      <c r="H17" s="889"/>
      <c r="I17" s="890">
        <v>1.1299999999999999</v>
      </c>
      <c r="K17" s="885">
        <v>8.06</v>
      </c>
      <c r="L17" s="897"/>
      <c r="M17" s="885">
        <v>8.06</v>
      </c>
    </row>
    <row r="18" spans="1:13">
      <c r="A18" s="894">
        <v>2.0099999999999998</v>
      </c>
      <c r="B18" s="888">
        <v>2.0099999999999998</v>
      </c>
      <c r="C18" s="886"/>
      <c r="D18" s="885">
        <v>8.09</v>
      </c>
      <c r="E18" s="891">
        <v>8.09</v>
      </c>
      <c r="G18" s="898">
        <v>1.1399999999999999</v>
      </c>
      <c r="H18" s="889" t="s">
        <v>823</v>
      </c>
      <c r="I18" s="890" t="s">
        <v>59</v>
      </c>
      <c r="K18" s="885">
        <v>8.07</v>
      </c>
      <c r="L18" s="897"/>
      <c r="M18" s="885">
        <v>8.07</v>
      </c>
    </row>
    <row r="19" spans="1:13">
      <c r="A19" s="894">
        <v>2.02</v>
      </c>
      <c r="B19" s="888">
        <v>2.02</v>
      </c>
      <c r="C19" s="886"/>
      <c r="D19" s="885" t="s">
        <v>73</v>
      </c>
      <c r="E19" s="891" t="s">
        <v>73</v>
      </c>
      <c r="G19" s="898">
        <v>1.1499999999999999</v>
      </c>
      <c r="H19" s="889" t="s">
        <v>823</v>
      </c>
      <c r="I19" s="890" t="s">
        <v>59</v>
      </c>
      <c r="K19" s="885">
        <v>8.08</v>
      </c>
      <c r="L19" s="897"/>
      <c r="M19" s="885">
        <v>8.08</v>
      </c>
    </row>
    <row r="20" spans="1:13">
      <c r="A20" s="894">
        <v>2.0299999999999998</v>
      </c>
      <c r="B20" s="888">
        <v>2.0299999999999998</v>
      </c>
      <c r="C20" s="886"/>
      <c r="D20" s="885" t="s">
        <v>74</v>
      </c>
      <c r="E20" s="891" t="s">
        <v>74</v>
      </c>
      <c r="G20" s="888">
        <v>2.0099999999999998</v>
      </c>
      <c r="H20" s="889"/>
      <c r="I20" s="890">
        <v>2.0099999999999998</v>
      </c>
      <c r="K20" s="885">
        <v>8.09</v>
      </c>
      <c r="L20" s="897"/>
      <c r="M20" s="885">
        <v>8.09</v>
      </c>
    </row>
    <row r="21" spans="1:13">
      <c r="A21" s="894">
        <v>2.04</v>
      </c>
      <c r="B21" s="888">
        <v>2.04</v>
      </c>
      <c r="C21" s="886"/>
      <c r="D21" s="885">
        <v>8.1199999999999992</v>
      </c>
      <c r="E21" s="889">
        <v>8.1199999999999992</v>
      </c>
      <c r="G21" s="888">
        <v>2.02</v>
      </c>
      <c r="H21" s="889"/>
      <c r="I21" s="890">
        <v>2.02</v>
      </c>
      <c r="K21" s="885" t="s">
        <v>73</v>
      </c>
      <c r="L21" s="897"/>
      <c r="M21" s="885" t="s">
        <v>73</v>
      </c>
    </row>
    <row r="22" spans="1:13">
      <c r="A22" s="894">
        <v>2.0499999999999998</v>
      </c>
      <c r="B22" s="888">
        <v>2.0499999999999998</v>
      </c>
      <c r="C22" s="886"/>
      <c r="D22" s="889">
        <v>9.01</v>
      </c>
      <c r="E22" s="889">
        <v>9.01</v>
      </c>
      <c r="G22" s="888">
        <v>2.0299999999999998</v>
      </c>
      <c r="H22" s="889"/>
      <c r="I22" s="890">
        <v>2.0299999999999998</v>
      </c>
      <c r="K22" s="885" t="s">
        <v>74</v>
      </c>
      <c r="L22" s="897"/>
      <c r="M22" s="891" t="s">
        <v>74</v>
      </c>
    </row>
    <row r="23" spans="1:13">
      <c r="A23" s="894">
        <v>2.06</v>
      </c>
      <c r="B23" s="888">
        <v>2.06</v>
      </c>
      <c r="C23" s="886"/>
      <c r="D23" s="889">
        <v>9.02</v>
      </c>
      <c r="E23" s="889">
        <v>9.02</v>
      </c>
      <c r="G23" s="888">
        <v>2.04</v>
      </c>
      <c r="H23" s="889" t="s">
        <v>823</v>
      </c>
      <c r="I23" s="890">
        <v>2.04</v>
      </c>
      <c r="K23" s="888">
        <v>8.1199999999999992</v>
      </c>
      <c r="L23" s="895"/>
      <c r="M23" s="885">
        <v>8.1199999999999992</v>
      </c>
    </row>
    <row r="24" spans="1:13">
      <c r="A24" s="894">
        <v>2.0699999999999998</v>
      </c>
      <c r="B24" s="888">
        <v>2.0699999999999998</v>
      </c>
      <c r="C24" s="886"/>
      <c r="D24" s="889">
        <v>9.0299999999999994</v>
      </c>
      <c r="E24" s="889">
        <v>9.0299999999999994</v>
      </c>
      <c r="G24" s="888">
        <v>2.0499999999999998</v>
      </c>
      <c r="H24" s="889" t="s">
        <v>823</v>
      </c>
      <c r="I24" s="890">
        <v>2.0499999999999998</v>
      </c>
      <c r="K24" s="899">
        <v>8.1300000000000008</v>
      </c>
      <c r="L24" s="895"/>
      <c r="M24" s="891" t="s">
        <v>59</v>
      </c>
    </row>
    <row r="25" spans="1:13">
      <c r="A25" s="894">
        <v>2.08</v>
      </c>
      <c r="B25" s="892">
        <v>2.08</v>
      </c>
      <c r="C25" s="886"/>
      <c r="D25" s="885">
        <v>9.0399999999999991</v>
      </c>
      <c r="E25" s="885">
        <v>9.0399999999999991</v>
      </c>
      <c r="G25" s="888">
        <v>2.06</v>
      </c>
      <c r="H25" s="889"/>
      <c r="I25" s="890">
        <v>2.06</v>
      </c>
      <c r="K25" s="885">
        <v>9.01</v>
      </c>
      <c r="L25" s="897"/>
      <c r="M25" s="891">
        <v>9.01</v>
      </c>
    </row>
    <row r="26" spans="1:13">
      <c r="A26" s="894">
        <v>2.09</v>
      </c>
      <c r="B26" s="888">
        <v>2.09</v>
      </c>
      <c r="C26" s="886"/>
      <c r="D26" s="885">
        <v>9.0500000000000007</v>
      </c>
      <c r="E26" s="885">
        <v>9.0500000000000007</v>
      </c>
      <c r="G26" s="888">
        <v>2.0699999999999998</v>
      </c>
      <c r="H26" s="889" t="s">
        <v>823</v>
      </c>
      <c r="I26" s="890">
        <v>2.0699999999999998</v>
      </c>
      <c r="K26" s="885">
        <v>9.02</v>
      </c>
      <c r="L26" s="897"/>
      <c r="M26" s="885">
        <v>9.02</v>
      </c>
    </row>
    <row r="27" spans="1:13">
      <c r="A27" s="894" t="s">
        <v>189</v>
      </c>
      <c r="B27" s="893" t="s">
        <v>189</v>
      </c>
      <c r="C27" s="886"/>
      <c r="D27" s="891">
        <v>9.06</v>
      </c>
      <c r="E27" s="891">
        <v>9.06</v>
      </c>
      <c r="G27" s="888">
        <v>2.08</v>
      </c>
      <c r="H27" s="889" t="s">
        <v>823</v>
      </c>
      <c r="I27" s="890">
        <v>2.08</v>
      </c>
      <c r="K27" s="885">
        <v>9.0299999999999994</v>
      </c>
      <c r="L27" s="897"/>
      <c r="M27" s="885">
        <v>9.0299999999999994</v>
      </c>
    </row>
    <row r="28" spans="1:13">
      <c r="A28" s="894">
        <v>2.11</v>
      </c>
      <c r="B28" s="893">
        <v>2.11</v>
      </c>
      <c r="C28" s="886"/>
      <c r="D28" s="891">
        <v>9.07</v>
      </c>
      <c r="E28" s="891">
        <v>9.07</v>
      </c>
      <c r="G28" s="888">
        <v>2.09</v>
      </c>
      <c r="H28" s="889"/>
      <c r="I28" s="890">
        <v>2.09</v>
      </c>
      <c r="K28" s="885">
        <v>9.0399999999999991</v>
      </c>
      <c r="L28" s="897"/>
      <c r="M28" s="885">
        <v>9.0399999999999991</v>
      </c>
    </row>
    <row r="29" spans="1:13">
      <c r="A29" s="894">
        <v>2.12</v>
      </c>
      <c r="B29" s="900">
        <v>2.12</v>
      </c>
      <c r="C29" s="886"/>
      <c r="D29" s="885">
        <v>9.08</v>
      </c>
      <c r="E29" s="888">
        <v>9.08</v>
      </c>
      <c r="G29" s="888" t="s">
        <v>189</v>
      </c>
      <c r="H29" s="889" t="s">
        <v>823</v>
      </c>
      <c r="I29" s="890" t="s">
        <v>189</v>
      </c>
      <c r="K29" s="885">
        <v>9.0500000000000007</v>
      </c>
      <c r="L29" s="897"/>
      <c r="M29" s="885">
        <v>9.0500000000000007</v>
      </c>
    </row>
    <row r="30" spans="1:13">
      <c r="A30" s="894">
        <v>2.13</v>
      </c>
      <c r="B30" s="893">
        <v>2.13</v>
      </c>
      <c r="C30" s="886"/>
      <c r="D30" s="885">
        <v>9.09</v>
      </c>
      <c r="E30" s="891">
        <v>9.09</v>
      </c>
      <c r="G30" s="888">
        <v>2.11</v>
      </c>
      <c r="H30" s="889"/>
      <c r="I30" s="890">
        <v>2.11</v>
      </c>
      <c r="K30" s="885">
        <v>9.06</v>
      </c>
      <c r="L30" s="897"/>
      <c r="M30" s="885">
        <v>9.06</v>
      </c>
    </row>
    <row r="31" spans="1:13">
      <c r="A31" s="894">
        <v>2.14</v>
      </c>
      <c r="B31" s="900">
        <v>2.14</v>
      </c>
      <c r="C31" s="886"/>
      <c r="D31" s="885" t="s">
        <v>178</v>
      </c>
      <c r="E31" s="891" t="s">
        <v>178</v>
      </c>
      <c r="G31" s="888">
        <v>2.12</v>
      </c>
      <c r="H31" s="889" t="s">
        <v>823</v>
      </c>
      <c r="I31" s="890">
        <v>2.12</v>
      </c>
      <c r="K31" s="885">
        <v>9.07</v>
      </c>
      <c r="L31" s="897"/>
      <c r="M31" s="885">
        <v>9.07</v>
      </c>
    </row>
    <row r="32" spans="1:13">
      <c r="A32" s="894">
        <v>2.15</v>
      </c>
      <c r="B32" s="900">
        <v>2.15</v>
      </c>
      <c r="C32" s="886"/>
      <c r="D32" s="885">
        <v>9.11</v>
      </c>
      <c r="E32" s="891">
        <v>9.11</v>
      </c>
      <c r="G32" s="888">
        <v>2.13</v>
      </c>
      <c r="H32" s="889" t="s">
        <v>823</v>
      </c>
      <c r="I32" s="890">
        <v>2.13</v>
      </c>
      <c r="K32" s="885">
        <v>9.08</v>
      </c>
      <c r="L32" s="897"/>
      <c r="M32" s="885">
        <v>9.08</v>
      </c>
    </row>
    <row r="33" spans="1:13">
      <c r="A33" s="894">
        <v>2.16</v>
      </c>
      <c r="B33" s="900">
        <v>2.16</v>
      </c>
      <c r="C33" s="886"/>
      <c r="D33" s="885">
        <v>9.1199999999999992</v>
      </c>
      <c r="E33" s="891">
        <v>9.1199999999999992</v>
      </c>
      <c r="G33" s="888">
        <v>2.14</v>
      </c>
      <c r="H33" s="889"/>
      <c r="I33" s="890">
        <v>2.14</v>
      </c>
      <c r="K33" s="885">
        <v>9.09</v>
      </c>
      <c r="L33" s="897" t="s">
        <v>823</v>
      </c>
      <c r="M33" s="885">
        <v>9.09</v>
      </c>
    </row>
    <row r="34" spans="1:13">
      <c r="A34" s="894">
        <v>2.17</v>
      </c>
      <c r="B34" s="900">
        <v>2.17</v>
      </c>
      <c r="C34" s="886"/>
      <c r="D34" s="885">
        <v>9.1300000000000008</v>
      </c>
      <c r="E34" s="891">
        <v>9.1300000000000008</v>
      </c>
      <c r="G34" s="888">
        <v>2.15</v>
      </c>
      <c r="H34" s="889"/>
      <c r="I34" s="890">
        <v>2.15</v>
      </c>
      <c r="K34" s="885" t="s">
        <v>178</v>
      </c>
      <c r="L34" s="897"/>
      <c r="M34" s="885" t="s">
        <v>178</v>
      </c>
    </row>
    <row r="35" spans="1:13">
      <c r="A35" s="894">
        <v>2.1800000000000002</v>
      </c>
      <c r="B35" s="900">
        <v>2.1800000000000002</v>
      </c>
      <c r="C35" s="886"/>
      <c r="D35" s="885">
        <v>9.14</v>
      </c>
      <c r="E35" s="891">
        <v>9.14</v>
      </c>
      <c r="G35" s="888">
        <v>2.16</v>
      </c>
      <c r="H35" s="889"/>
      <c r="I35" s="890">
        <v>2.16</v>
      </c>
      <c r="K35" s="885">
        <v>9.11</v>
      </c>
      <c r="L35" s="897"/>
      <c r="M35" s="885">
        <v>9.11</v>
      </c>
    </row>
    <row r="36" spans="1:13">
      <c r="A36" s="894">
        <v>2.19</v>
      </c>
      <c r="B36" s="893">
        <v>2.19</v>
      </c>
      <c r="C36" s="886"/>
      <c r="D36" s="885">
        <v>9.15</v>
      </c>
      <c r="E36" s="891">
        <v>9.15</v>
      </c>
      <c r="G36" s="888">
        <v>2.17</v>
      </c>
      <c r="H36" s="889"/>
      <c r="I36" s="890">
        <v>2.17</v>
      </c>
      <c r="K36" s="885">
        <v>9.1199999999999992</v>
      </c>
      <c r="L36" s="897"/>
      <c r="M36" s="885">
        <v>9.1199999999999992</v>
      </c>
    </row>
    <row r="37" spans="1:13">
      <c r="A37" s="894" t="s">
        <v>72</v>
      </c>
      <c r="B37" s="893" t="s">
        <v>72</v>
      </c>
      <c r="C37" s="886"/>
      <c r="D37" s="885">
        <v>9.16</v>
      </c>
      <c r="E37" s="891">
        <v>9.16</v>
      </c>
      <c r="G37" s="888">
        <v>2.1800000000000002</v>
      </c>
      <c r="H37" s="889"/>
      <c r="I37" s="890">
        <v>2.1800000000000002</v>
      </c>
      <c r="K37" s="885">
        <v>9.1300000000000008</v>
      </c>
      <c r="L37" s="897"/>
      <c r="M37" s="885">
        <v>9.1300000000000008</v>
      </c>
    </row>
    <row r="38" spans="1:13">
      <c r="A38" s="885">
        <v>2.21</v>
      </c>
      <c r="B38" s="892">
        <v>2.21</v>
      </c>
      <c r="C38" s="886"/>
      <c r="D38" s="885">
        <v>9.17</v>
      </c>
      <c r="E38" s="891">
        <v>9.17</v>
      </c>
      <c r="G38" s="888">
        <v>2.19</v>
      </c>
      <c r="H38" s="889"/>
      <c r="I38" s="890">
        <v>2.19</v>
      </c>
      <c r="K38" s="885">
        <v>9.14</v>
      </c>
      <c r="L38" s="897"/>
      <c r="M38" s="885">
        <v>9.14</v>
      </c>
    </row>
    <row r="39" spans="1:13">
      <c r="A39" s="885">
        <v>2.2200000000000002</v>
      </c>
      <c r="B39" s="892">
        <v>2.2200000000000002</v>
      </c>
      <c r="C39" s="886"/>
      <c r="D39" s="885">
        <v>9.18</v>
      </c>
      <c r="E39" s="891">
        <v>9.18</v>
      </c>
      <c r="G39" s="892" t="s">
        <v>72</v>
      </c>
      <c r="H39" s="889"/>
      <c r="I39" s="890" t="s">
        <v>72</v>
      </c>
      <c r="K39" s="885">
        <v>9.15</v>
      </c>
      <c r="L39" s="901"/>
      <c r="M39" s="885">
        <v>9.15</v>
      </c>
    </row>
    <row r="40" spans="1:13">
      <c r="A40" s="885">
        <v>2.23</v>
      </c>
      <c r="B40" s="892">
        <v>2.23</v>
      </c>
      <c r="C40" s="886"/>
      <c r="D40" s="885">
        <v>9.19</v>
      </c>
      <c r="E40" s="885">
        <v>9.19</v>
      </c>
      <c r="G40" s="888">
        <v>2.21</v>
      </c>
      <c r="H40" s="889"/>
      <c r="I40" s="890">
        <v>2.21</v>
      </c>
      <c r="K40" s="885">
        <v>9.16</v>
      </c>
      <c r="L40" s="897"/>
      <c r="M40" s="885">
        <v>9.16</v>
      </c>
    </row>
    <row r="41" spans="1:13">
      <c r="A41" s="885">
        <v>3.01</v>
      </c>
      <c r="B41" s="892">
        <v>3.01</v>
      </c>
      <c r="C41" s="886"/>
      <c r="D41" s="885" t="s">
        <v>77</v>
      </c>
      <c r="E41" s="891" t="s">
        <v>77</v>
      </c>
      <c r="G41" s="888">
        <v>2.2200000000000002</v>
      </c>
      <c r="H41" s="889"/>
      <c r="I41" s="890">
        <v>2.2200000000000002</v>
      </c>
      <c r="K41" s="885">
        <v>9.17</v>
      </c>
      <c r="L41" s="901"/>
      <c r="M41" s="885">
        <v>9.17</v>
      </c>
    </row>
    <row r="42" spans="1:13">
      <c r="A42" s="885">
        <v>3.02</v>
      </c>
      <c r="B42" s="892">
        <v>3.02</v>
      </c>
      <c r="C42" s="886"/>
      <c r="D42" s="885" t="s">
        <v>216</v>
      </c>
      <c r="E42" s="885" t="s">
        <v>216</v>
      </c>
      <c r="G42" s="888">
        <v>2.23</v>
      </c>
      <c r="H42" s="889"/>
      <c r="I42" s="890">
        <v>2.23</v>
      </c>
      <c r="K42" s="885">
        <v>9.18</v>
      </c>
      <c r="L42" s="901"/>
      <c r="M42" s="885">
        <v>9.18</v>
      </c>
    </row>
    <row r="43" spans="1:13">
      <c r="A43" s="894">
        <v>3.03</v>
      </c>
      <c r="B43" s="888">
        <v>3.03</v>
      </c>
      <c r="C43" s="886"/>
      <c r="D43" s="885" t="s">
        <v>76</v>
      </c>
      <c r="E43" s="885" t="s">
        <v>76</v>
      </c>
      <c r="G43" s="888">
        <v>3.01</v>
      </c>
      <c r="H43" s="902"/>
      <c r="I43" s="890">
        <v>3.01</v>
      </c>
      <c r="K43" s="885">
        <v>9.19</v>
      </c>
      <c r="L43" s="901"/>
      <c r="M43" s="885">
        <v>9.19</v>
      </c>
    </row>
    <row r="44" spans="1:13">
      <c r="A44" s="894">
        <v>3.04</v>
      </c>
      <c r="B44" s="888">
        <v>3.04</v>
      </c>
      <c r="C44" s="886"/>
      <c r="D44" s="885" t="s">
        <v>62</v>
      </c>
      <c r="E44" s="885" t="s">
        <v>62</v>
      </c>
      <c r="G44" s="888">
        <v>3.02</v>
      </c>
      <c r="H44" s="902" t="s">
        <v>823</v>
      </c>
      <c r="I44" s="890">
        <v>3.02</v>
      </c>
      <c r="K44" s="885" t="s">
        <v>77</v>
      </c>
      <c r="L44" s="901"/>
      <c r="M44" s="891" t="s">
        <v>77</v>
      </c>
    </row>
    <row r="45" spans="1:13">
      <c r="A45" s="891">
        <v>3.05</v>
      </c>
      <c r="B45" s="892">
        <v>3.05</v>
      </c>
      <c r="C45" s="886"/>
      <c r="D45" s="885" t="s">
        <v>63</v>
      </c>
      <c r="E45" s="885" t="s">
        <v>63</v>
      </c>
      <c r="G45" s="888">
        <v>3.03</v>
      </c>
      <c r="H45" s="902" t="s">
        <v>823</v>
      </c>
      <c r="I45" s="890">
        <v>3.03</v>
      </c>
      <c r="K45" s="885" t="s">
        <v>216</v>
      </c>
      <c r="L45" s="897"/>
      <c r="M45" s="885" t="s">
        <v>216</v>
      </c>
    </row>
    <row r="46" spans="1:13">
      <c r="A46" s="885">
        <v>3.06</v>
      </c>
      <c r="B46" s="892">
        <v>3.06</v>
      </c>
      <c r="C46" s="886"/>
      <c r="D46" s="885" t="s">
        <v>64</v>
      </c>
      <c r="E46" s="885" t="s">
        <v>64</v>
      </c>
      <c r="G46" s="888">
        <v>3.04</v>
      </c>
      <c r="H46" s="902" t="s">
        <v>823</v>
      </c>
      <c r="I46" s="890">
        <v>3.04</v>
      </c>
      <c r="K46" s="885" t="s">
        <v>76</v>
      </c>
      <c r="L46" s="897"/>
      <c r="M46" s="885" t="s">
        <v>76</v>
      </c>
    </row>
    <row r="47" spans="1:13">
      <c r="A47" s="894">
        <v>3.07</v>
      </c>
      <c r="B47" s="900">
        <v>3.07</v>
      </c>
      <c r="C47" s="886"/>
      <c r="D47" s="885">
        <v>11.01</v>
      </c>
      <c r="E47" s="885">
        <v>11.01</v>
      </c>
      <c r="G47" s="888">
        <v>3.05</v>
      </c>
      <c r="H47" s="902" t="s">
        <v>823</v>
      </c>
      <c r="I47" s="890">
        <v>3.05</v>
      </c>
      <c r="K47" s="885" t="s">
        <v>62</v>
      </c>
      <c r="L47" s="901"/>
      <c r="M47" s="885" t="s">
        <v>62</v>
      </c>
    </row>
    <row r="48" spans="1:13">
      <c r="A48" s="894">
        <v>3.08</v>
      </c>
      <c r="B48" s="888">
        <v>3.08</v>
      </c>
      <c r="C48" s="886"/>
      <c r="D48" s="885">
        <v>11.02</v>
      </c>
      <c r="E48" s="885">
        <v>11.02</v>
      </c>
      <c r="G48" s="888">
        <v>3.06</v>
      </c>
      <c r="H48" s="902" t="s">
        <v>823</v>
      </c>
      <c r="I48" s="890">
        <v>3.06</v>
      </c>
      <c r="K48" s="885" t="s">
        <v>63</v>
      </c>
      <c r="L48" s="901"/>
      <c r="M48" s="885" t="s">
        <v>63</v>
      </c>
    </row>
    <row r="49" spans="1:13">
      <c r="A49" s="894">
        <v>3.09</v>
      </c>
      <c r="B49" s="888">
        <v>3.09</v>
      </c>
      <c r="C49" s="886"/>
      <c r="D49" s="885">
        <v>11.03</v>
      </c>
      <c r="E49" s="885">
        <v>11.03</v>
      </c>
      <c r="G49" s="888">
        <v>3.07</v>
      </c>
      <c r="H49" s="902" t="s">
        <v>823</v>
      </c>
      <c r="I49" s="890">
        <v>3.07</v>
      </c>
      <c r="K49" s="885" t="s">
        <v>64</v>
      </c>
      <c r="L49" s="901"/>
      <c r="M49" s="885" t="s">
        <v>64</v>
      </c>
    </row>
    <row r="50" spans="1:13">
      <c r="A50" s="885" t="s">
        <v>239</v>
      </c>
      <c r="B50" s="888" t="s">
        <v>239</v>
      </c>
      <c r="C50" s="886"/>
      <c r="D50" s="891">
        <v>11.04</v>
      </c>
      <c r="E50" s="885">
        <v>11.04</v>
      </c>
      <c r="G50" s="888">
        <v>3.08</v>
      </c>
      <c r="H50" s="902" t="s">
        <v>823</v>
      </c>
      <c r="I50" s="903">
        <v>3.08</v>
      </c>
      <c r="K50" s="885">
        <v>11.01</v>
      </c>
      <c r="L50" s="897"/>
      <c r="M50" s="885">
        <v>11.01</v>
      </c>
    </row>
    <row r="51" spans="1:13">
      <c r="A51" s="891">
        <v>3.11</v>
      </c>
      <c r="B51" s="885">
        <v>3.11</v>
      </c>
      <c r="C51" s="886"/>
      <c r="D51" s="891">
        <v>11.05</v>
      </c>
      <c r="E51" s="885">
        <v>11.05</v>
      </c>
      <c r="G51" s="888">
        <v>3.09</v>
      </c>
      <c r="H51" s="902"/>
      <c r="I51" s="890">
        <v>3.09</v>
      </c>
      <c r="K51" s="885">
        <v>11.02</v>
      </c>
      <c r="L51" s="897"/>
      <c r="M51" s="885">
        <v>11.02</v>
      </c>
    </row>
    <row r="52" spans="1:13">
      <c r="A52" s="885">
        <v>3.12</v>
      </c>
      <c r="B52" s="885">
        <v>3.12</v>
      </c>
      <c r="C52" s="886"/>
      <c r="D52" s="885">
        <v>11.06</v>
      </c>
      <c r="E52" s="885">
        <v>11.06</v>
      </c>
      <c r="G52" s="885" t="s">
        <v>239</v>
      </c>
      <c r="H52" s="891"/>
      <c r="I52" s="885" t="s">
        <v>239</v>
      </c>
      <c r="K52" s="885">
        <v>11.03</v>
      </c>
      <c r="L52" s="897"/>
      <c r="M52" s="885">
        <v>11.03</v>
      </c>
    </row>
    <row r="53" spans="1:13">
      <c r="A53" s="891">
        <v>4.01</v>
      </c>
      <c r="B53" s="885">
        <v>4.01</v>
      </c>
      <c r="C53" s="886"/>
      <c r="D53" s="885">
        <v>11.07</v>
      </c>
      <c r="E53" s="885">
        <v>11.07</v>
      </c>
      <c r="G53" s="891">
        <v>3.11</v>
      </c>
      <c r="H53" s="891"/>
      <c r="I53" s="891">
        <v>3.11</v>
      </c>
      <c r="K53" s="885">
        <v>11.04</v>
      </c>
      <c r="L53" s="897"/>
      <c r="M53" s="885">
        <v>11.04</v>
      </c>
    </row>
    <row r="54" spans="1:13">
      <c r="A54" s="894">
        <v>4.0199999999999996</v>
      </c>
      <c r="B54" s="890">
        <v>4.0199999999999996</v>
      </c>
      <c r="C54" s="886"/>
      <c r="D54" s="885">
        <v>11.08</v>
      </c>
      <c r="E54" s="885">
        <v>11.08</v>
      </c>
      <c r="G54" s="891">
        <v>3.12</v>
      </c>
      <c r="H54" s="891"/>
      <c r="I54" s="885">
        <v>3.12</v>
      </c>
      <c r="K54" s="885">
        <v>11.05</v>
      </c>
      <c r="L54" s="897"/>
      <c r="M54" s="885">
        <v>11.05</v>
      </c>
    </row>
    <row r="55" spans="1:13">
      <c r="A55" s="894">
        <v>4.03</v>
      </c>
      <c r="B55" s="891">
        <v>4.03</v>
      </c>
      <c r="C55" s="886"/>
      <c r="D55" s="885">
        <v>11.09</v>
      </c>
      <c r="E55" s="885">
        <v>11.09</v>
      </c>
      <c r="G55" s="891">
        <v>4.01</v>
      </c>
      <c r="H55" s="902"/>
      <c r="I55" s="885">
        <v>4.01</v>
      </c>
      <c r="K55" s="1710">
        <v>11.06</v>
      </c>
      <c r="L55" s="897"/>
      <c r="M55" s="885">
        <v>11.06</v>
      </c>
    </row>
    <row r="56" spans="1:13">
      <c r="A56" s="891">
        <v>4.04</v>
      </c>
      <c r="B56" s="885">
        <v>4.04</v>
      </c>
      <c r="C56" s="886"/>
      <c r="D56" s="885" t="s">
        <v>75</v>
      </c>
      <c r="E56" s="885" t="s">
        <v>75</v>
      </c>
      <c r="G56" s="888">
        <v>4.0199999999999996</v>
      </c>
      <c r="H56" s="902" t="s">
        <v>823</v>
      </c>
      <c r="I56" s="885">
        <v>4.0199999999999996</v>
      </c>
      <c r="K56" s="885">
        <v>11.07</v>
      </c>
      <c r="L56" s="897"/>
      <c r="M56" s="885">
        <v>11.07</v>
      </c>
    </row>
    <row r="57" spans="1:13">
      <c r="A57" s="891">
        <v>4.05</v>
      </c>
      <c r="B57" s="885">
        <v>4.05</v>
      </c>
      <c r="C57" s="886"/>
      <c r="D57" s="885">
        <v>11.11</v>
      </c>
      <c r="E57" s="891">
        <v>11.11</v>
      </c>
      <c r="G57" s="888">
        <v>4.03</v>
      </c>
      <c r="H57" s="902"/>
      <c r="I57" s="885">
        <v>4.03</v>
      </c>
      <c r="K57" s="885">
        <v>11.08</v>
      </c>
      <c r="L57" s="897" t="s">
        <v>823</v>
      </c>
      <c r="M57" s="885">
        <v>11.08</v>
      </c>
    </row>
    <row r="58" spans="1:13">
      <c r="A58" s="891">
        <v>4.0599999999999996</v>
      </c>
      <c r="B58" s="885">
        <v>4.0599999999999996</v>
      </c>
      <c r="C58" s="886"/>
      <c r="D58" s="885">
        <v>11.12</v>
      </c>
      <c r="E58" s="885">
        <v>11.12</v>
      </c>
      <c r="G58" s="888">
        <v>4.04</v>
      </c>
      <c r="H58" s="902" t="s">
        <v>823</v>
      </c>
      <c r="I58" s="885">
        <v>4.04</v>
      </c>
      <c r="K58" s="885">
        <v>11.09</v>
      </c>
      <c r="L58" s="897"/>
      <c r="M58" s="885">
        <v>11.09</v>
      </c>
    </row>
    <row r="59" spans="1:13">
      <c r="A59" s="894">
        <v>4.07</v>
      </c>
      <c r="B59" s="891">
        <v>4.07</v>
      </c>
      <c r="C59" s="886"/>
      <c r="D59" s="885">
        <v>11.13</v>
      </c>
      <c r="E59" s="885">
        <v>11.13</v>
      </c>
      <c r="G59" s="888">
        <v>4.05</v>
      </c>
      <c r="H59" s="902" t="s">
        <v>823</v>
      </c>
      <c r="I59" s="885">
        <v>4.05</v>
      </c>
      <c r="K59" s="885" t="s">
        <v>75</v>
      </c>
      <c r="L59" s="897" t="s">
        <v>823</v>
      </c>
      <c r="M59" s="885" t="s">
        <v>75</v>
      </c>
    </row>
    <row r="60" spans="1:13">
      <c r="A60" s="894">
        <v>4.08</v>
      </c>
      <c r="B60" s="891">
        <v>4.08</v>
      </c>
      <c r="C60" s="886"/>
      <c r="D60" s="885">
        <v>11.14</v>
      </c>
      <c r="E60" s="885">
        <v>11.14</v>
      </c>
      <c r="G60" s="888">
        <v>4.0599999999999996</v>
      </c>
      <c r="H60" s="902" t="s">
        <v>823</v>
      </c>
      <c r="I60" s="885">
        <v>4.0599999999999996</v>
      </c>
      <c r="K60" s="885">
        <v>11.11</v>
      </c>
      <c r="L60" s="901"/>
      <c r="M60" s="885">
        <v>11.11</v>
      </c>
    </row>
    <row r="61" spans="1:13">
      <c r="A61" s="894">
        <v>4.09</v>
      </c>
      <c r="B61" s="888">
        <v>4.09</v>
      </c>
      <c r="C61" s="886"/>
      <c r="D61" s="885">
        <v>11.15</v>
      </c>
      <c r="E61" s="885">
        <v>11.15</v>
      </c>
      <c r="G61" s="888">
        <v>4.07</v>
      </c>
      <c r="H61" s="902"/>
      <c r="I61" s="885">
        <v>4.07</v>
      </c>
      <c r="K61" s="885">
        <v>11.12</v>
      </c>
      <c r="L61" s="901"/>
      <c r="M61" s="885">
        <v>11.12</v>
      </c>
    </row>
    <row r="62" spans="1:13">
      <c r="A62" s="894">
        <v>4.0999999999999996</v>
      </c>
      <c r="B62" s="892" t="s">
        <v>71</v>
      </c>
      <c r="C62" s="886"/>
      <c r="D62" s="885">
        <v>11.16</v>
      </c>
      <c r="E62" s="885">
        <v>11.16</v>
      </c>
      <c r="G62" s="888">
        <v>4.08</v>
      </c>
      <c r="H62" s="902" t="s">
        <v>823</v>
      </c>
      <c r="I62" s="885">
        <v>4.08</v>
      </c>
      <c r="K62" s="885">
        <v>11.13</v>
      </c>
      <c r="L62" s="901"/>
      <c r="M62" s="891">
        <v>11.13</v>
      </c>
    </row>
    <row r="63" spans="1:13">
      <c r="A63" s="894">
        <v>4.1100000000000003</v>
      </c>
      <c r="B63" s="888">
        <v>4.1100000000000003</v>
      </c>
      <c r="C63" s="886"/>
      <c r="D63" s="885">
        <v>11.17</v>
      </c>
      <c r="E63" s="885">
        <v>11.17</v>
      </c>
      <c r="G63" s="888">
        <v>4.09</v>
      </c>
      <c r="H63" s="902" t="s">
        <v>823</v>
      </c>
      <c r="I63" s="885">
        <v>4.09</v>
      </c>
      <c r="K63" s="885">
        <v>11.14</v>
      </c>
      <c r="L63" s="897" t="s">
        <v>823</v>
      </c>
      <c r="M63" s="891">
        <v>11.14</v>
      </c>
    </row>
    <row r="64" spans="1:13">
      <c r="A64" s="894">
        <v>5.01</v>
      </c>
      <c r="B64" s="888">
        <v>5.01</v>
      </c>
      <c r="C64" s="886"/>
      <c r="D64" s="885">
        <v>11.18</v>
      </c>
      <c r="E64" s="885">
        <v>11.18</v>
      </c>
      <c r="G64" s="893">
        <v>4.0999999999999996</v>
      </c>
      <c r="H64" s="902" t="s">
        <v>823</v>
      </c>
      <c r="I64" s="885" t="s">
        <v>71</v>
      </c>
      <c r="K64" s="885">
        <v>11.15</v>
      </c>
      <c r="L64" s="901"/>
      <c r="M64" s="891">
        <v>11.15</v>
      </c>
    </row>
    <row r="65" spans="1:13">
      <c r="A65" s="894">
        <v>5.0199999999999996</v>
      </c>
      <c r="B65" s="888">
        <v>5.0199999999999996</v>
      </c>
      <c r="C65" s="886"/>
      <c r="D65" s="885">
        <v>11.19</v>
      </c>
      <c r="E65" s="888">
        <v>11.19</v>
      </c>
      <c r="G65" s="893">
        <v>4.1100000000000003</v>
      </c>
      <c r="H65" s="902" t="s">
        <v>823</v>
      </c>
      <c r="I65" s="893">
        <v>4.1100000000000003</v>
      </c>
      <c r="K65" s="885">
        <v>11.16</v>
      </c>
      <c r="L65" s="897" t="s">
        <v>823</v>
      </c>
      <c r="M65" s="891">
        <v>11.16</v>
      </c>
    </row>
    <row r="66" spans="1:13">
      <c r="A66" s="894">
        <v>5.03</v>
      </c>
      <c r="B66" s="888">
        <v>5.03</v>
      </c>
      <c r="C66" s="886"/>
      <c r="D66" s="891" t="s">
        <v>59</v>
      </c>
      <c r="E66" s="888">
        <v>1.1399999999999999</v>
      </c>
      <c r="G66" s="885">
        <v>5.01</v>
      </c>
      <c r="H66" s="891"/>
      <c r="I66" s="885">
        <v>5.01</v>
      </c>
      <c r="K66" s="885">
        <v>11.17</v>
      </c>
      <c r="L66" s="901"/>
      <c r="M66" s="891">
        <v>11.17</v>
      </c>
    </row>
    <row r="67" spans="1:13">
      <c r="A67" s="894">
        <v>5.04</v>
      </c>
      <c r="B67" s="888">
        <v>5.04</v>
      </c>
      <c r="C67" s="886"/>
      <c r="D67" s="891" t="s">
        <v>59</v>
      </c>
      <c r="E67" s="888">
        <v>1.1499999999999999</v>
      </c>
      <c r="G67" s="885">
        <v>5.0199999999999996</v>
      </c>
      <c r="H67" s="891"/>
      <c r="I67" s="885">
        <v>5.0199999999999996</v>
      </c>
      <c r="K67" s="892">
        <v>11.18</v>
      </c>
      <c r="L67" s="904"/>
      <c r="M67" s="888">
        <v>11.18</v>
      </c>
    </row>
    <row r="68" spans="1:13">
      <c r="A68" s="894">
        <v>6.01</v>
      </c>
      <c r="B68" s="888">
        <v>6.01</v>
      </c>
      <c r="C68" s="886"/>
      <c r="D68" s="891" t="s">
        <v>59</v>
      </c>
      <c r="E68" s="888">
        <v>8.1300000000000008</v>
      </c>
      <c r="G68" s="888">
        <v>5.03</v>
      </c>
      <c r="H68" s="891"/>
      <c r="I68" s="888">
        <v>5.03</v>
      </c>
      <c r="K68" s="905">
        <v>11.19</v>
      </c>
      <c r="L68" s="904"/>
      <c r="M68" s="891">
        <v>11.19</v>
      </c>
    </row>
    <row r="69" spans="1:13">
      <c r="A69" s="894">
        <v>6.02</v>
      </c>
      <c r="B69" s="888">
        <v>6.02</v>
      </c>
      <c r="C69" s="886"/>
      <c r="D69" s="906"/>
      <c r="E69" s="906"/>
      <c r="G69" s="888">
        <v>5.04</v>
      </c>
      <c r="H69" s="891"/>
      <c r="I69" s="888">
        <v>5.04</v>
      </c>
    </row>
    <row r="70" spans="1:13">
      <c r="A70" s="887">
        <v>6.03</v>
      </c>
      <c r="B70" s="888">
        <v>6.03</v>
      </c>
      <c r="D70" s="907"/>
      <c r="E70" s="906"/>
      <c r="G70" s="888">
        <v>6.01</v>
      </c>
      <c r="H70" s="891"/>
      <c r="I70" s="885">
        <v>6.01</v>
      </c>
    </row>
    <row r="71" spans="1:13">
      <c r="A71" s="887">
        <v>6.04</v>
      </c>
      <c r="B71" s="888">
        <v>6.04</v>
      </c>
      <c r="D71" s="907"/>
      <c r="E71" s="907"/>
      <c r="G71" s="888">
        <v>6.02</v>
      </c>
      <c r="H71" s="891"/>
      <c r="I71" s="885">
        <v>6.02</v>
      </c>
      <c r="K71" s="908"/>
      <c r="L71" s="909"/>
      <c r="M71" s="907"/>
    </row>
    <row r="72" spans="1:13">
      <c r="A72" s="887">
        <v>6.05</v>
      </c>
      <c r="B72" s="888">
        <v>6.05</v>
      </c>
      <c r="D72" s="906"/>
      <c r="E72" s="906"/>
      <c r="G72" s="888">
        <v>6.03</v>
      </c>
      <c r="H72" s="891"/>
      <c r="I72" s="885">
        <v>6.03</v>
      </c>
      <c r="K72" s="910" t="s">
        <v>1906</v>
      </c>
    </row>
    <row r="73" spans="1:13">
      <c r="A73" s="894">
        <v>6.06</v>
      </c>
      <c r="B73" s="891">
        <v>6.06</v>
      </c>
      <c r="D73" s="906"/>
      <c r="E73" s="906"/>
      <c r="G73" s="888">
        <v>6.04</v>
      </c>
      <c r="H73" s="891"/>
      <c r="I73" s="885">
        <v>6.04</v>
      </c>
    </row>
    <row r="74" spans="1:13">
      <c r="A74" s="911"/>
      <c r="B74" s="907"/>
      <c r="D74" s="906"/>
      <c r="E74" s="906"/>
      <c r="G74" s="912"/>
      <c r="H74" s="912"/>
      <c r="I74" s="912"/>
    </row>
    <row r="75" spans="1:13">
      <c r="A75" s="911"/>
      <c r="B75" s="907"/>
      <c r="L75" s="907"/>
      <c r="M75" s="906"/>
    </row>
    <row r="76" spans="1:13">
      <c r="A76" s="894"/>
      <c r="B76" s="907"/>
      <c r="K76" s="910"/>
    </row>
    <row r="77" spans="1:13">
      <c r="A77" s="913"/>
      <c r="B77" s="914" t="s">
        <v>650</v>
      </c>
      <c r="F77" s="915" t="s">
        <v>59</v>
      </c>
      <c r="G77" s="916" t="s">
        <v>1907</v>
      </c>
      <c r="J77" s="917" t="s">
        <v>823</v>
      </c>
      <c r="K77" s="916" t="s">
        <v>1446</v>
      </c>
    </row>
    <row r="78" spans="1:13">
      <c r="A78" s="913"/>
      <c r="B78" s="918" t="s">
        <v>1447</v>
      </c>
    </row>
    <row r="79" spans="1:13" ht="7.5" customHeight="1"/>
    <row r="80" spans="1:13">
      <c r="A80" s="914" t="s">
        <v>2253</v>
      </c>
      <c r="G80" s="919"/>
      <c r="H80" s="919"/>
    </row>
  </sheetData>
  <phoneticPr fontId="30" type="noConversion"/>
  <pageMargins left="0.56999999999999995" right="0.46" top="0.31" bottom="0.33" header="0.22" footer="0.21"/>
  <pageSetup paperSize="9" scale="7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D77B-4340-8B44-8FF1-99951A54BF35}">
  <sheetPr>
    <pageSetUpPr fitToPage="1"/>
  </sheetPr>
  <dimension ref="A1:P192"/>
  <sheetViews>
    <sheetView workbookViewId="0">
      <selection activeCell="E3" sqref="E3"/>
    </sheetView>
  </sheetViews>
  <sheetFormatPr baseColWidth="10" defaultColWidth="11.3984375" defaultRowHeight="11"/>
  <cols>
    <col min="1" max="2" width="11.3984375" style="242"/>
    <col min="3" max="3" width="11.19921875" style="241" customWidth="1"/>
    <col min="4" max="4" width="10.19921875" style="241" customWidth="1"/>
    <col min="5" max="7" width="11.3984375" style="241"/>
    <col min="8" max="8" width="10.796875" style="241" customWidth="1"/>
    <col min="9" max="10" width="9.796875" style="242" customWidth="1"/>
    <col min="11" max="12" width="11.3984375" style="242"/>
    <col min="13" max="14" width="11.3984375" style="241"/>
    <col min="15" max="16384" width="11.3984375" style="242"/>
  </cols>
  <sheetData>
    <row r="1" spans="1:14" ht="16">
      <c r="A1" s="238" t="s">
        <v>1327</v>
      </c>
    </row>
    <row r="2" spans="1:14" ht="12.75" customHeight="1">
      <c r="F2" s="243"/>
      <c r="G2" s="243"/>
    </row>
    <row r="3" spans="1:14" ht="16">
      <c r="A3" s="238" t="s">
        <v>1328</v>
      </c>
      <c r="F3" s="243"/>
      <c r="G3" s="243"/>
    </row>
    <row r="4" spans="1:14" ht="15" customHeight="1">
      <c r="C4" s="243"/>
      <c r="D4" s="243"/>
      <c r="E4" s="244"/>
      <c r="F4" s="244"/>
      <c r="G4" s="244"/>
      <c r="H4" s="244"/>
      <c r="K4" s="245"/>
      <c r="L4" s="245"/>
      <c r="M4" s="243"/>
      <c r="N4" s="243"/>
    </row>
    <row r="5" spans="1:14" s="247" customFormat="1" ht="28.5" customHeight="1">
      <c r="A5" s="240" t="s">
        <v>1904</v>
      </c>
      <c r="B5" s="240" t="s">
        <v>156</v>
      </c>
      <c r="C5" s="240" t="s">
        <v>70</v>
      </c>
      <c r="D5" s="240" t="s">
        <v>85</v>
      </c>
      <c r="E5" s="240" t="s">
        <v>84</v>
      </c>
      <c r="F5" s="240" t="s">
        <v>83</v>
      </c>
      <c r="G5" s="240" t="s">
        <v>82</v>
      </c>
      <c r="H5" s="240" t="s">
        <v>191</v>
      </c>
      <c r="I5" s="240" t="s">
        <v>81</v>
      </c>
      <c r="J5" s="240" t="s">
        <v>80</v>
      </c>
      <c r="K5" s="240" t="s">
        <v>79</v>
      </c>
      <c r="L5" s="240" t="s">
        <v>78</v>
      </c>
      <c r="M5" s="246"/>
      <c r="N5" s="246"/>
    </row>
    <row r="6" spans="1:14" ht="14.25" customHeight="1">
      <c r="A6" s="248"/>
      <c r="B6" s="248"/>
      <c r="C6" s="248"/>
      <c r="D6" s="248"/>
      <c r="E6" s="248"/>
      <c r="F6" s="248"/>
      <c r="G6" s="249"/>
      <c r="H6" s="249"/>
      <c r="I6" s="249"/>
      <c r="J6" s="249"/>
      <c r="K6" s="249"/>
      <c r="L6" s="249"/>
      <c r="M6" s="242"/>
      <c r="N6" s="242"/>
    </row>
    <row r="7" spans="1:14">
      <c r="A7" s="250">
        <v>1.01</v>
      </c>
      <c r="B7" s="250">
        <v>1.01</v>
      </c>
      <c r="C7" s="250">
        <v>1.01</v>
      </c>
      <c r="D7" s="250">
        <v>1.43</v>
      </c>
      <c r="E7" s="250">
        <v>1.43</v>
      </c>
      <c r="F7" s="250">
        <v>1.43</v>
      </c>
      <c r="G7" s="250">
        <v>1.43</v>
      </c>
      <c r="H7" s="251" t="s">
        <v>59</v>
      </c>
      <c r="I7" s="252" t="s">
        <v>59</v>
      </c>
      <c r="J7" s="252" t="s">
        <v>59</v>
      </c>
      <c r="K7" s="252" t="s">
        <v>59</v>
      </c>
      <c r="L7" s="252" t="s">
        <v>59</v>
      </c>
      <c r="M7" s="242"/>
      <c r="N7" s="242"/>
    </row>
    <row r="8" spans="1:14">
      <c r="A8" s="250">
        <v>1.02</v>
      </c>
      <c r="B8" s="250">
        <v>1.02</v>
      </c>
      <c r="C8" s="250">
        <v>1.02</v>
      </c>
      <c r="D8" s="250">
        <v>1.27</v>
      </c>
      <c r="E8" s="250">
        <v>1.27</v>
      </c>
      <c r="F8" s="250">
        <v>1.27</v>
      </c>
      <c r="G8" s="250">
        <v>1.27</v>
      </c>
      <c r="H8" s="251">
        <v>1.27</v>
      </c>
      <c r="I8" s="253" t="s">
        <v>131</v>
      </c>
      <c r="J8" s="253" t="s">
        <v>131</v>
      </c>
      <c r="K8" s="253" t="s">
        <v>131</v>
      </c>
      <c r="L8" s="253" t="s">
        <v>131</v>
      </c>
      <c r="M8" s="242"/>
      <c r="N8" s="242"/>
    </row>
    <row r="9" spans="1:14">
      <c r="A9" s="250">
        <v>1.03</v>
      </c>
      <c r="B9" s="250">
        <v>1.03</v>
      </c>
      <c r="C9" s="250">
        <v>1.03</v>
      </c>
      <c r="D9" s="250">
        <v>1.28</v>
      </c>
      <c r="E9" s="250">
        <v>1.28</v>
      </c>
      <c r="F9" s="250">
        <v>1.28</v>
      </c>
      <c r="G9" s="250">
        <v>1.28</v>
      </c>
      <c r="H9" s="251">
        <v>1.28</v>
      </c>
      <c r="I9" s="253" t="s">
        <v>132</v>
      </c>
      <c r="J9" s="253" t="s">
        <v>132</v>
      </c>
      <c r="K9" s="253" t="s">
        <v>132</v>
      </c>
      <c r="L9" s="253" t="s">
        <v>132</v>
      </c>
      <c r="M9" s="242"/>
      <c r="N9" s="242"/>
    </row>
    <row r="10" spans="1:14">
      <c r="A10" s="254">
        <v>1.04</v>
      </c>
      <c r="B10" s="254">
        <v>1.04</v>
      </c>
      <c r="C10" s="254">
        <v>1.04</v>
      </c>
      <c r="D10" s="254">
        <v>1.29</v>
      </c>
      <c r="E10" s="254">
        <v>1.29</v>
      </c>
      <c r="F10" s="254">
        <v>1.29</v>
      </c>
      <c r="G10" s="254">
        <v>1.29</v>
      </c>
      <c r="H10" s="255">
        <v>1.29</v>
      </c>
      <c r="I10" s="256" t="s">
        <v>133</v>
      </c>
      <c r="J10" s="256" t="s">
        <v>133</v>
      </c>
      <c r="K10" s="256" t="s">
        <v>133</v>
      </c>
      <c r="L10" s="256" t="s">
        <v>133</v>
      </c>
      <c r="M10" s="242"/>
      <c r="N10" s="242"/>
    </row>
    <row r="11" spans="1:14">
      <c r="A11" s="254">
        <v>1.05</v>
      </c>
      <c r="B11" s="254">
        <v>1.05</v>
      </c>
      <c r="C11" s="254">
        <v>1.05</v>
      </c>
      <c r="D11" s="254">
        <v>1.3</v>
      </c>
      <c r="E11" s="254">
        <v>1.3</v>
      </c>
      <c r="F11" s="254">
        <v>1.3</v>
      </c>
      <c r="G11" s="254">
        <v>1.3</v>
      </c>
      <c r="H11" s="255">
        <v>1.3</v>
      </c>
      <c r="I11" s="256" t="s">
        <v>134</v>
      </c>
      <c r="J11" s="256" t="s">
        <v>134</v>
      </c>
      <c r="K11" s="256" t="s">
        <v>134</v>
      </c>
      <c r="L11" s="256" t="s">
        <v>134</v>
      </c>
      <c r="M11" s="242"/>
      <c r="N11" s="242"/>
    </row>
    <row r="12" spans="1:14">
      <c r="A12" s="254">
        <v>1.06</v>
      </c>
      <c r="B12" s="254">
        <v>1.06</v>
      </c>
      <c r="C12" s="254">
        <v>1.06</v>
      </c>
      <c r="D12" s="254">
        <v>1.31</v>
      </c>
      <c r="E12" s="254">
        <v>1.31</v>
      </c>
      <c r="F12" s="254">
        <v>1.31</v>
      </c>
      <c r="G12" s="254">
        <v>1.31</v>
      </c>
      <c r="H12" s="255">
        <v>1.31</v>
      </c>
      <c r="I12" s="256" t="s">
        <v>135</v>
      </c>
      <c r="J12" s="256" t="s">
        <v>135</v>
      </c>
      <c r="K12" s="256" t="s">
        <v>135</v>
      </c>
      <c r="L12" s="256" t="s">
        <v>135</v>
      </c>
      <c r="M12" s="242"/>
      <c r="N12" s="242"/>
    </row>
    <row r="13" spans="1:14">
      <c r="A13" s="254">
        <v>1.07</v>
      </c>
      <c r="B13" s="254">
        <v>1.07</v>
      </c>
      <c r="C13" s="254">
        <v>1.07</v>
      </c>
      <c r="D13" s="257" t="s">
        <v>60</v>
      </c>
      <c r="E13" s="258">
        <v>7.06</v>
      </c>
      <c r="F13" s="258">
        <v>7.06</v>
      </c>
      <c r="G13" s="258" t="s">
        <v>59</v>
      </c>
      <c r="H13" s="258" t="s">
        <v>59</v>
      </c>
      <c r="I13" s="258" t="s">
        <v>59</v>
      </c>
      <c r="J13" s="258" t="s">
        <v>59</v>
      </c>
      <c r="K13" s="258" t="s">
        <v>59</v>
      </c>
      <c r="L13" s="258" t="s">
        <v>59</v>
      </c>
      <c r="M13" s="242"/>
      <c r="N13" s="242"/>
    </row>
    <row r="14" spans="1:14">
      <c r="A14" s="254">
        <v>1.08</v>
      </c>
      <c r="B14" s="254">
        <v>1.08</v>
      </c>
      <c r="C14" s="254">
        <v>1.08</v>
      </c>
      <c r="D14" s="254">
        <v>1.25</v>
      </c>
      <c r="E14" s="254">
        <v>1.25</v>
      </c>
      <c r="F14" s="254">
        <v>1.25</v>
      </c>
      <c r="G14" s="254">
        <v>1.25</v>
      </c>
      <c r="H14" s="255">
        <v>1.25</v>
      </c>
      <c r="I14" s="259" t="s">
        <v>59</v>
      </c>
      <c r="J14" s="259" t="s">
        <v>59</v>
      </c>
      <c r="K14" s="259" t="s">
        <v>59</v>
      </c>
      <c r="L14" s="259" t="s">
        <v>59</v>
      </c>
      <c r="M14" s="242"/>
      <c r="N14" s="242"/>
    </row>
    <row r="15" spans="1:14">
      <c r="A15" s="254">
        <v>1.0900000000000001</v>
      </c>
      <c r="B15" s="254">
        <v>1.0900000000000001</v>
      </c>
      <c r="C15" s="254">
        <v>1.0900000000000001</v>
      </c>
      <c r="D15" s="254">
        <v>1.26</v>
      </c>
      <c r="E15" s="254">
        <v>1.26</v>
      </c>
      <c r="F15" s="254">
        <v>1.26</v>
      </c>
      <c r="G15" s="254">
        <v>1.26</v>
      </c>
      <c r="H15" s="255">
        <v>1.26</v>
      </c>
      <c r="I15" s="259" t="s">
        <v>59</v>
      </c>
      <c r="J15" s="259" t="s">
        <v>59</v>
      </c>
      <c r="K15" s="259" t="s">
        <v>59</v>
      </c>
      <c r="L15" s="259" t="s">
        <v>59</v>
      </c>
      <c r="M15" s="242"/>
      <c r="N15" s="242"/>
    </row>
    <row r="16" spans="1:14">
      <c r="A16" s="254">
        <v>1.1000000000000001</v>
      </c>
      <c r="B16" s="254">
        <v>1.1000000000000001</v>
      </c>
      <c r="C16" s="254">
        <v>1.1000000000000001</v>
      </c>
      <c r="D16" s="254">
        <v>1.23</v>
      </c>
      <c r="E16" s="254">
        <v>1.23</v>
      </c>
      <c r="F16" s="254">
        <v>1.23</v>
      </c>
      <c r="G16" s="254">
        <v>1.23</v>
      </c>
      <c r="H16" s="255">
        <v>1.23</v>
      </c>
      <c r="I16" s="259" t="s">
        <v>59</v>
      </c>
      <c r="J16" s="259" t="s">
        <v>59</v>
      </c>
      <c r="K16" s="259" t="s">
        <v>59</v>
      </c>
      <c r="L16" s="259" t="s">
        <v>59</v>
      </c>
      <c r="M16" s="242"/>
      <c r="N16" s="242"/>
    </row>
    <row r="17" spans="1:14">
      <c r="A17" s="254">
        <v>1.1100000000000001</v>
      </c>
      <c r="B17" s="254">
        <v>1.1100000000000001</v>
      </c>
      <c r="C17" s="254">
        <v>1.1100000000000001</v>
      </c>
      <c r="D17" s="254">
        <v>1.24</v>
      </c>
      <c r="E17" s="254">
        <v>1.24</v>
      </c>
      <c r="F17" s="254">
        <v>1.24</v>
      </c>
      <c r="G17" s="254">
        <v>1.24</v>
      </c>
      <c r="H17" s="255">
        <v>1.24</v>
      </c>
      <c r="I17" s="259" t="s">
        <v>59</v>
      </c>
      <c r="J17" s="259" t="s">
        <v>59</v>
      </c>
      <c r="K17" s="259" t="s">
        <v>59</v>
      </c>
      <c r="L17" s="259" t="s">
        <v>59</v>
      </c>
      <c r="M17" s="242"/>
      <c r="N17" s="242"/>
    </row>
    <row r="18" spans="1:14">
      <c r="A18" s="254">
        <v>1.1200000000000001</v>
      </c>
      <c r="B18" s="254">
        <v>1.1200000000000001</v>
      </c>
      <c r="C18" s="254">
        <v>1.1200000000000001</v>
      </c>
      <c r="D18" s="254">
        <v>1.32</v>
      </c>
      <c r="E18" s="254">
        <v>1.32</v>
      </c>
      <c r="F18" s="254">
        <v>1.32</v>
      </c>
      <c r="G18" s="254">
        <v>1.32</v>
      </c>
      <c r="H18" s="255">
        <v>1.32</v>
      </c>
      <c r="I18" s="256" t="s">
        <v>129</v>
      </c>
      <c r="J18" s="256" t="s">
        <v>129</v>
      </c>
      <c r="K18" s="256" t="s">
        <v>129</v>
      </c>
      <c r="L18" s="256" t="s">
        <v>129</v>
      </c>
      <c r="M18" s="242"/>
      <c r="N18" s="242"/>
    </row>
    <row r="19" spans="1:14">
      <c r="A19" s="254">
        <v>1.1299999999999999</v>
      </c>
      <c r="B19" s="254">
        <v>1.1299999999999999</v>
      </c>
      <c r="C19" s="254">
        <v>1.1299999999999999</v>
      </c>
      <c r="D19" s="254">
        <v>1.33</v>
      </c>
      <c r="E19" s="254">
        <v>1.33</v>
      </c>
      <c r="F19" s="254">
        <v>1.33</v>
      </c>
      <c r="G19" s="254">
        <v>1.33</v>
      </c>
      <c r="H19" s="255">
        <v>1.33</v>
      </c>
      <c r="I19" s="259" t="s">
        <v>59</v>
      </c>
      <c r="J19" s="259" t="s">
        <v>59</v>
      </c>
      <c r="K19" s="259" t="s">
        <v>59</v>
      </c>
      <c r="L19" s="259" t="s">
        <v>59</v>
      </c>
      <c r="M19" s="242"/>
      <c r="N19" s="242"/>
    </row>
    <row r="20" spans="1:14">
      <c r="A20" s="264">
        <v>1.1399999999999999</v>
      </c>
      <c r="B20" s="254" t="s">
        <v>59</v>
      </c>
      <c r="C20" s="254" t="s">
        <v>59</v>
      </c>
      <c r="D20" s="254" t="s">
        <v>59</v>
      </c>
      <c r="E20" s="254" t="s">
        <v>59</v>
      </c>
      <c r="F20" s="254" t="s">
        <v>59</v>
      </c>
      <c r="G20" s="254" t="s">
        <v>59</v>
      </c>
      <c r="H20" s="255" t="s">
        <v>59</v>
      </c>
      <c r="I20" s="255" t="s">
        <v>59</v>
      </c>
      <c r="J20" s="255" t="s">
        <v>59</v>
      </c>
      <c r="K20" s="255" t="s">
        <v>59</v>
      </c>
      <c r="L20" s="255" t="s">
        <v>59</v>
      </c>
      <c r="M20" s="242"/>
      <c r="N20" s="242"/>
    </row>
    <row r="21" spans="1:14">
      <c r="A21" s="254">
        <v>1.1499999999999999</v>
      </c>
      <c r="B21" s="258" t="s">
        <v>59</v>
      </c>
      <c r="C21" s="258" t="s">
        <v>59</v>
      </c>
      <c r="D21" s="258" t="s">
        <v>59</v>
      </c>
      <c r="E21" s="258" t="s">
        <v>59</v>
      </c>
      <c r="F21" s="258" t="s">
        <v>59</v>
      </c>
      <c r="G21" s="258" t="s">
        <v>59</v>
      </c>
      <c r="H21" s="256" t="s">
        <v>59</v>
      </c>
      <c r="I21" s="256" t="s">
        <v>59</v>
      </c>
      <c r="J21" s="256" t="s">
        <v>59</v>
      </c>
      <c r="K21" s="256" t="s">
        <v>59</v>
      </c>
      <c r="L21" s="256" t="s">
        <v>59</v>
      </c>
      <c r="M21" s="242"/>
      <c r="N21" s="242"/>
    </row>
    <row r="22" spans="1:14">
      <c r="A22" s="254">
        <v>2.0099999999999998</v>
      </c>
      <c r="B22" s="254">
        <v>2.0099999999999998</v>
      </c>
      <c r="C22" s="254">
        <v>2.0099999999999998</v>
      </c>
      <c r="D22" s="254">
        <v>1.19</v>
      </c>
      <c r="E22" s="254">
        <v>1.19</v>
      </c>
      <c r="F22" s="254">
        <v>1.19</v>
      </c>
      <c r="G22" s="254">
        <v>1.19</v>
      </c>
      <c r="H22" s="255">
        <v>1.19</v>
      </c>
      <c r="I22" s="259" t="s">
        <v>59</v>
      </c>
      <c r="J22" s="259" t="s">
        <v>59</v>
      </c>
      <c r="K22" s="259" t="s">
        <v>59</v>
      </c>
      <c r="L22" s="259" t="s">
        <v>59</v>
      </c>
      <c r="M22" s="242"/>
      <c r="N22" s="242"/>
    </row>
    <row r="23" spans="1:14">
      <c r="A23" s="254">
        <v>2.02</v>
      </c>
      <c r="B23" s="254">
        <v>2.02</v>
      </c>
      <c r="C23" s="254">
        <v>2.02</v>
      </c>
      <c r="D23" s="254">
        <v>1.2</v>
      </c>
      <c r="E23" s="254">
        <v>1.2</v>
      </c>
      <c r="F23" s="254">
        <v>1.2</v>
      </c>
      <c r="G23" s="254">
        <v>1.2</v>
      </c>
      <c r="H23" s="255">
        <v>1.2</v>
      </c>
      <c r="I23" s="259" t="s">
        <v>59</v>
      </c>
      <c r="J23" s="259" t="s">
        <v>59</v>
      </c>
      <c r="K23" s="259" t="s">
        <v>59</v>
      </c>
      <c r="L23" s="259" t="s">
        <v>59</v>
      </c>
      <c r="M23" s="242"/>
      <c r="N23" s="242"/>
    </row>
    <row r="24" spans="1:14">
      <c r="A24" s="254">
        <v>2.0299999999999998</v>
      </c>
      <c r="B24" s="254">
        <v>2.0299999999999998</v>
      </c>
      <c r="C24" s="254">
        <v>2.0299999999999998</v>
      </c>
      <c r="D24" s="257">
        <v>1.51</v>
      </c>
      <c r="E24" s="258" t="s">
        <v>59</v>
      </c>
      <c r="F24" s="258" t="s">
        <v>59</v>
      </c>
      <c r="G24" s="258" t="s">
        <v>59</v>
      </c>
      <c r="H24" s="258" t="s">
        <v>59</v>
      </c>
      <c r="I24" s="258" t="s">
        <v>59</v>
      </c>
      <c r="J24" s="258" t="s">
        <v>59</v>
      </c>
      <c r="K24" s="258" t="s">
        <v>59</v>
      </c>
      <c r="L24" s="258" t="s">
        <v>59</v>
      </c>
      <c r="M24" s="242"/>
      <c r="N24" s="242"/>
    </row>
    <row r="25" spans="1:14">
      <c r="A25" s="257">
        <v>2.04</v>
      </c>
      <c r="B25" s="257">
        <v>2.04</v>
      </c>
      <c r="C25" s="257">
        <v>2.04</v>
      </c>
      <c r="D25" s="258">
        <v>2.04</v>
      </c>
      <c r="E25" s="258">
        <v>2.04</v>
      </c>
      <c r="F25" s="258">
        <v>2.04</v>
      </c>
      <c r="G25" s="258">
        <v>2.04</v>
      </c>
      <c r="H25" s="256">
        <v>2.04</v>
      </c>
      <c r="I25" s="256" t="s">
        <v>173</v>
      </c>
      <c r="J25" s="256" t="s">
        <v>173</v>
      </c>
      <c r="K25" s="256" t="s">
        <v>59</v>
      </c>
      <c r="L25" s="256" t="s">
        <v>59</v>
      </c>
      <c r="M25" s="242"/>
      <c r="N25" s="242"/>
    </row>
    <row r="26" spans="1:14">
      <c r="A26" s="254">
        <v>2.0499999999999998</v>
      </c>
      <c r="B26" s="254">
        <v>2.0499999999999998</v>
      </c>
      <c r="C26" s="254">
        <v>2.0499999999999998</v>
      </c>
      <c r="D26" s="258">
        <v>2.0499999999999998</v>
      </c>
      <c r="E26" s="258">
        <v>2.0499999999999998</v>
      </c>
      <c r="F26" s="258">
        <v>2.0499999999999998</v>
      </c>
      <c r="G26" s="258">
        <v>2.0499999999999998</v>
      </c>
      <c r="H26" s="256">
        <v>2.0499999999999998</v>
      </c>
      <c r="I26" s="256" t="s">
        <v>185</v>
      </c>
      <c r="J26" s="256" t="s">
        <v>185</v>
      </c>
      <c r="K26" s="256" t="s">
        <v>59</v>
      </c>
      <c r="L26" s="256" t="s">
        <v>59</v>
      </c>
      <c r="M26" s="242"/>
      <c r="N26" s="242"/>
    </row>
    <row r="27" spans="1:14">
      <c r="A27" s="258">
        <v>2.06</v>
      </c>
      <c r="B27" s="258">
        <v>2.06</v>
      </c>
      <c r="C27" s="258">
        <v>2.06</v>
      </c>
      <c r="D27" s="258">
        <v>2.06</v>
      </c>
      <c r="E27" s="258">
        <v>2.06</v>
      </c>
      <c r="F27" s="258">
        <v>2.06</v>
      </c>
      <c r="G27" s="258">
        <v>2.06</v>
      </c>
      <c r="H27" s="256">
        <v>2.06</v>
      </c>
      <c r="I27" s="256" t="s">
        <v>176</v>
      </c>
      <c r="J27" s="256" t="s">
        <v>176</v>
      </c>
      <c r="K27" s="256" t="s">
        <v>59</v>
      </c>
      <c r="L27" s="256" t="s">
        <v>59</v>
      </c>
      <c r="M27" s="242"/>
      <c r="N27" s="242"/>
    </row>
    <row r="28" spans="1:14">
      <c r="A28" s="258">
        <v>2.0699999999999998</v>
      </c>
      <c r="B28" s="258">
        <v>2.0699999999999998</v>
      </c>
      <c r="C28" s="258">
        <v>2.0699999999999998</v>
      </c>
      <c r="D28" s="258">
        <v>2.0699999999999998</v>
      </c>
      <c r="E28" s="258">
        <v>2.0699999999999998</v>
      </c>
      <c r="F28" s="258">
        <v>2.0699999999999998</v>
      </c>
      <c r="G28" s="258">
        <v>2.0699999999999998</v>
      </c>
      <c r="H28" s="256">
        <v>2.0699999999999998</v>
      </c>
      <c r="I28" s="256" t="s">
        <v>179</v>
      </c>
      <c r="J28" s="256" t="s">
        <v>179</v>
      </c>
      <c r="K28" s="256" t="s">
        <v>173</v>
      </c>
      <c r="L28" s="256" t="s">
        <v>59</v>
      </c>
      <c r="M28" s="242"/>
      <c r="N28" s="242"/>
    </row>
    <row r="29" spans="1:14">
      <c r="A29" s="258">
        <v>2.08</v>
      </c>
      <c r="B29" s="258">
        <v>2.08</v>
      </c>
      <c r="C29" s="258">
        <v>2.08</v>
      </c>
      <c r="D29" s="258">
        <v>2.08</v>
      </c>
      <c r="E29" s="258">
        <v>2.08</v>
      </c>
      <c r="F29" s="258">
        <v>2.08</v>
      </c>
      <c r="G29" s="258">
        <v>2.08</v>
      </c>
      <c r="H29" s="256">
        <v>2.08</v>
      </c>
      <c r="I29" s="256" t="s">
        <v>186</v>
      </c>
      <c r="J29" s="256" t="s">
        <v>186</v>
      </c>
      <c r="K29" s="256" t="s">
        <v>185</v>
      </c>
      <c r="L29" s="256" t="s">
        <v>59</v>
      </c>
      <c r="M29" s="242"/>
      <c r="N29" s="242"/>
    </row>
    <row r="30" spans="1:14">
      <c r="A30" s="258">
        <v>2.09</v>
      </c>
      <c r="B30" s="258">
        <v>2.09</v>
      </c>
      <c r="C30" s="258">
        <v>2.09</v>
      </c>
      <c r="D30" s="258">
        <v>2.09</v>
      </c>
      <c r="E30" s="258">
        <v>2.09</v>
      </c>
      <c r="F30" s="258">
        <v>2.09</v>
      </c>
      <c r="G30" s="258">
        <v>2.09</v>
      </c>
      <c r="H30" s="256">
        <v>2.09</v>
      </c>
      <c r="I30" s="256" t="s">
        <v>188</v>
      </c>
      <c r="J30" s="256" t="s">
        <v>59</v>
      </c>
      <c r="K30" s="256" t="s">
        <v>59</v>
      </c>
      <c r="L30" s="256" t="s">
        <v>59</v>
      </c>
      <c r="M30" s="242"/>
      <c r="N30" s="242"/>
    </row>
    <row r="31" spans="1:14">
      <c r="A31" s="258" t="s">
        <v>189</v>
      </c>
      <c r="B31" s="258" t="s">
        <v>189</v>
      </c>
      <c r="C31" s="258" t="s">
        <v>189</v>
      </c>
      <c r="D31" s="260" t="s">
        <v>189</v>
      </c>
      <c r="E31" s="260" t="s">
        <v>189</v>
      </c>
      <c r="F31" s="260" t="s">
        <v>189</v>
      </c>
      <c r="G31" s="260" t="s">
        <v>189</v>
      </c>
      <c r="H31" s="255" t="s">
        <v>59</v>
      </c>
      <c r="I31" s="259" t="s">
        <v>59</v>
      </c>
      <c r="J31" s="259" t="s">
        <v>59</v>
      </c>
      <c r="K31" s="259" t="s">
        <v>59</v>
      </c>
      <c r="L31" s="259" t="s">
        <v>59</v>
      </c>
      <c r="M31" s="242"/>
      <c r="N31" s="242"/>
    </row>
    <row r="32" spans="1:14">
      <c r="A32" s="258">
        <v>2.11</v>
      </c>
      <c r="B32" s="258">
        <v>2.11</v>
      </c>
      <c r="C32" s="258">
        <v>2.11</v>
      </c>
      <c r="D32" s="254">
        <v>2.11</v>
      </c>
      <c r="E32" s="254">
        <v>2.11</v>
      </c>
      <c r="F32" s="254">
        <v>2.11</v>
      </c>
      <c r="G32" s="254">
        <v>2.11</v>
      </c>
      <c r="H32" s="255" t="s">
        <v>59</v>
      </c>
      <c r="I32" s="259" t="s">
        <v>59</v>
      </c>
      <c r="J32" s="259" t="s">
        <v>59</v>
      </c>
      <c r="K32" s="259" t="s">
        <v>59</v>
      </c>
      <c r="L32" s="259" t="s">
        <v>59</v>
      </c>
      <c r="M32" s="242"/>
      <c r="N32" s="242"/>
    </row>
    <row r="33" spans="1:14">
      <c r="A33" s="258">
        <v>2.12</v>
      </c>
      <c r="B33" s="258">
        <v>2.12</v>
      </c>
      <c r="C33" s="258">
        <v>2.12</v>
      </c>
      <c r="D33" s="254">
        <v>2.12</v>
      </c>
      <c r="E33" s="254" t="s">
        <v>59</v>
      </c>
      <c r="F33" s="254" t="s">
        <v>59</v>
      </c>
      <c r="G33" s="254" t="s">
        <v>59</v>
      </c>
      <c r="H33" s="254" t="s">
        <v>59</v>
      </c>
      <c r="I33" s="254" t="s">
        <v>59</v>
      </c>
      <c r="J33" s="254" t="s">
        <v>59</v>
      </c>
      <c r="K33" s="254" t="s">
        <v>59</v>
      </c>
      <c r="L33" s="254" t="s">
        <v>59</v>
      </c>
      <c r="M33" s="242"/>
      <c r="N33" s="242"/>
    </row>
    <row r="34" spans="1:14">
      <c r="A34" s="260">
        <v>2.13</v>
      </c>
      <c r="B34" s="260">
        <v>2.13</v>
      </c>
      <c r="C34" s="260">
        <v>2.13</v>
      </c>
      <c r="D34" s="254">
        <v>2.13</v>
      </c>
      <c r="E34" s="254" t="s">
        <v>59</v>
      </c>
      <c r="F34" s="254" t="s">
        <v>59</v>
      </c>
      <c r="G34" s="254" t="s">
        <v>59</v>
      </c>
      <c r="H34" s="254" t="s">
        <v>59</v>
      </c>
      <c r="I34" s="254" t="s">
        <v>59</v>
      </c>
      <c r="J34" s="254" t="s">
        <v>59</v>
      </c>
      <c r="K34" s="254" t="s">
        <v>59</v>
      </c>
      <c r="L34" s="254" t="s">
        <v>59</v>
      </c>
      <c r="M34" s="242"/>
      <c r="N34" s="242"/>
    </row>
    <row r="35" spans="1:14">
      <c r="A35" s="254">
        <v>2.14</v>
      </c>
      <c r="B35" s="254">
        <v>2.14</v>
      </c>
      <c r="C35" s="254">
        <v>2.14</v>
      </c>
      <c r="D35" s="254">
        <v>1.1299999999999999</v>
      </c>
      <c r="E35" s="254">
        <v>1.1299999999999999</v>
      </c>
      <c r="F35" s="254">
        <v>1.1299999999999999</v>
      </c>
      <c r="G35" s="254">
        <v>1.1299999999999999</v>
      </c>
      <c r="H35" s="255">
        <v>1.1299999999999999</v>
      </c>
      <c r="I35" s="256" t="s">
        <v>117</v>
      </c>
      <c r="J35" s="256" t="s">
        <v>117</v>
      </c>
      <c r="K35" s="256" t="s">
        <v>117</v>
      </c>
      <c r="L35" s="256" t="s">
        <v>117</v>
      </c>
      <c r="M35" s="242"/>
      <c r="N35" s="242"/>
    </row>
    <row r="36" spans="1:14">
      <c r="A36" s="254">
        <v>2.15</v>
      </c>
      <c r="B36" s="254">
        <v>2.15</v>
      </c>
      <c r="C36" s="254">
        <v>2.15</v>
      </c>
      <c r="D36" s="254">
        <v>1.1399999999999999</v>
      </c>
      <c r="E36" s="254">
        <v>1.1399999999999999</v>
      </c>
      <c r="F36" s="254">
        <v>1.1399999999999999</v>
      </c>
      <c r="G36" s="254">
        <v>1.1399999999999999</v>
      </c>
      <c r="H36" s="255">
        <v>1.1399999999999999</v>
      </c>
      <c r="I36" s="256" t="s">
        <v>119</v>
      </c>
      <c r="J36" s="256" t="s">
        <v>119</v>
      </c>
      <c r="K36" s="256" t="s">
        <v>119</v>
      </c>
      <c r="L36" s="256" t="s">
        <v>119</v>
      </c>
      <c r="M36" s="242"/>
      <c r="N36" s="242"/>
    </row>
    <row r="37" spans="1:14">
      <c r="A37" s="254">
        <v>2.16</v>
      </c>
      <c r="B37" s="254">
        <v>2.16</v>
      </c>
      <c r="C37" s="254">
        <v>2.16</v>
      </c>
      <c r="D37" s="254">
        <v>1.1499999999999999</v>
      </c>
      <c r="E37" s="254">
        <v>1.1499999999999999</v>
      </c>
      <c r="F37" s="254">
        <v>1.1499999999999999</v>
      </c>
      <c r="G37" s="254">
        <v>1.1499999999999999</v>
      </c>
      <c r="H37" s="255">
        <v>1.1499999999999999</v>
      </c>
      <c r="I37" s="256" t="s">
        <v>121</v>
      </c>
      <c r="J37" s="256" t="s">
        <v>121</v>
      </c>
      <c r="K37" s="256" t="s">
        <v>121</v>
      </c>
      <c r="L37" s="256" t="s">
        <v>121</v>
      </c>
      <c r="M37" s="242"/>
      <c r="N37" s="242"/>
    </row>
    <row r="38" spans="1:14">
      <c r="A38" s="254">
        <v>2.17</v>
      </c>
      <c r="B38" s="254">
        <v>2.17</v>
      </c>
      <c r="C38" s="254">
        <v>2.17</v>
      </c>
      <c r="D38" s="254">
        <v>1.1599999999999999</v>
      </c>
      <c r="E38" s="254">
        <v>1.1599999999999999</v>
      </c>
      <c r="F38" s="254">
        <v>1.1599999999999999</v>
      </c>
      <c r="G38" s="254">
        <v>1.1599999999999999</v>
      </c>
      <c r="H38" s="255">
        <v>1.1599999999999999</v>
      </c>
      <c r="I38" s="256" t="s">
        <v>122</v>
      </c>
      <c r="J38" s="256" t="s">
        <v>122</v>
      </c>
      <c r="K38" s="256" t="s">
        <v>122</v>
      </c>
      <c r="L38" s="256" t="s">
        <v>122</v>
      </c>
      <c r="M38" s="242"/>
      <c r="N38" s="242"/>
    </row>
    <row r="39" spans="1:14">
      <c r="A39" s="254">
        <v>2.1800000000000002</v>
      </c>
      <c r="B39" s="254">
        <v>2.1800000000000002</v>
      </c>
      <c r="C39" s="254">
        <v>2.1800000000000002</v>
      </c>
      <c r="D39" s="254">
        <v>1.17</v>
      </c>
      <c r="E39" s="254">
        <v>1.17</v>
      </c>
      <c r="F39" s="254">
        <v>1.17</v>
      </c>
      <c r="G39" s="254">
        <v>1.17</v>
      </c>
      <c r="H39" s="255">
        <v>1.17</v>
      </c>
      <c r="I39" s="256" t="s">
        <v>123</v>
      </c>
      <c r="J39" s="256" t="s">
        <v>123</v>
      </c>
      <c r="K39" s="256" t="s">
        <v>123</v>
      </c>
      <c r="L39" s="256" t="s">
        <v>123</v>
      </c>
      <c r="M39" s="242"/>
      <c r="N39" s="242"/>
    </row>
    <row r="40" spans="1:14">
      <c r="A40" s="254">
        <v>2.19</v>
      </c>
      <c r="B40" s="254">
        <v>2.19</v>
      </c>
      <c r="C40" s="254">
        <v>2.19</v>
      </c>
      <c r="D40" s="254">
        <v>1.18</v>
      </c>
      <c r="E40" s="254">
        <v>1.18</v>
      </c>
      <c r="F40" s="254">
        <v>1.18</v>
      </c>
      <c r="G40" s="254">
        <v>1.18</v>
      </c>
      <c r="H40" s="255">
        <v>1.18</v>
      </c>
      <c r="I40" s="256" t="s">
        <v>124</v>
      </c>
      <c r="J40" s="256" t="s">
        <v>124</v>
      </c>
      <c r="K40" s="256" t="s">
        <v>124</v>
      </c>
      <c r="L40" s="256" t="s">
        <v>124</v>
      </c>
      <c r="M40" s="242"/>
      <c r="N40" s="242"/>
    </row>
    <row r="41" spans="1:14">
      <c r="A41" s="254" t="s">
        <v>72</v>
      </c>
      <c r="B41" s="254" t="s">
        <v>72</v>
      </c>
      <c r="C41" s="254" t="s">
        <v>72</v>
      </c>
      <c r="D41" s="254">
        <v>1.21</v>
      </c>
      <c r="E41" s="254">
        <v>1.21</v>
      </c>
      <c r="F41" s="254">
        <v>1.21</v>
      </c>
      <c r="G41" s="254">
        <v>1.21</v>
      </c>
      <c r="H41" s="255">
        <v>1.21</v>
      </c>
      <c r="I41" s="259" t="s">
        <v>59</v>
      </c>
      <c r="J41" s="259" t="s">
        <v>59</v>
      </c>
      <c r="K41" s="259" t="s">
        <v>59</v>
      </c>
      <c r="L41" s="259" t="s">
        <v>59</v>
      </c>
      <c r="M41" s="242"/>
      <c r="N41" s="242"/>
    </row>
    <row r="42" spans="1:14">
      <c r="A42" s="254">
        <v>2.21</v>
      </c>
      <c r="B42" s="254">
        <v>2.21</v>
      </c>
      <c r="C42" s="254">
        <v>2.21</v>
      </c>
      <c r="D42" s="254">
        <v>1.22</v>
      </c>
      <c r="E42" s="254">
        <v>1.22</v>
      </c>
      <c r="F42" s="254">
        <v>1.22</v>
      </c>
      <c r="G42" s="254">
        <v>1.22</v>
      </c>
      <c r="H42" s="255">
        <v>1.22</v>
      </c>
      <c r="I42" s="259" t="s">
        <v>59</v>
      </c>
      <c r="J42" s="259" t="s">
        <v>59</v>
      </c>
      <c r="K42" s="259" t="s">
        <v>59</v>
      </c>
      <c r="L42" s="259" t="s">
        <v>59</v>
      </c>
      <c r="M42" s="242"/>
      <c r="N42" s="242"/>
    </row>
    <row r="43" spans="1:14">
      <c r="A43" s="254">
        <v>2.2200000000000002</v>
      </c>
      <c r="B43" s="254">
        <v>2.2200000000000002</v>
      </c>
      <c r="C43" s="254">
        <v>2.2200000000000002</v>
      </c>
      <c r="D43" s="254">
        <v>1.39</v>
      </c>
      <c r="E43" s="254">
        <v>1.39</v>
      </c>
      <c r="F43" s="254">
        <v>1.39</v>
      </c>
      <c r="G43" s="254">
        <v>1.39</v>
      </c>
      <c r="H43" s="255" t="s">
        <v>59</v>
      </c>
      <c r="I43" s="256" t="s">
        <v>118</v>
      </c>
      <c r="J43" s="256" t="s">
        <v>118</v>
      </c>
      <c r="K43" s="256" t="s">
        <v>118</v>
      </c>
      <c r="L43" s="256" t="s">
        <v>118</v>
      </c>
      <c r="M43" s="242"/>
      <c r="N43" s="242"/>
    </row>
    <row r="44" spans="1:14">
      <c r="A44" s="254">
        <v>2.23</v>
      </c>
      <c r="B44" s="254">
        <v>2.23</v>
      </c>
      <c r="C44" s="254">
        <v>2.23</v>
      </c>
      <c r="D44" s="254">
        <v>1.4</v>
      </c>
      <c r="E44" s="254">
        <v>1.4</v>
      </c>
      <c r="F44" s="254">
        <v>1.4</v>
      </c>
      <c r="G44" s="254">
        <v>1.4</v>
      </c>
      <c r="H44" s="255" t="s">
        <v>59</v>
      </c>
      <c r="I44" s="256" t="s">
        <v>120</v>
      </c>
      <c r="J44" s="256" t="s">
        <v>120</v>
      </c>
      <c r="K44" s="256" t="s">
        <v>120</v>
      </c>
      <c r="L44" s="256" t="s">
        <v>120</v>
      </c>
      <c r="M44" s="242"/>
      <c r="N44" s="242"/>
    </row>
    <row r="45" spans="1:14">
      <c r="A45" s="254">
        <v>3.01</v>
      </c>
      <c r="B45" s="254">
        <v>3.01</v>
      </c>
      <c r="C45" s="254">
        <v>3.01</v>
      </c>
      <c r="D45" s="254" t="s">
        <v>59</v>
      </c>
      <c r="E45" s="254" t="s">
        <v>59</v>
      </c>
      <c r="F45" s="254" t="s">
        <v>59</v>
      </c>
      <c r="G45" s="254" t="s">
        <v>59</v>
      </c>
      <c r="H45" s="254" t="s">
        <v>59</v>
      </c>
      <c r="I45" s="254" t="s">
        <v>59</v>
      </c>
      <c r="J45" s="254" t="s">
        <v>59</v>
      </c>
      <c r="K45" s="254" t="s">
        <v>59</v>
      </c>
      <c r="L45" s="254" t="s">
        <v>59</v>
      </c>
      <c r="M45" s="242"/>
      <c r="N45" s="242"/>
    </row>
    <row r="46" spans="1:14">
      <c r="A46" s="258">
        <v>3.02</v>
      </c>
      <c r="B46" s="258">
        <v>3.02</v>
      </c>
      <c r="C46" s="258">
        <v>3.02</v>
      </c>
      <c r="D46" s="257" t="s">
        <v>194</v>
      </c>
      <c r="E46" s="257" t="s">
        <v>194</v>
      </c>
      <c r="F46" s="257" t="s">
        <v>194</v>
      </c>
      <c r="G46" s="258" t="s">
        <v>59</v>
      </c>
      <c r="H46" s="258" t="s">
        <v>59</v>
      </c>
      <c r="I46" s="258" t="s">
        <v>59</v>
      </c>
      <c r="J46" s="258" t="s">
        <v>59</v>
      </c>
      <c r="K46" s="258" t="s">
        <v>59</v>
      </c>
      <c r="L46" s="258" t="s">
        <v>59</v>
      </c>
      <c r="M46" s="242"/>
      <c r="N46" s="242"/>
    </row>
    <row r="47" spans="1:14">
      <c r="A47" s="258">
        <v>3.03</v>
      </c>
      <c r="B47" s="258">
        <v>3.03</v>
      </c>
      <c r="C47" s="258">
        <v>3.03</v>
      </c>
      <c r="D47" s="257" t="s">
        <v>195</v>
      </c>
      <c r="E47" s="257" t="s">
        <v>195</v>
      </c>
      <c r="F47" s="257" t="s">
        <v>195</v>
      </c>
      <c r="G47" s="258" t="s">
        <v>59</v>
      </c>
      <c r="H47" s="258" t="s">
        <v>59</v>
      </c>
      <c r="I47" s="258" t="s">
        <v>59</v>
      </c>
      <c r="J47" s="258" t="s">
        <v>59</v>
      </c>
      <c r="K47" s="258" t="s">
        <v>59</v>
      </c>
      <c r="L47" s="258" t="s">
        <v>59</v>
      </c>
      <c r="M47" s="242"/>
      <c r="N47" s="242"/>
    </row>
    <row r="48" spans="1:14">
      <c r="A48" s="258">
        <v>3.04</v>
      </c>
      <c r="B48" s="258">
        <v>3.04</v>
      </c>
      <c r="C48" s="258">
        <v>3.04</v>
      </c>
      <c r="D48" s="257" t="s">
        <v>196</v>
      </c>
      <c r="E48" s="257" t="s">
        <v>196</v>
      </c>
      <c r="F48" s="257" t="s">
        <v>196</v>
      </c>
      <c r="G48" s="258" t="s">
        <v>59</v>
      </c>
      <c r="H48" s="258" t="s">
        <v>59</v>
      </c>
      <c r="I48" s="258" t="s">
        <v>59</v>
      </c>
      <c r="J48" s="258" t="s">
        <v>59</v>
      </c>
      <c r="K48" s="258" t="s">
        <v>59</v>
      </c>
      <c r="L48" s="258" t="s">
        <v>59</v>
      </c>
      <c r="M48" s="242"/>
      <c r="N48" s="242"/>
    </row>
    <row r="49" spans="1:14">
      <c r="A49" s="254">
        <v>3.05</v>
      </c>
      <c r="B49" s="254">
        <v>3.05</v>
      </c>
      <c r="C49" s="254">
        <v>3.05</v>
      </c>
      <c r="D49" s="258">
        <v>3.07</v>
      </c>
      <c r="E49" s="258">
        <v>3.07</v>
      </c>
      <c r="F49" s="258">
        <v>3.07</v>
      </c>
      <c r="G49" s="258">
        <v>3.07</v>
      </c>
      <c r="H49" s="256" t="s">
        <v>59</v>
      </c>
      <c r="I49" s="259" t="s">
        <v>59</v>
      </c>
      <c r="J49" s="259" t="s">
        <v>59</v>
      </c>
      <c r="K49" s="259" t="s">
        <v>59</v>
      </c>
      <c r="L49" s="259" t="s">
        <v>59</v>
      </c>
      <c r="M49" s="242"/>
      <c r="N49" s="242"/>
    </row>
    <row r="50" spans="1:14">
      <c r="A50" s="254">
        <v>3.06</v>
      </c>
      <c r="B50" s="254">
        <v>3.06</v>
      </c>
      <c r="C50" s="254">
        <v>3.06</v>
      </c>
      <c r="D50" s="258">
        <v>3.08</v>
      </c>
      <c r="E50" s="258">
        <v>3.08</v>
      </c>
      <c r="F50" s="258">
        <v>3.08</v>
      </c>
      <c r="G50" s="258">
        <v>3.08</v>
      </c>
      <c r="H50" s="256" t="s">
        <v>59</v>
      </c>
      <c r="I50" s="259" t="s">
        <v>59</v>
      </c>
      <c r="J50" s="259" t="s">
        <v>59</v>
      </c>
      <c r="K50" s="259" t="s">
        <v>59</v>
      </c>
      <c r="L50" s="259" t="s">
        <v>59</v>
      </c>
      <c r="M50" s="242"/>
      <c r="N50" s="242"/>
    </row>
    <row r="51" spans="1:14">
      <c r="A51" s="261">
        <v>3.07</v>
      </c>
      <c r="B51" s="261">
        <v>3.07</v>
      </c>
      <c r="C51" s="261">
        <v>3.07</v>
      </c>
      <c r="D51" s="258">
        <v>3.09</v>
      </c>
      <c r="E51" s="258">
        <v>3.09</v>
      </c>
      <c r="F51" s="258">
        <v>3.09</v>
      </c>
      <c r="G51" s="258">
        <v>3.09</v>
      </c>
      <c r="H51" s="256" t="s">
        <v>59</v>
      </c>
      <c r="I51" s="259" t="s">
        <v>59</v>
      </c>
      <c r="J51" s="259" t="s">
        <v>59</v>
      </c>
      <c r="K51" s="259" t="s">
        <v>59</v>
      </c>
      <c r="L51" s="259" t="s">
        <v>59</v>
      </c>
      <c r="M51" s="242"/>
      <c r="N51" s="242"/>
    </row>
    <row r="52" spans="1:14">
      <c r="A52" s="257">
        <v>3.08</v>
      </c>
      <c r="B52" s="257">
        <v>3.08</v>
      </c>
      <c r="C52" s="257">
        <v>3.08</v>
      </c>
      <c r="D52" s="257" t="s">
        <v>239</v>
      </c>
      <c r="E52" s="258" t="s">
        <v>59</v>
      </c>
      <c r="F52" s="258" t="s">
        <v>59</v>
      </c>
      <c r="G52" s="258" t="s">
        <v>59</v>
      </c>
      <c r="H52" s="258" t="s">
        <v>59</v>
      </c>
      <c r="I52" s="258" t="s">
        <v>59</v>
      </c>
      <c r="J52" s="258" t="s">
        <v>59</v>
      </c>
      <c r="K52" s="258" t="s">
        <v>59</v>
      </c>
      <c r="L52" s="258" t="s">
        <v>59</v>
      </c>
      <c r="M52" s="242"/>
      <c r="N52" s="242"/>
    </row>
    <row r="53" spans="1:14">
      <c r="A53" s="254">
        <v>3.09</v>
      </c>
      <c r="B53" s="254">
        <v>3.09</v>
      </c>
      <c r="C53" s="254">
        <v>3.09</v>
      </c>
      <c r="D53" s="254">
        <v>1.0900000000000001</v>
      </c>
      <c r="E53" s="254">
        <v>1.0900000000000001</v>
      </c>
      <c r="F53" s="254">
        <v>1.0900000000000001</v>
      </c>
      <c r="G53" s="254">
        <v>1.0900000000000001</v>
      </c>
      <c r="H53" s="255">
        <v>1.0900000000000001</v>
      </c>
      <c r="I53" s="256" t="s">
        <v>113</v>
      </c>
      <c r="J53" s="256" t="s">
        <v>113</v>
      </c>
      <c r="K53" s="256" t="s">
        <v>113</v>
      </c>
      <c r="L53" s="256" t="s">
        <v>113</v>
      </c>
      <c r="M53" s="242"/>
      <c r="N53" s="242"/>
    </row>
    <row r="54" spans="1:14">
      <c r="A54" s="254" t="s">
        <v>239</v>
      </c>
      <c r="B54" s="254" t="s">
        <v>239</v>
      </c>
      <c r="C54" s="254" t="s">
        <v>239</v>
      </c>
      <c r="D54" s="254">
        <v>1.1100000000000001</v>
      </c>
      <c r="E54" s="254">
        <v>1.1100000000000001</v>
      </c>
      <c r="F54" s="254">
        <v>1.1100000000000001</v>
      </c>
      <c r="G54" s="254">
        <v>1.1100000000000001</v>
      </c>
      <c r="H54" s="255">
        <v>1.1100000000000001</v>
      </c>
      <c r="I54" s="256" t="s">
        <v>114</v>
      </c>
      <c r="J54" s="256" t="s">
        <v>114</v>
      </c>
      <c r="K54" s="256" t="s">
        <v>114</v>
      </c>
      <c r="L54" s="256" t="s">
        <v>114</v>
      </c>
      <c r="M54" s="242"/>
      <c r="N54" s="242"/>
    </row>
    <row r="55" spans="1:14">
      <c r="A55" s="250">
        <v>3.11</v>
      </c>
      <c r="B55" s="250">
        <v>3.11</v>
      </c>
      <c r="C55" s="250">
        <v>3.11</v>
      </c>
      <c r="D55" s="254">
        <v>1.1200000000000001</v>
      </c>
      <c r="E55" s="254">
        <v>1.1200000000000001</v>
      </c>
      <c r="F55" s="254">
        <v>1.1200000000000001</v>
      </c>
      <c r="G55" s="254">
        <v>1.1200000000000001</v>
      </c>
      <c r="H55" s="255">
        <v>1.1200000000000001</v>
      </c>
      <c r="I55" s="256" t="s">
        <v>116</v>
      </c>
      <c r="J55" s="256" t="s">
        <v>116</v>
      </c>
      <c r="K55" s="256" t="s">
        <v>116</v>
      </c>
      <c r="L55" s="256" t="s">
        <v>116</v>
      </c>
      <c r="M55" s="242"/>
      <c r="N55" s="242"/>
    </row>
    <row r="56" spans="1:14">
      <c r="A56" s="254">
        <v>3.12</v>
      </c>
      <c r="B56" s="254">
        <v>3.12</v>
      </c>
      <c r="C56" s="254">
        <v>3.12</v>
      </c>
      <c r="D56" s="254">
        <v>1.1000000000000001</v>
      </c>
      <c r="E56" s="254">
        <v>1.1000000000000001</v>
      </c>
      <c r="F56" s="254">
        <v>1.1000000000000001</v>
      </c>
      <c r="G56" s="254">
        <v>1.1000000000000001</v>
      </c>
      <c r="H56" s="255">
        <v>1.1000000000000001</v>
      </c>
      <c r="I56" s="256" t="s">
        <v>115</v>
      </c>
      <c r="J56" s="256" t="s">
        <v>115</v>
      </c>
      <c r="K56" s="256" t="s">
        <v>115</v>
      </c>
      <c r="L56" s="256" t="s">
        <v>115</v>
      </c>
      <c r="M56" s="242"/>
      <c r="N56" s="242"/>
    </row>
    <row r="57" spans="1:14">
      <c r="A57" s="258">
        <v>4.01</v>
      </c>
      <c r="B57" s="258">
        <v>4.01</v>
      </c>
      <c r="C57" s="258">
        <v>4.01</v>
      </c>
      <c r="D57" s="258">
        <v>4.01</v>
      </c>
      <c r="E57" s="258">
        <v>4.01</v>
      </c>
      <c r="F57" s="258">
        <v>4.01</v>
      </c>
      <c r="G57" s="258">
        <v>4.01</v>
      </c>
      <c r="H57" s="256">
        <v>4.01</v>
      </c>
      <c r="I57" s="256" t="s">
        <v>212</v>
      </c>
      <c r="J57" s="256" t="s">
        <v>212</v>
      </c>
      <c r="K57" s="256" t="s">
        <v>59</v>
      </c>
      <c r="L57" s="256" t="s">
        <v>59</v>
      </c>
      <c r="M57" s="242"/>
      <c r="N57" s="242"/>
    </row>
    <row r="58" spans="1:14">
      <c r="A58" s="258">
        <v>4.0199999999999996</v>
      </c>
      <c r="B58" s="258">
        <v>4.0199999999999996</v>
      </c>
      <c r="C58" s="258">
        <v>4.0199999999999996</v>
      </c>
      <c r="D58" s="258">
        <v>4.0199999999999996</v>
      </c>
      <c r="E58" s="258">
        <v>4.0199999999999996</v>
      </c>
      <c r="F58" s="258">
        <v>4.0199999999999996</v>
      </c>
      <c r="G58" s="258">
        <v>4.0199999999999996</v>
      </c>
      <c r="H58" s="256">
        <v>4.0199999999999996</v>
      </c>
      <c r="I58" s="256" t="s">
        <v>244</v>
      </c>
      <c r="J58" s="256" t="s">
        <v>244</v>
      </c>
      <c r="K58" s="256" t="s">
        <v>243</v>
      </c>
      <c r="L58" s="256" t="s">
        <v>243</v>
      </c>
      <c r="M58" s="242"/>
      <c r="N58" s="242"/>
    </row>
    <row r="59" spans="1:14">
      <c r="A59" s="258">
        <v>4.03</v>
      </c>
      <c r="B59" s="258">
        <v>4.03</v>
      </c>
      <c r="C59" s="258">
        <v>4.03</v>
      </c>
      <c r="D59" s="258">
        <v>4.03</v>
      </c>
      <c r="E59" s="258">
        <v>4.03</v>
      </c>
      <c r="F59" s="258">
        <v>4.03</v>
      </c>
      <c r="G59" s="258">
        <v>4.03</v>
      </c>
      <c r="H59" s="256">
        <v>4.03</v>
      </c>
      <c r="I59" s="259" t="s">
        <v>59</v>
      </c>
      <c r="J59" s="259" t="s">
        <v>59</v>
      </c>
      <c r="K59" s="259" t="s">
        <v>59</v>
      </c>
      <c r="L59" s="259" t="s">
        <v>59</v>
      </c>
      <c r="M59" s="242"/>
      <c r="N59" s="242"/>
    </row>
    <row r="60" spans="1:14">
      <c r="A60" s="258">
        <v>4.04</v>
      </c>
      <c r="B60" s="258">
        <v>4.04</v>
      </c>
      <c r="C60" s="258">
        <v>4.04</v>
      </c>
      <c r="D60" s="258">
        <v>4.04</v>
      </c>
      <c r="E60" s="258">
        <v>4.04</v>
      </c>
      <c r="F60" s="258">
        <v>4.04</v>
      </c>
      <c r="G60" s="258">
        <v>4.04</v>
      </c>
      <c r="H60" s="256">
        <v>4.04</v>
      </c>
      <c r="I60" s="256" t="s">
        <v>248</v>
      </c>
      <c r="J60" s="256" t="s">
        <v>248</v>
      </c>
      <c r="K60" s="256" t="s">
        <v>247</v>
      </c>
      <c r="L60" s="256" t="s">
        <v>247</v>
      </c>
      <c r="M60" s="242"/>
      <c r="N60" s="242"/>
    </row>
    <row r="61" spans="1:14">
      <c r="A61" s="258">
        <v>4.05</v>
      </c>
      <c r="B61" s="258">
        <v>4.05</v>
      </c>
      <c r="C61" s="258">
        <v>4.05</v>
      </c>
      <c r="D61" s="258">
        <v>4.05</v>
      </c>
      <c r="E61" s="258">
        <v>4.05</v>
      </c>
      <c r="F61" s="258">
        <v>4.05</v>
      </c>
      <c r="G61" s="258">
        <v>4.05</v>
      </c>
      <c r="H61" s="256">
        <v>4.05</v>
      </c>
      <c r="I61" s="256" t="s">
        <v>249</v>
      </c>
      <c r="J61" s="256" t="s">
        <v>249</v>
      </c>
      <c r="K61" s="256" t="s">
        <v>248</v>
      </c>
      <c r="L61" s="256" t="s">
        <v>248</v>
      </c>
      <c r="M61" s="242"/>
      <c r="N61" s="242"/>
    </row>
    <row r="62" spans="1:14">
      <c r="A62" s="257">
        <v>4.0599999999999996</v>
      </c>
      <c r="B62" s="257">
        <v>4.0599999999999996</v>
      </c>
      <c r="C62" s="257">
        <v>4.0599999999999996</v>
      </c>
      <c r="D62" s="258">
        <v>4.0599999999999996</v>
      </c>
      <c r="E62" s="258">
        <v>4.0599999999999996</v>
      </c>
      <c r="F62" s="258">
        <v>4.0599999999999996</v>
      </c>
      <c r="G62" s="258">
        <v>4.0599999999999996</v>
      </c>
      <c r="H62" s="256">
        <v>4.0599999999999996</v>
      </c>
      <c r="I62" s="256" t="s">
        <v>250</v>
      </c>
      <c r="J62" s="256" t="s">
        <v>250</v>
      </c>
      <c r="K62" s="256" t="s">
        <v>249</v>
      </c>
      <c r="L62" s="256" t="s">
        <v>249</v>
      </c>
      <c r="M62" s="242"/>
      <c r="N62" s="242"/>
    </row>
    <row r="63" spans="1:14">
      <c r="A63" s="257">
        <v>4.07</v>
      </c>
      <c r="B63" s="257">
        <v>4.07</v>
      </c>
      <c r="C63" s="257">
        <v>4.07</v>
      </c>
      <c r="D63" s="258">
        <v>4.07</v>
      </c>
      <c r="E63" s="258">
        <v>4.07</v>
      </c>
      <c r="F63" s="258">
        <v>4.07</v>
      </c>
      <c r="G63" s="258">
        <v>4.07</v>
      </c>
      <c r="H63" s="256">
        <v>4.07</v>
      </c>
      <c r="I63" s="256" t="s">
        <v>211</v>
      </c>
      <c r="J63" s="256" t="s">
        <v>211</v>
      </c>
      <c r="K63" s="256" t="s">
        <v>59</v>
      </c>
      <c r="L63" s="256" t="s">
        <v>59</v>
      </c>
      <c r="M63" s="242"/>
      <c r="N63" s="242"/>
    </row>
    <row r="64" spans="1:14">
      <c r="A64" s="257">
        <v>4.08</v>
      </c>
      <c r="B64" s="257">
        <v>4.08</v>
      </c>
      <c r="C64" s="257">
        <v>4.08</v>
      </c>
      <c r="D64" s="258">
        <v>4.08</v>
      </c>
      <c r="E64" s="258">
        <v>4.08</v>
      </c>
      <c r="F64" s="258">
        <v>4.08</v>
      </c>
      <c r="G64" s="258">
        <v>4.08</v>
      </c>
      <c r="H64" s="256">
        <v>4.08</v>
      </c>
      <c r="I64" s="256" t="s">
        <v>214</v>
      </c>
      <c r="J64" s="256" t="s">
        <v>214</v>
      </c>
      <c r="K64" s="256" t="s">
        <v>213</v>
      </c>
      <c r="L64" s="256" t="s">
        <v>213</v>
      </c>
      <c r="M64" s="242"/>
      <c r="N64" s="242"/>
    </row>
    <row r="65" spans="1:14">
      <c r="A65" s="257">
        <v>4.09</v>
      </c>
      <c r="B65" s="257">
        <v>4.09</v>
      </c>
      <c r="C65" s="257">
        <v>4.09</v>
      </c>
      <c r="D65" s="258">
        <v>4.09</v>
      </c>
      <c r="E65" s="258">
        <v>4.09</v>
      </c>
      <c r="F65" s="258">
        <v>4.09</v>
      </c>
      <c r="G65" s="258">
        <v>4.09</v>
      </c>
      <c r="H65" s="256">
        <v>4.09</v>
      </c>
      <c r="I65" s="256" t="s">
        <v>242</v>
      </c>
      <c r="J65" s="256" t="s">
        <v>242</v>
      </c>
      <c r="K65" s="256" t="s">
        <v>214</v>
      </c>
      <c r="L65" s="256" t="s">
        <v>214</v>
      </c>
      <c r="M65" s="242"/>
      <c r="N65" s="242"/>
    </row>
    <row r="66" spans="1:14">
      <c r="A66" s="257" t="s">
        <v>71</v>
      </c>
      <c r="B66" s="257" t="s">
        <v>71</v>
      </c>
      <c r="C66" s="257" t="s">
        <v>71</v>
      </c>
      <c r="D66" s="254">
        <v>4.0999999999999996</v>
      </c>
      <c r="E66" s="254">
        <v>4.0999999999999996</v>
      </c>
      <c r="F66" s="254">
        <v>4.0999999999999996</v>
      </c>
      <c r="G66" s="254">
        <v>4.0999999999999996</v>
      </c>
      <c r="H66" s="255">
        <v>4.0999999999999996</v>
      </c>
      <c r="I66" s="256" t="s">
        <v>243</v>
      </c>
      <c r="J66" s="256" t="s">
        <v>243</v>
      </c>
      <c r="K66" s="256" t="s">
        <v>242</v>
      </c>
      <c r="L66" s="256" t="s">
        <v>242</v>
      </c>
      <c r="M66" s="242"/>
      <c r="N66" s="242"/>
    </row>
    <row r="67" spans="1:14">
      <c r="A67" s="258">
        <v>4.1100000000000003</v>
      </c>
      <c r="B67" s="258">
        <v>4.1100000000000003</v>
      </c>
      <c r="C67" s="258">
        <v>4.1100000000000003</v>
      </c>
      <c r="D67" s="254">
        <v>4.13</v>
      </c>
      <c r="E67" s="254">
        <v>4.13</v>
      </c>
      <c r="F67" s="254">
        <v>4.13</v>
      </c>
      <c r="G67" s="254" t="s">
        <v>59</v>
      </c>
      <c r="H67" s="254" t="s">
        <v>59</v>
      </c>
      <c r="I67" s="254" t="s">
        <v>59</v>
      </c>
      <c r="J67" s="254" t="s">
        <v>59</v>
      </c>
      <c r="K67" s="254" t="s">
        <v>59</v>
      </c>
      <c r="L67" s="254" t="s">
        <v>59</v>
      </c>
      <c r="M67" s="242"/>
      <c r="N67" s="242"/>
    </row>
    <row r="68" spans="1:14">
      <c r="A68" s="258">
        <v>5.01</v>
      </c>
      <c r="B68" s="258">
        <v>5.01</v>
      </c>
      <c r="C68" s="258">
        <v>5.01</v>
      </c>
      <c r="D68" s="258">
        <v>5.01</v>
      </c>
      <c r="E68" s="258">
        <v>5.01</v>
      </c>
      <c r="F68" s="258">
        <v>5.01</v>
      </c>
      <c r="G68" s="258">
        <v>5.0199999999999996</v>
      </c>
      <c r="H68" s="256" t="s">
        <v>197</v>
      </c>
      <c r="I68" s="259" t="s">
        <v>59</v>
      </c>
      <c r="J68" s="259" t="s">
        <v>59</v>
      </c>
      <c r="K68" s="259" t="s">
        <v>59</v>
      </c>
      <c r="L68" s="259" t="s">
        <v>59</v>
      </c>
      <c r="M68" s="242"/>
      <c r="N68" s="242"/>
    </row>
    <row r="69" spans="1:14">
      <c r="A69" s="258">
        <v>5.0199999999999996</v>
      </c>
      <c r="B69" s="258">
        <v>5.0199999999999996</v>
      </c>
      <c r="C69" s="258">
        <v>5.0199999999999996</v>
      </c>
      <c r="D69" s="258">
        <v>5.0199999999999996</v>
      </c>
      <c r="E69" s="258">
        <v>5.0199999999999996</v>
      </c>
      <c r="F69" s="258">
        <v>5.0199999999999996</v>
      </c>
      <c r="G69" s="258">
        <v>5.01</v>
      </c>
      <c r="H69" s="259" t="s">
        <v>198</v>
      </c>
      <c r="I69" s="256" t="s">
        <v>59</v>
      </c>
      <c r="J69" s="256" t="s">
        <v>59</v>
      </c>
      <c r="K69" s="256" t="s">
        <v>59</v>
      </c>
      <c r="L69" s="256" t="s">
        <v>59</v>
      </c>
      <c r="M69" s="242"/>
      <c r="N69" s="242"/>
    </row>
    <row r="70" spans="1:14">
      <c r="A70" s="258">
        <v>5.03</v>
      </c>
      <c r="B70" s="258">
        <v>5.03</v>
      </c>
      <c r="C70" s="258">
        <v>5.03</v>
      </c>
      <c r="D70" s="258">
        <v>5.03</v>
      </c>
      <c r="E70" s="258">
        <v>5.03</v>
      </c>
      <c r="F70" s="258">
        <v>5.03</v>
      </c>
      <c r="G70" s="258" t="s">
        <v>59</v>
      </c>
      <c r="H70" s="258" t="s">
        <v>59</v>
      </c>
      <c r="I70" s="258" t="s">
        <v>59</v>
      </c>
      <c r="J70" s="258" t="s">
        <v>59</v>
      </c>
      <c r="K70" s="258" t="s">
        <v>59</v>
      </c>
      <c r="L70" s="258" t="s">
        <v>59</v>
      </c>
      <c r="M70" s="242"/>
      <c r="N70" s="242"/>
    </row>
    <row r="71" spans="1:14">
      <c r="A71" s="258">
        <v>5.04</v>
      </c>
      <c r="B71" s="258">
        <v>5.04</v>
      </c>
      <c r="C71" s="258">
        <v>5.04</v>
      </c>
      <c r="D71" s="258">
        <v>5.04</v>
      </c>
      <c r="E71" s="258">
        <v>5.04</v>
      </c>
      <c r="F71" s="258">
        <v>5.04</v>
      </c>
      <c r="G71" s="258" t="s">
        <v>59</v>
      </c>
      <c r="H71" s="258" t="s">
        <v>59</v>
      </c>
      <c r="I71" s="258" t="s">
        <v>59</v>
      </c>
      <c r="J71" s="258" t="s">
        <v>59</v>
      </c>
      <c r="K71" s="258" t="s">
        <v>59</v>
      </c>
      <c r="L71" s="258" t="s">
        <v>59</v>
      </c>
      <c r="M71" s="242"/>
      <c r="N71" s="242"/>
    </row>
    <row r="72" spans="1:14">
      <c r="A72" s="258">
        <v>6.01</v>
      </c>
      <c r="B72" s="258">
        <v>6.01</v>
      </c>
      <c r="C72" s="258">
        <v>6.01</v>
      </c>
      <c r="D72" s="258">
        <v>6.01</v>
      </c>
      <c r="E72" s="258">
        <v>6.01</v>
      </c>
      <c r="F72" s="258">
        <v>6.01</v>
      </c>
      <c r="G72" s="258">
        <v>6.01</v>
      </c>
      <c r="H72" s="256">
        <v>6.01</v>
      </c>
      <c r="I72" s="256" t="s">
        <v>136</v>
      </c>
      <c r="J72" s="256" t="s">
        <v>136</v>
      </c>
      <c r="K72" s="256" t="s">
        <v>136</v>
      </c>
      <c r="L72" s="256" t="s">
        <v>136</v>
      </c>
      <c r="M72" s="242"/>
      <c r="N72" s="242"/>
    </row>
    <row r="73" spans="1:14">
      <c r="A73" s="258">
        <v>6.02</v>
      </c>
      <c r="B73" s="258">
        <v>6.02</v>
      </c>
      <c r="C73" s="258">
        <v>6.02</v>
      </c>
      <c r="D73" s="258">
        <v>6.02</v>
      </c>
      <c r="E73" s="258">
        <v>6.02</v>
      </c>
      <c r="F73" s="258">
        <v>6.02</v>
      </c>
      <c r="G73" s="258">
        <v>6.02</v>
      </c>
      <c r="H73" s="256">
        <v>6.02</v>
      </c>
      <c r="I73" s="256" t="s">
        <v>201</v>
      </c>
      <c r="J73" s="256" t="s">
        <v>201</v>
      </c>
      <c r="K73" s="256" t="s">
        <v>201</v>
      </c>
      <c r="L73" s="256" t="s">
        <v>201</v>
      </c>
      <c r="M73" s="242"/>
      <c r="N73" s="242"/>
    </row>
    <row r="74" spans="1:14">
      <c r="A74" s="258">
        <v>6.03</v>
      </c>
      <c r="B74" s="258">
        <v>6.03</v>
      </c>
      <c r="C74" s="258">
        <v>6.03</v>
      </c>
      <c r="D74" s="258">
        <v>6.03</v>
      </c>
      <c r="E74" s="258">
        <v>6.03</v>
      </c>
      <c r="F74" s="258">
        <v>6.03</v>
      </c>
      <c r="G74" s="258">
        <v>6.03</v>
      </c>
      <c r="H74" s="256">
        <v>6.03</v>
      </c>
      <c r="I74" s="256" t="s">
        <v>137</v>
      </c>
      <c r="J74" s="256" t="s">
        <v>137</v>
      </c>
      <c r="K74" s="256" t="s">
        <v>137</v>
      </c>
      <c r="L74" s="256" t="s">
        <v>137</v>
      </c>
      <c r="M74" s="242"/>
      <c r="N74" s="242"/>
    </row>
    <row r="75" spans="1:14">
      <c r="A75" s="254">
        <v>6.04</v>
      </c>
      <c r="B75" s="254">
        <v>6.04</v>
      </c>
      <c r="C75" s="254">
        <v>6.04</v>
      </c>
      <c r="D75" s="258">
        <v>6.04</v>
      </c>
      <c r="E75" s="258">
        <v>6.04</v>
      </c>
      <c r="F75" s="258">
        <v>6.04</v>
      </c>
      <c r="G75" s="258">
        <v>6.04</v>
      </c>
      <c r="H75" s="256">
        <v>6.04</v>
      </c>
      <c r="I75" s="256" t="s">
        <v>203</v>
      </c>
      <c r="J75" s="256" t="s">
        <v>203</v>
      </c>
      <c r="K75" s="256" t="s">
        <v>203</v>
      </c>
      <c r="L75" s="256" t="s">
        <v>203</v>
      </c>
      <c r="M75" s="242"/>
      <c r="N75" s="242"/>
    </row>
    <row r="76" spans="1:14">
      <c r="A76" s="254">
        <v>6.05</v>
      </c>
      <c r="B76" s="254">
        <v>6.05</v>
      </c>
      <c r="C76" s="254">
        <v>6.05</v>
      </c>
      <c r="D76" s="258">
        <v>6.05</v>
      </c>
      <c r="E76" s="258">
        <v>6.05</v>
      </c>
      <c r="F76" s="258">
        <v>6.05</v>
      </c>
      <c r="G76" s="258">
        <v>6.05</v>
      </c>
      <c r="H76" s="256">
        <v>6.05</v>
      </c>
      <c r="I76" s="256" t="s">
        <v>204</v>
      </c>
      <c r="J76" s="256" t="s">
        <v>204</v>
      </c>
      <c r="K76" s="256" t="s">
        <v>204</v>
      </c>
      <c r="L76" s="256" t="s">
        <v>204</v>
      </c>
      <c r="M76" s="242"/>
      <c r="N76" s="242"/>
    </row>
    <row r="77" spans="1:14">
      <c r="A77" s="250">
        <v>6.06</v>
      </c>
      <c r="B77" s="250">
        <v>6.06</v>
      </c>
      <c r="C77" s="250">
        <v>6.06</v>
      </c>
      <c r="D77" s="258">
        <v>6.06</v>
      </c>
      <c r="E77" s="258">
        <v>6.06</v>
      </c>
      <c r="F77" s="258">
        <v>6.06</v>
      </c>
      <c r="G77" s="258">
        <v>6.06</v>
      </c>
      <c r="H77" s="256">
        <v>6.06</v>
      </c>
      <c r="I77" s="256" t="s">
        <v>205</v>
      </c>
      <c r="J77" s="256" t="s">
        <v>205</v>
      </c>
      <c r="K77" s="256" t="s">
        <v>205</v>
      </c>
      <c r="L77" s="256" t="s">
        <v>205</v>
      </c>
      <c r="M77" s="242"/>
      <c r="N77" s="242"/>
    </row>
    <row r="78" spans="1:14">
      <c r="A78" s="254">
        <v>7.01</v>
      </c>
      <c r="B78" s="254">
        <v>7.01</v>
      </c>
      <c r="C78" s="254">
        <v>7.01</v>
      </c>
      <c r="D78" s="258">
        <v>7.01</v>
      </c>
      <c r="E78" s="258">
        <v>7.01</v>
      </c>
      <c r="F78" s="258">
        <v>7.01</v>
      </c>
      <c r="G78" s="258">
        <v>7.01</v>
      </c>
      <c r="H78" s="256">
        <v>7.01</v>
      </c>
      <c r="I78" s="256" t="s">
        <v>206</v>
      </c>
      <c r="J78" s="256" t="s">
        <v>206</v>
      </c>
      <c r="K78" s="256" t="s">
        <v>206</v>
      </c>
      <c r="L78" s="256" t="s">
        <v>206</v>
      </c>
      <c r="M78" s="242"/>
      <c r="N78" s="242"/>
    </row>
    <row r="79" spans="1:14">
      <c r="A79" s="258">
        <v>7.02</v>
      </c>
      <c r="B79" s="258">
        <v>7.02</v>
      </c>
      <c r="C79" s="258">
        <v>7.02</v>
      </c>
      <c r="D79" s="258">
        <v>7.02</v>
      </c>
      <c r="E79" s="258">
        <v>7.02</v>
      </c>
      <c r="F79" s="258">
        <v>7.02</v>
      </c>
      <c r="G79" s="258">
        <v>7.02</v>
      </c>
      <c r="H79" s="256">
        <v>7.02</v>
      </c>
      <c r="I79" s="256" t="s">
        <v>207</v>
      </c>
      <c r="J79" s="256" t="s">
        <v>207</v>
      </c>
      <c r="K79" s="256" t="s">
        <v>207</v>
      </c>
      <c r="L79" s="256" t="s">
        <v>207</v>
      </c>
      <c r="M79" s="242"/>
      <c r="N79" s="242"/>
    </row>
    <row r="80" spans="1:14">
      <c r="A80" s="258">
        <v>7.03</v>
      </c>
      <c r="B80" s="258">
        <v>7.03</v>
      </c>
      <c r="C80" s="258">
        <v>7.03</v>
      </c>
      <c r="D80" s="258">
        <v>7.03</v>
      </c>
      <c r="E80" s="258">
        <v>7.03</v>
      </c>
      <c r="F80" s="258">
        <v>7.03</v>
      </c>
      <c r="G80" s="258">
        <v>7.03</v>
      </c>
      <c r="H80" s="256">
        <v>7.03</v>
      </c>
      <c r="I80" s="256" t="s">
        <v>208</v>
      </c>
      <c r="J80" s="256" t="s">
        <v>208</v>
      </c>
      <c r="K80" s="256" t="s">
        <v>208</v>
      </c>
      <c r="L80" s="256" t="s">
        <v>208</v>
      </c>
      <c r="M80" s="242"/>
      <c r="N80" s="242"/>
    </row>
    <row r="81" spans="1:14">
      <c r="A81" s="258">
        <v>7.04</v>
      </c>
      <c r="B81" s="258">
        <v>7.04</v>
      </c>
      <c r="C81" s="258">
        <v>7.04</v>
      </c>
      <c r="D81" s="262">
        <v>7.04</v>
      </c>
      <c r="E81" s="262">
        <v>7.04</v>
      </c>
      <c r="F81" s="262">
        <v>7.04</v>
      </c>
      <c r="G81" s="262">
        <v>7.04</v>
      </c>
      <c r="H81" s="253">
        <v>7.04</v>
      </c>
      <c r="I81" s="253" t="s">
        <v>209</v>
      </c>
      <c r="J81" s="253" t="s">
        <v>209</v>
      </c>
      <c r="K81" s="253" t="s">
        <v>209</v>
      </c>
      <c r="L81" s="253" t="s">
        <v>209</v>
      </c>
      <c r="M81" s="242"/>
      <c r="N81" s="242"/>
    </row>
    <row r="82" spans="1:14">
      <c r="A82" s="258">
        <v>7.05</v>
      </c>
      <c r="B82" s="258">
        <v>7.05</v>
      </c>
      <c r="C82" s="258">
        <v>7.05</v>
      </c>
      <c r="D82" s="262">
        <v>7.05</v>
      </c>
      <c r="E82" s="262">
        <v>7.05</v>
      </c>
      <c r="F82" s="262">
        <v>7.05</v>
      </c>
      <c r="G82" s="262">
        <v>7.05</v>
      </c>
      <c r="H82" s="253">
        <v>7.05</v>
      </c>
      <c r="I82" s="253" t="s">
        <v>210</v>
      </c>
      <c r="J82" s="253" t="s">
        <v>210</v>
      </c>
      <c r="K82" s="253" t="s">
        <v>210</v>
      </c>
      <c r="L82" s="253" t="s">
        <v>210</v>
      </c>
      <c r="M82" s="242"/>
      <c r="N82" s="242"/>
    </row>
    <row r="83" spans="1:14">
      <c r="A83" s="258">
        <v>8.01</v>
      </c>
      <c r="B83" s="258">
        <v>8.01</v>
      </c>
      <c r="C83" s="258">
        <v>8.01</v>
      </c>
      <c r="D83" s="250">
        <v>8.01</v>
      </c>
      <c r="E83" s="250">
        <v>8.01</v>
      </c>
      <c r="F83" s="250">
        <v>8.01</v>
      </c>
      <c r="G83" s="250">
        <v>8.01</v>
      </c>
      <c r="H83" s="251">
        <v>8.01</v>
      </c>
      <c r="I83" s="253" t="s">
        <v>86</v>
      </c>
      <c r="J83" s="253" t="s">
        <v>86</v>
      </c>
      <c r="K83" s="253" t="s">
        <v>86</v>
      </c>
      <c r="L83" s="253" t="s">
        <v>86</v>
      </c>
      <c r="M83" s="242"/>
      <c r="N83" s="242"/>
    </row>
    <row r="84" spans="1:14">
      <c r="A84" s="254">
        <v>8.02</v>
      </c>
      <c r="B84" s="254">
        <v>8.02</v>
      </c>
      <c r="C84" s="254">
        <v>8.02</v>
      </c>
      <c r="D84" s="250">
        <v>1.01</v>
      </c>
      <c r="E84" s="250">
        <v>1.01</v>
      </c>
      <c r="F84" s="250">
        <v>1.01</v>
      </c>
      <c r="G84" s="250">
        <v>1.01</v>
      </c>
      <c r="H84" s="251">
        <v>1.01</v>
      </c>
      <c r="I84" s="252" t="s">
        <v>59</v>
      </c>
      <c r="J84" s="252" t="s">
        <v>59</v>
      </c>
      <c r="K84" s="252" t="s">
        <v>59</v>
      </c>
      <c r="L84" s="252" t="s">
        <v>59</v>
      </c>
      <c r="M84" s="242"/>
      <c r="N84" s="242"/>
    </row>
    <row r="85" spans="1:14">
      <c r="A85" s="258">
        <v>8.0299999999999994</v>
      </c>
      <c r="B85" s="258">
        <v>8.0299999999999994</v>
      </c>
      <c r="C85" s="258">
        <v>8.0299999999999994</v>
      </c>
      <c r="D85" s="250">
        <v>8.0299999999999994</v>
      </c>
      <c r="E85" s="250">
        <v>8.0299999999999994</v>
      </c>
      <c r="F85" s="250">
        <v>8.0299999999999994</v>
      </c>
      <c r="G85" s="250">
        <v>8.0299999999999994</v>
      </c>
      <c r="H85" s="251">
        <v>8.0299999999999994</v>
      </c>
      <c r="I85" s="253" t="s">
        <v>91</v>
      </c>
      <c r="J85" s="253" t="s">
        <v>91</v>
      </c>
      <c r="K85" s="253" t="s">
        <v>91</v>
      </c>
      <c r="L85" s="253" t="s">
        <v>91</v>
      </c>
      <c r="M85" s="242"/>
      <c r="N85" s="242"/>
    </row>
    <row r="86" spans="1:14">
      <c r="A86" s="258">
        <v>8.0399999999999991</v>
      </c>
      <c r="B86" s="258">
        <v>8.0399999999999991</v>
      </c>
      <c r="C86" s="258">
        <v>8.0399999999999991</v>
      </c>
      <c r="D86" s="254">
        <v>8.0399999999999991</v>
      </c>
      <c r="E86" s="254">
        <v>8.0399999999999991</v>
      </c>
      <c r="F86" s="254">
        <v>8.0399999999999991</v>
      </c>
      <c r="G86" s="254">
        <v>8.0399999999999991</v>
      </c>
      <c r="H86" s="255">
        <v>8.0399999999999991</v>
      </c>
      <c r="I86" s="256" t="s">
        <v>93</v>
      </c>
      <c r="J86" s="256" t="s">
        <v>93</v>
      </c>
      <c r="K86" s="253" t="s">
        <v>93</v>
      </c>
      <c r="L86" s="253" t="s">
        <v>93</v>
      </c>
      <c r="M86" s="242"/>
      <c r="N86" s="242"/>
    </row>
    <row r="87" spans="1:14">
      <c r="A87" s="258">
        <v>8.0500000000000007</v>
      </c>
      <c r="B87" s="258">
        <v>8.0500000000000007</v>
      </c>
      <c r="C87" s="258">
        <v>8.0500000000000007</v>
      </c>
      <c r="D87" s="254">
        <v>8.0500000000000007</v>
      </c>
      <c r="E87" s="254">
        <v>8.0500000000000007</v>
      </c>
      <c r="F87" s="254">
        <v>8.0500000000000007</v>
      </c>
      <c r="G87" s="254">
        <v>8.0500000000000007</v>
      </c>
      <c r="H87" s="255">
        <v>8.0500000000000007</v>
      </c>
      <c r="I87" s="256" t="s">
        <v>95</v>
      </c>
      <c r="J87" s="256" t="s">
        <v>95</v>
      </c>
      <c r="K87" s="256" t="s">
        <v>95</v>
      </c>
      <c r="L87" s="256" t="s">
        <v>95</v>
      </c>
      <c r="M87" s="242"/>
      <c r="N87" s="242"/>
    </row>
    <row r="88" spans="1:14">
      <c r="A88" s="258">
        <v>8.06</v>
      </c>
      <c r="B88" s="258">
        <v>8.06</v>
      </c>
      <c r="C88" s="258">
        <v>8.06</v>
      </c>
      <c r="D88" s="254">
        <v>8.06</v>
      </c>
      <c r="E88" s="254">
        <v>8.06</v>
      </c>
      <c r="F88" s="254">
        <v>8.06</v>
      </c>
      <c r="G88" s="254">
        <v>8.06</v>
      </c>
      <c r="H88" s="255">
        <v>8.06</v>
      </c>
      <c r="I88" s="256" t="s">
        <v>96</v>
      </c>
      <c r="J88" s="256" t="s">
        <v>96</v>
      </c>
      <c r="K88" s="256" t="s">
        <v>96</v>
      </c>
      <c r="L88" s="256" t="s">
        <v>96</v>
      </c>
      <c r="M88" s="242"/>
      <c r="N88" s="242"/>
    </row>
    <row r="89" spans="1:14">
      <c r="A89" s="258">
        <v>8.07</v>
      </c>
      <c r="B89" s="258">
        <v>8.07</v>
      </c>
      <c r="C89" s="258">
        <v>8.07</v>
      </c>
      <c r="D89" s="254">
        <v>8.07</v>
      </c>
      <c r="E89" s="254">
        <v>8.07</v>
      </c>
      <c r="F89" s="254">
        <v>8.07</v>
      </c>
      <c r="G89" s="254">
        <v>8.07</v>
      </c>
      <c r="H89" s="255">
        <v>8.07</v>
      </c>
      <c r="I89" s="256" t="s">
        <v>99</v>
      </c>
      <c r="J89" s="256" t="s">
        <v>99</v>
      </c>
      <c r="K89" s="256" t="s">
        <v>99</v>
      </c>
      <c r="L89" s="256" t="s">
        <v>99</v>
      </c>
      <c r="M89" s="242"/>
      <c r="N89" s="242"/>
    </row>
    <row r="90" spans="1:14">
      <c r="A90" s="262">
        <v>8.08</v>
      </c>
      <c r="B90" s="262">
        <v>8.08</v>
      </c>
      <c r="C90" s="262">
        <v>8.08</v>
      </c>
      <c r="D90" s="254">
        <v>8.08</v>
      </c>
      <c r="E90" s="254">
        <v>8.08</v>
      </c>
      <c r="F90" s="254">
        <v>8.08</v>
      </c>
      <c r="G90" s="254">
        <v>8.08</v>
      </c>
      <c r="H90" s="255">
        <v>8.08</v>
      </c>
      <c r="I90" s="256" t="s">
        <v>103</v>
      </c>
      <c r="J90" s="256" t="s">
        <v>103</v>
      </c>
      <c r="K90" s="256" t="s">
        <v>103</v>
      </c>
      <c r="L90" s="256" t="s">
        <v>103</v>
      </c>
      <c r="M90" s="242"/>
      <c r="N90" s="242"/>
    </row>
    <row r="91" spans="1:14">
      <c r="A91" s="262">
        <v>8.09</v>
      </c>
      <c r="B91" s="262">
        <v>8.09</v>
      </c>
      <c r="C91" s="262">
        <v>8.09</v>
      </c>
      <c r="D91" s="254">
        <v>8.09</v>
      </c>
      <c r="E91" s="254">
        <v>8.09</v>
      </c>
      <c r="F91" s="254">
        <v>8.09</v>
      </c>
      <c r="G91" s="254">
        <v>8.09</v>
      </c>
      <c r="H91" s="255">
        <v>8.09</v>
      </c>
      <c r="I91" s="256" t="s">
        <v>101</v>
      </c>
      <c r="J91" s="256" t="s">
        <v>101</v>
      </c>
      <c r="K91" s="256" t="s">
        <v>101</v>
      </c>
      <c r="L91" s="256" t="s">
        <v>101</v>
      </c>
      <c r="M91" s="242"/>
      <c r="N91" s="242"/>
    </row>
    <row r="92" spans="1:14">
      <c r="A92" s="262" t="s">
        <v>73</v>
      </c>
      <c r="B92" s="262" t="s">
        <v>73</v>
      </c>
      <c r="C92" s="262" t="s">
        <v>73</v>
      </c>
      <c r="D92" s="254">
        <v>8.1</v>
      </c>
      <c r="E92" s="254">
        <v>8.1</v>
      </c>
      <c r="F92" s="254">
        <v>8.1</v>
      </c>
      <c r="G92" s="254">
        <v>8.1</v>
      </c>
      <c r="H92" s="255">
        <v>8.1</v>
      </c>
      <c r="I92" s="256" t="s">
        <v>102</v>
      </c>
      <c r="J92" s="256" t="s">
        <v>102</v>
      </c>
      <c r="K92" s="256" t="s">
        <v>102</v>
      </c>
      <c r="L92" s="256" t="s">
        <v>102</v>
      </c>
      <c r="M92" s="242"/>
      <c r="N92" s="242"/>
    </row>
    <row r="93" spans="1:14">
      <c r="A93" s="262" t="s">
        <v>74</v>
      </c>
      <c r="B93" s="262" t="s">
        <v>74</v>
      </c>
      <c r="C93" s="262" t="s">
        <v>74</v>
      </c>
      <c r="D93" s="254">
        <v>8.11</v>
      </c>
      <c r="E93" s="254">
        <v>8.11</v>
      </c>
      <c r="F93" s="254" t="s">
        <v>59</v>
      </c>
      <c r="G93" s="254" t="s">
        <v>59</v>
      </c>
      <c r="H93" s="254" t="s">
        <v>59</v>
      </c>
      <c r="I93" s="254" t="s">
        <v>59</v>
      </c>
      <c r="J93" s="254" t="s">
        <v>59</v>
      </c>
      <c r="K93" s="254" t="s">
        <v>59</v>
      </c>
      <c r="L93" s="254" t="s">
        <v>59</v>
      </c>
      <c r="M93" s="242"/>
      <c r="N93" s="242"/>
    </row>
    <row r="94" spans="1:14">
      <c r="A94" s="262">
        <v>8.1199999999999992</v>
      </c>
      <c r="B94" s="262">
        <v>8.1199999999999992</v>
      </c>
      <c r="C94" s="262">
        <v>8.1199999999999992</v>
      </c>
      <c r="D94" s="254">
        <v>8.02</v>
      </c>
      <c r="E94" s="254">
        <v>8.1199999999999992</v>
      </c>
      <c r="F94" s="254" t="s">
        <v>59</v>
      </c>
      <c r="G94" s="254" t="s">
        <v>59</v>
      </c>
      <c r="H94" s="254" t="s">
        <v>59</v>
      </c>
      <c r="I94" s="254" t="s">
        <v>59</v>
      </c>
      <c r="J94" s="254" t="s">
        <v>59</v>
      </c>
      <c r="K94" s="254" t="s">
        <v>59</v>
      </c>
      <c r="L94" s="254" t="s">
        <v>59</v>
      </c>
      <c r="M94" s="242"/>
      <c r="N94" s="242"/>
    </row>
    <row r="95" spans="1:14">
      <c r="A95" s="254">
        <v>8.1300000000000008</v>
      </c>
      <c r="B95" s="258" t="s">
        <v>59</v>
      </c>
      <c r="C95" s="258" t="s">
        <v>59</v>
      </c>
      <c r="D95" s="258" t="s">
        <v>59</v>
      </c>
      <c r="E95" s="258" t="s">
        <v>59</v>
      </c>
      <c r="F95" s="258" t="s">
        <v>59</v>
      </c>
      <c r="G95" s="258" t="s">
        <v>59</v>
      </c>
      <c r="H95" s="256" t="s">
        <v>59</v>
      </c>
      <c r="I95" s="256" t="s">
        <v>59</v>
      </c>
      <c r="J95" s="256" t="s">
        <v>59</v>
      </c>
      <c r="K95" s="256" t="s">
        <v>59</v>
      </c>
      <c r="L95" s="256" t="s">
        <v>59</v>
      </c>
      <c r="M95" s="242"/>
      <c r="N95" s="242"/>
    </row>
    <row r="96" spans="1:14">
      <c r="A96" s="254">
        <v>9.01</v>
      </c>
      <c r="B96" s="254">
        <v>9.01</v>
      </c>
      <c r="C96" s="254">
        <v>9.01</v>
      </c>
      <c r="D96" s="254">
        <v>9.01</v>
      </c>
      <c r="E96" s="254">
        <v>9.01</v>
      </c>
      <c r="F96" s="254" t="s">
        <v>59</v>
      </c>
      <c r="G96" s="254" t="s">
        <v>59</v>
      </c>
      <c r="H96" s="254" t="s">
        <v>59</v>
      </c>
      <c r="I96" s="259" t="s">
        <v>59</v>
      </c>
      <c r="J96" s="259" t="s">
        <v>59</v>
      </c>
      <c r="K96" s="259" t="s">
        <v>59</v>
      </c>
      <c r="L96" s="259" t="s">
        <v>59</v>
      </c>
      <c r="M96" s="242"/>
      <c r="N96" s="242"/>
    </row>
    <row r="97" spans="1:14">
      <c r="A97" s="254">
        <v>9.02</v>
      </c>
      <c r="B97" s="254">
        <v>9.02</v>
      </c>
      <c r="C97" s="254">
        <v>9.02</v>
      </c>
      <c r="D97" s="254">
        <v>9.02</v>
      </c>
      <c r="E97" s="254">
        <v>9.02</v>
      </c>
      <c r="F97" s="254">
        <v>9.02</v>
      </c>
      <c r="G97" s="254">
        <v>9.02</v>
      </c>
      <c r="H97" s="255">
        <v>9.02</v>
      </c>
      <c r="I97" s="259" t="s">
        <v>59</v>
      </c>
      <c r="J97" s="259" t="s">
        <v>59</v>
      </c>
      <c r="K97" s="259" t="s">
        <v>59</v>
      </c>
      <c r="L97" s="259" t="s">
        <v>59</v>
      </c>
      <c r="M97" s="242"/>
      <c r="N97" s="242"/>
    </row>
    <row r="98" spans="1:14">
      <c r="A98" s="254">
        <v>9.0299999999999994</v>
      </c>
      <c r="B98" s="254">
        <v>9.0299999999999994</v>
      </c>
      <c r="C98" s="254">
        <v>9.0299999999999994</v>
      </c>
      <c r="D98" s="254">
        <v>9.0299999999999994</v>
      </c>
      <c r="E98" s="254">
        <v>9.0299999999999994</v>
      </c>
      <c r="F98" s="254">
        <v>9.0299999999999994</v>
      </c>
      <c r="G98" s="254">
        <v>9.0299999999999994</v>
      </c>
      <c r="H98" s="255">
        <v>9.0299999999999994</v>
      </c>
      <c r="I98" s="259" t="s">
        <v>59</v>
      </c>
      <c r="J98" s="259" t="s">
        <v>59</v>
      </c>
      <c r="K98" s="259" t="s">
        <v>59</v>
      </c>
      <c r="L98" s="259" t="s">
        <v>59</v>
      </c>
      <c r="M98" s="242"/>
      <c r="N98" s="242"/>
    </row>
    <row r="99" spans="1:14">
      <c r="A99" s="254">
        <v>9.0399999999999991</v>
      </c>
      <c r="B99" s="254">
        <v>9.0399999999999991</v>
      </c>
      <c r="C99" s="254">
        <v>9.0399999999999991</v>
      </c>
      <c r="D99" s="254">
        <v>9.0399999999999991</v>
      </c>
      <c r="E99" s="254">
        <v>9.0399999999999991</v>
      </c>
      <c r="F99" s="254">
        <v>9.0399999999999991</v>
      </c>
      <c r="G99" s="254">
        <v>9.0399999999999991</v>
      </c>
      <c r="H99" s="263" t="s">
        <v>59</v>
      </c>
      <c r="I99" s="259" t="s">
        <v>59</v>
      </c>
      <c r="J99" s="259" t="s">
        <v>59</v>
      </c>
      <c r="K99" s="259" t="s">
        <v>59</v>
      </c>
      <c r="L99" s="259" t="s">
        <v>59</v>
      </c>
      <c r="M99" s="242"/>
      <c r="N99" s="242"/>
    </row>
    <row r="100" spans="1:14">
      <c r="A100" s="254">
        <v>9.0500000000000007</v>
      </c>
      <c r="B100" s="254">
        <v>9.0500000000000007</v>
      </c>
      <c r="C100" s="254">
        <v>9.0500000000000007</v>
      </c>
      <c r="D100" s="254">
        <v>9.0500000000000007</v>
      </c>
      <c r="E100" s="254">
        <v>9.0500000000000007</v>
      </c>
      <c r="F100" s="254">
        <v>9.0500000000000007</v>
      </c>
      <c r="G100" s="254">
        <v>9.0500000000000007</v>
      </c>
      <c r="H100" s="263" t="s">
        <v>59</v>
      </c>
      <c r="I100" s="259" t="s">
        <v>59</v>
      </c>
      <c r="J100" s="259" t="s">
        <v>59</v>
      </c>
      <c r="K100" s="259" t="s">
        <v>59</v>
      </c>
      <c r="L100" s="259" t="s">
        <v>59</v>
      </c>
      <c r="M100" s="242"/>
      <c r="N100" s="242"/>
    </row>
    <row r="101" spans="1:14">
      <c r="A101" s="254">
        <v>9.06</v>
      </c>
      <c r="B101" s="254">
        <v>9.06</v>
      </c>
      <c r="C101" s="254">
        <v>9.06</v>
      </c>
      <c r="D101" s="254">
        <v>9.06</v>
      </c>
      <c r="E101" s="254">
        <v>9.06</v>
      </c>
      <c r="F101" s="254">
        <v>9.06</v>
      </c>
      <c r="G101" s="254">
        <v>9.06</v>
      </c>
      <c r="H101" s="255" t="s">
        <v>59</v>
      </c>
      <c r="I101" s="256" t="s">
        <v>59</v>
      </c>
      <c r="J101" s="256" t="s">
        <v>59</v>
      </c>
      <c r="K101" s="256" t="s">
        <v>59</v>
      </c>
      <c r="L101" s="256" t="s">
        <v>59</v>
      </c>
      <c r="M101" s="242"/>
      <c r="N101" s="242"/>
    </row>
    <row r="102" spans="1:14">
      <c r="A102" s="254">
        <v>9.07</v>
      </c>
      <c r="B102" s="254">
        <v>9.07</v>
      </c>
      <c r="C102" s="254">
        <v>9.07</v>
      </c>
      <c r="D102" s="257">
        <v>9.2100000000000009</v>
      </c>
      <c r="E102" s="258" t="s">
        <v>59</v>
      </c>
      <c r="F102" s="258" t="s">
        <v>59</v>
      </c>
      <c r="G102" s="258" t="s">
        <v>59</v>
      </c>
      <c r="H102" s="258" t="s">
        <v>59</v>
      </c>
      <c r="I102" s="258" t="s">
        <v>59</v>
      </c>
      <c r="J102" s="258" t="s">
        <v>59</v>
      </c>
      <c r="K102" s="258" t="s">
        <v>59</v>
      </c>
      <c r="L102" s="258" t="s">
        <v>59</v>
      </c>
      <c r="M102" s="242"/>
      <c r="N102" s="242"/>
    </row>
    <row r="103" spans="1:14">
      <c r="A103" s="254">
        <v>9.08</v>
      </c>
      <c r="B103" s="254">
        <v>9.08</v>
      </c>
      <c r="C103" s="254">
        <v>9.08</v>
      </c>
      <c r="D103" s="254">
        <v>9.08</v>
      </c>
      <c r="E103" s="254">
        <v>9.08</v>
      </c>
      <c r="F103" s="254">
        <v>9.08</v>
      </c>
      <c r="G103" s="254">
        <v>9.08</v>
      </c>
      <c r="H103" s="255" t="s">
        <v>59</v>
      </c>
      <c r="I103" s="256" t="s">
        <v>59</v>
      </c>
      <c r="J103" s="256" t="s">
        <v>59</v>
      </c>
      <c r="K103" s="256" t="s">
        <v>59</v>
      </c>
      <c r="L103" s="256" t="s">
        <v>59</v>
      </c>
      <c r="M103" s="242"/>
      <c r="N103" s="242"/>
    </row>
    <row r="104" spans="1:14">
      <c r="A104" s="254">
        <v>9.09</v>
      </c>
      <c r="B104" s="254">
        <v>9.09</v>
      </c>
      <c r="C104" s="254">
        <v>9.09</v>
      </c>
      <c r="D104" s="254">
        <v>9.09</v>
      </c>
      <c r="E104" s="254">
        <v>9.09</v>
      </c>
      <c r="F104" s="254">
        <v>9.09</v>
      </c>
      <c r="G104" s="254">
        <v>9.09</v>
      </c>
      <c r="H104" s="255">
        <v>9.09</v>
      </c>
      <c r="I104" s="256" t="s">
        <v>199</v>
      </c>
      <c r="J104" s="256" t="s">
        <v>199</v>
      </c>
      <c r="K104" s="256" t="s">
        <v>199</v>
      </c>
      <c r="L104" s="256" t="s">
        <v>58</v>
      </c>
      <c r="M104" s="242"/>
      <c r="N104" s="242"/>
    </row>
    <row r="105" spans="1:14">
      <c r="A105" s="254" t="s">
        <v>178</v>
      </c>
      <c r="B105" s="254" t="s">
        <v>178</v>
      </c>
      <c r="C105" s="254" t="s">
        <v>178</v>
      </c>
      <c r="D105" s="260" t="s">
        <v>178</v>
      </c>
      <c r="E105" s="254">
        <v>9.09</v>
      </c>
      <c r="F105" s="254">
        <v>9.09</v>
      </c>
      <c r="G105" s="260" t="s">
        <v>178</v>
      </c>
      <c r="H105" s="255">
        <v>9.08</v>
      </c>
      <c r="I105" s="256" t="s">
        <v>180</v>
      </c>
      <c r="J105" s="256" t="s">
        <v>177</v>
      </c>
      <c r="K105" s="256" t="s">
        <v>177</v>
      </c>
      <c r="L105" s="256" t="s">
        <v>176</v>
      </c>
      <c r="M105" s="242"/>
      <c r="N105" s="242"/>
    </row>
    <row r="106" spans="1:14">
      <c r="A106" s="254">
        <v>9.11</v>
      </c>
      <c r="B106" s="254">
        <v>9.11</v>
      </c>
      <c r="C106" s="254">
        <v>9.11</v>
      </c>
      <c r="D106" s="254">
        <v>9.11</v>
      </c>
      <c r="E106" s="254">
        <v>9.11</v>
      </c>
      <c r="F106" s="254">
        <v>9.11</v>
      </c>
      <c r="G106" s="254">
        <v>9.11</v>
      </c>
      <c r="H106" s="255">
        <v>9.11</v>
      </c>
      <c r="I106" s="259" t="s">
        <v>59</v>
      </c>
      <c r="J106" s="259" t="s">
        <v>59</v>
      </c>
      <c r="K106" s="259" t="s">
        <v>59</v>
      </c>
      <c r="L106" s="259" t="s">
        <v>59</v>
      </c>
      <c r="M106" s="242"/>
      <c r="N106" s="242"/>
    </row>
    <row r="107" spans="1:14">
      <c r="A107" s="254">
        <v>9.1199999999999992</v>
      </c>
      <c r="B107" s="254">
        <v>9.1199999999999992</v>
      </c>
      <c r="C107" s="254">
        <v>9.1199999999999992</v>
      </c>
      <c r="D107" s="254">
        <v>9.1199999999999992</v>
      </c>
      <c r="E107" s="254">
        <v>9.1199999999999992</v>
      </c>
      <c r="F107" s="254">
        <v>9.1199999999999992</v>
      </c>
      <c r="G107" s="254">
        <v>9.1199999999999992</v>
      </c>
      <c r="H107" s="255">
        <v>9.0399999999999991</v>
      </c>
      <c r="I107" s="256" t="s">
        <v>258</v>
      </c>
      <c r="J107" s="256" t="s">
        <v>258</v>
      </c>
      <c r="K107" s="256" t="s">
        <v>258</v>
      </c>
      <c r="L107" s="256" t="s">
        <v>257</v>
      </c>
      <c r="M107" s="242"/>
      <c r="N107" s="242"/>
    </row>
    <row r="108" spans="1:14">
      <c r="A108" s="254">
        <v>9.1300000000000008</v>
      </c>
      <c r="B108" s="254">
        <v>9.1300000000000008</v>
      </c>
      <c r="C108" s="254">
        <v>9.1300000000000008</v>
      </c>
      <c r="D108" s="254">
        <v>9.1300000000000008</v>
      </c>
      <c r="E108" s="254">
        <v>9.1300000000000008</v>
      </c>
      <c r="F108" s="254">
        <v>9.1300000000000008</v>
      </c>
      <c r="G108" s="254">
        <v>9.1300000000000008</v>
      </c>
      <c r="H108" s="255">
        <v>9.0500000000000007</v>
      </c>
      <c r="I108" s="256" t="s">
        <v>260</v>
      </c>
      <c r="J108" s="256" t="s">
        <v>260</v>
      </c>
      <c r="K108" s="256" t="s">
        <v>260</v>
      </c>
      <c r="L108" s="256" t="s">
        <v>259</v>
      </c>
      <c r="M108" s="242"/>
      <c r="N108" s="242"/>
    </row>
    <row r="109" spans="1:14">
      <c r="A109" s="254">
        <v>9.14</v>
      </c>
      <c r="B109" s="254">
        <v>9.14</v>
      </c>
      <c r="C109" s="254">
        <v>9.14</v>
      </c>
      <c r="D109" s="254">
        <v>9.14</v>
      </c>
      <c r="E109" s="254">
        <v>9.14</v>
      </c>
      <c r="F109" s="254">
        <v>9.14</v>
      </c>
      <c r="G109" s="254">
        <v>9.14</v>
      </c>
      <c r="H109" s="255">
        <v>9.06</v>
      </c>
      <c r="I109" s="256" t="s">
        <v>256</v>
      </c>
      <c r="J109" s="256" t="s">
        <v>256</v>
      </c>
      <c r="K109" s="256" t="s">
        <v>256</v>
      </c>
      <c r="L109" s="256" t="s">
        <v>255</v>
      </c>
      <c r="M109" s="242"/>
      <c r="N109" s="242"/>
    </row>
    <row r="110" spans="1:14">
      <c r="A110" s="254">
        <v>9.15</v>
      </c>
      <c r="B110" s="254">
        <v>9.15</v>
      </c>
      <c r="C110" s="254">
        <v>9.15</v>
      </c>
      <c r="D110" s="254">
        <v>1.41</v>
      </c>
      <c r="E110" s="254" t="s">
        <v>59</v>
      </c>
      <c r="F110" s="254" t="s">
        <v>59</v>
      </c>
      <c r="G110" s="254" t="s">
        <v>59</v>
      </c>
      <c r="H110" s="254" t="s">
        <v>59</v>
      </c>
      <c r="I110" s="254" t="s">
        <v>59</v>
      </c>
      <c r="J110" s="254" t="s">
        <v>59</v>
      </c>
      <c r="K110" s="254" t="s">
        <v>59</v>
      </c>
      <c r="L110" s="254" t="s">
        <v>59</v>
      </c>
      <c r="M110" s="242"/>
      <c r="N110" s="242"/>
    </row>
    <row r="111" spans="1:14">
      <c r="A111" s="254">
        <v>9.16</v>
      </c>
      <c r="B111" s="254">
        <v>9.16</v>
      </c>
      <c r="C111" s="254">
        <v>9.16</v>
      </c>
      <c r="D111" s="254">
        <v>9.16</v>
      </c>
      <c r="E111" s="254">
        <v>9.16</v>
      </c>
      <c r="F111" s="254">
        <v>9.16</v>
      </c>
      <c r="G111" s="254">
        <v>9.16</v>
      </c>
      <c r="H111" s="255">
        <v>9.1</v>
      </c>
      <c r="I111" s="256" t="s">
        <v>180</v>
      </c>
      <c r="J111" s="256" t="s">
        <v>180</v>
      </c>
      <c r="K111" s="256" t="s">
        <v>180</v>
      </c>
      <c r="L111" s="256" t="s">
        <v>179</v>
      </c>
      <c r="M111" s="242"/>
      <c r="N111" s="242"/>
    </row>
    <row r="112" spans="1:14">
      <c r="A112" s="254">
        <v>9.17</v>
      </c>
      <c r="B112" s="254">
        <v>9.17</v>
      </c>
      <c r="C112" s="254">
        <v>9.17</v>
      </c>
      <c r="D112" s="254">
        <v>9.17</v>
      </c>
      <c r="E112" s="254">
        <v>9.17</v>
      </c>
      <c r="F112" s="254">
        <v>9.17</v>
      </c>
      <c r="G112" s="254">
        <v>9.17</v>
      </c>
      <c r="H112" s="263" t="s">
        <v>59</v>
      </c>
      <c r="I112" s="259" t="s">
        <v>59</v>
      </c>
      <c r="J112" s="259" t="s">
        <v>59</v>
      </c>
      <c r="K112" s="259" t="s">
        <v>59</v>
      </c>
      <c r="L112" s="259" t="s">
        <v>59</v>
      </c>
      <c r="M112" s="242"/>
      <c r="N112" s="242"/>
    </row>
    <row r="113" spans="1:14">
      <c r="A113" s="254">
        <v>9.18</v>
      </c>
      <c r="B113" s="254">
        <v>9.18</v>
      </c>
      <c r="C113" s="254">
        <v>9.18</v>
      </c>
      <c r="D113" s="254">
        <v>9.18</v>
      </c>
      <c r="E113" s="254">
        <v>9.18</v>
      </c>
      <c r="F113" s="254">
        <v>9.18</v>
      </c>
      <c r="G113" s="254">
        <v>9.18</v>
      </c>
      <c r="H113" s="263" t="s">
        <v>59</v>
      </c>
      <c r="I113" s="259" t="s">
        <v>59</v>
      </c>
      <c r="J113" s="259" t="s">
        <v>59</v>
      </c>
      <c r="K113" s="259" t="s">
        <v>59</v>
      </c>
      <c r="L113" s="259" t="s">
        <v>59</v>
      </c>
      <c r="M113" s="242"/>
      <c r="N113" s="242"/>
    </row>
    <row r="114" spans="1:14">
      <c r="A114" s="254">
        <v>9.19</v>
      </c>
      <c r="B114" s="254">
        <v>9.19</v>
      </c>
      <c r="C114" s="254">
        <v>9.19</v>
      </c>
      <c r="D114" s="254">
        <v>9.19</v>
      </c>
      <c r="E114" s="254">
        <v>9.19</v>
      </c>
      <c r="F114" s="254">
        <v>9.01</v>
      </c>
      <c r="G114" s="254">
        <v>9.01</v>
      </c>
      <c r="H114" s="255">
        <v>9.01</v>
      </c>
      <c r="I114" s="259" t="s">
        <v>59</v>
      </c>
      <c r="J114" s="259" t="s">
        <v>59</v>
      </c>
      <c r="K114" s="259" t="s">
        <v>59</v>
      </c>
      <c r="L114" s="259" t="s">
        <v>59</v>
      </c>
      <c r="M114" s="242"/>
      <c r="N114" s="242"/>
    </row>
    <row r="115" spans="1:14">
      <c r="A115" s="254" t="s">
        <v>77</v>
      </c>
      <c r="B115" s="254" t="s">
        <v>77</v>
      </c>
      <c r="C115" s="254" t="s">
        <v>77</v>
      </c>
      <c r="D115" s="254">
        <v>9.1999999999999993</v>
      </c>
      <c r="E115" s="254">
        <v>9.1999999999999993</v>
      </c>
      <c r="F115" s="254" t="s">
        <v>59</v>
      </c>
      <c r="G115" s="254" t="s">
        <v>59</v>
      </c>
      <c r="H115" s="254" t="s">
        <v>59</v>
      </c>
      <c r="I115" s="254" t="s">
        <v>59</v>
      </c>
      <c r="J115" s="254" t="s">
        <v>59</v>
      </c>
      <c r="K115" s="254" t="s">
        <v>59</v>
      </c>
      <c r="L115" s="254" t="s">
        <v>59</v>
      </c>
      <c r="M115" s="242"/>
      <c r="N115" s="242"/>
    </row>
    <row r="116" spans="1:14">
      <c r="A116" s="254" t="s">
        <v>216</v>
      </c>
      <c r="B116" s="254" t="s">
        <v>216</v>
      </c>
      <c r="C116" s="254" t="s">
        <v>216</v>
      </c>
      <c r="D116" s="254">
        <v>1.08</v>
      </c>
      <c r="E116" s="254">
        <v>1.08</v>
      </c>
      <c r="F116" s="254">
        <v>1.08</v>
      </c>
      <c r="G116" s="254">
        <v>1.08</v>
      </c>
      <c r="H116" s="255">
        <v>1.08</v>
      </c>
      <c r="I116" s="256" t="s">
        <v>128</v>
      </c>
      <c r="J116" s="256" t="s">
        <v>128</v>
      </c>
      <c r="K116" s="256" t="s">
        <v>128</v>
      </c>
      <c r="L116" s="256" t="s">
        <v>128</v>
      </c>
      <c r="M116" s="242"/>
      <c r="N116" s="242"/>
    </row>
    <row r="117" spans="1:14">
      <c r="A117" s="254" t="s">
        <v>76</v>
      </c>
      <c r="B117" s="254" t="s">
        <v>76</v>
      </c>
      <c r="C117" s="254" t="s">
        <v>76</v>
      </c>
      <c r="D117" s="254">
        <v>1.07</v>
      </c>
      <c r="E117" s="254">
        <v>1.07</v>
      </c>
      <c r="F117" s="254">
        <v>1.07</v>
      </c>
      <c r="G117" s="254">
        <v>1.07</v>
      </c>
      <c r="H117" s="255">
        <v>1.07</v>
      </c>
      <c r="I117" s="256" t="s">
        <v>127</v>
      </c>
      <c r="J117" s="256" t="s">
        <v>127</v>
      </c>
      <c r="K117" s="256" t="s">
        <v>127</v>
      </c>
      <c r="L117" s="256" t="s">
        <v>127</v>
      </c>
      <c r="M117" s="242"/>
      <c r="N117" s="242"/>
    </row>
    <row r="118" spans="1:14">
      <c r="A118" s="254" t="s">
        <v>62</v>
      </c>
      <c r="B118" s="254" t="s">
        <v>62</v>
      </c>
      <c r="C118" s="254" t="s">
        <v>62</v>
      </c>
      <c r="D118" s="257" t="s">
        <v>62</v>
      </c>
      <c r="E118" s="258">
        <v>2.0099999999999998</v>
      </c>
      <c r="F118" s="258">
        <v>2.0099999999999998</v>
      </c>
      <c r="G118" s="258">
        <v>2.0099999999999998</v>
      </c>
      <c r="H118" s="258">
        <v>2.0099999999999998</v>
      </c>
      <c r="I118" s="256" t="s">
        <v>181</v>
      </c>
      <c r="J118" s="256" t="s">
        <v>181</v>
      </c>
      <c r="K118" s="256" t="s">
        <v>181</v>
      </c>
      <c r="L118" s="256" t="s">
        <v>59</v>
      </c>
      <c r="M118" s="242"/>
      <c r="N118" s="242"/>
    </row>
    <row r="119" spans="1:14">
      <c r="A119" s="260" t="s">
        <v>63</v>
      </c>
      <c r="B119" s="260" t="s">
        <v>63</v>
      </c>
      <c r="C119" s="260" t="s">
        <v>63</v>
      </c>
      <c r="D119" s="257" t="s">
        <v>63</v>
      </c>
      <c r="E119" s="258">
        <v>2.02</v>
      </c>
      <c r="F119" s="258">
        <v>2.02</v>
      </c>
      <c r="G119" s="258">
        <v>2.02</v>
      </c>
      <c r="H119" s="258">
        <v>2.02</v>
      </c>
      <c r="I119" s="256" t="s">
        <v>181</v>
      </c>
      <c r="J119" s="256" t="s">
        <v>181</v>
      </c>
      <c r="K119" s="256" t="s">
        <v>181</v>
      </c>
      <c r="L119" s="256" t="s">
        <v>59</v>
      </c>
      <c r="M119" s="242"/>
      <c r="N119" s="242"/>
    </row>
    <row r="120" spans="1:14">
      <c r="A120" s="254" t="s">
        <v>64</v>
      </c>
      <c r="B120" s="254" t="s">
        <v>64</v>
      </c>
      <c r="C120" s="254" t="s">
        <v>64</v>
      </c>
      <c r="D120" s="260" t="s">
        <v>64</v>
      </c>
      <c r="E120" s="254">
        <v>2.13</v>
      </c>
      <c r="F120" s="254" t="s">
        <v>59</v>
      </c>
      <c r="G120" s="254" t="s">
        <v>59</v>
      </c>
      <c r="H120" s="254" t="s">
        <v>59</v>
      </c>
      <c r="I120" s="254" t="s">
        <v>59</v>
      </c>
      <c r="J120" s="254" t="s">
        <v>59</v>
      </c>
      <c r="K120" s="254" t="s">
        <v>59</v>
      </c>
      <c r="L120" s="254" t="s">
        <v>59</v>
      </c>
      <c r="M120" s="242"/>
      <c r="N120" s="242"/>
    </row>
    <row r="121" spans="1:14">
      <c r="A121" s="254">
        <v>11.01</v>
      </c>
      <c r="B121" s="254">
        <v>11.01</v>
      </c>
      <c r="C121" s="254">
        <v>11.01</v>
      </c>
      <c r="D121" s="254">
        <v>1.42</v>
      </c>
      <c r="E121" s="254">
        <v>1.42</v>
      </c>
      <c r="F121" s="254">
        <v>1.42</v>
      </c>
      <c r="G121" s="254">
        <v>1.42</v>
      </c>
      <c r="H121" s="255">
        <v>8.02</v>
      </c>
      <c r="I121" s="256" t="s">
        <v>89</v>
      </c>
      <c r="J121" s="256" t="s">
        <v>89</v>
      </c>
      <c r="K121" s="256" t="s">
        <v>89</v>
      </c>
      <c r="L121" s="256" t="s">
        <v>89</v>
      </c>
      <c r="M121" s="242"/>
      <c r="N121" s="242"/>
    </row>
    <row r="122" spans="1:14">
      <c r="A122" s="254">
        <v>11.02</v>
      </c>
      <c r="B122" s="254">
        <v>11.02</v>
      </c>
      <c r="C122" s="254">
        <v>11.02</v>
      </c>
      <c r="D122" s="254">
        <v>1.02</v>
      </c>
      <c r="E122" s="254">
        <v>1.02</v>
      </c>
      <c r="F122" s="254">
        <v>1.02</v>
      </c>
      <c r="G122" s="254">
        <v>1.02</v>
      </c>
      <c r="H122" s="255">
        <v>1.02</v>
      </c>
      <c r="I122" s="259" t="s">
        <v>59</v>
      </c>
      <c r="J122" s="259" t="s">
        <v>59</v>
      </c>
      <c r="K122" s="259" t="s">
        <v>59</v>
      </c>
      <c r="L122" s="259" t="s">
        <v>59</v>
      </c>
      <c r="M122" s="242"/>
      <c r="N122" s="242"/>
    </row>
    <row r="123" spans="1:14">
      <c r="A123" s="254">
        <v>11.03</v>
      </c>
      <c r="B123" s="254">
        <v>11.03</v>
      </c>
      <c r="C123" s="254">
        <v>11.03</v>
      </c>
      <c r="D123" s="254">
        <v>1.03</v>
      </c>
      <c r="E123" s="254">
        <v>1.03</v>
      </c>
      <c r="F123" s="254">
        <v>1.03</v>
      </c>
      <c r="G123" s="254">
        <v>1.03</v>
      </c>
      <c r="H123" s="255">
        <v>1.03</v>
      </c>
      <c r="I123" s="256" t="s">
        <v>107</v>
      </c>
      <c r="J123" s="256" t="s">
        <v>107</v>
      </c>
      <c r="K123" s="256" t="s">
        <v>107</v>
      </c>
      <c r="L123" s="256" t="s">
        <v>107</v>
      </c>
      <c r="M123" s="242"/>
      <c r="N123" s="242"/>
    </row>
    <row r="124" spans="1:14">
      <c r="A124" s="254">
        <v>11.04</v>
      </c>
      <c r="B124" s="254">
        <v>11.04</v>
      </c>
      <c r="C124" s="254">
        <v>11.04</v>
      </c>
      <c r="D124" s="254">
        <v>1.04</v>
      </c>
      <c r="E124" s="254">
        <v>1.04</v>
      </c>
      <c r="F124" s="254">
        <v>1.04</v>
      </c>
      <c r="G124" s="254">
        <v>1.04</v>
      </c>
      <c r="H124" s="255">
        <v>1.04</v>
      </c>
      <c r="I124" s="256" t="s">
        <v>108</v>
      </c>
      <c r="J124" s="256" t="s">
        <v>108</v>
      </c>
      <c r="K124" s="256" t="s">
        <v>108</v>
      </c>
      <c r="L124" s="256" t="s">
        <v>108</v>
      </c>
      <c r="M124" s="242"/>
      <c r="N124" s="242"/>
    </row>
    <row r="125" spans="1:14">
      <c r="A125" s="254">
        <v>11.05</v>
      </c>
      <c r="B125" s="254">
        <v>11.05</v>
      </c>
      <c r="C125" s="254">
        <v>11.05</v>
      </c>
      <c r="D125" s="254">
        <v>1.05</v>
      </c>
      <c r="E125" s="254">
        <v>1.05</v>
      </c>
      <c r="F125" s="254">
        <v>1.05</v>
      </c>
      <c r="G125" s="254">
        <v>1.05</v>
      </c>
      <c r="H125" s="255">
        <v>1.05</v>
      </c>
      <c r="I125" s="256" t="s">
        <v>111</v>
      </c>
      <c r="J125" s="256" t="s">
        <v>111</v>
      </c>
      <c r="K125" s="256" t="s">
        <v>111</v>
      </c>
      <c r="L125" s="256" t="s">
        <v>111</v>
      </c>
      <c r="M125" s="242"/>
      <c r="N125" s="242"/>
    </row>
    <row r="126" spans="1:14">
      <c r="A126" s="254">
        <v>11.06</v>
      </c>
      <c r="B126" s="254">
        <v>11.06</v>
      </c>
      <c r="C126" s="254">
        <v>11.06</v>
      </c>
      <c r="D126" s="254">
        <v>1.06</v>
      </c>
      <c r="E126" s="254">
        <v>1.06</v>
      </c>
      <c r="F126" s="254">
        <v>1.06</v>
      </c>
      <c r="G126" s="254">
        <v>1.06</v>
      </c>
      <c r="H126" s="255">
        <v>1.06</v>
      </c>
      <c r="I126" s="256" t="s">
        <v>112</v>
      </c>
      <c r="J126" s="256" t="s">
        <v>112</v>
      </c>
      <c r="K126" s="256" t="s">
        <v>112</v>
      </c>
      <c r="L126" s="256" t="s">
        <v>112</v>
      </c>
      <c r="M126" s="242"/>
      <c r="N126" s="242"/>
    </row>
    <row r="127" spans="1:14">
      <c r="A127" s="254">
        <v>11.07</v>
      </c>
      <c r="B127" s="254">
        <v>11.07</v>
      </c>
      <c r="C127" s="254">
        <v>11.07</v>
      </c>
      <c r="D127" s="254">
        <v>1.35</v>
      </c>
      <c r="E127" s="254">
        <v>1.35</v>
      </c>
      <c r="F127" s="254">
        <v>1.35</v>
      </c>
      <c r="G127" s="254">
        <v>1.35</v>
      </c>
      <c r="H127" s="255" t="s">
        <v>59</v>
      </c>
      <c r="I127" s="259" t="s">
        <v>59</v>
      </c>
      <c r="J127" s="259" t="s">
        <v>59</v>
      </c>
      <c r="K127" s="259" t="s">
        <v>59</v>
      </c>
      <c r="L127" s="259" t="s">
        <v>59</v>
      </c>
      <c r="M127" s="242"/>
      <c r="N127" s="242"/>
    </row>
    <row r="128" spans="1:14">
      <c r="A128" s="254">
        <v>11.08</v>
      </c>
      <c r="B128" s="254">
        <v>11.08</v>
      </c>
      <c r="C128" s="254">
        <v>11.08</v>
      </c>
      <c r="D128" s="254">
        <v>1.36</v>
      </c>
      <c r="E128" s="254">
        <v>1.36</v>
      </c>
      <c r="F128" s="254">
        <v>1.36</v>
      </c>
      <c r="G128" s="254">
        <v>1.36</v>
      </c>
      <c r="H128" s="255" t="s">
        <v>59</v>
      </c>
      <c r="I128" s="259" t="s">
        <v>59</v>
      </c>
      <c r="J128" s="259" t="s">
        <v>59</v>
      </c>
      <c r="K128" s="259" t="s">
        <v>59</v>
      </c>
      <c r="L128" s="259" t="s">
        <v>59</v>
      </c>
      <c r="M128" s="242"/>
      <c r="N128" s="242"/>
    </row>
    <row r="129" spans="1:14">
      <c r="A129" s="254">
        <v>11.09</v>
      </c>
      <c r="B129" s="254">
        <v>11.09</v>
      </c>
      <c r="C129" s="254">
        <v>11.09</v>
      </c>
      <c r="D129" s="254">
        <v>1.37</v>
      </c>
      <c r="E129" s="254">
        <v>1.37</v>
      </c>
      <c r="F129" s="254">
        <v>1.37</v>
      </c>
      <c r="G129" s="254">
        <v>1.37</v>
      </c>
      <c r="H129" s="255" t="s">
        <v>59</v>
      </c>
      <c r="I129" s="259" t="s">
        <v>59</v>
      </c>
      <c r="J129" s="259" t="s">
        <v>59</v>
      </c>
      <c r="K129" s="259" t="s">
        <v>59</v>
      </c>
      <c r="L129" s="259" t="s">
        <v>59</v>
      </c>
      <c r="M129" s="242"/>
      <c r="N129" s="242"/>
    </row>
    <row r="130" spans="1:14">
      <c r="A130" s="254" t="s">
        <v>75</v>
      </c>
      <c r="B130" s="254" t="s">
        <v>75</v>
      </c>
      <c r="C130" s="254" t="s">
        <v>75</v>
      </c>
      <c r="D130" s="254">
        <v>1.38</v>
      </c>
      <c r="E130" s="254">
        <v>1.38</v>
      </c>
      <c r="F130" s="254">
        <v>1.38</v>
      </c>
      <c r="G130" s="254">
        <v>1.38</v>
      </c>
      <c r="H130" s="255" t="s">
        <v>59</v>
      </c>
      <c r="I130" s="259" t="s">
        <v>59</v>
      </c>
      <c r="J130" s="259" t="s">
        <v>59</v>
      </c>
      <c r="K130" s="259" t="s">
        <v>59</v>
      </c>
      <c r="L130" s="259" t="s">
        <v>59</v>
      </c>
      <c r="M130" s="242"/>
      <c r="N130" s="242"/>
    </row>
    <row r="131" spans="1:14">
      <c r="A131" s="264">
        <v>11.11</v>
      </c>
      <c r="B131" s="264">
        <v>11.11</v>
      </c>
      <c r="C131" s="264">
        <v>11.11</v>
      </c>
      <c r="D131" s="254">
        <v>1.34</v>
      </c>
      <c r="E131" s="254">
        <v>1.34</v>
      </c>
      <c r="F131" s="254">
        <v>1.34</v>
      </c>
      <c r="G131" s="254">
        <v>1.34</v>
      </c>
      <c r="H131" s="255" t="s">
        <v>59</v>
      </c>
      <c r="I131" s="259" t="s">
        <v>59</v>
      </c>
      <c r="J131" s="259" t="s">
        <v>59</v>
      </c>
      <c r="K131" s="259" t="s">
        <v>59</v>
      </c>
      <c r="L131" s="259" t="s">
        <v>59</v>
      </c>
      <c r="M131" s="242"/>
      <c r="N131" s="242"/>
    </row>
    <row r="132" spans="1:14">
      <c r="A132" s="254">
        <v>11.12</v>
      </c>
      <c r="B132" s="254">
        <v>11.12</v>
      </c>
      <c r="C132" s="254">
        <v>11.12</v>
      </c>
      <c r="D132" s="254">
        <v>1.48</v>
      </c>
      <c r="E132" s="254">
        <v>1.48</v>
      </c>
      <c r="F132" s="254" t="s">
        <v>59</v>
      </c>
      <c r="G132" s="254" t="s">
        <v>59</v>
      </c>
      <c r="H132" s="254" t="s">
        <v>59</v>
      </c>
      <c r="I132" s="254" t="s">
        <v>59</v>
      </c>
      <c r="J132" s="254" t="s">
        <v>59</v>
      </c>
      <c r="K132" s="254" t="s">
        <v>59</v>
      </c>
      <c r="L132" s="254" t="s">
        <v>59</v>
      </c>
      <c r="M132" s="242"/>
      <c r="N132" s="242"/>
    </row>
    <row r="133" spans="1:14">
      <c r="A133" s="254">
        <v>11.13</v>
      </c>
      <c r="B133" s="254">
        <v>11.13</v>
      </c>
      <c r="C133" s="254">
        <v>11.13</v>
      </c>
      <c r="D133" s="254">
        <v>1.47</v>
      </c>
      <c r="E133" s="254">
        <v>1.47</v>
      </c>
      <c r="F133" s="254" t="s">
        <v>59</v>
      </c>
      <c r="G133" s="254" t="s">
        <v>59</v>
      </c>
      <c r="H133" s="254" t="s">
        <v>59</v>
      </c>
      <c r="I133" s="254" t="s">
        <v>59</v>
      </c>
      <c r="J133" s="254" t="s">
        <v>59</v>
      </c>
      <c r="K133" s="254" t="s">
        <v>59</v>
      </c>
      <c r="L133" s="254" t="s">
        <v>59</v>
      </c>
      <c r="M133" s="242"/>
      <c r="N133" s="242"/>
    </row>
    <row r="134" spans="1:14">
      <c r="A134" s="254">
        <v>11.14</v>
      </c>
      <c r="B134" s="254">
        <v>11.14</v>
      </c>
      <c r="C134" s="254">
        <v>11.14</v>
      </c>
      <c r="D134" s="257">
        <v>2.0099999999999998</v>
      </c>
      <c r="E134" s="258" t="s">
        <v>59</v>
      </c>
      <c r="F134" s="258" t="s">
        <v>59</v>
      </c>
      <c r="G134" s="258" t="s">
        <v>59</v>
      </c>
      <c r="H134" s="258" t="s">
        <v>59</v>
      </c>
      <c r="I134" s="258" t="s">
        <v>59</v>
      </c>
      <c r="J134" s="258" t="s">
        <v>59</v>
      </c>
      <c r="K134" s="258" t="s">
        <v>59</v>
      </c>
      <c r="L134" s="258" t="s">
        <v>59</v>
      </c>
      <c r="M134" s="242"/>
      <c r="N134" s="242"/>
    </row>
    <row r="135" spans="1:14">
      <c r="A135" s="257">
        <v>11.15</v>
      </c>
      <c r="B135" s="257">
        <v>11.15</v>
      </c>
      <c r="C135" s="257">
        <v>11.15</v>
      </c>
      <c r="D135" s="254">
        <v>2.02</v>
      </c>
      <c r="E135" s="254">
        <v>2.12</v>
      </c>
      <c r="F135" s="254">
        <v>2.12</v>
      </c>
      <c r="G135" s="254" t="s">
        <v>59</v>
      </c>
      <c r="H135" s="254" t="s">
        <v>59</v>
      </c>
      <c r="I135" s="254" t="s">
        <v>59</v>
      </c>
      <c r="J135" s="254" t="s">
        <v>59</v>
      </c>
      <c r="K135" s="254" t="s">
        <v>59</v>
      </c>
      <c r="L135" s="254" t="s">
        <v>59</v>
      </c>
      <c r="M135" s="242"/>
      <c r="N135" s="242"/>
    </row>
    <row r="136" spans="1:14">
      <c r="A136" s="257">
        <v>11.16</v>
      </c>
      <c r="B136" s="257">
        <v>11.16</v>
      </c>
      <c r="C136" s="257">
        <v>11.16</v>
      </c>
      <c r="D136" s="258">
        <v>2.0299999999999998</v>
      </c>
      <c r="E136" s="258">
        <v>2.0299999999999998</v>
      </c>
      <c r="F136" s="258">
        <v>2.0299999999999998</v>
      </c>
      <c r="G136" s="258">
        <v>2.0299999999999998</v>
      </c>
      <c r="H136" s="256">
        <v>2.0299999999999998</v>
      </c>
      <c r="I136" s="256" t="s">
        <v>184</v>
      </c>
      <c r="J136" s="256" t="s">
        <v>184</v>
      </c>
      <c r="K136" s="256" t="s">
        <v>184</v>
      </c>
      <c r="L136" s="256" t="s">
        <v>59</v>
      </c>
      <c r="M136" s="242"/>
      <c r="N136" s="242"/>
    </row>
    <row r="137" spans="1:14">
      <c r="A137" s="254">
        <v>11.17</v>
      </c>
      <c r="B137" s="254">
        <v>11.17</v>
      </c>
      <c r="C137" s="254">
        <v>11.17</v>
      </c>
      <c r="D137" s="254">
        <v>1.49</v>
      </c>
      <c r="E137" s="254">
        <v>1.49</v>
      </c>
      <c r="F137" s="254" t="s">
        <v>59</v>
      </c>
      <c r="G137" s="254" t="s">
        <v>59</v>
      </c>
      <c r="H137" s="254" t="s">
        <v>59</v>
      </c>
      <c r="I137" s="254" t="s">
        <v>59</v>
      </c>
      <c r="J137" s="254" t="s">
        <v>59</v>
      </c>
      <c r="K137" s="254" t="s">
        <v>59</v>
      </c>
      <c r="L137" s="254" t="s">
        <v>59</v>
      </c>
      <c r="M137" s="242"/>
      <c r="N137" s="242"/>
    </row>
    <row r="138" spans="1:14">
      <c r="A138" s="254">
        <v>11.18</v>
      </c>
      <c r="B138" s="254">
        <v>11.18</v>
      </c>
      <c r="C138" s="254">
        <v>11.18</v>
      </c>
      <c r="D138" s="254" t="s">
        <v>59</v>
      </c>
      <c r="E138" s="254" t="s">
        <v>59</v>
      </c>
      <c r="F138" s="254" t="s">
        <v>59</v>
      </c>
      <c r="G138" s="254" t="s">
        <v>59</v>
      </c>
      <c r="H138" s="254" t="s">
        <v>59</v>
      </c>
      <c r="I138" s="254" t="s">
        <v>59</v>
      </c>
      <c r="J138" s="254" t="s">
        <v>59</v>
      </c>
      <c r="K138" s="254" t="s">
        <v>59</v>
      </c>
      <c r="L138" s="254" t="s">
        <v>59</v>
      </c>
      <c r="M138" s="242"/>
      <c r="N138" s="242"/>
    </row>
    <row r="139" spans="1:14">
      <c r="A139" s="254">
        <v>11.19</v>
      </c>
      <c r="B139" s="254">
        <v>11.19</v>
      </c>
      <c r="C139" s="254" t="s">
        <v>59</v>
      </c>
      <c r="D139" s="254" t="s">
        <v>59</v>
      </c>
      <c r="E139" s="254" t="s">
        <v>59</v>
      </c>
      <c r="F139" s="254" t="s">
        <v>59</v>
      </c>
      <c r="G139" s="254" t="s">
        <v>59</v>
      </c>
      <c r="H139" s="254" t="s">
        <v>59</v>
      </c>
      <c r="I139" s="254" t="s">
        <v>59</v>
      </c>
      <c r="J139" s="254" t="s">
        <v>59</v>
      </c>
      <c r="K139" s="254" t="s">
        <v>59</v>
      </c>
      <c r="L139" s="254" t="s">
        <v>59</v>
      </c>
      <c r="M139" s="242"/>
      <c r="N139" s="242"/>
    </row>
    <row r="140" spans="1:14">
      <c r="A140" s="264" t="s">
        <v>59</v>
      </c>
      <c r="B140" s="264" t="s">
        <v>59</v>
      </c>
      <c r="C140" s="264" t="s">
        <v>59</v>
      </c>
      <c r="D140" s="254">
        <v>1.44</v>
      </c>
      <c r="E140" s="254">
        <v>1.44</v>
      </c>
      <c r="F140" s="254">
        <v>1.44</v>
      </c>
      <c r="G140" s="254" t="s">
        <v>59</v>
      </c>
      <c r="H140" s="254" t="s">
        <v>59</v>
      </c>
      <c r="I140" s="254" t="s">
        <v>59</v>
      </c>
      <c r="J140" s="254" t="s">
        <v>59</v>
      </c>
      <c r="K140" s="254" t="s">
        <v>59</v>
      </c>
      <c r="L140" s="254" t="s">
        <v>59</v>
      </c>
      <c r="M140" s="242"/>
      <c r="N140" s="242"/>
    </row>
    <row r="141" spans="1:14">
      <c r="A141" s="254" t="s">
        <v>59</v>
      </c>
      <c r="B141" s="254" t="s">
        <v>59</v>
      </c>
      <c r="C141" s="254" t="s">
        <v>59</v>
      </c>
      <c r="D141" s="254">
        <v>1.45</v>
      </c>
      <c r="E141" s="254">
        <v>1.45</v>
      </c>
      <c r="F141" s="254" t="s">
        <v>59</v>
      </c>
      <c r="G141" s="254" t="s">
        <v>59</v>
      </c>
      <c r="H141" s="254" t="s">
        <v>59</v>
      </c>
      <c r="I141" s="254" t="s">
        <v>59</v>
      </c>
      <c r="J141" s="254" t="s">
        <v>59</v>
      </c>
      <c r="K141" s="254" t="s">
        <v>59</v>
      </c>
      <c r="L141" s="254" t="s">
        <v>59</v>
      </c>
      <c r="M141" s="242"/>
      <c r="N141" s="242"/>
    </row>
    <row r="142" spans="1:14">
      <c r="A142" s="254" t="s">
        <v>59</v>
      </c>
      <c r="B142" s="254" t="s">
        <v>59</v>
      </c>
      <c r="C142" s="254" t="s">
        <v>59</v>
      </c>
      <c r="D142" s="254">
        <v>1.46</v>
      </c>
      <c r="E142" s="254">
        <v>1.46</v>
      </c>
      <c r="F142" s="254" t="s">
        <v>59</v>
      </c>
      <c r="G142" s="254" t="s">
        <v>59</v>
      </c>
      <c r="H142" s="254" t="s">
        <v>59</v>
      </c>
      <c r="I142" s="254" t="s">
        <v>59</v>
      </c>
      <c r="J142" s="254" t="s">
        <v>59</v>
      </c>
      <c r="K142" s="254" t="s">
        <v>59</v>
      </c>
      <c r="L142" s="254" t="s">
        <v>59</v>
      </c>
      <c r="M142" s="242"/>
      <c r="N142" s="242"/>
    </row>
    <row r="143" spans="1:14">
      <c r="A143" s="259" t="s">
        <v>59</v>
      </c>
      <c r="B143" s="259" t="s">
        <v>59</v>
      </c>
      <c r="C143" s="259" t="s">
        <v>59</v>
      </c>
      <c r="D143" s="258">
        <v>3.01</v>
      </c>
      <c r="E143" s="258">
        <v>3.01</v>
      </c>
      <c r="F143" s="258">
        <v>3.01</v>
      </c>
      <c r="G143" s="258">
        <v>3.01</v>
      </c>
      <c r="H143" s="256">
        <v>3.01</v>
      </c>
      <c r="I143" s="256" t="s">
        <v>251</v>
      </c>
      <c r="J143" s="256" t="s">
        <v>251</v>
      </c>
      <c r="K143" s="256" t="s">
        <v>192</v>
      </c>
      <c r="L143" s="256" t="s">
        <v>193</v>
      </c>
      <c r="M143" s="242"/>
      <c r="N143" s="242"/>
    </row>
    <row r="144" spans="1:14">
      <c r="A144" s="259" t="s">
        <v>59</v>
      </c>
      <c r="B144" s="259" t="s">
        <v>59</v>
      </c>
      <c r="C144" s="259" t="s">
        <v>59</v>
      </c>
      <c r="D144" s="258">
        <v>3.02</v>
      </c>
      <c r="E144" s="258">
        <v>3.02</v>
      </c>
      <c r="F144" s="258">
        <v>3.02</v>
      </c>
      <c r="G144" s="258">
        <v>3.02</v>
      </c>
      <c r="H144" s="256">
        <v>3.02</v>
      </c>
      <c r="I144" s="259" t="s">
        <v>59</v>
      </c>
      <c r="J144" s="259" t="s">
        <v>59</v>
      </c>
      <c r="K144" s="259" t="s">
        <v>59</v>
      </c>
      <c r="L144" s="259" t="s">
        <v>59</v>
      </c>
      <c r="M144" s="242"/>
      <c r="N144" s="242"/>
    </row>
    <row r="145" spans="1:14">
      <c r="A145" s="259" t="s">
        <v>59</v>
      </c>
      <c r="B145" s="259" t="s">
        <v>59</v>
      </c>
      <c r="C145" s="259" t="s">
        <v>59</v>
      </c>
      <c r="D145" s="258">
        <v>3.03</v>
      </c>
      <c r="E145" s="258">
        <v>3.03</v>
      </c>
      <c r="F145" s="258">
        <v>3.03</v>
      </c>
      <c r="G145" s="258">
        <v>3.03</v>
      </c>
      <c r="H145" s="256">
        <v>3.03</v>
      </c>
      <c r="I145" s="256" t="s">
        <v>252</v>
      </c>
      <c r="J145" s="256" t="s">
        <v>252</v>
      </c>
      <c r="K145" s="256" t="s">
        <v>59</v>
      </c>
      <c r="L145" s="256" t="s">
        <v>59</v>
      </c>
      <c r="M145" s="242"/>
      <c r="N145" s="242"/>
    </row>
    <row r="146" spans="1:14">
      <c r="A146" s="259" t="s">
        <v>59</v>
      </c>
      <c r="B146" s="259" t="s">
        <v>59</v>
      </c>
      <c r="C146" s="259" t="s">
        <v>59</v>
      </c>
      <c r="D146" s="258">
        <v>3.05</v>
      </c>
      <c r="E146" s="258">
        <v>3.05</v>
      </c>
      <c r="F146" s="258">
        <v>3.05</v>
      </c>
      <c r="G146" s="258">
        <v>3.05</v>
      </c>
      <c r="H146" s="256">
        <v>3.05</v>
      </c>
      <c r="I146" s="256" t="s">
        <v>253</v>
      </c>
      <c r="J146" s="256" t="s">
        <v>253</v>
      </c>
      <c r="K146" s="256" t="s">
        <v>59</v>
      </c>
      <c r="L146" s="256" t="s">
        <v>59</v>
      </c>
      <c r="M146" s="242"/>
      <c r="N146" s="242"/>
    </row>
    <row r="147" spans="1:14" ht="9.75" customHeight="1">
      <c r="A147" s="258" t="s">
        <v>59</v>
      </c>
      <c r="B147" s="258" t="s">
        <v>59</v>
      </c>
      <c r="C147" s="258" t="s">
        <v>59</v>
      </c>
      <c r="D147" s="258">
        <v>3.06</v>
      </c>
      <c r="E147" s="258">
        <v>3.06</v>
      </c>
      <c r="F147" s="258">
        <v>3.06</v>
      </c>
      <c r="G147" s="258">
        <v>3.06</v>
      </c>
      <c r="H147" s="256">
        <v>3.06</v>
      </c>
      <c r="I147" s="259" t="s">
        <v>59</v>
      </c>
      <c r="J147" s="259" t="s">
        <v>59</v>
      </c>
      <c r="K147" s="259" t="s">
        <v>59</v>
      </c>
      <c r="L147" s="259" t="s">
        <v>59</v>
      </c>
      <c r="M147" s="242"/>
      <c r="N147" s="242"/>
    </row>
    <row r="148" spans="1:14" ht="9.75" customHeight="1">
      <c r="A148" s="254" t="s">
        <v>59</v>
      </c>
      <c r="B148" s="254" t="s">
        <v>59</v>
      </c>
      <c r="C148" s="254" t="s">
        <v>59</v>
      </c>
      <c r="D148" s="254">
        <v>4.1100000000000003</v>
      </c>
      <c r="E148" s="254">
        <v>4.1100000000000003</v>
      </c>
      <c r="F148" s="254">
        <v>4.1100000000000003</v>
      </c>
      <c r="G148" s="254" t="s">
        <v>59</v>
      </c>
      <c r="H148" s="254" t="s">
        <v>59</v>
      </c>
      <c r="I148" s="254" t="s">
        <v>59</v>
      </c>
      <c r="J148" s="254" t="s">
        <v>59</v>
      </c>
      <c r="K148" s="254" t="s">
        <v>59</v>
      </c>
      <c r="L148" s="254" t="s">
        <v>59</v>
      </c>
      <c r="M148" s="242"/>
      <c r="N148" s="242"/>
    </row>
    <row r="149" spans="1:14">
      <c r="A149" s="254" t="s">
        <v>59</v>
      </c>
      <c r="B149" s="254" t="s">
        <v>59</v>
      </c>
      <c r="C149" s="254" t="s">
        <v>59</v>
      </c>
      <c r="D149" s="254">
        <v>4.12</v>
      </c>
      <c r="E149" s="254">
        <v>4.12</v>
      </c>
      <c r="F149" s="254">
        <v>4.12</v>
      </c>
      <c r="G149" s="254" t="s">
        <v>59</v>
      </c>
      <c r="H149" s="254" t="s">
        <v>59</v>
      </c>
      <c r="I149" s="254" t="s">
        <v>59</v>
      </c>
      <c r="J149" s="254" t="s">
        <v>59</v>
      </c>
      <c r="K149" s="254" t="s">
        <v>59</v>
      </c>
      <c r="L149" s="254" t="s">
        <v>59</v>
      </c>
      <c r="M149" s="242"/>
      <c r="N149" s="242"/>
    </row>
    <row r="150" spans="1:14">
      <c r="A150" s="256" t="s">
        <v>59</v>
      </c>
      <c r="B150" s="256" t="s">
        <v>59</v>
      </c>
      <c r="C150" s="256" t="s">
        <v>59</v>
      </c>
      <c r="D150" s="254">
        <v>9.07</v>
      </c>
      <c r="E150" s="254">
        <v>9.07</v>
      </c>
      <c r="F150" s="254">
        <v>9.07</v>
      </c>
      <c r="G150" s="254">
        <v>9.07</v>
      </c>
      <c r="H150" s="255" t="s">
        <v>59</v>
      </c>
      <c r="I150" s="256" t="s">
        <v>59</v>
      </c>
      <c r="J150" s="256" t="s">
        <v>59</v>
      </c>
      <c r="K150" s="256" t="s">
        <v>59</v>
      </c>
      <c r="L150" s="256" t="s">
        <v>59</v>
      </c>
      <c r="M150" s="242"/>
      <c r="N150" s="242"/>
    </row>
    <row r="151" spans="1:14">
      <c r="A151" s="256" t="s">
        <v>59</v>
      </c>
      <c r="B151" s="256" t="s">
        <v>59</v>
      </c>
      <c r="C151" s="256" t="s">
        <v>59</v>
      </c>
      <c r="D151" s="254">
        <v>9.15</v>
      </c>
      <c r="E151" s="254">
        <v>9.15</v>
      </c>
      <c r="F151" s="254">
        <v>9.15</v>
      </c>
      <c r="G151" s="254">
        <v>9.15</v>
      </c>
      <c r="H151" s="255" t="s">
        <v>59</v>
      </c>
      <c r="I151" s="259" t="s">
        <v>59</v>
      </c>
      <c r="J151" s="259" t="s">
        <v>59</v>
      </c>
      <c r="K151" s="259" t="s">
        <v>59</v>
      </c>
      <c r="L151" s="259" t="s">
        <v>59</v>
      </c>
      <c r="M151" s="242"/>
      <c r="N151" s="242"/>
    </row>
    <row r="152" spans="1:14">
      <c r="A152" s="254" t="s">
        <v>59</v>
      </c>
      <c r="B152" s="254" t="s">
        <v>59</v>
      </c>
      <c r="C152" s="254" t="s">
        <v>59</v>
      </c>
      <c r="D152" s="254" t="s">
        <v>59</v>
      </c>
      <c r="E152" s="254">
        <v>1.41</v>
      </c>
      <c r="F152" s="254">
        <v>1.41</v>
      </c>
      <c r="G152" s="254">
        <v>1.41</v>
      </c>
      <c r="H152" s="255">
        <v>9.07</v>
      </c>
      <c r="I152" s="259" t="s">
        <v>59</v>
      </c>
      <c r="J152" s="259" t="s">
        <v>59</v>
      </c>
      <c r="K152" s="259" t="s">
        <v>59</v>
      </c>
      <c r="L152" s="259" t="s">
        <v>59</v>
      </c>
      <c r="M152" s="242"/>
      <c r="N152" s="242"/>
    </row>
    <row r="153" spans="1:14">
      <c r="A153" s="262" t="s">
        <v>59</v>
      </c>
      <c r="B153" s="262" t="s">
        <v>59</v>
      </c>
      <c r="C153" s="262" t="s">
        <v>59</v>
      </c>
      <c r="D153" s="262" t="s">
        <v>59</v>
      </c>
      <c r="E153" s="265" t="s">
        <v>239</v>
      </c>
      <c r="F153" s="265" t="s">
        <v>239</v>
      </c>
      <c r="G153" s="262" t="s">
        <v>59</v>
      </c>
      <c r="H153" s="262" t="s">
        <v>59</v>
      </c>
      <c r="I153" s="262" t="s">
        <v>59</v>
      </c>
      <c r="J153" s="262" t="s">
        <v>254</v>
      </c>
      <c r="K153" s="262" t="s">
        <v>59</v>
      </c>
      <c r="L153" s="262" t="s">
        <v>59</v>
      </c>
      <c r="M153" s="242"/>
      <c r="N153" s="242"/>
    </row>
    <row r="154" spans="1:14">
      <c r="A154" s="254" t="s">
        <v>59</v>
      </c>
      <c r="B154" s="254" t="s">
        <v>59</v>
      </c>
      <c r="C154" s="254" t="s">
        <v>59</v>
      </c>
      <c r="D154" s="254" t="s">
        <v>59</v>
      </c>
      <c r="E154" s="254">
        <v>8.02</v>
      </c>
      <c r="F154" s="254">
        <v>8.02</v>
      </c>
      <c r="G154" s="254">
        <v>8.02</v>
      </c>
      <c r="H154" s="255">
        <v>8.01</v>
      </c>
      <c r="I154" s="256" t="s">
        <v>86</v>
      </c>
      <c r="J154" s="256" t="s">
        <v>86</v>
      </c>
      <c r="K154" s="256" t="s">
        <v>86</v>
      </c>
      <c r="L154" s="256" t="s">
        <v>86</v>
      </c>
      <c r="M154" s="242"/>
      <c r="N154" s="242"/>
    </row>
    <row r="155" spans="1:14">
      <c r="A155" s="254" t="s">
        <v>59</v>
      </c>
      <c r="B155" s="254" t="s">
        <v>59</v>
      </c>
      <c r="C155" s="254" t="s">
        <v>59</v>
      </c>
      <c r="D155" s="254" t="s">
        <v>59</v>
      </c>
      <c r="E155" s="254" t="s">
        <v>59</v>
      </c>
      <c r="F155" s="254" t="s">
        <v>59</v>
      </c>
      <c r="G155" s="254" t="s">
        <v>59</v>
      </c>
      <c r="H155" s="255" t="s">
        <v>59</v>
      </c>
      <c r="I155" s="256" t="s">
        <v>87</v>
      </c>
      <c r="J155" s="256" t="s">
        <v>87</v>
      </c>
      <c r="K155" s="256" t="s">
        <v>87</v>
      </c>
      <c r="L155" s="256" t="s">
        <v>87</v>
      </c>
      <c r="M155" s="242"/>
      <c r="N155" s="242"/>
    </row>
    <row r="156" spans="1:14">
      <c r="A156" s="254" t="s">
        <v>59</v>
      </c>
      <c r="B156" s="254" t="s">
        <v>59</v>
      </c>
      <c r="C156" s="254" t="s">
        <v>59</v>
      </c>
      <c r="D156" s="254" t="s">
        <v>59</v>
      </c>
      <c r="E156" s="254" t="s">
        <v>59</v>
      </c>
      <c r="F156" s="254" t="s">
        <v>59</v>
      </c>
      <c r="G156" s="254" t="s">
        <v>59</v>
      </c>
      <c r="H156" s="255" t="s">
        <v>59</v>
      </c>
      <c r="I156" s="256" t="s">
        <v>88</v>
      </c>
      <c r="J156" s="256" t="s">
        <v>88</v>
      </c>
      <c r="K156" s="256" t="s">
        <v>88</v>
      </c>
      <c r="L156" s="256" t="s">
        <v>88</v>
      </c>
      <c r="M156" s="242"/>
      <c r="N156" s="242"/>
    </row>
    <row r="157" spans="1:14">
      <c r="A157" s="254" t="s">
        <v>59</v>
      </c>
      <c r="B157" s="254" t="s">
        <v>59</v>
      </c>
      <c r="C157" s="254" t="s">
        <v>59</v>
      </c>
      <c r="D157" s="254" t="s">
        <v>59</v>
      </c>
      <c r="E157" s="254" t="s">
        <v>59</v>
      </c>
      <c r="F157" s="254" t="s">
        <v>59</v>
      </c>
      <c r="G157" s="254" t="s">
        <v>59</v>
      </c>
      <c r="H157" s="255" t="s">
        <v>59</v>
      </c>
      <c r="I157" s="256" t="s">
        <v>90</v>
      </c>
      <c r="J157" s="256" t="s">
        <v>90</v>
      </c>
      <c r="K157" s="256" t="s">
        <v>90</v>
      </c>
      <c r="L157" s="256" t="s">
        <v>90</v>
      </c>
      <c r="M157" s="242"/>
      <c r="N157" s="242"/>
    </row>
    <row r="158" spans="1:14">
      <c r="A158" s="254" t="s">
        <v>59</v>
      </c>
      <c r="B158" s="254" t="s">
        <v>59</v>
      </c>
      <c r="C158" s="254" t="s">
        <v>59</v>
      </c>
      <c r="D158" s="254" t="s">
        <v>59</v>
      </c>
      <c r="E158" s="254" t="s">
        <v>59</v>
      </c>
      <c r="F158" s="254" t="s">
        <v>59</v>
      </c>
      <c r="G158" s="254" t="s">
        <v>59</v>
      </c>
      <c r="H158" s="255" t="s">
        <v>59</v>
      </c>
      <c r="I158" s="256" t="s">
        <v>92</v>
      </c>
      <c r="J158" s="256" t="s">
        <v>92</v>
      </c>
      <c r="K158" s="256" t="s">
        <v>92</v>
      </c>
      <c r="L158" s="256" t="s">
        <v>92</v>
      </c>
      <c r="M158" s="242"/>
      <c r="N158" s="242"/>
    </row>
    <row r="159" spans="1:14">
      <c r="A159" s="254" t="s">
        <v>59</v>
      </c>
      <c r="B159" s="254" t="s">
        <v>59</v>
      </c>
      <c r="C159" s="254" t="s">
        <v>59</v>
      </c>
      <c r="D159" s="254" t="s">
        <v>59</v>
      </c>
      <c r="E159" s="254" t="s">
        <v>59</v>
      </c>
      <c r="F159" s="254" t="s">
        <v>59</v>
      </c>
      <c r="G159" s="254" t="s">
        <v>59</v>
      </c>
      <c r="H159" s="255" t="s">
        <v>59</v>
      </c>
      <c r="I159" s="256" t="s">
        <v>94</v>
      </c>
      <c r="J159" s="256" t="s">
        <v>94</v>
      </c>
      <c r="K159" s="256" t="s">
        <v>94</v>
      </c>
      <c r="L159" s="256" t="s">
        <v>94</v>
      </c>
      <c r="M159" s="242"/>
      <c r="N159" s="242"/>
    </row>
    <row r="160" spans="1:14">
      <c r="A160" s="254" t="s">
        <v>59</v>
      </c>
      <c r="B160" s="254" t="s">
        <v>59</v>
      </c>
      <c r="C160" s="254" t="s">
        <v>59</v>
      </c>
      <c r="D160" s="254" t="s">
        <v>59</v>
      </c>
      <c r="E160" s="254" t="s">
        <v>59</v>
      </c>
      <c r="F160" s="254" t="s">
        <v>59</v>
      </c>
      <c r="G160" s="254" t="s">
        <v>59</v>
      </c>
      <c r="H160" s="255" t="s">
        <v>59</v>
      </c>
      <c r="I160" s="256" t="s">
        <v>97</v>
      </c>
      <c r="J160" s="256" t="s">
        <v>97</v>
      </c>
      <c r="K160" s="256" t="s">
        <v>97</v>
      </c>
      <c r="L160" s="256" t="s">
        <v>97</v>
      </c>
      <c r="M160" s="242"/>
      <c r="N160" s="242"/>
    </row>
    <row r="161" spans="1:14">
      <c r="A161" s="254" t="s">
        <v>59</v>
      </c>
      <c r="B161" s="254" t="s">
        <v>59</v>
      </c>
      <c r="C161" s="254" t="s">
        <v>59</v>
      </c>
      <c r="D161" s="254" t="s">
        <v>59</v>
      </c>
      <c r="E161" s="254" t="s">
        <v>59</v>
      </c>
      <c r="F161" s="254" t="s">
        <v>59</v>
      </c>
      <c r="G161" s="254" t="s">
        <v>59</v>
      </c>
      <c r="H161" s="255" t="s">
        <v>59</v>
      </c>
      <c r="I161" s="256" t="s">
        <v>98</v>
      </c>
      <c r="J161" s="256" t="s">
        <v>98</v>
      </c>
      <c r="K161" s="256" t="s">
        <v>98</v>
      </c>
      <c r="L161" s="256" t="s">
        <v>98</v>
      </c>
      <c r="M161" s="242"/>
      <c r="N161" s="242"/>
    </row>
    <row r="162" spans="1:14">
      <c r="A162" s="254" t="s">
        <v>59</v>
      </c>
      <c r="B162" s="254" t="s">
        <v>59</v>
      </c>
      <c r="C162" s="254" t="s">
        <v>59</v>
      </c>
      <c r="D162" s="254" t="s">
        <v>59</v>
      </c>
      <c r="E162" s="254" t="s">
        <v>59</v>
      </c>
      <c r="F162" s="254" t="s">
        <v>59</v>
      </c>
      <c r="G162" s="254" t="s">
        <v>59</v>
      </c>
      <c r="H162" s="255" t="s">
        <v>59</v>
      </c>
      <c r="I162" s="256" t="s">
        <v>100</v>
      </c>
      <c r="J162" s="256" t="s">
        <v>100</v>
      </c>
      <c r="K162" s="256" t="s">
        <v>100</v>
      </c>
      <c r="L162" s="256" t="s">
        <v>100</v>
      </c>
      <c r="M162" s="242"/>
      <c r="N162" s="242"/>
    </row>
    <row r="163" spans="1:14">
      <c r="A163" s="254" t="s">
        <v>59</v>
      </c>
      <c r="B163" s="254" t="s">
        <v>59</v>
      </c>
      <c r="C163" s="254" t="s">
        <v>59</v>
      </c>
      <c r="D163" s="254" t="s">
        <v>59</v>
      </c>
      <c r="E163" s="254" t="s">
        <v>59</v>
      </c>
      <c r="F163" s="254" t="s">
        <v>59</v>
      </c>
      <c r="G163" s="254" t="s">
        <v>59</v>
      </c>
      <c r="H163" s="255" t="s">
        <v>59</v>
      </c>
      <c r="I163" s="256" t="s">
        <v>104</v>
      </c>
      <c r="J163" s="256" t="s">
        <v>104</v>
      </c>
      <c r="K163" s="256" t="s">
        <v>104</v>
      </c>
      <c r="L163" s="256" t="s">
        <v>104</v>
      </c>
      <c r="M163" s="242"/>
      <c r="N163" s="242"/>
    </row>
    <row r="164" spans="1:14">
      <c r="A164" s="254" t="s">
        <v>59</v>
      </c>
      <c r="B164" s="254" t="s">
        <v>59</v>
      </c>
      <c r="C164" s="254" t="s">
        <v>59</v>
      </c>
      <c r="D164" s="254" t="s">
        <v>59</v>
      </c>
      <c r="E164" s="254" t="s">
        <v>59</v>
      </c>
      <c r="F164" s="254" t="s">
        <v>59</v>
      </c>
      <c r="G164" s="254" t="s">
        <v>59</v>
      </c>
      <c r="H164" s="255" t="s">
        <v>59</v>
      </c>
      <c r="I164" s="256" t="s">
        <v>105</v>
      </c>
      <c r="J164" s="256" t="s">
        <v>105</v>
      </c>
      <c r="K164" s="256" t="s">
        <v>105</v>
      </c>
      <c r="L164" s="256" t="s">
        <v>105</v>
      </c>
      <c r="M164" s="242"/>
      <c r="N164" s="242"/>
    </row>
    <row r="165" spans="1:14">
      <c r="A165" s="254" t="s">
        <v>59</v>
      </c>
      <c r="B165" s="254" t="s">
        <v>59</v>
      </c>
      <c r="C165" s="254" t="s">
        <v>59</v>
      </c>
      <c r="D165" s="254" t="s">
        <v>59</v>
      </c>
      <c r="E165" s="254" t="s">
        <v>59</v>
      </c>
      <c r="F165" s="254" t="s">
        <v>59</v>
      </c>
      <c r="G165" s="254" t="s">
        <v>59</v>
      </c>
      <c r="H165" s="255" t="s">
        <v>59</v>
      </c>
      <c r="I165" s="256" t="s">
        <v>106</v>
      </c>
      <c r="J165" s="256" t="s">
        <v>106</v>
      </c>
      <c r="K165" s="256" t="s">
        <v>106</v>
      </c>
      <c r="L165" s="256" t="s">
        <v>106</v>
      </c>
      <c r="M165" s="242"/>
      <c r="N165" s="242"/>
    </row>
    <row r="166" spans="1:14">
      <c r="A166" s="254" t="s">
        <v>59</v>
      </c>
      <c r="B166" s="254" t="s">
        <v>59</v>
      </c>
      <c r="C166" s="254" t="s">
        <v>59</v>
      </c>
      <c r="D166" s="254" t="s">
        <v>59</v>
      </c>
      <c r="E166" s="254" t="s">
        <v>59</v>
      </c>
      <c r="F166" s="254" t="s">
        <v>59</v>
      </c>
      <c r="G166" s="254" t="s">
        <v>59</v>
      </c>
      <c r="H166" s="255" t="s">
        <v>59</v>
      </c>
      <c r="I166" s="256" t="s">
        <v>109</v>
      </c>
      <c r="J166" s="256" t="s">
        <v>109</v>
      </c>
      <c r="K166" s="256" t="s">
        <v>109</v>
      </c>
      <c r="L166" s="256" t="s">
        <v>109</v>
      </c>
      <c r="M166" s="242"/>
      <c r="N166" s="242"/>
    </row>
    <row r="167" spans="1:14">
      <c r="A167" s="254" t="s">
        <v>59</v>
      </c>
      <c r="B167" s="254" t="s">
        <v>59</v>
      </c>
      <c r="C167" s="254" t="s">
        <v>59</v>
      </c>
      <c r="D167" s="254" t="s">
        <v>59</v>
      </c>
      <c r="E167" s="254" t="s">
        <v>59</v>
      </c>
      <c r="F167" s="254" t="s">
        <v>59</v>
      </c>
      <c r="G167" s="254" t="s">
        <v>59</v>
      </c>
      <c r="H167" s="255" t="s">
        <v>59</v>
      </c>
      <c r="I167" s="256" t="s">
        <v>110</v>
      </c>
      <c r="J167" s="256" t="s">
        <v>110</v>
      </c>
      <c r="K167" s="256" t="s">
        <v>110</v>
      </c>
      <c r="L167" s="256" t="s">
        <v>110</v>
      </c>
      <c r="M167" s="242"/>
      <c r="N167" s="242"/>
    </row>
    <row r="168" spans="1:14">
      <c r="A168" s="254" t="s">
        <v>59</v>
      </c>
      <c r="B168" s="254" t="s">
        <v>59</v>
      </c>
      <c r="C168" s="254" t="s">
        <v>59</v>
      </c>
      <c r="D168" s="254" t="s">
        <v>59</v>
      </c>
      <c r="E168" s="254" t="s">
        <v>59</v>
      </c>
      <c r="F168" s="254" t="s">
        <v>59</v>
      </c>
      <c r="G168" s="254" t="s">
        <v>59</v>
      </c>
      <c r="H168" s="255" t="s">
        <v>59</v>
      </c>
      <c r="I168" s="256" t="s">
        <v>125</v>
      </c>
      <c r="J168" s="256" t="s">
        <v>125</v>
      </c>
      <c r="K168" s="256" t="s">
        <v>125</v>
      </c>
      <c r="L168" s="256" t="s">
        <v>125</v>
      </c>
      <c r="M168" s="242"/>
      <c r="N168" s="242"/>
    </row>
    <row r="169" spans="1:14">
      <c r="A169" s="254" t="s">
        <v>59</v>
      </c>
      <c r="B169" s="254" t="s">
        <v>59</v>
      </c>
      <c r="C169" s="254" t="s">
        <v>59</v>
      </c>
      <c r="D169" s="254" t="s">
        <v>59</v>
      </c>
      <c r="E169" s="254" t="s">
        <v>59</v>
      </c>
      <c r="F169" s="254" t="s">
        <v>59</v>
      </c>
      <c r="G169" s="254" t="s">
        <v>59</v>
      </c>
      <c r="H169" s="255" t="s">
        <v>59</v>
      </c>
      <c r="I169" s="256" t="s">
        <v>126</v>
      </c>
      <c r="J169" s="256" t="s">
        <v>126</v>
      </c>
      <c r="K169" s="256" t="s">
        <v>126</v>
      </c>
      <c r="L169" s="256" t="s">
        <v>126</v>
      </c>
      <c r="M169" s="242"/>
      <c r="N169" s="242"/>
    </row>
    <row r="170" spans="1:14">
      <c r="A170" s="254" t="s">
        <v>59</v>
      </c>
      <c r="B170" s="254" t="s">
        <v>59</v>
      </c>
      <c r="C170" s="254" t="s">
        <v>59</v>
      </c>
      <c r="D170" s="254" t="s">
        <v>59</v>
      </c>
      <c r="E170" s="254" t="s">
        <v>59</v>
      </c>
      <c r="F170" s="254" t="s">
        <v>59</v>
      </c>
      <c r="G170" s="254" t="s">
        <v>59</v>
      </c>
      <c r="H170" s="255" t="s">
        <v>59</v>
      </c>
      <c r="I170" s="256" t="s">
        <v>130</v>
      </c>
      <c r="J170" s="256" t="s">
        <v>130</v>
      </c>
      <c r="K170" s="256" t="s">
        <v>130</v>
      </c>
      <c r="L170" s="256" t="s">
        <v>130</v>
      </c>
      <c r="M170" s="242"/>
      <c r="N170" s="242"/>
    </row>
    <row r="171" spans="1:14">
      <c r="A171" s="254" t="s">
        <v>59</v>
      </c>
      <c r="B171" s="254" t="s">
        <v>59</v>
      </c>
      <c r="C171" s="254" t="s">
        <v>59</v>
      </c>
      <c r="D171" s="254" t="s">
        <v>59</v>
      </c>
      <c r="E171" s="254" t="s">
        <v>59</v>
      </c>
      <c r="F171" s="254" t="s">
        <v>59</v>
      </c>
      <c r="G171" s="254" t="s">
        <v>59</v>
      </c>
      <c r="H171" s="255" t="s">
        <v>59</v>
      </c>
      <c r="I171" s="256" t="s">
        <v>202</v>
      </c>
      <c r="J171" s="256" t="s">
        <v>202</v>
      </c>
      <c r="K171" s="256" t="s">
        <v>202</v>
      </c>
      <c r="L171" s="256" t="s">
        <v>202</v>
      </c>
      <c r="M171" s="242"/>
      <c r="N171" s="242"/>
    </row>
    <row r="172" spans="1:14">
      <c r="A172" s="254" t="s">
        <v>59</v>
      </c>
      <c r="B172" s="254" t="s">
        <v>59</v>
      </c>
      <c r="C172" s="254" t="s">
        <v>59</v>
      </c>
      <c r="D172" s="254" t="s">
        <v>59</v>
      </c>
      <c r="E172" s="254" t="s">
        <v>59</v>
      </c>
      <c r="F172" s="254" t="s">
        <v>59</v>
      </c>
      <c r="G172" s="254" t="s">
        <v>59</v>
      </c>
      <c r="H172" s="255" t="s">
        <v>59</v>
      </c>
      <c r="I172" s="256" t="s">
        <v>245</v>
      </c>
      <c r="J172" s="256" t="s">
        <v>245</v>
      </c>
      <c r="K172" s="256" t="s">
        <v>244</v>
      </c>
      <c r="L172" s="256" t="s">
        <v>244</v>
      </c>
      <c r="M172" s="242"/>
      <c r="N172" s="242"/>
    </row>
    <row r="173" spans="1:14">
      <c r="A173" s="254" t="s">
        <v>59</v>
      </c>
      <c r="B173" s="254" t="s">
        <v>59</v>
      </c>
      <c r="C173" s="254" t="s">
        <v>59</v>
      </c>
      <c r="D173" s="254" t="s">
        <v>59</v>
      </c>
      <c r="E173" s="254" t="s">
        <v>59</v>
      </c>
      <c r="F173" s="254" t="s">
        <v>59</v>
      </c>
      <c r="G173" s="254" t="s">
        <v>59</v>
      </c>
      <c r="H173" s="255" t="s">
        <v>59</v>
      </c>
      <c r="I173" s="256" t="s">
        <v>246</v>
      </c>
      <c r="J173" s="256" t="s">
        <v>246</v>
      </c>
      <c r="K173" s="256" t="s">
        <v>245</v>
      </c>
      <c r="L173" s="256" t="s">
        <v>245</v>
      </c>
      <c r="M173" s="242"/>
      <c r="N173" s="242"/>
    </row>
    <row r="174" spans="1:14">
      <c r="A174" s="254" t="s">
        <v>59</v>
      </c>
      <c r="B174" s="254" t="s">
        <v>59</v>
      </c>
      <c r="C174" s="254" t="s">
        <v>59</v>
      </c>
      <c r="D174" s="254" t="s">
        <v>59</v>
      </c>
      <c r="E174" s="254" t="s">
        <v>59</v>
      </c>
      <c r="F174" s="254" t="s">
        <v>59</v>
      </c>
      <c r="G174" s="254" t="s">
        <v>59</v>
      </c>
      <c r="H174" s="255" t="s">
        <v>59</v>
      </c>
      <c r="I174" s="256" t="s">
        <v>247</v>
      </c>
      <c r="J174" s="256" t="s">
        <v>247</v>
      </c>
      <c r="K174" s="256" t="s">
        <v>246</v>
      </c>
      <c r="L174" s="256" t="s">
        <v>246</v>
      </c>
      <c r="M174" s="242"/>
      <c r="N174" s="242"/>
    </row>
    <row r="175" spans="1:14">
      <c r="A175" s="254" t="s">
        <v>59</v>
      </c>
      <c r="B175" s="254" t="s">
        <v>59</v>
      </c>
      <c r="C175" s="254" t="s">
        <v>59</v>
      </c>
      <c r="D175" s="254" t="s">
        <v>59</v>
      </c>
      <c r="E175" s="254" t="s">
        <v>59</v>
      </c>
      <c r="F175" s="254" t="s">
        <v>59</v>
      </c>
      <c r="G175" s="254" t="s">
        <v>59</v>
      </c>
      <c r="H175" s="255" t="s">
        <v>59</v>
      </c>
      <c r="I175" s="256" t="s">
        <v>257</v>
      </c>
      <c r="J175" s="256" t="s">
        <v>257</v>
      </c>
      <c r="K175" s="256" t="s">
        <v>257</v>
      </c>
      <c r="L175" s="256" t="s">
        <v>59</v>
      </c>
      <c r="M175" s="242"/>
      <c r="N175" s="242"/>
    </row>
    <row r="176" spans="1:14">
      <c r="A176" s="254" t="s">
        <v>59</v>
      </c>
      <c r="B176" s="254" t="s">
        <v>59</v>
      </c>
      <c r="C176" s="254" t="s">
        <v>59</v>
      </c>
      <c r="D176" s="254" t="s">
        <v>59</v>
      </c>
      <c r="E176" s="254" t="s">
        <v>59</v>
      </c>
      <c r="F176" s="254" t="s">
        <v>59</v>
      </c>
      <c r="G176" s="254" t="s">
        <v>59</v>
      </c>
      <c r="H176" s="255" t="s">
        <v>59</v>
      </c>
      <c r="I176" s="256" t="s">
        <v>259</v>
      </c>
      <c r="J176" s="256" t="s">
        <v>259</v>
      </c>
      <c r="K176" s="256" t="s">
        <v>259</v>
      </c>
      <c r="L176" s="256" t="s">
        <v>59</v>
      </c>
      <c r="M176" s="242"/>
      <c r="N176" s="242"/>
    </row>
    <row r="177" spans="1:16">
      <c r="A177" s="254" t="s">
        <v>59</v>
      </c>
      <c r="B177" s="254" t="s">
        <v>59</v>
      </c>
      <c r="C177" s="254" t="s">
        <v>59</v>
      </c>
      <c r="D177" s="254" t="s">
        <v>59</v>
      </c>
      <c r="E177" s="254" t="s">
        <v>59</v>
      </c>
      <c r="F177" s="254" t="s">
        <v>59</v>
      </c>
      <c r="G177" s="254" t="s">
        <v>59</v>
      </c>
      <c r="H177" s="255" t="s">
        <v>59</v>
      </c>
      <c r="I177" s="256" t="s">
        <v>182</v>
      </c>
      <c r="J177" s="256" t="s">
        <v>182</v>
      </c>
      <c r="K177" s="256" t="s">
        <v>182</v>
      </c>
      <c r="L177" s="256" t="s">
        <v>59</v>
      </c>
      <c r="M177" s="242"/>
      <c r="N177" s="242"/>
    </row>
    <row r="178" spans="1:16">
      <c r="A178" s="254" t="s">
        <v>59</v>
      </c>
      <c r="B178" s="254" t="s">
        <v>59</v>
      </c>
      <c r="C178" s="254" t="s">
        <v>59</v>
      </c>
      <c r="D178" s="254" t="s">
        <v>59</v>
      </c>
      <c r="E178" s="254" t="s">
        <v>59</v>
      </c>
      <c r="F178" s="254" t="s">
        <v>59</v>
      </c>
      <c r="G178" s="254" t="s">
        <v>59</v>
      </c>
      <c r="H178" s="255" t="s">
        <v>59</v>
      </c>
      <c r="I178" s="256" t="s">
        <v>183</v>
      </c>
      <c r="J178" s="256" t="s">
        <v>183</v>
      </c>
      <c r="K178" s="256" t="s">
        <v>183</v>
      </c>
      <c r="L178" s="256" t="s">
        <v>59</v>
      </c>
      <c r="M178" s="242"/>
      <c r="N178" s="242"/>
    </row>
    <row r="179" spans="1:16">
      <c r="A179" s="254" t="s">
        <v>59</v>
      </c>
      <c r="B179" s="254" t="s">
        <v>59</v>
      </c>
      <c r="C179" s="254" t="s">
        <v>59</v>
      </c>
      <c r="D179" s="254" t="s">
        <v>59</v>
      </c>
      <c r="E179" s="254" t="s">
        <v>59</v>
      </c>
      <c r="F179" s="254" t="s">
        <v>59</v>
      </c>
      <c r="G179" s="254" t="s">
        <v>59</v>
      </c>
      <c r="H179" s="255" t="s">
        <v>59</v>
      </c>
      <c r="I179" s="256" t="s">
        <v>175</v>
      </c>
      <c r="J179" s="256" t="s">
        <v>175</v>
      </c>
      <c r="K179" s="256" t="s">
        <v>59</v>
      </c>
      <c r="L179" s="256" t="s">
        <v>59</v>
      </c>
      <c r="M179" s="242"/>
      <c r="N179" s="242"/>
    </row>
    <row r="180" spans="1:16">
      <c r="A180" s="254" t="s">
        <v>59</v>
      </c>
      <c r="B180" s="254" t="s">
        <v>59</v>
      </c>
      <c r="C180" s="254" t="s">
        <v>59</v>
      </c>
      <c r="D180" s="254" t="s">
        <v>59</v>
      </c>
      <c r="E180" s="254" t="s">
        <v>59</v>
      </c>
      <c r="F180" s="254" t="s">
        <v>59</v>
      </c>
      <c r="G180" s="254" t="s">
        <v>59</v>
      </c>
      <c r="H180" s="255" t="s">
        <v>59</v>
      </c>
      <c r="I180" s="256" t="s">
        <v>187</v>
      </c>
      <c r="J180" s="256" t="s">
        <v>59</v>
      </c>
      <c r="K180" s="256" t="s">
        <v>59</v>
      </c>
      <c r="L180" s="256" t="s">
        <v>59</v>
      </c>
      <c r="M180" s="242"/>
      <c r="N180" s="242"/>
    </row>
    <row r="181" spans="1:16">
      <c r="A181" s="254" t="s">
        <v>59</v>
      </c>
      <c r="B181" s="254" t="s">
        <v>59</v>
      </c>
      <c r="C181" s="254" t="s">
        <v>59</v>
      </c>
      <c r="D181" s="254" t="s">
        <v>59</v>
      </c>
      <c r="E181" s="254" t="s">
        <v>59</v>
      </c>
      <c r="F181" s="254" t="s">
        <v>59</v>
      </c>
      <c r="G181" s="254" t="s">
        <v>59</v>
      </c>
      <c r="H181" s="255" t="s">
        <v>59</v>
      </c>
      <c r="I181" s="256" t="s">
        <v>262</v>
      </c>
      <c r="J181" s="256" t="s">
        <v>262</v>
      </c>
      <c r="K181" s="256" t="s">
        <v>262</v>
      </c>
      <c r="L181" s="256" t="s">
        <v>261</v>
      </c>
      <c r="M181" s="242"/>
      <c r="N181" s="242"/>
    </row>
    <row r="182" spans="1:16">
      <c r="A182" s="254" t="s">
        <v>59</v>
      </c>
      <c r="B182" s="254" t="s">
        <v>59</v>
      </c>
      <c r="C182" s="254" t="s">
        <v>59</v>
      </c>
      <c r="D182" s="254" t="s">
        <v>59</v>
      </c>
      <c r="E182" s="254" t="s">
        <v>59</v>
      </c>
      <c r="F182" s="254" t="s">
        <v>59</v>
      </c>
      <c r="G182" s="254" t="s">
        <v>59</v>
      </c>
      <c r="H182" s="255" t="s">
        <v>59</v>
      </c>
      <c r="I182" s="256" t="s">
        <v>170</v>
      </c>
      <c r="J182" s="256" t="s">
        <v>170</v>
      </c>
      <c r="K182" s="256" t="s">
        <v>170</v>
      </c>
      <c r="L182" s="256" t="s">
        <v>263</v>
      </c>
      <c r="M182" s="242"/>
      <c r="N182" s="242"/>
    </row>
    <row r="183" spans="1:16">
      <c r="A183" s="254" t="s">
        <v>59</v>
      </c>
      <c r="B183" s="254" t="s">
        <v>59</v>
      </c>
      <c r="C183" s="254" t="s">
        <v>59</v>
      </c>
      <c r="D183" s="254" t="s">
        <v>59</v>
      </c>
      <c r="E183" s="254" t="s">
        <v>59</v>
      </c>
      <c r="F183" s="254" t="s">
        <v>59</v>
      </c>
      <c r="G183" s="254" t="s">
        <v>59</v>
      </c>
      <c r="H183" s="255" t="s">
        <v>59</v>
      </c>
      <c r="I183" s="256" t="s">
        <v>172</v>
      </c>
      <c r="J183" s="256" t="s">
        <v>172</v>
      </c>
      <c r="K183" s="256" t="s">
        <v>172</v>
      </c>
      <c r="L183" s="256" t="s">
        <v>171</v>
      </c>
      <c r="M183" s="242"/>
      <c r="N183" s="242"/>
    </row>
    <row r="184" spans="1:16">
      <c r="A184" s="254" t="s">
        <v>59</v>
      </c>
      <c r="B184" s="254" t="s">
        <v>59</v>
      </c>
      <c r="C184" s="254" t="s">
        <v>59</v>
      </c>
      <c r="D184" s="254" t="s">
        <v>59</v>
      </c>
      <c r="E184" s="254" t="s">
        <v>59</v>
      </c>
      <c r="F184" s="254" t="s">
        <v>59</v>
      </c>
      <c r="G184" s="254" t="s">
        <v>59</v>
      </c>
      <c r="H184" s="255" t="s">
        <v>59</v>
      </c>
      <c r="I184" s="256" t="s">
        <v>174</v>
      </c>
      <c r="J184" s="256" t="s">
        <v>174</v>
      </c>
      <c r="K184" s="256" t="s">
        <v>174</v>
      </c>
      <c r="L184" s="256" t="s">
        <v>173</v>
      </c>
      <c r="M184" s="242"/>
      <c r="N184" s="242"/>
    </row>
    <row r="185" spans="1:16">
      <c r="A185" s="258" t="s">
        <v>59</v>
      </c>
      <c r="B185" s="258" t="s">
        <v>59</v>
      </c>
      <c r="C185" s="258" t="s">
        <v>59</v>
      </c>
      <c r="D185" s="258" t="s">
        <v>59</v>
      </c>
      <c r="E185" s="258" t="s">
        <v>59</v>
      </c>
      <c r="F185" s="258" t="s">
        <v>59</v>
      </c>
      <c r="G185" s="258" t="s">
        <v>59</v>
      </c>
      <c r="H185" s="256" t="s">
        <v>59</v>
      </c>
      <c r="I185" s="256" t="s">
        <v>59</v>
      </c>
      <c r="J185" s="256" t="s">
        <v>254</v>
      </c>
      <c r="K185" s="256" t="s">
        <v>59</v>
      </c>
      <c r="L185" s="256" t="s">
        <v>59</v>
      </c>
      <c r="M185" s="242"/>
      <c r="N185" s="242"/>
    </row>
    <row r="186" spans="1:16">
      <c r="A186" s="258" t="s">
        <v>59</v>
      </c>
      <c r="B186" s="258" t="s">
        <v>59</v>
      </c>
      <c r="C186" s="258" t="s">
        <v>59</v>
      </c>
      <c r="D186" s="258" t="s">
        <v>59</v>
      </c>
      <c r="E186" s="258" t="s">
        <v>59</v>
      </c>
      <c r="F186" s="258" t="s">
        <v>59</v>
      </c>
      <c r="G186" s="258" t="s">
        <v>59</v>
      </c>
      <c r="H186" s="256" t="s">
        <v>59</v>
      </c>
      <c r="I186" s="256" t="s">
        <v>59</v>
      </c>
      <c r="J186" s="256" t="s">
        <v>59</v>
      </c>
      <c r="K186" s="256" t="s">
        <v>251</v>
      </c>
      <c r="L186" s="256" t="s">
        <v>254</v>
      </c>
      <c r="M186" s="242"/>
      <c r="N186" s="242"/>
    </row>
    <row r="187" spans="1:16">
      <c r="A187" s="1706">
        <f>COUNTIF(A7:A186,"&lt;&gt;-")</f>
        <v>133</v>
      </c>
      <c r="B187" s="1706">
        <f>COUNTIF(B7:B186,"&lt;&gt;-")</f>
        <v>130</v>
      </c>
      <c r="C187" s="1706">
        <f>COUNTIF(C7:C186,"&lt;&gt;-")</f>
        <v>129</v>
      </c>
      <c r="D187" s="1706">
        <v>140</v>
      </c>
      <c r="E187" s="1706">
        <f t="shared" ref="E187:L187" si="0">COUNTIF(E7:E186,"&lt;&gt;-")</f>
        <v>135</v>
      </c>
      <c r="F187" s="1706">
        <f t="shared" si="0"/>
        <v>125</v>
      </c>
      <c r="G187" s="1706">
        <f t="shared" si="0"/>
        <v>113</v>
      </c>
      <c r="H187" s="1706">
        <f t="shared" si="0"/>
        <v>92</v>
      </c>
      <c r="I187" s="1706">
        <f t="shared" si="0"/>
        <v>103</v>
      </c>
      <c r="J187" s="1706">
        <f t="shared" si="0"/>
        <v>103</v>
      </c>
      <c r="K187" s="1706">
        <f t="shared" si="0"/>
        <v>94</v>
      </c>
      <c r="L187" s="1706">
        <f t="shared" si="0"/>
        <v>85</v>
      </c>
      <c r="M187" s="242"/>
      <c r="N187" s="242"/>
    </row>
    <row r="188" spans="1:16"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M188" s="242"/>
      <c r="N188" s="242"/>
    </row>
    <row r="189" spans="1:16" ht="13">
      <c r="A189" s="242" t="s">
        <v>190</v>
      </c>
      <c r="C189" s="242"/>
      <c r="D189" s="242"/>
      <c r="E189" s="239"/>
      <c r="F189" s="239"/>
      <c r="I189" s="241"/>
      <c r="J189" s="241"/>
      <c r="K189" s="267"/>
      <c r="L189" s="267"/>
      <c r="M189" s="267"/>
      <c r="N189" s="267"/>
      <c r="O189" s="268"/>
      <c r="P189" s="268"/>
    </row>
    <row r="190" spans="1:16" ht="9.75" customHeight="1">
      <c r="C190" s="242"/>
      <c r="D190" s="239"/>
      <c r="E190" s="239"/>
      <c r="I190" s="241"/>
      <c r="M190" s="242"/>
      <c r="O190" s="241"/>
    </row>
    <row r="191" spans="1:16">
      <c r="C191" s="242"/>
      <c r="I191" s="241"/>
      <c r="M191" s="242"/>
      <c r="O191" s="241"/>
    </row>
    <row r="192" spans="1:16">
      <c r="C192" s="242"/>
      <c r="I192" s="241"/>
      <c r="M192" s="242"/>
      <c r="O192" s="241"/>
    </row>
  </sheetData>
  <phoneticPr fontId="30" type="noConversion"/>
  <pageMargins left="0.55000000000000004" right="0.41" top="0.46" bottom="0.48" header="0.36" footer="0.28000000000000003"/>
  <pageSetup paperSize="9" scale="72" fitToHeight="2" orientation="portrait"/>
  <headerFooter alignWithMargins="0"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71D3-F198-334E-A00B-0BFD206AE9F5}">
  <sheetPr>
    <pageSetUpPr fitToPage="1"/>
  </sheetPr>
  <dimension ref="A1:J81"/>
  <sheetViews>
    <sheetView workbookViewId="0">
      <selection activeCell="A2" sqref="A2"/>
    </sheetView>
  </sheetViews>
  <sheetFormatPr baseColWidth="10" defaultColWidth="11.3984375" defaultRowHeight="13"/>
  <cols>
    <col min="1" max="1" width="12.19921875" style="1712" customWidth="1"/>
    <col min="2" max="16384" width="11.3984375" style="1712"/>
  </cols>
  <sheetData>
    <row r="1" spans="1:1">
      <c r="A1" s="1711" t="s">
        <v>276</v>
      </c>
    </row>
    <row r="3" spans="1:1">
      <c r="A3" s="1729" t="s">
        <v>277</v>
      </c>
    </row>
    <row r="5" spans="1:1">
      <c r="A5" s="1712" t="s">
        <v>278</v>
      </c>
    </row>
    <row r="6" spans="1:1">
      <c r="A6" s="1712" t="s">
        <v>279</v>
      </c>
    </row>
    <row r="7" spans="1:1">
      <c r="A7" s="1712" t="s">
        <v>280</v>
      </c>
    </row>
    <row r="8" spans="1:1">
      <c r="A8" s="1712" t="s">
        <v>317</v>
      </c>
    </row>
    <row r="9" spans="1:1">
      <c r="A9" s="1712" t="s">
        <v>318</v>
      </c>
    </row>
    <row r="10" spans="1:1">
      <c r="A10" s="1712" t="s">
        <v>281</v>
      </c>
    </row>
    <row r="12" spans="1:1">
      <c r="A12" s="1730" t="s">
        <v>282</v>
      </c>
    </row>
    <row r="13" spans="1:1">
      <c r="A13" s="1730" t="s">
        <v>283</v>
      </c>
    </row>
    <row r="14" spans="1:1">
      <c r="A14" s="1730" t="s">
        <v>284</v>
      </c>
    </row>
    <row r="15" spans="1:1">
      <c r="A15" s="1731" t="s">
        <v>285</v>
      </c>
    </row>
    <row r="16" spans="1:1">
      <c r="A16" s="1731"/>
    </row>
    <row r="17" spans="1:9">
      <c r="A17" s="1730" t="s">
        <v>286</v>
      </c>
    </row>
    <row r="18" spans="1:9">
      <c r="A18" s="1730" t="s">
        <v>287</v>
      </c>
    </row>
    <row r="19" spans="1:9">
      <c r="A19" s="1731"/>
    </row>
    <row r="20" spans="1:9">
      <c r="A20" s="1729" t="s">
        <v>288</v>
      </c>
    </row>
    <row r="21" spans="1:9" ht="9" customHeight="1">
      <c r="A21" s="1730"/>
    </row>
    <row r="22" spans="1:9">
      <c r="A22" s="1731" t="s">
        <v>289</v>
      </c>
    </row>
    <row r="23" spans="1:9">
      <c r="A23" s="1730" t="s">
        <v>290</v>
      </c>
    </row>
    <row r="24" spans="1:9">
      <c r="A24" s="1730" t="s">
        <v>291</v>
      </c>
    </row>
    <row r="25" spans="1:9" ht="6.75" customHeight="1">
      <c r="A25" s="1711"/>
    </row>
    <row r="26" spans="1:9">
      <c r="A26" s="1731" t="s">
        <v>292</v>
      </c>
    </row>
    <row r="27" spans="1:9">
      <c r="A27" s="1730" t="s">
        <v>290</v>
      </c>
    </row>
    <row r="28" spans="1:9">
      <c r="A28" s="1730" t="s">
        <v>293</v>
      </c>
    </row>
    <row r="30" spans="1:9">
      <c r="A30" s="1732" t="s">
        <v>294</v>
      </c>
    </row>
    <row r="31" spans="1:9">
      <c r="A31" s="1733" t="s">
        <v>295</v>
      </c>
      <c r="I31" s="1734"/>
    </row>
    <row r="32" spans="1:9">
      <c r="A32" s="1733"/>
    </row>
    <row r="33" spans="1:10">
      <c r="A33" s="1733" t="s">
        <v>296</v>
      </c>
    </row>
    <row r="34" spans="1:10">
      <c r="A34" s="1733" t="s">
        <v>297</v>
      </c>
    </row>
    <row r="35" spans="1:10">
      <c r="A35" s="1735"/>
    </row>
    <row r="36" spans="1:10">
      <c r="A36" s="1729" t="s">
        <v>298</v>
      </c>
    </row>
    <row r="37" spans="1:10">
      <c r="A37" s="1730" t="s">
        <v>299</v>
      </c>
    </row>
    <row r="38" spans="1:10">
      <c r="A38" s="1730" t="s">
        <v>300</v>
      </c>
    </row>
    <row r="39" spans="1:10">
      <c r="A39" s="1730" t="s">
        <v>301</v>
      </c>
    </row>
    <row r="40" spans="1:10">
      <c r="A40" s="1712" t="s">
        <v>302</v>
      </c>
    </row>
    <row r="42" spans="1:10">
      <c r="A42" s="1712" t="s">
        <v>303</v>
      </c>
    </row>
    <row r="43" spans="1:10">
      <c r="A43" s="1712" t="s">
        <v>304</v>
      </c>
    </row>
    <row r="44" spans="1:10" ht="17.25" customHeight="1"/>
    <row r="45" spans="1:10">
      <c r="A45" s="1736" t="s">
        <v>305</v>
      </c>
      <c r="B45" s="1737"/>
      <c r="C45" s="1737"/>
      <c r="D45" s="1737"/>
      <c r="F45" s="1736" t="s">
        <v>306</v>
      </c>
      <c r="G45" s="1737"/>
      <c r="H45" s="1737"/>
      <c r="I45" s="1737"/>
    </row>
    <row r="46" spans="1:10" ht="36">
      <c r="B46" s="1738" t="s">
        <v>307</v>
      </c>
      <c r="C46" s="1738" t="s">
        <v>308</v>
      </c>
      <c r="D46" s="1739" t="s">
        <v>309</v>
      </c>
      <c r="G46" s="1738" t="s">
        <v>310</v>
      </c>
      <c r="H46" s="1738" t="s">
        <v>308</v>
      </c>
      <c r="I46" s="1739" t="s">
        <v>309</v>
      </c>
    </row>
    <row r="47" spans="1:10">
      <c r="A47" s="1740">
        <v>1997</v>
      </c>
      <c r="B47" s="1741">
        <v>1663.893341996396</v>
      </c>
      <c r="C47" s="1741">
        <v>1668</v>
      </c>
      <c r="D47" s="1742">
        <f t="shared" ref="D47:D56" si="0">(C47/B47)-1</f>
        <v>2.4681017105800951E-3</v>
      </c>
      <c r="E47" s="1743"/>
      <c r="F47" s="1744" t="s">
        <v>1807</v>
      </c>
      <c r="G47" s="1745">
        <v>406.58889619427657</v>
      </c>
      <c r="H47" s="1745">
        <v>392.5</v>
      </c>
      <c r="I47" s="1742">
        <f t="shared" ref="I47:I73" si="1">(H47/G47)-1</f>
        <v>-3.465145341191167E-2</v>
      </c>
      <c r="J47" s="1743"/>
    </row>
    <row r="48" spans="1:10">
      <c r="A48" s="1740">
        <v>1998</v>
      </c>
      <c r="B48" s="1741">
        <v>1753.6807220915252</v>
      </c>
      <c r="C48" s="1741">
        <v>1762.9</v>
      </c>
      <c r="D48" s="1742">
        <f t="shared" si="0"/>
        <v>5.2571017017735144E-3</v>
      </c>
      <c r="F48" s="1746" t="s">
        <v>1808</v>
      </c>
      <c r="G48" s="1747">
        <v>406.33390472235817</v>
      </c>
      <c r="H48" s="1747">
        <v>390.5</v>
      </c>
      <c r="I48" s="1742">
        <f t="shared" si="1"/>
        <v>-3.896771728457471E-2</v>
      </c>
    </row>
    <row r="49" spans="1:9">
      <c r="A49" s="1740">
        <v>1999</v>
      </c>
      <c r="B49" s="1741">
        <v>1792.6961372402147</v>
      </c>
      <c r="C49" s="1741">
        <v>1801.3</v>
      </c>
      <c r="D49" s="1742">
        <f t="shared" si="0"/>
        <v>4.7993982812004621E-3</v>
      </c>
      <c r="F49" s="1746" t="s">
        <v>1809</v>
      </c>
      <c r="G49" s="1747">
        <v>335.43264593519933</v>
      </c>
      <c r="H49" s="1747">
        <v>318.89999999999998</v>
      </c>
      <c r="I49" s="1742">
        <f t="shared" si="1"/>
        <v>-4.9287528019539284E-2</v>
      </c>
    </row>
    <row r="50" spans="1:9">
      <c r="A50" s="1740">
        <v>2000</v>
      </c>
      <c r="B50" s="1741">
        <v>1850.1631679231971</v>
      </c>
      <c r="C50" s="1741">
        <v>1853.4</v>
      </c>
      <c r="D50" s="1742">
        <f t="shared" si="0"/>
        <v>1.7494846578511858E-3</v>
      </c>
      <c r="F50" s="1746" t="s">
        <v>1810</v>
      </c>
      <c r="G50" s="1747">
        <v>340.58393642684831</v>
      </c>
      <c r="H50" s="1747">
        <v>319.8</v>
      </c>
      <c r="I50" s="1742">
        <f t="shared" si="1"/>
        <v>-6.1024417783462681E-2</v>
      </c>
    </row>
    <row r="51" spans="1:9">
      <c r="A51" s="1740">
        <v>2001</v>
      </c>
      <c r="B51" s="1741">
        <v>1917.1693080707569</v>
      </c>
      <c r="C51" s="1741">
        <v>1931.9</v>
      </c>
      <c r="D51" s="1742">
        <f t="shared" si="0"/>
        <v>7.683563401120086E-3</v>
      </c>
      <c r="F51" s="1746" t="s">
        <v>1811</v>
      </c>
      <c r="G51" s="1747">
        <v>361.4402984530862</v>
      </c>
      <c r="H51" s="1747">
        <v>339.3</v>
      </c>
      <c r="I51" s="1742">
        <f t="shared" si="1"/>
        <v>-6.1255755232174081E-2</v>
      </c>
    </row>
    <row r="52" spans="1:9">
      <c r="A52" s="1740">
        <v>2002</v>
      </c>
      <c r="B52" s="1741">
        <v>2090.6453445046668</v>
      </c>
      <c r="C52" s="1741">
        <v>2106.4</v>
      </c>
      <c r="D52" s="1742">
        <f t="shared" si="0"/>
        <v>7.5357857977895737E-3</v>
      </c>
      <c r="F52" s="1746" t="s">
        <v>1812</v>
      </c>
      <c r="G52" s="1747">
        <v>331.10682903815535</v>
      </c>
      <c r="H52" s="1747">
        <v>310.89999999999998</v>
      </c>
      <c r="I52" s="1742">
        <f t="shared" si="1"/>
        <v>-6.1028125263543953E-2</v>
      </c>
    </row>
    <row r="53" spans="1:9">
      <c r="A53" s="1740">
        <v>2003</v>
      </c>
      <c r="B53" s="1741">
        <v>2281.4625632725915</v>
      </c>
      <c r="C53" s="1741">
        <v>2296</v>
      </c>
      <c r="D53" s="1742">
        <f t="shared" si="0"/>
        <v>6.3719812726428238E-3</v>
      </c>
      <c r="F53" s="1746" t="s">
        <v>1813</v>
      </c>
      <c r="G53" s="1747">
        <v>325.14668056120377</v>
      </c>
      <c r="H53" s="1747">
        <v>309.5</v>
      </c>
      <c r="I53" s="1742">
        <f t="shared" si="1"/>
        <v>-4.8121913882674616E-2</v>
      </c>
    </row>
    <row r="54" spans="1:9">
      <c r="A54" s="1740">
        <v>2004</v>
      </c>
      <c r="B54" s="1741">
        <v>2441.8690220833437</v>
      </c>
      <c r="C54" s="1741">
        <v>2443.6999999999998</v>
      </c>
      <c r="D54" s="1742">
        <f t="shared" si="0"/>
        <v>7.4982642398002675E-4</v>
      </c>
      <c r="F54" s="1746" t="s">
        <v>1814</v>
      </c>
      <c r="G54" s="1747">
        <v>377.2887360498313</v>
      </c>
      <c r="H54" s="1747">
        <v>354.6</v>
      </c>
      <c r="I54" s="1742">
        <f t="shared" si="1"/>
        <v>-6.0136266688954665E-2</v>
      </c>
    </row>
    <row r="55" spans="1:9">
      <c r="A55" s="1740">
        <v>2005</v>
      </c>
      <c r="B55" s="1741">
        <v>2487.4606144678528</v>
      </c>
      <c r="C55" s="1741">
        <v>2493.6999999999998</v>
      </c>
      <c r="D55" s="1742">
        <f t="shared" si="0"/>
        <v>2.5083354067423347E-3</v>
      </c>
      <c r="F55" s="1746" t="s">
        <v>1815</v>
      </c>
      <c r="G55" s="1747">
        <v>351.29734345351045</v>
      </c>
      <c r="H55" s="1747">
        <v>332.7</v>
      </c>
      <c r="I55" s="1742">
        <f t="shared" si="1"/>
        <v>-5.2939038111375791E-2</v>
      </c>
    </row>
    <row r="56" spans="1:9">
      <c r="A56" s="1740">
        <v>2006</v>
      </c>
      <c r="B56" s="1741">
        <v>2582.7199999999998</v>
      </c>
      <c r="C56" s="1741">
        <v>2595.6</v>
      </c>
      <c r="D56" s="1742">
        <f t="shared" si="0"/>
        <v>4.9869904596704373E-3</v>
      </c>
      <c r="F56" s="1746" t="s">
        <v>1816</v>
      </c>
      <c r="G56" s="1747">
        <v>387.97941599228147</v>
      </c>
      <c r="H56" s="1747">
        <v>371.3</v>
      </c>
      <c r="I56" s="1742">
        <f t="shared" si="1"/>
        <v>-4.2990466258687521E-2</v>
      </c>
    </row>
    <row r="57" spans="1:9">
      <c r="F57" s="1746" t="s">
        <v>1817</v>
      </c>
      <c r="G57" s="1747">
        <v>388.79680615857859</v>
      </c>
      <c r="H57" s="1747">
        <v>367.4</v>
      </c>
      <c r="I57" s="1742">
        <f t="shared" si="1"/>
        <v>-5.5033389728647908E-2</v>
      </c>
    </row>
    <row r="58" spans="1:9">
      <c r="F58" s="1746" t="s">
        <v>1818</v>
      </c>
      <c r="G58" s="1747">
        <v>491.70996566212852</v>
      </c>
      <c r="H58" s="1747">
        <v>446.1</v>
      </c>
      <c r="I58" s="1742">
        <f t="shared" si="1"/>
        <v>-9.2757863064074519E-2</v>
      </c>
    </row>
    <row r="59" spans="1:9">
      <c r="A59" s="1736" t="s">
        <v>311</v>
      </c>
      <c r="B59" s="1748"/>
      <c r="C59" s="1748"/>
      <c r="D59" s="1748"/>
      <c r="F59" s="1746" t="s">
        <v>1819</v>
      </c>
      <c r="G59" s="1747">
        <v>444.2195988095059</v>
      </c>
      <c r="H59" s="1747">
        <v>414.7</v>
      </c>
      <c r="I59" s="1742">
        <f t="shared" si="1"/>
        <v>-6.6452715928377537E-2</v>
      </c>
    </row>
    <row r="60" spans="1:9" ht="36">
      <c r="B60" s="1738" t="s">
        <v>312</v>
      </c>
      <c r="C60" s="1738" t="s">
        <v>308</v>
      </c>
      <c r="D60" s="1739" t="s">
        <v>309</v>
      </c>
      <c r="F60" s="1746" t="s">
        <v>1820</v>
      </c>
      <c r="G60" s="1747">
        <v>394.8605239674485</v>
      </c>
      <c r="H60" s="1747">
        <v>374.7</v>
      </c>
      <c r="I60" s="1742">
        <f t="shared" si="1"/>
        <v>-5.1057329724635947E-2</v>
      </c>
    </row>
    <row r="61" spans="1:9">
      <c r="A61" s="1744" t="s">
        <v>313</v>
      </c>
      <c r="B61" s="1741">
        <v>747.24917624143404</v>
      </c>
      <c r="C61" s="1749">
        <v>754.2</v>
      </c>
      <c r="D61" s="1742">
        <f t="shared" ref="D61:D75" si="2">(C61/B61)-1</f>
        <v>9.3018821292352172E-3</v>
      </c>
      <c r="F61" s="1746" t="s">
        <v>1821</v>
      </c>
      <c r="G61" s="1747">
        <v>336.89880384118607</v>
      </c>
      <c r="H61" s="1747">
        <v>323.3</v>
      </c>
      <c r="I61" s="1742">
        <f t="shared" si="1"/>
        <v>-4.0364654567300096E-2</v>
      </c>
    </row>
    <row r="62" spans="1:9">
      <c r="A62" s="1746" t="s">
        <v>314</v>
      </c>
      <c r="B62" s="1741">
        <v>895.78841637349808</v>
      </c>
      <c r="C62" s="1749">
        <v>890.2</v>
      </c>
      <c r="D62" s="1742">
        <f t="shared" si="2"/>
        <v>-6.2385450306693402E-3</v>
      </c>
      <c r="F62" s="1746" t="s">
        <v>1822</v>
      </c>
      <c r="G62" s="1747">
        <v>294.76030110935022</v>
      </c>
      <c r="H62" s="1747">
        <v>276.39999999999998</v>
      </c>
      <c r="I62" s="1742">
        <f t="shared" si="1"/>
        <v>-6.2288920998689545E-2</v>
      </c>
    </row>
    <row r="63" spans="1:9">
      <c r="A63" s="1746" t="s">
        <v>439</v>
      </c>
      <c r="B63" s="1741">
        <v>1211.8424401697707</v>
      </c>
      <c r="C63" s="1749">
        <v>1195.8</v>
      </c>
      <c r="D63" s="1742">
        <f t="shared" si="2"/>
        <v>-1.3238057719387464E-2</v>
      </c>
      <c r="F63" s="1746" t="s">
        <v>1823</v>
      </c>
      <c r="G63" s="1747">
        <v>362.64556322504171</v>
      </c>
      <c r="H63" s="1747">
        <v>346</v>
      </c>
      <c r="I63" s="1742">
        <f t="shared" si="1"/>
        <v>-4.5900363641598441E-2</v>
      </c>
    </row>
    <row r="64" spans="1:9">
      <c r="A64" s="1746" t="s">
        <v>440</v>
      </c>
      <c r="B64" s="1741">
        <v>1396.8409074808064</v>
      </c>
      <c r="C64" s="1749">
        <v>1386.7</v>
      </c>
      <c r="D64" s="1742">
        <f t="shared" si="2"/>
        <v>-7.259887240197882E-3</v>
      </c>
      <c r="F64" s="1746" t="s">
        <v>1824</v>
      </c>
      <c r="G64" s="1747">
        <v>359.871466531566</v>
      </c>
      <c r="H64" s="1747">
        <v>351.1</v>
      </c>
      <c r="I64" s="1742">
        <f t="shared" si="1"/>
        <v>-2.4373887199519273E-2</v>
      </c>
    </row>
    <row r="65" spans="1:9">
      <c r="A65" s="1746" t="s">
        <v>441</v>
      </c>
      <c r="B65" s="1741">
        <v>1421.1268327738549</v>
      </c>
      <c r="C65" s="1749">
        <v>1411.4</v>
      </c>
      <c r="D65" s="1742">
        <f t="shared" si="2"/>
        <v>-6.8444508607787835E-3</v>
      </c>
      <c r="F65" s="1746" t="s">
        <v>1825</v>
      </c>
      <c r="G65" s="1747">
        <v>366.75570625523682</v>
      </c>
      <c r="H65" s="1747">
        <v>347.5</v>
      </c>
      <c r="I65" s="1742">
        <f t="shared" si="1"/>
        <v>-5.2502812981009672E-2</v>
      </c>
    </row>
    <row r="66" spans="1:9">
      <c r="A66" s="1746" t="s">
        <v>442</v>
      </c>
      <c r="B66" s="1741">
        <v>1517.1995751096272</v>
      </c>
      <c r="C66" s="1749">
        <v>1513.6</v>
      </c>
      <c r="D66" s="1742">
        <f t="shared" si="2"/>
        <v>-2.3725126006360897E-3</v>
      </c>
      <c r="F66" s="1746" t="s">
        <v>1826</v>
      </c>
      <c r="G66" s="1747">
        <v>352.56201049931195</v>
      </c>
      <c r="H66" s="1747">
        <v>338.2</v>
      </c>
      <c r="I66" s="1742">
        <f t="shared" si="1"/>
        <v>-4.0736126047647425E-2</v>
      </c>
    </row>
    <row r="67" spans="1:9">
      <c r="A67" s="1746" t="s">
        <v>443</v>
      </c>
      <c r="B67" s="1741">
        <v>1839.4004121479798</v>
      </c>
      <c r="C67" s="1749">
        <v>1838.7</v>
      </c>
      <c r="D67" s="1742">
        <f t="shared" si="2"/>
        <v>-3.8078285910669862E-4</v>
      </c>
      <c r="F67" s="1746" t="s">
        <v>1827</v>
      </c>
      <c r="G67" s="1747">
        <v>478.02373488439434</v>
      </c>
      <c r="H67" s="1747">
        <v>448.9</v>
      </c>
      <c r="I67" s="1742">
        <f t="shared" si="1"/>
        <v>-6.0925290438638258E-2</v>
      </c>
    </row>
    <row r="68" spans="1:9">
      <c r="A68" s="1746" t="s">
        <v>444</v>
      </c>
      <c r="B68" s="1741">
        <v>2277.8934473190975</v>
      </c>
      <c r="C68" s="1749">
        <v>2281.8000000000002</v>
      </c>
      <c r="D68" s="1742">
        <f t="shared" si="2"/>
        <v>1.71498481875898E-3</v>
      </c>
      <c r="F68" s="1746" t="s">
        <v>1828</v>
      </c>
      <c r="G68" s="1747">
        <v>453.38028795718498</v>
      </c>
      <c r="H68" s="1747">
        <v>439.7</v>
      </c>
      <c r="I68" s="1742">
        <f t="shared" si="1"/>
        <v>-3.0173980476356554E-2</v>
      </c>
    </row>
    <row r="69" spans="1:9">
      <c r="A69" s="1746" t="s">
        <v>445</v>
      </c>
      <c r="B69" s="1741">
        <v>2848.1261639197069</v>
      </c>
      <c r="C69" s="1749">
        <v>2848.9</v>
      </c>
      <c r="D69" s="1742">
        <f t="shared" si="2"/>
        <v>2.717000707679329E-4</v>
      </c>
      <c r="F69" s="1746" t="s">
        <v>1829</v>
      </c>
      <c r="G69" s="1747">
        <v>364.29399752245484</v>
      </c>
      <c r="H69" s="1747">
        <v>349.4</v>
      </c>
      <c r="I69" s="1742">
        <f t="shared" si="1"/>
        <v>-4.0884553749850894E-2</v>
      </c>
    </row>
    <row r="70" spans="1:9">
      <c r="A70" s="1746" t="s">
        <v>446</v>
      </c>
      <c r="B70" s="1741">
        <v>3545.5776914290282</v>
      </c>
      <c r="C70" s="1749">
        <v>3539.5</v>
      </c>
      <c r="D70" s="1742">
        <f t="shared" si="2"/>
        <v>-1.7141611206885621E-3</v>
      </c>
      <c r="F70" s="1746" t="s">
        <v>1830</v>
      </c>
      <c r="G70" s="1747">
        <v>417.41283045679268</v>
      </c>
      <c r="H70" s="1747">
        <v>407.1</v>
      </c>
      <c r="I70" s="1742">
        <f t="shared" si="1"/>
        <v>-2.4706548779314885E-2</v>
      </c>
    </row>
    <row r="71" spans="1:9">
      <c r="A71" s="1746" t="s">
        <v>447</v>
      </c>
      <c r="B71" s="1741">
        <v>4388.0419390576508</v>
      </c>
      <c r="C71" s="1749">
        <v>4372.7</v>
      </c>
      <c r="D71" s="1742">
        <f t="shared" si="2"/>
        <v>-3.4963063869315469E-3</v>
      </c>
      <c r="F71" s="1746" t="s">
        <v>1831</v>
      </c>
      <c r="G71" s="1747">
        <v>502.34245497094378</v>
      </c>
      <c r="H71" s="1747">
        <v>479.7</v>
      </c>
      <c r="I71" s="1742">
        <f t="shared" si="1"/>
        <v>-4.5073743512786479E-2</v>
      </c>
    </row>
    <row r="72" spans="1:9">
      <c r="A72" s="1746" t="s">
        <v>448</v>
      </c>
      <c r="B72" s="1741">
        <v>5497.4834390892302</v>
      </c>
      <c r="C72" s="1749">
        <v>5477.9</v>
      </c>
      <c r="D72" s="1742">
        <f t="shared" si="2"/>
        <v>-3.562255222086641E-3</v>
      </c>
      <c r="F72" s="1746" t="s">
        <v>1832</v>
      </c>
      <c r="G72" s="1747">
        <v>420.50529827033398</v>
      </c>
      <c r="H72" s="1747">
        <v>381.5</v>
      </c>
      <c r="I72" s="1742">
        <f t="shared" si="1"/>
        <v>-9.275816126639691E-2</v>
      </c>
    </row>
    <row r="73" spans="1:9">
      <c r="A73" s="1746" t="s">
        <v>449</v>
      </c>
      <c r="B73" s="1741">
        <v>6758.5976516701776</v>
      </c>
      <c r="C73" s="1749">
        <v>6736.9</v>
      </c>
      <c r="D73" s="1742">
        <f t="shared" si="2"/>
        <v>-3.2103777719060256E-3</v>
      </c>
      <c r="F73" s="1746" t="s">
        <v>628</v>
      </c>
      <c r="G73" s="1747">
        <v>403.8672042095767</v>
      </c>
      <c r="H73" s="1747">
        <v>385.5</v>
      </c>
      <c r="I73" s="1742">
        <f t="shared" si="1"/>
        <v>-4.547832559349263E-2</v>
      </c>
    </row>
    <row r="74" spans="1:9">
      <c r="A74" s="1746" t="s">
        <v>450</v>
      </c>
      <c r="B74" s="1741">
        <v>8437.2706685921257</v>
      </c>
      <c r="C74" s="1749">
        <v>8399.1</v>
      </c>
      <c r="D74" s="1742">
        <f t="shared" si="2"/>
        <v>-4.524054056273985E-3</v>
      </c>
    </row>
    <row r="75" spans="1:9">
      <c r="A75" s="1746" t="s">
        <v>451</v>
      </c>
      <c r="B75" s="1741">
        <v>11040.017163250452</v>
      </c>
      <c r="C75" s="1749">
        <v>10988.2</v>
      </c>
      <c r="D75" s="1742">
        <f t="shared" si="2"/>
        <v>-4.6935763309261525E-3</v>
      </c>
    </row>
    <row r="76" spans="1:9">
      <c r="A76" s="1746" t="s">
        <v>888</v>
      </c>
      <c r="B76" s="1741">
        <v>15284.406689381525</v>
      </c>
      <c r="C76" s="1750" t="s">
        <v>59</v>
      </c>
      <c r="D76" s="1742" t="s">
        <v>59</v>
      </c>
    </row>
    <row r="77" spans="1:9">
      <c r="A77" s="1746" t="s">
        <v>629</v>
      </c>
      <c r="B77" s="1741">
        <v>2329.1115479896989</v>
      </c>
      <c r="C77" s="1749">
        <v>2330.3000000000002</v>
      </c>
      <c r="D77" s="1742">
        <f>(C77/B77)-1</f>
        <v>5.1025980757635203E-4</v>
      </c>
    </row>
    <row r="80" spans="1:9">
      <c r="A80" s="1751" t="s">
        <v>315</v>
      </c>
    </row>
    <row r="81" spans="1:1">
      <c r="A81" s="1751" t="s">
        <v>316</v>
      </c>
    </row>
  </sheetData>
  <phoneticPr fontId="71" type="noConversion"/>
  <pageMargins left="0.47" right="0.55000000000000004" top="0.3" bottom="0.37" header="0.25" footer="0.28000000000000003"/>
  <pageSetup paperSize="9" scale="76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D3C0-C4C4-BC44-B152-37C2F1807CC8}">
  <sheetPr>
    <pageSetUpPr fitToPage="1"/>
  </sheetPr>
  <dimension ref="A1:L37"/>
  <sheetViews>
    <sheetView topLeftCell="J1" workbookViewId="0">
      <selection activeCell="N15" sqref="N15"/>
    </sheetView>
  </sheetViews>
  <sheetFormatPr baseColWidth="10" defaultColWidth="11.3984375" defaultRowHeight="13"/>
  <cols>
    <col min="1" max="1" width="14" style="1712" customWidth="1"/>
    <col min="2" max="16384" width="11.3984375" style="1712"/>
  </cols>
  <sheetData>
    <row r="1" spans="1:12">
      <c r="A1" s="1711" t="s">
        <v>1983</v>
      </c>
    </row>
    <row r="3" spans="1:12">
      <c r="A3" s="1711" t="s">
        <v>1984</v>
      </c>
    </row>
    <row r="4" spans="1:12">
      <c r="A4" s="1711"/>
    </row>
    <row r="6" spans="1:12">
      <c r="B6" s="1713">
        <v>1997</v>
      </c>
      <c r="C6" s="1713">
        <v>1998</v>
      </c>
      <c r="D6" s="1713">
        <v>1999</v>
      </c>
      <c r="E6" s="1713">
        <v>2000</v>
      </c>
      <c r="F6" s="1713">
        <v>2001</v>
      </c>
      <c r="G6" s="1713">
        <v>2002</v>
      </c>
      <c r="H6" s="1713">
        <v>2003</v>
      </c>
      <c r="I6" s="1713">
        <v>2004</v>
      </c>
      <c r="J6" s="1713">
        <v>2005</v>
      </c>
      <c r="K6" s="1713">
        <v>2006</v>
      </c>
      <c r="L6" s="1713">
        <v>2007</v>
      </c>
    </row>
    <row r="7" spans="1:12" ht="17">
      <c r="A7" s="1714" t="s">
        <v>1985</v>
      </c>
      <c r="B7" s="1715">
        <v>0.91870534229204071</v>
      </c>
      <c r="C7" s="1715">
        <v>0.92450051512289377</v>
      </c>
      <c r="D7" s="1715">
        <v>0.92190960847248915</v>
      </c>
      <c r="E7" s="1715">
        <v>0.9146555342193794</v>
      </c>
      <c r="F7" s="1715">
        <v>0.910459455023508</v>
      </c>
      <c r="G7" s="1715">
        <v>0.94699717778464221</v>
      </c>
      <c r="H7" s="1715">
        <v>0.94090079508798108</v>
      </c>
      <c r="I7" s="1715">
        <v>0.97171055250346705</v>
      </c>
      <c r="J7" s="1715">
        <v>0.97005377567368656</v>
      </c>
      <c r="K7" s="1715">
        <v>0.96770426271154775</v>
      </c>
      <c r="L7" s="1715">
        <v>0.97454195571311342</v>
      </c>
    </row>
    <row r="8" spans="1:12" ht="17">
      <c r="A8" s="1714" t="s">
        <v>1986</v>
      </c>
      <c r="B8" s="1715">
        <v>0.92590294625206992</v>
      </c>
      <c r="C8" s="1715">
        <v>0.93856318284817852</v>
      </c>
      <c r="D8" s="1715">
        <v>0.92626384017271968</v>
      </c>
      <c r="E8" s="1715">
        <v>0.91887846844435261</v>
      </c>
      <c r="F8" s="1715">
        <v>0.93054867721158996</v>
      </c>
      <c r="G8" s="1715">
        <v>0.9388180261724085</v>
      </c>
      <c r="H8" s="1715">
        <v>0.92304823961140481</v>
      </c>
      <c r="I8" s="1715">
        <v>0.95820342417583337</v>
      </c>
      <c r="J8" s="1715">
        <v>0.95678570198949797</v>
      </c>
      <c r="K8" s="1715">
        <v>0.95568456569499327</v>
      </c>
      <c r="L8" s="1715">
        <v>0.97277054338339997</v>
      </c>
    </row>
    <row r="9" spans="1:12" ht="17">
      <c r="A9" s="1714" t="s">
        <v>1987</v>
      </c>
      <c r="B9" s="1715">
        <v>0.92716803778806267</v>
      </c>
      <c r="C9" s="1715">
        <v>0.94845303182186402</v>
      </c>
      <c r="D9" s="1715">
        <v>0.94838248522321944</v>
      </c>
      <c r="E9" s="1715">
        <v>0.94505897990914622</v>
      </c>
      <c r="F9" s="1715">
        <v>0.95101505070460468</v>
      </c>
      <c r="G9" s="1715">
        <v>0.95511584185232712</v>
      </c>
      <c r="H9" s="1715">
        <v>0.95758734718254446</v>
      </c>
      <c r="I9" s="1715">
        <v>0.98421148525918689</v>
      </c>
      <c r="J9" s="1715">
        <v>0.97376986734682502</v>
      </c>
      <c r="K9" s="1715">
        <v>0.98960778331844923</v>
      </c>
      <c r="L9" s="1715">
        <v>0.99349910533846886</v>
      </c>
    </row>
    <row r="10" spans="1:12" ht="17">
      <c r="A10" s="1714" t="s">
        <v>1988</v>
      </c>
      <c r="B10" s="1715">
        <v>0.93396448014443756</v>
      </c>
      <c r="C10" s="1715">
        <v>0.93838910216603921</v>
      </c>
      <c r="D10" s="1715">
        <v>0.93811271285367515</v>
      </c>
      <c r="E10" s="1715">
        <v>0.93354049042978826</v>
      </c>
      <c r="F10" s="1715">
        <v>0.94922383142315392</v>
      </c>
      <c r="G10" s="1715">
        <v>0.9542513874059908</v>
      </c>
      <c r="H10" s="1715">
        <v>0.94877032282696983</v>
      </c>
      <c r="I10" s="1715">
        <v>0.99032173249271993</v>
      </c>
      <c r="J10" s="1715">
        <v>0.98900468284376331</v>
      </c>
      <c r="K10" s="1715">
        <v>0.9889388601625092</v>
      </c>
      <c r="L10" s="1715">
        <v>0.99181586993170845</v>
      </c>
    </row>
    <row r="11" spans="1:12" ht="17">
      <c r="A11" s="1714" t="s">
        <v>1989</v>
      </c>
      <c r="B11" s="1715">
        <v>0.91065287311510557</v>
      </c>
      <c r="C11" s="1715">
        <v>0.92861572175174278</v>
      </c>
      <c r="D11" s="1715">
        <v>0.92899679695986181</v>
      </c>
      <c r="E11" s="1715">
        <v>0.91165825276662527</v>
      </c>
      <c r="F11" s="1715">
        <v>0.93733575552781623</v>
      </c>
      <c r="G11" s="1715">
        <v>0.95365986918576395</v>
      </c>
      <c r="H11" s="1715">
        <v>0.94858300616729629</v>
      </c>
      <c r="I11" s="1715">
        <v>0.98442119166422082</v>
      </c>
      <c r="J11" s="1715">
        <v>0.98392666914406035</v>
      </c>
      <c r="K11" s="1715">
        <v>0.98234318075244387</v>
      </c>
      <c r="L11" s="1715">
        <v>0.98326259681614225</v>
      </c>
    </row>
    <row r="12" spans="1:12" ht="17">
      <c r="A12" s="1714" t="s">
        <v>1990</v>
      </c>
      <c r="B12" s="1715">
        <v>0.91056160128839292</v>
      </c>
      <c r="C12" s="1715">
        <v>0.91691195704899786</v>
      </c>
      <c r="D12" s="1715">
        <v>0.91949502022639429</v>
      </c>
      <c r="E12" s="1715">
        <v>0.91723923954981501</v>
      </c>
      <c r="F12" s="1715">
        <v>0.94693878650603758</v>
      </c>
      <c r="G12" s="1715">
        <v>0.95275998799778805</v>
      </c>
      <c r="H12" s="1715">
        <v>0.94716323520408219</v>
      </c>
      <c r="I12" s="1715">
        <v>0.97866804245283012</v>
      </c>
      <c r="J12" s="1715">
        <v>0.98231792180220567</v>
      </c>
      <c r="K12" s="1715">
        <v>0.97957195593577873</v>
      </c>
      <c r="L12" s="1715">
        <v>0.9817309090909091</v>
      </c>
    </row>
    <row r="13" spans="1:12" ht="17">
      <c r="A13" s="1714" t="s">
        <v>1991</v>
      </c>
      <c r="B13" s="1715">
        <v>0.92353609858280394</v>
      </c>
      <c r="C13" s="1715">
        <v>0.92860747653044029</v>
      </c>
      <c r="D13" s="1715">
        <v>0.92904440793506793</v>
      </c>
      <c r="E13" s="1715">
        <v>0.92522399862168303</v>
      </c>
      <c r="F13" s="1715">
        <v>0.94873875651932904</v>
      </c>
      <c r="G13" s="1715">
        <v>0.95732433956516194</v>
      </c>
      <c r="H13" s="1715">
        <v>0.95130329286476722</v>
      </c>
      <c r="I13" s="1715">
        <v>0.97789790327948589</v>
      </c>
      <c r="J13" s="1715">
        <v>0.97802511183407881</v>
      </c>
      <c r="K13" s="1715">
        <v>0.97438770100724503</v>
      </c>
      <c r="L13" s="1715">
        <v>0.97725930212080814</v>
      </c>
    </row>
    <row r="14" spans="1:12" ht="17">
      <c r="A14" s="1714" t="s">
        <v>1992</v>
      </c>
      <c r="B14" s="1715">
        <v>0.89507447255610662</v>
      </c>
      <c r="C14" s="1715">
        <v>0.89646487507686845</v>
      </c>
      <c r="D14" s="1715">
        <v>0.84443023329731104</v>
      </c>
      <c r="E14" s="1715">
        <v>0.82163477277206931</v>
      </c>
      <c r="F14" s="1715">
        <v>0.93607881927123837</v>
      </c>
      <c r="G14" s="1715">
        <v>0.95029992224000215</v>
      </c>
      <c r="H14" s="1715">
        <v>0.94308018995405585</v>
      </c>
      <c r="I14" s="1715">
        <v>0.9678551158350962</v>
      </c>
      <c r="J14" s="1715">
        <v>0.96017389047495461</v>
      </c>
      <c r="K14" s="1715">
        <v>0.96449449919182439</v>
      </c>
      <c r="L14" s="1715">
        <v>0.97387106918238986</v>
      </c>
    </row>
    <row r="15" spans="1:12" ht="17">
      <c r="A15" s="1714" t="s">
        <v>1993</v>
      </c>
      <c r="B15" s="1715">
        <v>0.90266632685344683</v>
      </c>
      <c r="C15" s="1715">
        <v>0.90841668186127145</v>
      </c>
      <c r="D15" s="1715">
        <v>0.91058200408997958</v>
      </c>
      <c r="E15" s="1715">
        <v>0.90776106740251172</v>
      </c>
      <c r="F15" s="1715">
        <v>0.92230432194037038</v>
      </c>
      <c r="G15" s="1715">
        <v>0.93186878359177117</v>
      </c>
      <c r="H15" s="1715">
        <v>0.93020980742378034</v>
      </c>
      <c r="I15" s="1715">
        <v>0.98182481259514764</v>
      </c>
      <c r="J15" s="1715">
        <v>0.98229127134724858</v>
      </c>
      <c r="K15" s="1715">
        <v>0.979214912814939</v>
      </c>
      <c r="L15" s="1715">
        <v>0.97600285655988572</v>
      </c>
    </row>
    <row r="16" spans="1:12" ht="17">
      <c r="A16" s="1714" t="s">
        <v>468</v>
      </c>
      <c r="B16" s="1715">
        <v>0.81375437816200591</v>
      </c>
      <c r="C16" s="1715">
        <v>0.97055994409684476</v>
      </c>
      <c r="D16" s="1715">
        <v>0.97024905885254831</v>
      </c>
      <c r="E16" s="1715">
        <v>0.96432121358608702</v>
      </c>
      <c r="F16" s="1715">
        <v>0.96112564066686812</v>
      </c>
      <c r="G16" s="1715">
        <v>0.94248692108370502</v>
      </c>
      <c r="H16" s="1715">
        <v>0.97368237488437448</v>
      </c>
      <c r="I16" s="1715">
        <v>0.99125751252920158</v>
      </c>
      <c r="J16" s="1715">
        <v>0.98729430759840109</v>
      </c>
      <c r="K16" s="1715">
        <v>0.9781095514601339</v>
      </c>
      <c r="L16" s="1715">
        <v>0.98092337198351298</v>
      </c>
    </row>
    <row r="17" spans="1:12" ht="17">
      <c r="A17" s="1714" t="s">
        <v>469</v>
      </c>
      <c r="B17" s="1715">
        <v>0.91883785578381583</v>
      </c>
      <c r="C17" s="1715">
        <v>0.92455150472706416</v>
      </c>
      <c r="D17" s="1715">
        <v>0.92505571717021984</v>
      </c>
      <c r="E17" s="1715">
        <v>0.92425152178524661</v>
      </c>
      <c r="F17" s="1715">
        <v>0.94945634954398683</v>
      </c>
      <c r="G17" s="1715">
        <v>0.95104914863258505</v>
      </c>
      <c r="H17" s="1715">
        <v>0.94871338012579387</v>
      </c>
      <c r="I17" s="1715">
        <v>0.97073178750857048</v>
      </c>
      <c r="J17" s="1715">
        <v>0.96832093019529941</v>
      </c>
      <c r="K17" s="1715">
        <v>0.96403843619854579</v>
      </c>
      <c r="L17" s="1715">
        <v>0.96693509126170196</v>
      </c>
    </row>
    <row r="18" spans="1:12" ht="17">
      <c r="A18" s="1714" t="s">
        <v>1994</v>
      </c>
      <c r="B18" s="1716">
        <v>0.98789983280660798</v>
      </c>
      <c r="C18" s="1716">
        <v>1.0162132462869267</v>
      </c>
      <c r="D18" s="1716">
        <v>1.0099142991534638</v>
      </c>
      <c r="E18" s="1716">
        <v>1.0029846958692721</v>
      </c>
      <c r="F18" s="1716">
        <v>0.99962232466515422</v>
      </c>
      <c r="G18" s="1716">
        <v>1.0039444935141095</v>
      </c>
      <c r="H18" s="1715">
        <v>0.96262154654440291</v>
      </c>
      <c r="I18" s="1715">
        <v>0.96440626005749486</v>
      </c>
      <c r="J18" s="1715">
        <v>0.96586738779853665</v>
      </c>
      <c r="K18" s="1715">
        <v>0.97873376188563022</v>
      </c>
      <c r="L18" s="1715">
        <v>0.97891517311723097</v>
      </c>
    </row>
    <row r="19" spans="1:12" ht="17">
      <c r="A19" s="1714" t="s">
        <v>1995</v>
      </c>
      <c r="B19" s="1716">
        <v>0.87053359386061069</v>
      </c>
      <c r="C19" s="1716">
        <v>0.88278578594027324</v>
      </c>
      <c r="D19" s="1716">
        <v>0.8876119172805933</v>
      </c>
      <c r="E19" s="1716">
        <v>0.88603941859342727</v>
      </c>
      <c r="F19" s="1716">
        <v>0.89620249373114691</v>
      </c>
      <c r="G19" s="1716">
        <v>0.89698012421339635</v>
      </c>
      <c r="H19" s="1715">
        <v>0.93517415092958645</v>
      </c>
      <c r="I19" s="1715">
        <v>0.9626335626615109</v>
      </c>
      <c r="J19" s="1715">
        <v>0.96491150209689303</v>
      </c>
      <c r="K19" s="1715">
        <v>0.9660118552802055</v>
      </c>
      <c r="L19" s="1715">
        <v>0.96886604796842468</v>
      </c>
    </row>
    <row r="20" spans="1:12" ht="17">
      <c r="A20" s="1714" t="s">
        <v>1996</v>
      </c>
      <c r="B20" s="1715">
        <v>0.90111661255500985</v>
      </c>
      <c r="C20" s="1715">
        <v>0.90776551528351357</v>
      </c>
      <c r="D20" s="1715">
        <v>0.90314759683311541</v>
      </c>
      <c r="E20" s="1715">
        <v>0.89888374195006215</v>
      </c>
      <c r="F20" s="1715">
        <v>0.90279544900501252</v>
      </c>
      <c r="G20" s="1715">
        <v>0.91090371963646743</v>
      </c>
      <c r="H20" s="1715">
        <v>0.89377483647524081</v>
      </c>
      <c r="I20" s="1715">
        <v>0.95080732898158471</v>
      </c>
      <c r="J20" s="1715">
        <v>0.95708301700829768</v>
      </c>
      <c r="K20" s="1715">
        <v>0.95468677832930748</v>
      </c>
      <c r="L20" s="1715">
        <v>0.95399006622516558</v>
      </c>
    </row>
    <row r="21" spans="1:12" ht="17">
      <c r="A21" s="1714" t="s">
        <v>1997</v>
      </c>
      <c r="B21" s="1715">
        <v>0.91861501014688829</v>
      </c>
      <c r="C21" s="1715">
        <v>0.91636074391121547</v>
      </c>
      <c r="D21" s="1715">
        <v>0.90138973268529721</v>
      </c>
      <c r="E21" s="1715">
        <v>0.88841495330535636</v>
      </c>
      <c r="F21" s="1715">
        <v>0.88809982986068847</v>
      </c>
      <c r="G21" s="1715">
        <v>0.90507640146765134</v>
      </c>
      <c r="H21" s="1715">
        <v>0.89082863785591071</v>
      </c>
      <c r="I21" s="1715">
        <v>0.96098550021460427</v>
      </c>
      <c r="J21" s="1715">
        <v>0.95772879579191705</v>
      </c>
      <c r="K21" s="1715">
        <v>0.95159079379990608</v>
      </c>
      <c r="L21" s="1715">
        <v>0.95162579626810984</v>
      </c>
    </row>
    <row r="22" spans="1:12" ht="17">
      <c r="A22" s="1714" t="s">
        <v>1998</v>
      </c>
      <c r="B22" s="1715">
        <v>0.9331421191230983</v>
      </c>
      <c r="C22" s="1715">
        <v>0.9307014276846679</v>
      </c>
      <c r="D22" s="1715">
        <v>0.92859517602862429</v>
      </c>
      <c r="E22" s="1715">
        <v>0.92118723344947739</v>
      </c>
      <c r="F22" s="1715">
        <v>0.93265182558664639</v>
      </c>
      <c r="G22" s="1715">
        <v>0.93135347024350534</v>
      </c>
      <c r="H22" s="1715">
        <v>0.9097048640967087</v>
      </c>
      <c r="I22" s="1715">
        <v>0.97882768738330217</v>
      </c>
      <c r="J22" s="1715">
        <v>0.97654186476492344</v>
      </c>
      <c r="K22" s="1715">
        <v>0.97234390323635178</v>
      </c>
      <c r="L22" s="1715">
        <v>0.97724683956731395</v>
      </c>
    </row>
    <row r="23" spans="1:12" ht="17">
      <c r="A23" s="1714" t="s">
        <v>1999</v>
      </c>
      <c r="B23" s="1715">
        <v>0.92950091396117773</v>
      </c>
      <c r="C23" s="1715">
        <v>0.93646974465996802</v>
      </c>
      <c r="D23" s="1715">
        <v>0.94228755321152979</v>
      </c>
      <c r="E23" s="1715">
        <v>0.93462540060615251</v>
      </c>
      <c r="F23" s="1715">
        <v>0.93849168761764823</v>
      </c>
      <c r="G23" s="1715">
        <v>0.95282096637779057</v>
      </c>
      <c r="H23" s="1715">
        <v>0.94487679791205514</v>
      </c>
      <c r="I23" s="1715">
        <v>0.97642906474010216</v>
      </c>
      <c r="J23" s="1715">
        <v>0.9753731407733347</v>
      </c>
      <c r="K23" s="1715">
        <v>0.96923743001131868</v>
      </c>
      <c r="L23" s="1715">
        <v>0.96823480790493466</v>
      </c>
    </row>
    <row r="24" spans="1:12" ht="17">
      <c r="A24" s="1714" t="s">
        <v>2000</v>
      </c>
      <c r="B24" s="1715">
        <v>0.8663160910393124</v>
      </c>
      <c r="C24" s="1715">
        <v>0.87320540198529351</v>
      </c>
      <c r="D24" s="1715">
        <v>0.88239246967749863</v>
      </c>
      <c r="E24" s="1715">
        <v>0.89031096019910094</v>
      </c>
      <c r="F24" s="1715">
        <v>0.9077718510156777</v>
      </c>
      <c r="G24" s="1715">
        <v>0.99013715940729774</v>
      </c>
      <c r="H24" s="1715">
        <v>0.94145855396292788</v>
      </c>
      <c r="I24" s="1715">
        <v>0.96349520865533234</v>
      </c>
      <c r="J24" s="1715">
        <v>0.9649371368307863</v>
      </c>
      <c r="K24" s="1715">
        <v>0.96186875965268404</v>
      </c>
      <c r="L24" s="1715">
        <v>0.97607560183653208</v>
      </c>
    </row>
    <row r="25" spans="1:12" ht="17">
      <c r="A25" s="1714" t="s">
        <v>2001</v>
      </c>
      <c r="B25" s="1715">
        <v>0.9358615462440163</v>
      </c>
      <c r="C25" s="1715">
        <v>0.94512843547116177</v>
      </c>
      <c r="D25" s="1715">
        <v>0.92757639588668483</v>
      </c>
      <c r="E25" s="1715">
        <v>0.92036512438192286</v>
      </c>
      <c r="F25" s="1715">
        <v>0.92262405194357111</v>
      </c>
      <c r="G25" s="1715">
        <v>0.95093055021110684</v>
      </c>
      <c r="H25" s="1715">
        <v>0.94452502149089168</v>
      </c>
      <c r="I25" s="1715">
        <v>0.97009166616949827</v>
      </c>
      <c r="J25" s="1715">
        <v>0.96747757650292732</v>
      </c>
      <c r="K25" s="1715">
        <v>0.96067529480032321</v>
      </c>
      <c r="L25" s="1715">
        <v>0.96608525729298311</v>
      </c>
    </row>
    <row r="26" spans="1:12" ht="17">
      <c r="A26" s="1714" t="s">
        <v>2002</v>
      </c>
      <c r="B26" s="1715">
        <v>0.85750747200208122</v>
      </c>
      <c r="C26" s="1715">
        <v>0.86871370134365722</v>
      </c>
      <c r="D26" s="1715">
        <v>0.90757431635476171</v>
      </c>
      <c r="E26" s="1715">
        <v>0.92672688812216486</v>
      </c>
      <c r="F26" s="1715">
        <v>0.9285404783060156</v>
      </c>
      <c r="G26" s="1715">
        <v>0.93432223542330151</v>
      </c>
      <c r="H26" s="1715">
        <v>0.92076470714577208</v>
      </c>
      <c r="I26" s="1715">
        <v>0.96856093414994582</v>
      </c>
      <c r="J26" s="1715">
        <v>0.96916430233940987</v>
      </c>
      <c r="K26" s="1715">
        <v>0.9694296348752709</v>
      </c>
      <c r="L26" s="1715">
        <v>0.97108700562136119</v>
      </c>
    </row>
    <row r="27" spans="1:12" ht="17">
      <c r="A27" s="1714" t="s">
        <v>2003</v>
      </c>
      <c r="B27" s="1715">
        <v>0.93516482310321813</v>
      </c>
      <c r="C27" s="1715">
        <v>0.95168501762910518</v>
      </c>
      <c r="D27" s="1715">
        <v>0.94963712568379166</v>
      </c>
      <c r="E27" s="1715">
        <v>0.94214650741059269</v>
      </c>
      <c r="F27" s="1715">
        <v>0.9546773160230636</v>
      </c>
      <c r="G27" s="1715">
        <v>0.95750001525455064</v>
      </c>
      <c r="H27" s="1715">
        <v>0.96271810213215259</v>
      </c>
      <c r="I27" s="1715">
        <v>0.9720464735380977</v>
      </c>
      <c r="J27" s="1715">
        <v>0.97687361118979732</v>
      </c>
      <c r="K27" s="1715">
        <v>0.97696482251559402</v>
      </c>
      <c r="L27" s="1715">
        <v>0.97870704152405674</v>
      </c>
    </row>
    <row r="28" spans="1:12" ht="17">
      <c r="A28" s="1714" t="s">
        <v>2004</v>
      </c>
      <c r="B28" s="1715">
        <v>0.81788155411202346</v>
      </c>
      <c r="C28" s="1715">
        <v>0.84011880458078825</v>
      </c>
      <c r="D28" s="1715">
        <v>0.83663640127216199</v>
      </c>
      <c r="E28" s="1715">
        <v>0.83779215206437985</v>
      </c>
      <c r="F28" s="1715">
        <v>0.82418004450497773</v>
      </c>
      <c r="G28" s="1715">
        <v>0.85861566472516071</v>
      </c>
      <c r="H28" s="1715">
        <v>0.9298746492987543</v>
      </c>
      <c r="I28" s="1715">
        <v>0.96386430278611346</v>
      </c>
      <c r="J28" s="1715">
        <v>0.968826912053939</v>
      </c>
      <c r="K28" s="1715">
        <v>0.97321521550034307</v>
      </c>
      <c r="L28" s="1715">
        <v>0.98652698034217479</v>
      </c>
    </row>
    <row r="29" spans="1:12" ht="17">
      <c r="A29" s="1714" t="s">
        <v>2005</v>
      </c>
      <c r="B29" s="1715">
        <v>0.81969753838067039</v>
      </c>
      <c r="C29" s="1715">
        <v>0.88924633865150204</v>
      </c>
      <c r="D29" s="1715">
        <v>0.88289777985394846</v>
      </c>
      <c r="E29" s="1715">
        <v>0.87124729575442261</v>
      </c>
      <c r="F29" s="1715">
        <v>0.90809738984900101</v>
      </c>
      <c r="G29" s="1715">
        <v>0.92419956688128979</v>
      </c>
      <c r="H29" s="1715">
        <v>0.93977676874699123</v>
      </c>
      <c r="I29" s="1715">
        <v>0.96235029659268057</v>
      </c>
      <c r="J29" s="1715">
        <v>0.96666284121095924</v>
      </c>
      <c r="K29" s="1715">
        <v>0.99357568294674292</v>
      </c>
      <c r="L29" s="1715">
        <v>0.9789353585657371</v>
      </c>
    </row>
    <row r="30" spans="1:12" ht="17">
      <c r="A30" s="1714" t="s">
        <v>2006</v>
      </c>
      <c r="B30" s="1715">
        <v>0.94103833268179504</v>
      </c>
      <c r="C30" s="1715">
        <v>0.95195107664885725</v>
      </c>
      <c r="D30" s="1715">
        <v>0.92079797810269381</v>
      </c>
      <c r="E30" s="1715">
        <v>0.93702252667254449</v>
      </c>
      <c r="F30" s="1715">
        <v>0.92162201868416072</v>
      </c>
      <c r="G30" s="1715">
        <v>0.93079877530309851</v>
      </c>
      <c r="H30" s="1715">
        <v>0.97329407081754316</v>
      </c>
      <c r="I30" s="1715">
        <v>0.97780215812433768</v>
      </c>
      <c r="J30" s="1715">
        <v>0.98983836111193346</v>
      </c>
      <c r="K30" s="1715">
        <v>0.99096619952480058</v>
      </c>
      <c r="L30" s="1715">
        <v>1.0002573174273</v>
      </c>
    </row>
    <row r="31" spans="1:12" ht="17">
      <c r="A31" s="1714" t="s">
        <v>2007</v>
      </c>
      <c r="B31" s="1715">
        <v>0.89296752657460232</v>
      </c>
      <c r="C31" s="1715">
        <v>0.93585622518832745</v>
      </c>
      <c r="D31" s="1715">
        <v>0.93741203912847171</v>
      </c>
      <c r="E31" s="1715">
        <v>0.92540107764166857</v>
      </c>
      <c r="F31" s="1715">
        <v>0.91390026278909775</v>
      </c>
      <c r="G31" s="1715">
        <v>0.86261644729365106</v>
      </c>
      <c r="H31" s="1715">
        <v>0.91885573438818224</v>
      </c>
      <c r="I31" s="1715">
        <v>0.9572086652326447</v>
      </c>
      <c r="J31" s="1715">
        <v>0.96792875059469996</v>
      </c>
      <c r="K31" s="1715">
        <v>0.99159668008469881</v>
      </c>
      <c r="L31" s="1715">
        <v>0.99322265984918656</v>
      </c>
    </row>
    <row r="32" spans="1:12" s="1711" customFormat="1" ht="17">
      <c r="A32" s="1714" t="s">
        <v>2008</v>
      </c>
      <c r="B32" s="1715">
        <v>0.93884879242343955</v>
      </c>
      <c r="C32" s="1715">
        <v>0.9469581137624854</v>
      </c>
      <c r="D32" s="1715">
        <v>0.94042241908563018</v>
      </c>
      <c r="E32" s="1715">
        <v>0.9422726463825819</v>
      </c>
      <c r="F32" s="1715">
        <v>0.90531670730225011</v>
      </c>
      <c r="G32" s="1715">
        <v>0.88577289548202487</v>
      </c>
      <c r="H32" s="1715">
        <v>0.91854964466769629</v>
      </c>
      <c r="I32" s="1715">
        <v>0.96556360974349398</v>
      </c>
      <c r="J32" s="1715">
        <v>0.94594729047749138</v>
      </c>
      <c r="K32" s="1715">
        <v>0.92320853155496785</v>
      </c>
      <c r="L32" s="1715">
        <v>0.93504540417632076</v>
      </c>
    </row>
    <row r="33" spans="1:12" s="1711" customFormat="1" ht="17">
      <c r="A33" s="1714" t="s">
        <v>2009</v>
      </c>
      <c r="B33" s="1717">
        <v>0.90249179120774492</v>
      </c>
      <c r="C33" s="1717">
        <v>0.92271469418859131</v>
      </c>
      <c r="D33" s="1717">
        <v>0.91938864016755539</v>
      </c>
      <c r="E33" s="1717">
        <v>0.91473209358692276</v>
      </c>
      <c r="F33" s="1717">
        <v>0.91889966776198506</v>
      </c>
      <c r="G33" s="1717">
        <v>0.93313052570889743</v>
      </c>
      <c r="H33" s="1717">
        <v>0.93949236707673822</v>
      </c>
      <c r="I33" s="1717">
        <v>0.96904086251364729</v>
      </c>
      <c r="J33" s="1717">
        <v>0.9692576422088135</v>
      </c>
      <c r="K33" s="1717">
        <v>0.97080258201323855</v>
      </c>
      <c r="L33" s="1717">
        <v>0.97655193574834442</v>
      </c>
    </row>
    <row r="35" spans="1:12">
      <c r="A35" s="1712" t="s">
        <v>2010</v>
      </c>
    </row>
    <row r="37" spans="1:12">
      <c r="A37" s="1718" t="s">
        <v>2011</v>
      </c>
    </row>
  </sheetData>
  <phoneticPr fontId="71" type="noConversion"/>
  <pageMargins left="0.44" right="0.78740157480314965" top="0.52" bottom="0.59" header="0.35" footer="0.3"/>
  <pageSetup paperSize="9" scale="96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E443-36F3-BD47-AB78-688782D477EF}">
  <sheetPr>
    <pageSetUpPr fitToPage="1"/>
  </sheetPr>
  <dimension ref="A1:L36"/>
  <sheetViews>
    <sheetView topLeftCell="D1" workbookViewId="0">
      <selection activeCell="H3" sqref="H3"/>
    </sheetView>
  </sheetViews>
  <sheetFormatPr baseColWidth="10" defaultColWidth="11.3984375" defaultRowHeight="13"/>
  <cols>
    <col min="1" max="1" width="16.19921875" style="1712" customWidth="1"/>
    <col min="2" max="16384" width="11.3984375" style="1712"/>
  </cols>
  <sheetData>
    <row r="1" spans="1:12">
      <c r="A1" s="1711" t="s">
        <v>2012</v>
      </c>
    </row>
    <row r="3" spans="1:12">
      <c r="A3" s="1711" t="s">
        <v>2013</v>
      </c>
    </row>
    <row r="4" spans="1:12">
      <c r="A4" s="1711"/>
    </row>
    <row r="6" spans="1:12">
      <c r="B6" s="1713">
        <v>1997</v>
      </c>
      <c r="C6" s="1713">
        <v>1998</v>
      </c>
      <c r="D6" s="1713">
        <v>1999</v>
      </c>
      <c r="E6" s="1713">
        <v>2000</v>
      </c>
      <c r="F6" s="1713">
        <v>2001</v>
      </c>
      <c r="G6" s="1713">
        <v>2002</v>
      </c>
      <c r="H6" s="1713">
        <v>2003</v>
      </c>
      <c r="I6" s="1713">
        <v>2004</v>
      </c>
      <c r="J6" s="1713">
        <v>2005</v>
      </c>
      <c r="K6" s="1713">
        <v>2006</v>
      </c>
      <c r="L6" s="1713">
        <v>2007</v>
      </c>
    </row>
    <row r="7" spans="1:12" ht="16">
      <c r="A7" s="1719" t="s">
        <v>2014</v>
      </c>
      <c r="B7" s="1720" t="s">
        <v>59</v>
      </c>
      <c r="C7" s="1720" t="s">
        <v>59</v>
      </c>
      <c r="D7" s="1720" t="s">
        <v>59</v>
      </c>
      <c r="E7" s="1720" t="s">
        <v>59</v>
      </c>
      <c r="F7" s="1720" t="s">
        <v>59</v>
      </c>
      <c r="G7" s="1720" t="s">
        <v>59</v>
      </c>
      <c r="H7" s="1720" t="s">
        <v>59</v>
      </c>
      <c r="I7" s="1720" t="s">
        <v>59</v>
      </c>
      <c r="J7" s="1720" t="s">
        <v>59</v>
      </c>
      <c r="K7" s="1720" t="s">
        <v>59</v>
      </c>
      <c r="L7" s="1720" t="s">
        <v>59</v>
      </c>
    </row>
    <row r="8" spans="1:12" ht="16">
      <c r="A8" s="1719" t="s">
        <v>2015</v>
      </c>
      <c r="B8" s="1720" t="s">
        <v>59</v>
      </c>
      <c r="C8" s="1720" t="s">
        <v>59</v>
      </c>
      <c r="D8" s="1720" t="s">
        <v>59</v>
      </c>
      <c r="E8" s="1720" t="s">
        <v>59</v>
      </c>
      <c r="F8" s="1720" t="s">
        <v>59</v>
      </c>
      <c r="G8" s="1720" t="s">
        <v>59</v>
      </c>
      <c r="H8" s="1720" t="s">
        <v>59</v>
      </c>
      <c r="I8" s="1720" t="s">
        <v>59</v>
      </c>
      <c r="J8" s="1720" t="s">
        <v>59</v>
      </c>
      <c r="K8" s="1720" t="s">
        <v>59</v>
      </c>
      <c r="L8" s="1720" t="s">
        <v>59</v>
      </c>
    </row>
    <row r="9" spans="1:12" ht="16">
      <c r="A9" s="1719" t="s">
        <v>2016</v>
      </c>
      <c r="B9" s="1720" t="s">
        <v>59</v>
      </c>
      <c r="C9" s="1720" t="s">
        <v>59</v>
      </c>
      <c r="D9" s="1720" t="s">
        <v>59</v>
      </c>
      <c r="E9" s="1720" t="s">
        <v>59</v>
      </c>
      <c r="F9" s="1720" t="s">
        <v>59</v>
      </c>
      <c r="G9" s="1720" t="s">
        <v>59</v>
      </c>
      <c r="H9" s="1720" t="s">
        <v>59</v>
      </c>
      <c r="I9" s="1720" t="s">
        <v>59</v>
      </c>
      <c r="J9" s="1720" t="s">
        <v>59</v>
      </c>
      <c r="K9" s="1720" t="s">
        <v>59</v>
      </c>
      <c r="L9" s="1720" t="s">
        <v>59</v>
      </c>
    </row>
    <row r="10" spans="1:12" ht="16">
      <c r="A10" s="1719" t="s">
        <v>2017</v>
      </c>
      <c r="B10" s="1720" t="s">
        <v>59</v>
      </c>
      <c r="C10" s="1720" t="s">
        <v>59</v>
      </c>
      <c r="D10" s="1720" t="s">
        <v>59</v>
      </c>
      <c r="E10" s="1720" t="s">
        <v>59</v>
      </c>
      <c r="F10" s="1720" t="s">
        <v>59</v>
      </c>
      <c r="G10" s="1720" t="s">
        <v>59</v>
      </c>
      <c r="H10" s="1720" t="s">
        <v>59</v>
      </c>
      <c r="I10" s="1720" t="s">
        <v>59</v>
      </c>
      <c r="J10" s="1720" t="s">
        <v>59</v>
      </c>
      <c r="K10" s="1720" t="s">
        <v>59</v>
      </c>
      <c r="L10" s="1720" t="s">
        <v>59</v>
      </c>
    </row>
    <row r="11" spans="1:12" ht="16">
      <c r="A11" s="1719" t="s">
        <v>2018</v>
      </c>
      <c r="B11" s="1720" t="s">
        <v>59</v>
      </c>
      <c r="C11" s="1720" t="s">
        <v>59</v>
      </c>
      <c r="D11" s="1720" t="s">
        <v>59</v>
      </c>
      <c r="E11" s="1720" t="s">
        <v>59</v>
      </c>
      <c r="F11" s="1720" t="s">
        <v>59</v>
      </c>
      <c r="G11" s="1720" t="s">
        <v>59</v>
      </c>
      <c r="H11" s="1720" t="s">
        <v>59</v>
      </c>
      <c r="I11" s="1720" t="s">
        <v>59</v>
      </c>
      <c r="J11" s="1720" t="s">
        <v>59</v>
      </c>
      <c r="K11" s="1720" t="s">
        <v>59</v>
      </c>
      <c r="L11" s="1720" t="s">
        <v>59</v>
      </c>
    </row>
    <row r="12" spans="1:12" ht="16">
      <c r="A12" s="1719" t="s">
        <v>2019</v>
      </c>
      <c r="B12" s="1720" t="s">
        <v>59</v>
      </c>
      <c r="C12" s="1720" t="s">
        <v>59</v>
      </c>
      <c r="D12" s="1720" t="s">
        <v>59</v>
      </c>
      <c r="E12" s="1720" t="s">
        <v>59</v>
      </c>
      <c r="F12" s="1720" t="s">
        <v>59</v>
      </c>
      <c r="G12" s="1720" t="s">
        <v>59</v>
      </c>
      <c r="H12" s="1720" t="s">
        <v>59</v>
      </c>
      <c r="I12" s="1720" t="s">
        <v>59</v>
      </c>
      <c r="J12" s="1720" t="s">
        <v>59</v>
      </c>
      <c r="K12" s="1720" t="s">
        <v>59</v>
      </c>
      <c r="L12" s="1720" t="s">
        <v>59</v>
      </c>
    </row>
    <row r="13" spans="1:12" ht="16">
      <c r="A13" s="1719" t="s">
        <v>2020</v>
      </c>
      <c r="B13" s="1721">
        <v>0.88625249963593222</v>
      </c>
      <c r="C13" s="1721">
        <v>0.91285772572280499</v>
      </c>
      <c r="D13" s="1721">
        <v>0.91428803740974729</v>
      </c>
      <c r="E13" s="1721">
        <v>0.90837715802753249</v>
      </c>
      <c r="F13" s="1721">
        <v>0.90773603898664657</v>
      </c>
      <c r="G13" s="1721">
        <v>0.92132667029448467</v>
      </c>
      <c r="H13" s="1721">
        <v>0.92655729153123212</v>
      </c>
      <c r="I13" s="1721">
        <v>0.97300004651398797</v>
      </c>
      <c r="J13" s="1721">
        <v>0.97161825312487404</v>
      </c>
      <c r="K13" s="1721">
        <v>0.96935683926942928</v>
      </c>
      <c r="L13" s="1721">
        <v>0.98079395253021362</v>
      </c>
    </row>
    <row r="14" spans="1:12" ht="16">
      <c r="A14" s="1719" t="s">
        <v>2021</v>
      </c>
      <c r="B14" s="1721">
        <v>0.88449857621572292</v>
      </c>
      <c r="C14" s="1721">
        <v>0.90876369581829586</v>
      </c>
      <c r="D14" s="1721">
        <v>0.90866587570779667</v>
      </c>
      <c r="E14" s="1721">
        <v>0.90328055876474089</v>
      </c>
      <c r="F14" s="1721">
        <v>0.90651483922141896</v>
      </c>
      <c r="G14" s="1721">
        <v>0.9234057044671764</v>
      </c>
      <c r="H14" s="1721">
        <v>0.93001482031426541</v>
      </c>
      <c r="I14" s="1721">
        <v>0.97213892842102212</v>
      </c>
      <c r="J14" s="1721">
        <v>0.97172869910847781</v>
      </c>
      <c r="K14" s="1721">
        <v>0.97203230935838869</v>
      </c>
      <c r="L14" s="1721">
        <v>0.98157930265720172</v>
      </c>
    </row>
    <row r="15" spans="1:12" ht="16">
      <c r="A15" s="1719" t="s">
        <v>2022</v>
      </c>
      <c r="B15" s="1721">
        <v>0.915309468010295</v>
      </c>
      <c r="C15" s="1721">
        <v>0.93664962486486647</v>
      </c>
      <c r="D15" s="1721">
        <v>0.93592604492004428</v>
      </c>
      <c r="E15" s="1721">
        <v>0.92957708460241795</v>
      </c>
      <c r="F15" s="1721">
        <v>0.93056845668884636</v>
      </c>
      <c r="G15" s="1721">
        <v>0.94705199646178473</v>
      </c>
      <c r="H15" s="1721">
        <v>0.92898258489605223</v>
      </c>
      <c r="I15" s="1721">
        <v>0.96563129629922129</v>
      </c>
      <c r="J15" s="1721">
        <v>0.96602950444367264</v>
      </c>
      <c r="K15" s="1721">
        <v>0.96833193218783553</v>
      </c>
      <c r="L15" s="1721">
        <v>0.97659708777734744</v>
      </c>
    </row>
    <row r="16" spans="1:12" ht="16">
      <c r="A16" s="1719" t="s">
        <v>2023</v>
      </c>
      <c r="B16" s="1721">
        <v>0.8740693042176928</v>
      </c>
      <c r="C16" s="1721">
        <v>0.89015826516630647</v>
      </c>
      <c r="D16" s="1721">
        <v>0.88506572863833355</v>
      </c>
      <c r="E16" s="1721">
        <v>0.87876031030436397</v>
      </c>
      <c r="F16" s="1721">
        <v>0.88196869533359123</v>
      </c>
      <c r="G16" s="1721">
        <v>0.8983614047806503</v>
      </c>
      <c r="H16" s="1721">
        <v>0.93092142532009703</v>
      </c>
      <c r="I16" s="1721">
        <v>0.96242673932369693</v>
      </c>
      <c r="J16" s="1721">
        <v>0.96271474827808856</v>
      </c>
      <c r="K16" s="1721">
        <v>0.96386312123910911</v>
      </c>
      <c r="L16" s="1721">
        <v>0.97058089947426462</v>
      </c>
    </row>
    <row r="17" spans="1:12" ht="16">
      <c r="A17" s="1719" t="s">
        <v>2024</v>
      </c>
      <c r="B17" s="1721">
        <v>0.9398637012521478</v>
      </c>
      <c r="C17" s="1721">
        <v>0.95377671257180463</v>
      </c>
      <c r="D17" s="1721">
        <v>0.95173314614658489</v>
      </c>
      <c r="E17" s="1721">
        <v>0.94408242943799614</v>
      </c>
      <c r="F17" s="1721">
        <v>0.94432776248139672</v>
      </c>
      <c r="G17" s="1721">
        <v>0.95549379610400642</v>
      </c>
      <c r="H17" s="1721">
        <v>0.93722994892648026</v>
      </c>
      <c r="I17" s="1721">
        <v>0.96294643090685561</v>
      </c>
      <c r="J17" s="1721">
        <v>0.96232712378286989</v>
      </c>
      <c r="K17" s="1721">
        <v>0.96343909999218857</v>
      </c>
      <c r="L17" s="1721">
        <v>0.96768169766799839</v>
      </c>
    </row>
    <row r="18" spans="1:12" ht="16">
      <c r="A18" s="1719" t="s">
        <v>2025</v>
      </c>
      <c r="B18" s="1721">
        <v>0.89418540099958976</v>
      </c>
      <c r="C18" s="1721">
        <v>0.90842245202063476</v>
      </c>
      <c r="D18" s="1721">
        <v>0.90142953137629911</v>
      </c>
      <c r="E18" s="1721">
        <v>0.89757794285426606</v>
      </c>
      <c r="F18" s="1721">
        <v>0.90087174035658935</v>
      </c>
      <c r="G18" s="1721">
        <v>0.91519593381390762</v>
      </c>
      <c r="H18" s="1721">
        <v>0.94535887369328919</v>
      </c>
      <c r="I18" s="1721">
        <v>0.96607319257574042</v>
      </c>
      <c r="J18" s="1721">
        <v>0.96506406583782811</v>
      </c>
      <c r="K18" s="1721">
        <v>0.96593242950086466</v>
      </c>
      <c r="L18" s="1721">
        <v>0.96838610746323139</v>
      </c>
    </row>
    <row r="19" spans="1:12" ht="16">
      <c r="A19" s="1719" t="s">
        <v>2026</v>
      </c>
      <c r="B19" s="1721">
        <v>0.95235102771621394</v>
      </c>
      <c r="C19" s="1721">
        <v>0.96540132385013055</v>
      </c>
      <c r="D19" s="1721">
        <v>0.95866896340513996</v>
      </c>
      <c r="E19" s="1721">
        <v>0.95454685104985348</v>
      </c>
      <c r="F19" s="1721">
        <v>0.95567876703776078</v>
      </c>
      <c r="G19" s="1721">
        <v>0.96707158813828931</v>
      </c>
      <c r="H19" s="1721">
        <v>0.95242875880068578</v>
      </c>
      <c r="I19" s="1721">
        <v>0.96935003109797147</v>
      </c>
      <c r="J19" s="1721">
        <v>0.96941302658300488</v>
      </c>
      <c r="K19" s="1721">
        <v>0.97102318537771026</v>
      </c>
      <c r="L19" s="1721">
        <v>0.97186074526692401</v>
      </c>
    </row>
    <row r="20" spans="1:12" ht="16">
      <c r="A20" s="1719" t="s">
        <v>2027</v>
      </c>
      <c r="B20" s="1721">
        <v>0.89858825283280575</v>
      </c>
      <c r="C20" s="1721">
        <v>0.91335337084128998</v>
      </c>
      <c r="D20" s="1721">
        <v>0.90534668692938591</v>
      </c>
      <c r="E20" s="1721">
        <v>0.90151526401600546</v>
      </c>
      <c r="F20" s="1721">
        <v>0.90848582506407916</v>
      </c>
      <c r="G20" s="1721">
        <v>0.92146815401560989</v>
      </c>
      <c r="H20" s="1721">
        <v>0.95828780467330066</v>
      </c>
      <c r="I20" s="1721">
        <v>0.97185930562631928</v>
      </c>
      <c r="J20" s="1721">
        <v>0.97197960883683576</v>
      </c>
      <c r="K20" s="1721">
        <v>0.97362957522340565</v>
      </c>
      <c r="L20" s="1721">
        <v>0.97501616633543697</v>
      </c>
    </row>
    <row r="21" spans="1:12" ht="16">
      <c r="A21" s="1719" t="s">
        <v>2028</v>
      </c>
      <c r="B21" s="1721">
        <v>0.95612472962829087</v>
      </c>
      <c r="C21" s="1721">
        <v>0.97075212942050504</v>
      </c>
      <c r="D21" s="1721">
        <v>0.96316122982157926</v>
      </c>
      <c r="E21" s="1721">
        <v>0.95907286280063742</v>
      </c>
      <c r="F21" s="1721">
        <v>0.96588910178692267</v>
      </c>
      <c r="G21" s="1721">
        <v>0.97886623749068613</v>
      </c>
      <c r="H21" s="1721">
        <v>0.96425981139760175</v>
      </c>
      <c r="I21" s="1721">
        <v>0.97525613952884638</v>
      </c>
      <c r="J21" s="1721">
        <v>0.97704016269705529</v>
      </c>
      <c r="K21" s="1721">
        <v>0.97783660611934864</v>
      </c>
      <c r="L21" s="1721">
        <v>0.97893641250851826</v>
      </c>
    </row>
    <row r="22" spans="1:12" ht="16">
      <c r="A22" s="1719" t="s">
        <v>2029</v>
      </c>
      <c r="B22" s="1721">
        <v>0.89636565286988346</v>
      </c>
      <c r="C22" s="1721">
        <v>0.91377990203418502</v>
      </c>
      <c r="D22" s="1721">
        <v>0.90631141660852266</v>
      </c>
      <c r="E22" s="1721">
        <v>0.90259621109708921</v>
      </c>
      <c r="F22" s="1721">
        <v>0.91135793314629476</v>
      </c>
      <c r="G22" s="1721">
        <v>0.92690031809859963</v>
      </c>
      <c r="H22" s="1721">
        <v>0.96766944329224325</v>
      </c>
      <c r="I22" s="1721">
        <v>0.97575558697912723</v>
      </c>
      <c r="J22" s="1721">
        <v>0.97845942781492778</v>
      </c>
      <c r="K22" s="1721">
        <v>0.97952618963694049</v>
      </c>
      <c r="L22" s="1721">
        <v>0.98066395749107993</v>
      </c>
    </row>
    <row r="23" spans="1:12" ht="16">
      <c r="A23" s="1719" t="s">
        <v>2030</v>
      </c>
      <c r="B23" s="1721">
        <v>0.94625065104871942</v>
      </c>
      <c r="C23" s="1721">
        <v>0.96317358217869387</v>
      </c>
      <c r="D23" s="1721">
        <v>0.9565334662095285</v>
      </c>
      <c r="E23" s="1721">
        <v>0.95366672030445265</v>
      </c>
      <c r="F23" s="1721">
        <v>0.96593593162953306</v>
      </c>
      <c r="G23" s="1721">
        <v>0.98233798611198497</v>
      </c>
      <c r="H23" s="1721">
        <v>0.97103674020292818</v>
      </c>
      <c r="I23" s="1721">
        <v>0.97630529685043843</v>
      </c>
      <c r="J23" s="1721">
        <v>0.97895566813617541</v>
      </c>
      <c r="K23" s="1721">
        <v>0.97942780465743362</v>
      </c>
      <c r="L23" s="1721">
        <v>0.98013515623351688</v>
      </c>
    </row>
    <row r="24" spans="1:12" ht="16">
      <c r="A24" s="1719" t="s">
        <v>2031</v>
      </c>
      <c r="B24" s="1721">
        <v>0.88607553341492507</v>
      </c>
      <c r="C24" s="1721">
        <v>0.91082489435621661</v>
      </c>
      <c r="D24" s="1721">
        <v>0.90234170703792804</v>
      </c>
      <c r="E24" s="1721">
        <v>0.89762658715599675</v>
      </c>
      <c r="F24" s="1721">
        <v>0.90518167273412997</v>
      </c>
      <c r="G24" s="1721">
        <v>0.92434889797581399</v>
      </c>
      <c r="H24" s="1721">
        <v>0.97256778096407237</v>
      </c>
      <c r="I24" s="1721">
        <v>0.97550189576893342</v>
      </c>
      <c r="J24" s="1721">
        <v>0.9792134929600429</v>
      </c>
      <c r="K24" s="1721">
        <v>0.98113386215163667</v>
      </c>
      <c r="L24" s="1721">
        <v>0.98126808100289298</v>
      </c>
    </row>
    <row r="25" spans="1:12" ht="16">
      <c r="A25" s="1719" t="s">
        <v>2032</v>
      </c>
      <c r="B25" s="1721">
        <v>0.92614090922477366</v>
      </c>
      <c r="C25" s="1721">
        <v>0.95703910480456234</v>
      </c>
      <c r="D25" s="1721">
        <v>0.95134041578234618</v>
      </c>
      <c r="E25" s="1721">
        <v>0.94695729606687484</v>
      </c>
      <c r="F25" s="1721">
        <v>0.9598217381284232</v>
      </c>
      <c r="G25" s="1721">
        <v>0.97890033194314408</v>
      </c>
      <c r="H25" s="1721">
        <v>0.97396619861632139</v>
      </c>
      <c r="I25" s="1721">
        <v>0.97630571975884639</v>
      </c>
      <c r="J25" s="1721">
        <v>0.97869949050268834</v>
      </c>
      <c r="K25" s="1721">
        <v>0.98022143069814627</v>
      </c>
      <c r="L25" s="1721">
        <v>0.97989620091211127</v>
      </c>
    </row>
    <row r="26" spans="1:12" ht="16">
      <c r="A26" s="1719" t="s">
        <v>2033</v>
      </c>
      <c r="B26" s="1715" t="s">
        <v>59</v>
      </c>
      <c r="C26" s="1715" t="s">
        <v>59</v>
      </c>
      <c r="D26" s="1715" t="s">
        <v>59</v>
      </c>
      <c r="E26" s="1715" t="s">
        <v>59</v>
      </c>
      <c r="F26" s="1715" t="s">
        <v>59</v>
      </c>
      <c r="G26" s="1715" t="s">
        <v>59</v>
      </c>
      <c r="H26" s="1715" t="s">
        <v>59</v>
      </c>
      <c r="I26" s="1715" t="s">
        <v>59</v>
      </c>
      <c r="J26" s="1715" t="s">
        <v>59</v>
      </c>
      <c r="K26" s="1715" t="s">
        <v>59</v>
      </c>
      <c r="L26" s="1715" t="s">
        <v>59</v>
      </c>
    </row>
    <row r="27" spans="1:12" ht="16">
      <c r="A27" s="1719" t="s">
        <v>2034</v>
      </c>
      <c r="B27" s="1715" t="s">
        <v>59</v>
      </c>
      <c r="C27" s="1715" t="s">
        <v>59</v>
      </c>
      <c r="D27" s="1715" t="s">
        <v>59</v>
      </c>
      <c r="E27" s="1715" t="s">
        <v>59</v>
      </c>
      <c r="F27" s="1715" t="s">
        <v>59</v>
      </c>
      <c r="G27" s="1715" t="s">
        <v>59</v>
      </c>
      <c r="H27" s="1715" t="s">
        <v>59</v>
      </c>
      <c r="I27" s="1715" t="s">
        <v>59</v>
      </c>
      <c r="J27" s="1715" t="s">
        <v>59</v>
      </c>
      <c r="K27" s="1715" t="s">
        <v>59</v>
      </c>
      <c r="L27" s="1715" t="s">
        <v>59</v>
      </c>
    </row>
    <row r="28" spans="1:12" ht="16">
      <c r="A28" s="1719" t="s">
        <v>2035</v>
      </c>
      <c r="B28" s="1715" t="s">
        <v>59</v>
      </c>
      <c r="C28" s="1715" t="s">
        <v>59</v>
      </c>
      <c r="D28" s="1715" t="s">
        <v>59</v>
      </c>
      <c r="E28" s="1715" t="s">
        <v>59</v>
      </c>
      <c r="F28" s="1715" t="s">
        <v>59</v>
      </c>
      <c r="G28" s="1715" t="s">
        <v>59</v>
      </c>
      <c r="H28" s="1715" t="s">
        <v>59</v>
      </c>
      <c r="I28" s="1715" t="s">
        <v>59</v>
      </c>
      <c r="J28" s="1715" t="s">
        <v>59</v>
      </c>
      <c r="K28" s="1715" t="s">
        <v>59</v>
      </c>
      <c r="L28" s="1715" t="s">
        <v>59</v>
      </c>
    </row>
    <row r="29" spans="1:12" ht="16">
      <c r="A29" s="1719" t="s">
        <v>2036</v>
      </c>
      <c r="B29" s="1715" t="s">
        <v>59</v>
      </c>
      <c r="C29" s="1715" t="s">
        <v>59</v>
      </c>
      <c r="D29" s="1715" t="s">
        <v>59</v>
      </c>
      <c r="E29" s="1715" t="s">
        <v>59</v>
      </c>
      <c r="F29" s="1715" t="s">
        <v>59</v>
      </c>
      <c r="G29" s="1715" t="s">
        <v>59</v>
      </c>
      <c r="H29" s="1715" t="s">
        <v>59</v>
      </c>
      <c r="I29" s="1715" t="s">
        <v>59</v>
      </c>
      <c r="J29" s="1715" t="s">
        <v>59</v>
      </c>
      <c r="K29" s="1715" t="s">
        <v>59</v>
      </c>
      <c r="L29" s="1715" t="s">
        <v>59</v>
      </c>
    </row>
    <row r="30" spans="1:12" ht="16">
      <c r="A30" s="1719" t="s">
        <v>2037</v>
      </c>
      <c r="B30" s="1715" t="s">
        <v>59</v>
      </c>
      <c r="C30" s="1715" t="s">
        <v>59</v>
      </c>
      <c r="D30" s="1715" t="s">
        <v>59</v>
      </c>
      <c r="E30" s="1715" t="s">
        <v>59</v>
      </c>
      <c r="F30" s="1715" t="s">
        <v>59</v>
      </c>
      <c r="G30" s="1715" t="s">
        <v>59</v>
      </c>
      <c r="H30" s="1715" t="s">
        <v>59</v>
      </c>
      <c r="I30" s="1715" t="s">
        <v>59</v>
      </c>
      <c r="J30" s="1715" t="s">
        <v>59</v>
      </c>
      <c r="K30" s="1715" t="s">
        <v>59</v>
      </c>
      <c r="L30" s="1715" t="s">
        <v>59</v>
      </c>
    </row>
    <row r="31" spans="1:12" ht="16">
      <c r="A31" s="1719" t="s">
        <v>2038</v>
      </c>
      <c r="B31" s="1715" t="s">
        <v>59</v>
      </c>
      <c r="C31" s="1715" t="s">
        <v>59</v>
      </c>
      <c r="D31" s="1715" t="s">
        <v>59</v>
      </c>
      <c r="E31" s="1715" t="s">
        <v>59</v>
      </c>
      <c r="F31" s="1715" t="s">
        <v>59</v>
      </c>
      <c r="G31" s="1715" t="s">
        <v>59</v>
      </c>
      <c r="H31" s="1715" t="s">
        <v>59</v>
      </c>
      <c r="I31" s="1715" t="s">
        <v>59</v>
      </c>
      <c r="J31" s="1715" t="s">
        <v>59</v>
      </c>
      <c r="K31" s="1715" t="s">
        <v>59</v>
      </c>
      <c r="L31" s="1715" t="s">
        <v>59</v>
      </c>
    </row>
    <row r="32" spans="1:12" s="1711" customFormat="1" ht="17">
      <c r="A32" s="1722" t="s">
        <v>994</v>
      </c>
      <c r="B32" s="1723">
        <v>0.90249179120774492</v>
      </c>
      <c r="C32" s="1723">
        <v>0.92271469418859131</v>
      </c>
      <c r="D32" s="1723">
        <v>0.91938865200547892</v>
      </c>
      <c r="E32" s="1723">
        <v>0.91473209358692265</v>
      </c>
      <c r="F32" s="1723">
        <v>0.91889966650253818</v>
      </c>
      <c r="G32" s="1723">
        <v>0.93313052570889732</v>
      </c>
      <c r="H32" s="1723">
        <v>0.93949236707673822</v>
      </c>
      <c r="I32" s="1723">
        <v>0.96904047028124995</v>
      </c>
      <c r="J32" s="1723">
        <v>0.96925842337126122</v>
      </c>
      <c r="K32" s="1723">
        <v>0.97080297091882239</v>
      </c>
      <c r="L32" s="1723">
        <v>0.97655219557101081</v>
      </c>
    </row>
    <row r="33" spans="1:12" ht="16">
      <c r="A33" s="1724" t="s">
        <v>2039</v>
      </c>
      <c r="B33" s="1721">
        <v>0.88754099004874798</v>
      </c>
      <c r="C33" s="1721">
        <v>0.9107789761027324</v>
      </c>
      <c r="D33" s="1721">
        <v>0.90843922407433253</v>
      </c>
      <c r="E33" s="1721">
        <v>0.90462414559451954</v>
      </c>
      <c r="F33" s="1721">
        <v>0.90888672575043006</v>
      </c>
      <c r="G33" s="1721">
        <v>0.92353823916669631</v>
      </c>
      <c r="H33" s="1721">
        <v>0.92516104070352623</v>
      </c>
      <c r="I33" s="1721">
        <v>0.96803521532595982</v>
      </c>
      <c r="J33" s="1721">
        <v>0.96788777235118473</v>
      </c>
      <c r="K33" s="1721">
        <v>0.97102403530784154</v>
      </c>
      <c r="L33" s="1721">
        <v>0.97879338163855523</v>
      </c>
    </row>
    <row r="34" spans="1:12" ht="16">
      <c r="A34" s="1724" t="s">
        <v>2040</v>
      </c>
      <c r="B34" s="1721">
        <v>0.89619117530430958</v>
      </c>
      <c r="C34" s="1721">
        <v>0.91968192199851606</v>
      </c>
      <c r="D34" s="1721">
        <v>0.91735381671326577</v>
      </c>
      <c r="E34" s="1721">
        <v>0.91314186318849611</v>
      </c>
      <c r="F34" s="1721">
        <v>0.92096616591039326</v>
      </c>
      <c r="G34" s="1721">
        <v>0.92852957572471351</v>
      </c>
      <c r="H34" s="1721">
        <v>0.93694665099267149</v>
      </c>
      <c r="I34" s="1721">
        <v>0.96931039108818084</v>
      </c>
      <c r="J34" s="1721">
        <v>0.96951451951064294</v>
      </c>
      <c r="K34" s="1721">
        <v>0.97241720684129762</v>
      </c>
      <c r="L34" s="1721">
        <v>0.98265355668069976</v>
      </c>
    </row>
    <row r="36" spans="1:12">
      <c r="A36" s="1712" t="s">
        <v>2010</v>
      </c>
    </row>
  </sheetData>
  <phoneticPr fontId="71" type="noConversion"/>
  <pageMargins left="0.44" right="0.78740157480314965" top="0.54" bottom="0.59" header="0.37" footer="0.3"/>
  <pageSetup paperSize="9" scale="95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FB1C-EDD0-324C-B115-8F39BA45435C}">
  <sheetPr>
    <pageSetUpPr fitToPage="1"/>
  </sheetPr>
  <dimension ref="A1:M76"/>
  <sheetViews>
    <sheetView workbookViewId="0">
      <selection activeCell="B81" sqref="B81"/>
    </sheetView>
  </sheetViews>
  <sheetFormatPr baseColWidth="10" defaultColWidth="11.3984375" defaultRowHeight="13"/>
  <cols>
    <col min="1" max="1" width="3.796875" style="1712" customWidth="1"/>
    <col min="2" max="2" width="22.796875" style="1754" customWidth="1"/>
    <col min="3" max="10" width="9.19921875" style="1712" customWidth="1"/>
    <col min="11" max="11" width="9.19921875" style="1730" customWidth="1"/>
    <col min="12" max="12" width="9.19921875" style="1711" customWidth="1"/>
    <col min="13" max="13" width="11.3984375" style="1723"/>
    <col min="14" max="16384" width="11.3984375" style="1712"/>
  </cols>
  <sheetData>
    <row r="1" spans="1:13">
      <c r="B1" s="1752" t="s">
        <v>319</v>
      </c>
      <c r="C1" s="1734"/>
      <c r="D1" s="1734"/>
      <c r="E1" s="1734"/>
    </row>
    <row r="3" spans="1:13">
      <c r="B3" s="1752" t="s">
        <v>320</v>
      </c>
      <c r="L3" s="1753"/>
    </row>
    <row r="4" spans="1:13">
      <c r="K4" s="1755"/>
      <c r="M4" s="1756"/>
    </row>
    <row r="5" spans="1:13" ht="26">
      <c r="C5" s="1757">
        <v>1998</v>
      </c>
      <c r="D5" s="1757">
        <v>1999</v>
      </c>
      <c r="E5" s="1757">
        <v>2000</v>
      </c>
      <c r="F5" s="1757">
        <v>2001</v>
      </c>
      <c r="G5" s="1757">
        <v>2002</v>
      </c>
      <c r="H5" s="1757">
        <v>2003</v>
      </c>
      <c r="I5" s="1757">
        <v>2004</v>
      </c>
      <c r="J5" s="1757">
        <v>2005</v>
      </c>
      <c r="K5" s="1758">
        <v>2006</v>
      </c>
      <c r="L5" s="1759">
        <v>2007</v>
      </c>
      <c r="M5" s="1760" t="s">
        <v>321</v>
      </c>
    </row>
    <row r="6" spans="1:13">
      <c r="A6" s="1752">
        <v>1</v>
      </c>
      <c r="B6" s="1752" t="s">
        <v>629</v>
      </c>
      <c r="C6" s="1761">
        <v>1935.2609068839854</v>
      </c>
      <c r="D6" s="1762">
        <v>2010.9299604622606</v>
      </c>
      <c r="E6" s="1763">
        <v>2130.500577485856</v>
      </c>
      <c r="F6" s="1761">
        <v>2244.3978355168092</v>
      </c>
      <c r="G6" s="1762">
        <v>2327.6302215005462</v>
      </c>
      <c r="H6" s="1762">
        <v>2431.2115563163402</v>
      </c>
      <c r="I6" s="1762">
        <v>2592.2163089311489</v>
      </c>
      <c r="J6" s="1762">
        <v>2736.4253387803569</v>
      </c>
      <c r="K6" s="1764">
        <v>2754.94</v>
      </c>
      <c r="L6" s="1765">
        <v>2862.81</v>
      </c>
      <c r="M6" s="1766">
        <f>(L6/K6)-1</f>
        <v>3.915511771581226E-2</v>
      </c>
    </row>
    <row r="7" spans="1:13">
      <c r="B7" s="1767" t="s">
        <v>322</v>
      </c>
      <c r="C7" s="1768">
        <v>1941.6</v>
      </c>
      <c r="D7" s="1768">
        <v>2023.3</v>
      </c>
      <c r="E7" s="1769">
        <v>2168.3000000000002</v>
      </c>
      <c r="F7" s="1768">
        <v>2284.1</v>
      </c>
      <c r="G7" s="1768">
        <v>2360</v>
      </c>
      <c r="H7" s="1768">
        <v>2463.4</v>
      </c>
      <c r="I7" s="1768">
        <v>2598</v>
      </c>
      <c r="J7" s="1768">
        <v>2733.1</v>
      </c>
      <c r="K7" s="1768">
        <v>2758.2</v>
      </c>
      <c r="L7" s="1770">
        <v>2860.56</v>
      </c>
      <c r="M7" s="1771">
        <f>(L7/K7)-1</f>
        <v>3.7111159451816533E-2</v>
      </c>
    </row>
    <row r="8" spans="1:13" s="1721" customFormat="1">
      <c r="B8" s="1772" t="s">
        <v>323</v>
      </c>
      <c r="C8" s="1773">
        <f t="shared" ref="C8:L8" si="0">(C7/C6)-1</f>
        <v>3.2755754500415346E-3</v>
      </c>
      <c r="D8" s="1773">
        <f t="shared" si="0"/>
        <v>6.1514024759448116E-3</v>
      </c>
      <c r="E8" s="1774">
        <f t="shared" si="0"/>
        <v>1.7742038145209138E-2</v>
      </c>
      <c r="F8" s="1773">
        <f t="shared" si="0"/>
        <v>1.768945053096993E-2</v>
      </c>
      <c r="G8" s="1773">
        <f t="shared" si="0"/>
        <v>1.3906752971520664E-2</v>
      </c>
      <c r="H8" s="1773">
        <f t="shared" si="0"/>
        <v>1.3239672047475004E-2</v>
      </c>
      <c r="I8" s="1773">
        <f t="shared" si="0"/>
        <v>2.2311760978142026E-3</v>
      </c>
      <c r="J8" s="1773">
        <f t="shared" si="0"/>
        <v>-1.2152126839459765E-3</v>
      </c>
      <c r="K8" s="1773">
        <f t="shared" si="0"/>
        <v>1.183328856526833E-3</v>
      </c>
      <c r="L8" s="1775">
        <f t="shared" si="0"/>
        <v>-7.8594108585616773E-4</v>
      </c>
      <c r="M8" s="1771"/>
    </row>
    <row r="9" spans="1:13">
      <c r="B9" s="1767" t="s">
        <v>324</v>
      </c>
      <c r="C9" s="1769" t="s">
        <v>59</v>
      </c>
      <c r="D9" s="1769" t="s">
        <v>59</v>
      </c>
      <c r="E9" s="1769" t="s">
        <v>59</v>
      </c>
      <c r="F9" s="1769" t="s">
        <v>59</v>
      </c>
      <c r="G9" s="1769" t="s">
        <v>59</v>
      </c>
      <c r="H9" s="1769" t="s">
        <v>59</v>
      </c>
      <c r="I9" s="1769" t="s">
        <v>59</v>
      </c>
      <c r="J9" s="1768">
        <v>2733.19</v>
      </c>
      <c r="K9" s="1768">
        <v>2758.07</v>
      </c>
      <c r="L9" s="1770">
        <v>2861.78</v>
      </c>
      <c r="M9" s="1771">
        <f>(L9/K9)-1</f>
        <v>3.7602381375382077E-2</v>
      </c>
    </row>
    <row r="10" spans="1:13" s="1721" customFormat="1">
      <c r="B10" s="1772" t="s">
        <v>325</v>
      </c>
      <c r="C10" s="1774" t="s">
        <v>59</v>
      </c>
      <c r="D10" s="1774" t="s">
        <v>59</v>
      </c>
      <c r="E10" s="1774" t="s">
        <v>59</v>
      </c>
      <c r="F10" s="1774" t="s">
        <v>59</v>
      </c>
      <c r="G10" s="1774" t="s">
        <v>59</v>
      </c>
      <c r="H10" s="1774" t="s">
        <v>59</v>
      </c>
      <c r="I10" s="1774" t="s">
        <v>59</v>
      </c>
      <c r="J10" s="1773">
        <f>(J9/J6)-1</f>
        <v>-1.1823230601273327E-3</v>
      </c>
      <c r="K10" s="1773">
        <f>(K9/K6)-1</f>
        <v>1.1361408959904562E-3</v>
      </c>
      <c r="L10" s="1775">
        <f>(L9/L6)-1</f>
        <v>-3.5978636374744966E-4</v>
      </c>
      <c r="M10" s="1771"/>
    </row>
    <row r="11" spans="1:13">
      <c r="C11" s="1762"/>
      <c r="D11" s="1762"/>
      <c r="E11" s="1776"/>
      <c r="F11" s="1762"/>
      <c r="G11" s="1762"/>
      <c r="H11" s="1768"/>
      <c r="I11" s="1768"/>
      <c r="J11" s="1762"/>
      <c r="K11" s="1764"/>
      <c r="L11" s="1765"/>
      <c r="M11" s="1777"/>
    </row>
    <row r="12" spans="1:13">
      <c r="A12" s="1752">
        <v>2</v>
      </c>
      <c r="B12" s="1752" t="s">
        <v>1581</v>
      </c>
      <c r="C12" s="1761">
        <v>517.22900730492677</v>
      </c>
      <c r="D12" s="1762">
        <v>517.77987880375031</v>
      </c>
      <c r="E12" s="1763">
        <v>529.43047713091312</v>
      </c>
      <c r="F12" s="1761">
        <v>549.44923949294969</v>
      </c>
      <c r="G12" s="1762">
        <v>559.43217658828928</v>
      </c>
      <c r="H12" s="1762">
        <v>565.89080672037517</v>
      </c>
      <c r="I12" s="1762">
        <v>592.89763778354495</v>
      </c>
      <c r="J12" s="1762">
        <v>608.74538167382002</v>
      </c>
      <c r="K12" s="1764">
        <v>619.30999999999995</v>
      </c>
      <c r="L12" s="1765">
        <v>641.54999999999995</v>
      </c>
      <c r="M12" s="1766">
        <f>(L12/K12)-1</f>
        <v>3.591093313526339E-2</v>
      </c>
    </row>
    <row r="13" spans="1:13">
      <c r="B13" s="1767" t="s">
        <v>322</v>
      </c>
      <c r="C13" s="1768">
        <v>507.6</v>
      </c>
      <c r="D13" s="1768">
        <v>512</v>
      </c>
      <c r="E13" s="1769">
        <v>538.4</v>
      </c>
      <c r="F13" s="1768">
        <v>566.9</v>
      </c>
      <c r="G13" s="1768">
        <v>570.79999999999995</v>
      </c>
      <c r="H13" s="1768">
        <v>574.20000000000005</v>
      </c>
      <c r="I13" s="1768">
        <v>610</v>
      </c>
      <c r="J13" s="1768">
        <v>626.79999999999995</v>
      </c>
      <c r="K13" s="1768">
        <v>635.6</v>
      </c>
      <c r="L13" s="1770">
        <v>655.5</v>
      </c>
      <c r="M13" s="1771">
        <f>(L13/K13)-1</f>
        <v>3.130899937067344E-2</v>
      </c>
    </row>
    <row r="14" spans="1:13" s="1721" customFormat="1">
      <c r="B14" s="1772" t="s">
        <v>323</v>
      </c>
      <c r="C14" s="1773">
        <f t="shared" ref="C14:L14" si="1">(C13/C12)-1</f>
        <v>-1.8616526082130713E-2</v>
      </c>
      <c r="D14" s="1773">
        <f t="shared" si="1"/>
        <v>-1.1162810762565423E-2</v>
      </c>
      <c r="E14" s="1774">
        <f t="shared" si="1"/>
        <v>1.6941833265237127E-2</v>
      </c>
      <c r="F14" s="1773">
        <f t="shared" si="1"/>
        <v>3.1760459843668931E-2</v>
      </c>
      <c r="G14" s="1773">
        <f t="shared" si="1"/>
        <v>2.0320288834720923E-2</v>
      </c>
      <c r="H14" s="1773">
        <f t="shared" si="1"/>
        <v>1.4683386230960105E-2</v>
      </c>
      <c r="I14" s="1773">
        <f t="shared" si="1"/>
        <v>2.8845387680054735E-2</v>
      </c>
      <c r="J14" s="1773">
        <f t="shared" si="1"/>
        <v>2.965873560557708E-2</v>
      </c>
      <c r="K14" s="1773">
        <f t="shared" si="1"/>
        <v>2.6303466761395944E-2</v>
      </c>
      <c r="L14" s="1775">
        <f t="shared" si="1"/>
        <v>2.1744213233575005E-2</v>
      </c>
      <c r="M14" s="1771"/>
    </row>
    <row r="15" spans="1:13">
      <c r="B15" s="1767" t="s">
        <v>324</v>
      </c>
      <c r="C15" s="1769" t="s">
        <v>59</v>
      </c>
      <c r="D15" s="1769" t="s">
        <v>59</v>
      </c>
      <c r="E15" s="1769" t="s">
        <v>59</v>
      </c>
      <c r="F15" s="1769" t="s">
        <v>59</v>
      </c>
      <c r="G15" s="1769" t="s">
        <v>59</v>
      </c>
      <c r="H15" s="1769" t="s">
        <v>59</v>
      </c>
      <c r="I15" s="1769" t="s">
        <v>59</v>
      </c>
      <c r="J15" s="1768">
        <v>626.64</v>
      </c>
      <c r="K15" s="1768">
        <v>629.84</v>
      </c>
      <c r="L15" s="1770">
        <v>651.01</v>
      </c>
      <c r="M15" s="1771">
        <f>(L15/K15)-1</f>
        <v>3.3611710910707471E-2</v>
      </c>
    </row>
    <row r="16" spans="1:13" s="1721" customFormat="1">
      <c r="B16" s="1772" t="s">
        <v>325</v>
      </c>
      <c r="C16" s="1774" t="s">
        <v>59</v>
      </c>
      <c r="D16" s="1774" t="s">
        <v>59</v>
      </c>
      <c r="E16" s="1774" t="s">
        <v>59</v>
      </c>
      <c r="F16" s="1774" t="s">
        <v>59</v>
      </c>
      <c r="G16" s="1774" t="s">
        <v>59</v>
      </c>
      <c r="H16" s="1774" t="s">
        <v>59</v>
      </c>
      <c r="I16" s="1774" t="s">
        <v>59</v>
      </c>
      <c r="J16" s="1773">
        <f>(J15/J12)-1</f>
        <v>2.9395899935990455E-2</v>
      </c>
      <c r="K16" s="1773">
        <f>(K15/K12)-1</f>
        <v>1.7002793431399654E-2</v>
      </c>
      <c r="L16" s="1775">
        <f>(L15/L12)-1</f>
        <v>1.4745538149793624E-2</v>
      </c>
      <c r="M16" s="1771"/>
    </row>
    <row r="17" spans="1:13">
      <c r="C17" s="1762"/>
      <c r="D17" s="1762"/>
      <c r="E17" s="1776"/>
      <c r="F17" s="1762"/>
      <c r="G17" s="1762"/>
      <c r="H17" s="1768"/>
      <c r="I17" s="1768"/>
      <c r="J17" s="1762"/>
      <c r="K17" s="1764"/>
      <c r="L17" s="1765"/>
      <c r="M17" s="1777"/>
    </row>
    <row r="18" spans="1:13">
      <c r="A18" s="1752">
        <v>3</v>
      </c>
      <c r="B18" s="1752" t="s">
        <v>2450</v>
      </c>
      <c r="C18" s="1762">
        <v>492.71135658354189</v>
      </c>
      <c r="D18" s="1762">
        <v>496.69748609522117</v>
      </c>
      <c r="E18" s="1776">
        <v>508.80015768509037</v>
      </c>
      <c r="F18" s="1762">
        <v>520.22845878332566</v>
      </c>
      <c r="G18" s="1762">
        <v>515.19747034296608</v>
      </c>
      <c r="H18" s="1762">
        <v>557.73124969057335</v>
      </c>
      <c r="I18" s="1762">
        <v>618.810128536668</v>
      </c>
      <c r="J18" s="1762">
        <v>645.948160066112</v>
      </c>
      <c r="K18" s="1764">
        <v>654.29</v>
      </c>
      <c r="L18" s="1765">
        <v>681.54</v>
      </c>
      <c r="M18" s="1766">
        <f>(L18/K18)-1</f>
        <v>4.1648198810924741E-2</v>
      </c>
    </row>
    <row r="19" spans="1:13">
      <c r="B19" s="1767" t="s">
        <v>322</v>
      </c>
      <c r="C19" s="1768">
        <v>496.7</v>
      </c>
      <c r="D19" s="1768">
        <v>501.8</v>
      </c>
      <c r="E19" s="1769">
        <v>512.1</v>
      </c>
      <c r="F19" s="1768">
        <v>520.29999999999995</v>
      </c>
      <c r="G19" s="1768">
        <v>521.4</v>
      </c>
      <c r="H19" s="1768">
        <v>563.1</v>
      </c>
      <c r="I19" s="1768">
        <v>628.5</v>
      </c>
      <c r="J19" s="1768">
        <v>651</v>
      </c>
      <c r="K19" s="1768">
        <v>660.5</v>
      </c>
      <c r="L19" s="1770">
        <v>682.14</v>
      </c>
      <c r="M19" s="1771">
        <f>(L19/K19)-1</f>
        <v>3.2763058289174918E-2</v>
      </c>
    </row>
    <row r="20" spans="1:13" s="1721" customFormat="1">
      <c r="B20" s="1772" t="s">
        <v>323</v>
      </c>
      <c r="C20" s="1773">
        <f t="shared" ref="C20:L20" si="2">(C19/C18)-1</f>
        <v>8.0952942593313093E-3</v>
      </c>
      <c r="D20" s="1773">
        <f t="shared" si="2"/>
        <v>1.0272880470751256E-2</v>
      </c>
      <c r="E20" s="1774">
        <f t="shared" si="2"/>
        <v>6.4855371309693322E-3</v>
      </c>
      <c r="F20" s="1773">
        <f t="shared" si="2"/>
        <v>1.3751884478141463E-4</v>
      </c>
      <c r="G20" s="1773">
        <f t="shared" si="2"/>
        <v>1.2039130651990249E-2</v>
      </c>
      <c r="H20" s="1773">
        <f t="shared" si="2"/>
        <v>9.6260525340927661E-3</v>
      </c>
      <c r="I20" s="1773">
        <f t="shared" si="2"/>
        <v>1.5658876635141983E-2</v>
      </c>
      <c r="J20" s="1773">
        <f t="shared" si="2"/>
        <v>7.8208132574770772E-3</v>
      </c>
      <c r="K20" s="1773">
        <f t="shared" si="2"/>
        <v>9.4912042060859569E-3</v>
      </c>
      <c r="L20" s="1775">
        <f t="shared" si="2"/>
        <v>8.8035918654805201E-4</v>
      </c>
      <c r="M20" s="1771"/>
    </row>
    <row r="21" spans="1:13">
      <c r="B21" s="1767" t="s">
        <v>324</v>
      </c>
      <c r="C21" s="1769" t="s">
        <v>59</v>
      </c>
      <c r="D21" s="1769" t="s">
        <v>59</v>
      </c>
      <c r="E21" s="1769" t="s">
        <v>59</v>
      </c>
      <c r="F21" s="1769" t="s">
        <v>59</v>
      </c>
      <c r="G21" s="1769" t="s">
        <v>59</v>
      </c>
      <c r="H21" s="1769" t="s">
        <v>59</v>
      </c>
      <c r="I21" s="1769" t="s">
        <v>59</v>
      </c>
      <c r="J21" s="1768">
        <v>655.72</v>
      </c>
      <c r="K21" s="1768">
        <v>661.4</v>
      </c>
      <c r="L21" s="1770">
        <v>686.48</v>
      </c>
      <c r="M21" s="1771">
        <f>(L21/K21)-1</f>
        <v>3.7919564560024321E-2</v>
      </c>
    </row>
    <row r="22" spans="1:13" s="1721" customFormat="1">
      <c r="B22" s="1772" t="s">
        <v>325</v>
      </c>
      <c r="C22" s="1774" t="s">
        <v>59</v>
      </c>
      <c r="D22" s="1774" t="s">
        <v>59</v>
      </c>
      <c r="E22" s="1774" t="s">
        <v>59</v>
      </c>
      <c r="F22" s="1774" t="s">
        <v>59</v>
      </c>
      <c r="G22" s="1774" t="s">
        <v>59</v>
      </c>
      <c r="H22" s="1774" t="s">
        <v>59</v>
      </c>
      <c r="I22" s="1774" t="s">
        <v>59</v>
      </c>
      <c r="J22" s="1773">
        <f>(J21/J18)-1</f>
        <v>1.5127901181555936E-2</v>
      </c>
      <c r="K22" s="1773">
        <f>(K21/K18)-1</f>
        <v>1.0866741047547812E-2</v>
      </c>
      <c r="L22" s="1775">
        <f>(L21/L18)-1</f>
        <v>7.248290635912813E-3</v>
      </c>
      <c r="M22" s="1771"/>
    </row>
    <row r="23" spans="1:13">
      <c r="C23" s="1762"/>
      <c r="D23" s="1762"/>
      <c r="E23" s="1776"/>
      <c r="F23" s="1762"/>
      <c r="G23" s="1762"/>
      <c r="H23" s="1762"/>
      <c r="J23" s="1762"/>
      <c r="K23" s="1764"/>
      <c r="L23" s="1765"/>
      <c r="M23" s="1777"/>
    </row>
    <row r="24" spans="1:13">
      <c r="A24" s="1752">
        <v>4</v>
      </c>
      <c r="B24" s="1752" t="s">
        <v>2446</v>
      </c>
      <c r="C24" s="1762">
        <v>179.78046580638465</v>
      </c>
      <c r="D24" s="1762">
        <v>204.19029060086746</v>
      </c>
      <c r="E24" s="1776">
        <v>229.29973959111166</v>
      </c>
      <c r="F24" s="1762">
        <v>263.7323584963807</v>
      </c>
      <c r="G24" s="1762">
        <v>268.50345190882268</v>
      </c>
      <c r="H24" s="1762">
        <v>290.45423380519912</v>
      </c>
      <c r="I24" s="1762">
        <v>296.91590007765888</v>
      </c>
      <c r="J24" s="1762">
        <v>359.22898499367591</v>
      </c>
      <c r="K24" s="1764">
        <v>353.68</v>
      </c>
      <c r="L24" s="1765">
        <v>374.75</v>
      </c>
      <c r="M24" s="1766">
        <f>(L24/K24)-1</f>
        <v>5.9573625876498504E-2</v>
      </c>
    </row>
    <row r="25" spans="1:13">
      <c r="B25" s="1767" t="s">
        <v>322</v>
      </c>
      <c r="C25" s="1768">
        <v>217.6</v>
      </c>
      <c r="D25" s="1768">
        <v>245.2</v>
      </c>
      <c r="E25" s="1769">
        <v>278.89999999999998</v>
      </c>
      <c r="F25" s="1768">
        <v>300.10000000000002</v>
      </c>
      <c r="G25" s="1768">
        <v>297.39999999999998</v>
      </c>
      <c r="H25" s="1768">
        <v>340.8</v>
      </c>
      <c r="I25" s="1768">
        <v>344.8</v>
      </c>
      <c r="J25" s="1768">
        <v>391.4</v>
      </c>
      <c r="K25" s="1768">
        <v>383.9</v>
      </c>
      <c r="L25" s="1770">
        <v>405.1</v>
      </c>
      <c r="M25" s="1771">
        <f>(L25/K25)-1</f>
        <v>5.5222714248502225E-2</v>
      </c>
    </row>
    <row r="26" spans="1:13" s="1721" customFormat="1">
      <c r="B26" s="1772" t="s">
        <v>323</v>
      </c>
      <c r="C26" s="1773">
        <f t="shared" ref="C26:L26" si="3">(C25/C24)-1</f>
        <v>0.21036509180227214</v>
      </c>
      <c r="D26" s="1773">
        <f t="shared" si="3"/>
        <v>0.2008406436880712</v>
      </c>
      <c r="E26" s="1774">
        <f t="shared" si="3"/>
        <v>0.21631189157622122</v>
      </c>
      <c r="F26" s="1773">
        <f t="shared" si="3"/>
        <v>0.13789601591159473</v>
      </c>
      <c r="G26" s="1773">
        <f t="shared" si="3"/>
        <v>0.10762076943796561</v>
      </c>
      <c r="H26" s="1773">
        <f t="shared" si="3"/>
        <v>0.17333459228749493</v>
      </c>
      <c r="I26" s="1773">
        <f t="shared" si="3"/>
        <v>0.16127159208993858</v>
      </c>
      <c r="J26" s="1773">
        <f t="shared" si="3"/>
        <v>8.9555732834003976E-2</v>
      </c>
      <c r="K26" s="1773">
        <f t="shared" si="3"/>
        <v>8.5444469577018678E-2</v>
      </c>
      <c r="L26" s="1775">
        <f t="shared" si="3"/>
        <v>8.0987324883255551E-2</v>
      </c>
      <c r="M26" s="1771"/>
    </row>
    <row r="27" spans="1:13">
      <c r="B27" s="1767" t="s">
        <v>324</v>
      </c>
      <c r="C27" s="1769" t="s">
        <v>59</v>
      </c>
      <c r="D27" s="1769" t="s">
        <v>59</v>
      </c>
      <c r="E27" s="1769" t="s">
        <v>59</v>
      </c>
      <c r="F27" s="1769" t="s">
        <v>59</v>
      </c>
      <c r="G27" s="1769" t="s">
        <v>59</v>
      </c>
      <c r="H27" s="1769" t="s">
        <v>59</v>
      </c>
      <c r="I27" s="1769" t="s">
        <v>59</v>
      </c>
      <c r="J27" s="1768">
        <v>399.1</v>
      </c>
      <c r="K27" s="1768">
        <v>393.43</v>
      </c>
      <c r="L27" s="1770">
        <v>421.43</v>
      </c>
      <c r="M27" s="1771">
        <f>(L27/K27)-1</f>
        <v>7.1168950003812625E-2</v>
      </c>
    </row>
    <row r="28" spans="1:13" s="1721" customFormat="1">
      <c r="B28" s="1772" t="s">
        <v>325</v>
      </c>
      <c r="C28" s="1774" t="s">
        <v>59</v>
      </c>
      <c r="D28" s="1774" t="s">
        <v>59</v>
      </c>
      <c r="E28" s="1774" t="s">
        <v>59</v>
      </c>
      <c r="F28" s="1774" t="s">
        <v>59</v>
      </c>
      <c r="G28" s="1774" t="s">
        <v>59</v>
      </c>
      <c r="H28" s="1774" t="s">
        <v>59</v>
      </c>
      <c r="I28" s="1774" t="s">
        <v>59</v>
      </c>
      <c r="J28" s="1773">
        <f>(J27/J24)-1</f>
        <v>0.11099052880442262</v>
      </c>
      <c r="K28" s="1773">
        <f>(K27/K24)-1</f>
        <v>0.11238973083012893</v>
      </c>
      <c r="L28" s="1775">
        <f>(L27/L24)-1</f>
        <v>0.1245630420280186</v>
      </c>
      <c r="M28" s="1771"/>
    </row>
    <row r="29" spans="1:13">
      <c r="C29" s="1762"/>
      <c r="D29" s="1762"/>
      <c r="E29" s="1776"/>
      <c r="F29" s="1762"/>
      <c r="G29" s="1762"/>
      <c r="H29" s="1768"/>
      <c r="I29" s="1768"/>
      <c r="J29" s="1762"/>
      <c r="K29" s="1764"/>
      <c r="L29" s="1765"/>
      <c r="M29" s="1777"/>
    </row>
    <row r="30" spans="1:13">
      <c r="A30" s="1752">
        <v>5</v>
      </c>
      <c r="B30" s="1752" t="s">
        <v>2447</v>
      </c>
      <c r="C30" s="1762">
        <v>128.85876662983108</v>
      </c>
      <c r="D30" s="1762">
        <v>141.91140608611047</v>
      </c>
      <c r="E30" s="1776">
        <v>157.35584856009811</v>
      </c>
      <c r="F30" s="1762">
        <v>174.14628347977344</v>
      </c>
      <c r="G30" s="1762">
        <v>171.66132067610738</v>
      </c>
      <c r="H30" s="1762">
        <v>182.83129248471178</v>
      </c>
      <c r="I30" s="1762">
        <v>189.43742407132373</v>
      </c>
      <c r="J30" s="1762">
        <v>198.02028876263893</v>
      </c>
      <c r="K30" s="1764">
        <v>196.88</v>
      </c>
      <c r="L30" s="1765">
        <v>201.51</v>
      </c>
      <c r="M30" s="1766">
        <f>(L30/K30)-1</f>
        <v>2.351686306379519E-2</v>
      </c>
    </row>
    <row r="31" spans="1:13">
      <c r="B31" s="1767" t="s">
        <v>322</v>
      </c>
      <c r="C31" s="1768">
        <v>139.80000000000001</v>
      </c>
      <c r="D31" s="1768">
        <v>151.19999999999999</v>
      </c>
      <c r="E31" s="1769">
        <v>174.5</v>
      </c>
      <c r="F31" s="1768">
        <v>173.6</v>
      </c>
      <c r="G31" s="1768">
        <v>172.2</v>
      </c>
      <c r="H31" s="1768">
        <v>176.2</v>
      </c>
      <c r="I31" s="1768">
        <v>185</v>
      </c>
      <c r="J31" s="1768">
        <v>191.1</v>
      </c>
      <c r="K31" s="1768">
        <v>189.7</v>
      </c>
      <c r="L31" s="1770">
        <v>193.77</v>
      </c>
      <c r="M31" s="1771">
        <f>(L31/K31)-1</f>
        <v>2.1454928835002773E-2</v>
      </c>
    </row>
    <row r="32" spans="1:13" s="1721" customFormat="1">
      <c r="B32" s="1772" t="s">
        <v>323</v>
      </c>
      <c r="C32" s="1773">
        <f t="shared" ref="C32:L32" si="4">(C31/C30)-1</f>
        <v>8.490872337463462E-2</v>
      </c>
      <c r="D32" s="1773">
        <f t="shared" si="4"/>
        <v>6.5453469668627529E-2</v>
      </c>
      <c r="E32" s="1774">
        <f t="shared" si="4"/>
        <v>0.10895147270839511</v>
      </c>
      <c r="F32" s="1773">
        <f t="shared" si="4"/>
        <v>-3.1369229871442972E-3</v>
      </c>
      <c r="G32" s="1773">
        <f t="shared" si="4"/>
        <v>3.138035532820993E-3</v>
      </c>
      <c r="H32" s="1773">
        <f t="shared" si="4"/>
        <v>-3.6270008238695195E-2</v>
      </c>
      <c r="I32" s="1773">
        <f t="shared" si="4"/>
        <v>-2.3424220916628546E-2</v>
      </c>
      <c r="J32" s="1773">
        <f t="shared" si="4"/>
        <v>-3.494737234190215E-2</v>
      </c>
      <c r="K32" s="1773">
        <f t="shared" si="4"/>
        <v>-3.6468915075172692E-2</v>
      </c>
      <c r="L32" s="1775">
        <f t="shared" si="4"/>
        <v>-3.8410004466279513E-2</v>
      </c>
      <c r="M32" s="1771"/>
    </row>
    <row r="33" spans="1:13">
      <c r="B33" s="1767" t="s">
        <v>324</v>
      </c>
      <c r="C33" s="1769" t="s">
        <v>59</v>
      </c>
      <c r="D33" s="1769" t="s">
        <v>59</v>
      </c>
      <c r="E33" s="1769" t="s">
        <v>59</v>
      </c>
      <c r="F33" s="1769" t="s">
        <v>59</v>
      </c>
      <c r="G33" s="1769" t="s">
        <v>59</v>
      </c>
      <c r="H33" s="1769" t="s">
        <v>59</v>
      </c>
      <c r="I33" s="1769" t="s">
        <v>59</v>
      </c>
      <c r="J33" s="1768">
        <v>189.64</v>
      </c>
      <c r="K33" s="1768">
        <v>187.4</v>
      </c>
      <c r="L33" s="1770">
        <v>192.01</v>
      </c>
      <c r="M33" s="1771">
        <f>(L33/K33)-1</f>
        <v>2.4599786552828018E-2</v>
      </c>
    </row>
    <row r="34" spans="1:13" s="1721" customFormat="1">
      <c r="B34" s="1772" t="s">
        <v>325</v>
      </c>
      <c r="C34" s="1774" t="s">
        <v>59</v>
      </c>
      <c r="D34" s="1774" t="s">
        <v>59</v>
      </c>
      <c r="E34" s="1774" t="s">
        <v>59</v>
      </c>
      <c r="F34" s="1774" t="s">
        <v>59</v>
      </c>
      <c r="G34" s="1774" t="s">
        <v>59</v>
      </c>
      <c r="H34" s="1774" t="s">
        <v>59</v>
      </c>
      <c r="I34" s="1774" t="s">
        <v>59</v>
      </c>
      <c r="J34" s="1773">
        <f>(J33/J30)-1</f>
        <v>-4.232035421725977E-2</v>
      </c>
      <c r="K34" s="1773">
        <f>(K33/K30)-1</f>
        <v>-4.8151158065826816E-2</v>
      </c>
      <c r="L34" s="1775">
        <f>(L33/L30)-1</f>
        <v>-4.7144062329412928E-2</v>
      </c>
      <c r="M34" s="1771"/>
    </row>
    <row r="35" spans="1:13">
      <c r="C35" s="1762"/>
      <c r="D35" s="1762"/>
      <c r="E35" s="1776"/>
      <c r="F35" s="1762"/>
      <c r="G35" s="1762"/>
      <c r="H35" s="1762"/>
      <c r="I35" s="1762"/>
      <c r="J35" s="1762"/>
      <c r="K35" s="1764"/>
      <c r="L35" s="1765"/>
      <c r="M35" s="1777"/>
    </row>
    <row r="36" spans="1:13">
      <c r="A36" s="1752">
        <v>6</v>
      </c>
      <c r="B36" s="1752" t="s">
        <v>2448</v>
      </c>
      <c r="C36" s="1762">
        <v>246.67237783815233</v>
      </c>
      <c r="D36" s="1762">
        <v>257.61974174619098</v>
      </c>
      <c r="E36" s="1776">
        <v>288.745232868367</v>
      </c>
      <c r="F36" s="1762">
        <v>307.1393643380062</v>
      </c>
      <c r="G36" s="1762">
        <v>343.7455082841455</v>
      </c>
      <c r="H36" s="1762">
        <v>352.94069193578031</v>
      </c>
      <c r="I36" s="1762">
        <v>372.47504406402646</v>
      </c>
      <c r="J36" s="1762">
        <v>379.34998080250244</v>
      </c>
      <c r="K36" s="1764">
        <v>378.01</v>
      </c>
      <c r="L36" s="1765">
        <v>383.1</v>
      </c>
      <c r="M36" s="1766">
        <f>(L36/K36)-1</f>
        <v>1.3465252242004233E-2</v>
      </c>
    </row>
    <row r="37" spans="1:13">
      <c r="B37" s="1767" t="s">
        <v>322</v>
      </c>
      <c r="C37" s="1768">
        <v>244.2</v>
      </c>
      <c r="D37" s="1768">
        <v>257.89999999999998</v>
      </c>
      <c r="E37" s="1769">
        <v>284.60000000000002</v>
      </c>
      <c r="F37" s="1768">
        <v>309.8</v>
      </c>
      <c r="G37" s="1768">
        <v>341.4</v>
      </c>
      <c r="H37" s="1768">
        <v>354.4</v>
      </c>
      <c r="I37" s="1768">
        <v>369.9</v>
      </c>
      <c r="J37" s="1768">
        <v>374.7</v>
      </c>
      <c r="K37" s="1768">
        <v>372.8</v>
      </c>
      <c r="L37" s="1770">
        <v>374.47</v>
      </c>
      <c r="M37" s="1771">
        <f>(L37/K37)-1</f>
        <v>4.4796137339055964E-3</v>
      </c>
    </row>
    <row r="38" spans="1:13" s="1721" customFormat="1">
      <c r="B38" s="1772" t="s">
        <v>323</v>
      </c>
      <c r="C38" s="1773">
        <f t="shared" ref="C38:L38" si="5">(C37/C36)-1</f>
        <v>-1.0022921333229018E-2</v>
      </c>
      <c r="D38" s="1773">
        <f t="shared" si="5"/>
        <v>1.087875688056128E-3</v>
      </c>
      <c r="E38" s="1774">
        <f t="shared" si="5"/>
        <v>-1.4356021836927413E-2</v>
      </c>
      <c r="F38" s="1773">
        <f t="shared" si="5"/>
        <v>8.6626332242643045E-3</v>
      </c>
      <c r="G38" s="1773">
        <f t="shared" si="5"/>
        <v>-6.8233859864917923E-3</v>
      </c>
      <c r="H38" s="1773">
        <f t="shared" si="5"/>
        <v>4.1347118582892861E-3</v>
      </c>
      <c r="I38" s="1773">
        <f t="shared" si="5"/>
        <v>-6.9133331348337768E-3</v>
      </c>
      <c r="J38" s="1773">
        <f t="shared" si="5"/>
        <v>-1.2257759424860293E-2</v>
      </c>
      <c r="K38" s="1773">
        <f t="shared" si="5"/>
        <v>-1.378270416126548E-2</v>
      </c>
      <c r="L38" s="1775">
        <f t="shared" si="5"/>
        <v>-2.2526755416340416E-2</v>
      </c>
      <c r="M38" s="1771"/>
    </row>
    <row r="39" spans="1:13">
      <c r="B39" s="1767" t="s">
        <v>324</v>
      </c>
      <c r="C39" s="1769" t="s">
        <v>59</v>
      </c>
      <c r="D39" s="1769" t="s">
        <v>59</v>
      </c>
      <c r="E39" s="1769" t="s">
        <v>59</v>
      </c>
      <c r="F39" s="1769" t="s">
        <v>59</v>
      </c>
      <c r="G39" s="1769" t="s">
        <v>59</v>
      </c>
      <c r="H39" s="1769" t="s">
        <v>59</v>
      </c>
      <c r="I39" s="1769" t="s">
        <v>59</v>
      </c>
      <c r="J39" s="1768">
        <v>380.14</v>
      </c>
      <c r="K39" s="1768">
        <v>382.08</v>
      </c>
      <c r="L39" s="1770">
        <v>387.58</v>
      </c>
      <c r="M39" s="1771">
        <f>(L39/K39)-1</f>
        <v>1.4394891122277986E-2</v>
      </c>
    </row>
    <row r="40" spans="1:13" s="1721" customFormat="1">
      <c r="B40" s="1772" t="s">
        <v>325</v>
      </c>
      <c r="C40" s="1774" t="s">
        <v>59</v>
      </c>
      <c r="D40" s="1774" t="s">
        <v>59</v>
      </c>
      <c r="E40" s="1774" t="s">
        <v>59</v>
      </c>
      <c r="F40" s="1774" t="s">
        <v>59</v>
      </c>
      <c r="G40" s="1774" t="s">
        <v>59</v>
      </c>
      <c r="H40" s="1774" t="s">
        <v>59</v>
      </c>
      <c r="I40" s="1774" t="s">
        <v>59</v>
      </c>
      <c r="J40" s="1773">
        <f>(J39/J36)-1</f>
        <v>2.0825602675036414E-3</v>
      </c>
      <c r="K40" s="1773">
        <f>(K39/K36)-1</f>
        <v>1.0766910928282414E-2</v>
      </c>
      <c r="L40" s="1775">
        <f>(L39/L36)-1</f>
        <v>1.1694074654137188E-2</v>
      </c>
      <c r="M40" s="1771"/>
    </row>
    <row r="41" spans="1:13">
      <c r="C41" s="1762"/>
      <c r="D41" s="1762"/>
      <c r="E41" s="1776"/>
      <c r="F41" s="1762"/>
      <c r="G41" s="1762"/>
      <c r="H41" s="1762"/>
      <c r="I41" s="1762"/>
      <c r="J41" s="1762"/>
      <c r="K41" s="1764"/>
      <c r="L41" s="1765"/>
      <c r="M41" s="1777"/>
    </row>
    <row r="42" spans="1:13">
      <c r="A42" s="1752">
        <v>7</v>
      </c>
      <c r="B42" s="1752" t="s">
        <v>2451</v>
      </c>
      <c r="C42" s="1762">
        <v>150.64686744819926</v>
      </c>
      <c r="D42" s="1762">
        <v>160.88253360625276</v>
      </c>
      <c r="E42" s="1776">
        <v>167.22954109591964</v>
      </c>
      <c r="F42" s="1762">
        <v>172.28381767006115</v>
      </c>
      <c r="G42" s="1762">
        <v>189.57472804627923</v>
      </c>
      <c r="H42" s="1762">
        <v>200.44409586700854</v>
      </c>
      <c r="I42" s="1762">
        <v>213.02590534069273</v>
      </c>
      <c r="J42" s="1762">
        <v>213.44705424318488</v>
      </c>
      <c r="K42" s="1764">
        <v>217.58</v>
      </c>
      <c r="L42" s="1765">
        <v>226.4</v>
      </c>
      <c r="M42" s="1766">
        <f>(L42/K42)-1</f>
        <v>4.0536814045408542E-2</v>
      </c>
    </row>
    <row r="43" spans="1:13">
      <c r="B43" s="1767" t="s">
        <v>322</v>
      </c>
      <c r="C43" s="1768">
        <v>143.6</v>
      </c>
      <c r="D43" s="1768">
        <v>157.19999999999999</v>
      </c>
      <c r="E43" s="1769">
        <v>166.5</v>
      </c>
      <c r="F43" s="1768">
        <v>177.8</v>
      </c>
      <c r="G43" s="1768">
        <v>198.2</v>
      </c>
      <c r="H43" s="1768">
        <v>201.9</v>
      </c>
      <c r="I43" s="1768">
        <v>197.6</v>
      </c>
      <c r="J43" s="1768">
        <v>217</v>
      </c>
      <c r="K43" s="1768">
        <v>224.9</v>
      </c>
      <c r="L43" s="1770">
        <v>230.64</v>
      </c>
      <c r="M43" s="1771">
        <f>(L43/K43)-1</f>
        <v>2.5522454424188545E-2</v>
      </c>
    </row>
    <row r="44" spans="1:13" s="1721" customFormat="1">
      <c r="B44" s="1772" t="s">
        <v>323</v>
      </c>
      <c r="C44" s="1773">
        <f t="shared" ref="C44:L44" si="6">(C43/C42)-1</f>
        <v>-4.6777391176901606E-2</v>
      </c>
      <c r="D44" s="1773">
        <f t="shared" si="6"/>
        <v>-2.2889579892280243E-2</v>
      </c>
      <c r="E44" s="1774">
        <f t="shared" si="6"/>
        <v>-4.3625132924403065E-3</v>
      </c>
      <c r="F44" s="1773">
        <f t="shared" si="6"/>
        <v>3.2017994519385695E-2</v>
      </c>
      <c r="G44" s="1773">
        <f t="shared" si="6"/>
        <v>4.5498005154015697E-2</v>
      </c>
      <c r="H44" s="1773">
        <f t="shared" si="6"/>
        <v>7.2633924521150472E-3</v>
      </c>
      <c r="I44" s="1773">
        <f t="shared" si="6"/>
        <v>-7.2413283802371664E-2</v>
      </c>
      <c r="J44" s="1773">
        <f t="shared" si="6"/>
        <v>1.6645560040229768E-2</v>
      </c>
      <c r="K44" s="1773">
        <f t="shared" si="6"/>
        <v>3.3642798051291445E-2</v>
      </c>
      <c r="L44" s="1775">
        <f t="shared" si="6"/>
        <v>1.8727915194346245E-2</v>
      </c>
      <c r="M44" s="1771"/>
    </row>
    <row r="45" spans="1:13">
      <c r="B45" s="1767" t="s">
        <v>324</v>
      </c>
      <c r="C45" s="1769" t="s">
        <v>59</v>
      </c>
      <c r="D45" s="1769" t="s">
        <v>59</v>
      </c>
      <c r="E45" s="1769" t="s">
        <v>59</v>
      </c>
      <c r="F45" s="1769" t="s">
        <v>59</v>
      </c>
      <c r="G45" s="1769" t="s">
        <v>59</v>
      </c>
      <c r="H45" s="1769" t="s">
        <v>59</v>
      </c>
      <c r="I45" s="1769" t="s">
        <v>59</v>
      </c>
      <c r="J45" s="1768">
        <v>206.71</v>
      </c>
      <c r="K45" s="1768">
        <v>215.78</v>
      </c>
      <c r="L45" s="1770">
        <v>222.38</v>
      </c>
      <c r="M45" s="1771">
        <f>(L45/K45)-1</f>
        <v>3.0586708684771535E-2</v>
      </c>
    </row>
    <row r="46" spans="1:13" s="1721" customFormat="1">
      <c r="B46" s="1772" t="s">
        <v>325</v>
      </c>
      <c r="C46" s="1774" t="s">
        <v>59</v>
      </c>
      <c r="D46" s="1774" t="s">
        <v>59</v>
      </c>
      <c r="E46" s="1774" t="s">
        <v>59</v>
      </c>
      <c r="F46" s="1774" t="s">
        <v>59</v>
      </c>
      <c r="G46" s="1774" t="s">
        <v>59</v>
      </c>
      <c r="H46" s="1774" t="s">
        <v>59</v>
      </c>
      <c r="I46" s="1774" t="s">
        <v>59</v>
      </c>
      <c r="J46" s="1773">
        <f>(J45/J42)-1</f>
        <v>-3.1563116516516554E-2</v>
      </c>
      <c r="K46" s="1773">
        <f>(K45/K42)-1</f>
        <v>-8.2728191929405392E-3</v>
      </c>
      <c r="L46" s="1775">
        <f>(L45/L42)-1</f>
        <v>-1.7756183745583076E-2</v>
      </c>
      <c r="M46" s="1771"/>
    </row>
    <row r="47" spans="1:13" s="1721" customFormat="1">
      <c r="B47" s="1772"/>
      <c r="C47" s="1774"/>
      <c r="D47" s="1774"/>
      <c r="E47" s="1774"/>
      <c r="F47" s="1774"/>
      <c r="G47" s="1774"/>
      <c r="H47" s="1774"/>
      <c r="I47" s="1774"/>
      <c r="J47" s="1773"/>
      <c r="K47" s="1773"/>
      <c r="L47" s="1775"/>
      <c r="M47" s="1771"/>
    </row>
    <row r="48" spans="1:13">
      <c r="A48" s="1752">
        <v>8</v>
      </c>
      <c r="B48" s="1752" t="s">
        <v>499</v>
      </c>
      <c r="C48" s="1778">
        <v>30.906839827030989</v>
      </c>
      <c r="D48" s="1779">
        <v>32.359437190342035</v>
      </c>
      <c r="E48" s="1780">
        <v>34.840696214910899</v>
      </c>
      <c r="F48" s="1778">
        <v>37.025033111675718</v>
      </c>
      <c r="G48" s="1779">
        <v>39.493547804709614</v>
      </c>
      <c r="H48" s="1779">
        <v>43.42085098619804</v>
      </c>
      <c r="I48" s="1779">
        <v>49.454875646942796</v>
      </c>
      <c r="J48" s="1779">
        <v>52.228327605463519</v>
      </c>
      <c r="K48" s="1781">
        <v>55.74</v>
      </c>
      <c r="L48" s="1782">
        <v>60.5</v>
      </c>
      <c r="M48" s="1766">
        <f>(L48/K48)-1</f>
        <v>8.5396483674201606E-2</v>
      </c>
    </row>
    <row r="49" spans="1:13">
      <c r="B49" s="1767" t="s">
        <v>322</v>
      </c>
      <c r="C49" s="1783">
        <v>28.5</v>
      </c>
      <c r="D49" s="1783">
        <v>30</v>
      </c>
      <c r="E49" s="1784">
        <v>32.6</v>
      </c>
      <c r="F49" s="1783">
        <v>36.5</v>
      </c>
      <c r="G49" s="1783">
        <v>38.700000000000003</v>
      </c>
      <c r="H49" s="1783">
        <v>44</v>
      </c>
      <c r="I49" s="1783">
        <v>48.5</v>
      </c>
      <c r="J49" s="1783">
        <v>51.1</v>
      </c>
      <c r="K49" s="1783">
        <v>55.1</v>
      </c>
      <c r="L49" s="1785">
        <v>62.35</v>
      </c>
      <c r="M49" s="1771">
        <f>(L49/K49)-1</f>
        <v>0.13157894736842102</v>
      </c>
    </row>
    <row r="50" spans="1:13" s="1721" customFormat="1">
      <c r="B50" s="1772" t="s">
        <v>323</v>
      </c>
      <c r="C50" s="1773">
        <f t="shared" ref="C50:L50" si="7">(C49/C48)-1</f>
        <v>-7.7874018841809112E-2</v>
      </c>
      <c r="D50" s="1773">
        <f t="shared" si="7"/>
        <v>-7.2913418625408899E-2</v>
      </c>
      <c r="E50" s="1774">
        <f t="shared" si="7"/>
        <v>-6.4312613074360425E-2</v>
      </c>
      <c r="F50" s="1773">
        <f t="shared" si="7"/>
        <v>-1.4180489996919121E-2</v>
      </c>
      <c r="G50" s="1773">
        <f t="shared" si="7"/>
        <v>-2.0093099982650298E-2</v>
      </c>
      <c r="H50" s="1773">
        <f t="shared" si="7"/>
        <v>1.3338039228803833E-2</v>
      </c>
      <c r="I50" s="1773">
        <f t="shared" si="7"/>
        <v>-1.930801835919338E-2</v>
      </c>
      <c r="J50" s="1773">
        <f t="shared" si="7"/>
        <v>-2.1603747567545795E-2</v>
      </c>
      <c r="K50" s="1773">
        <f t="shared" si="7"/>
        <v>-1.1481880157875879E-2</v>
      </c>
      <c r="L50" s="1775">
        <f t="shared" si="7"/>
        <v>3.057851239669418E-2</v>
      </c>
      <c r="M50" s="1771"/>
    </row>
    <row r="51" spans="1:13">
      <c r="B51" s="1767" t="s">
        <v>324</v>
      </c>
      <c r="C51" s="1769" t="s">
        <v>59</v>
      </c>
      <c r="D51" s="1769" t="s">
        <v>59</v>
      </c>
      <c r="E51" s="1769" t="s">
        <v>59</v>
      </c>
      <c r="F51" s="1769" t="s">
        <v>59</v>
      </c>
      <c r="G51" s="1769" t="s">
        <v>59</v>
      </c>
      <c r="H51" s="1769" t="s">
        <v>59</v>
      </c>
      <c r="I51" s="1769" t="s">
        <v>59</v>
      </c>
      <c r="J51" s="1768">
        <v>50.73</v>
      </c>
      <c r="K51" s="1768">
        <v>54.92</v>
      </c>
      <c r="L51" s="1770">
        <v>58.88</v>
      </c>
      <c r="M51" s="1771">
        <f>(L51/K51)-1</f>
        <v>7.2104879825200197E-2</v>
      </c>
    </row>
    <row r="52" spans="1:13" s="1721" customFormat="1">
      <c r="B52" s="1772" t="s">
        <v>325</v>
      </c>
      <c r="C52" s="1774" t="s">
        <v>59</v>
      </c>
      <c r="D52" s="1774" t="s">
        <v>59</v>
      </c>
      <c r="E52" s="1774" t="s">
        <v>59</v>
      </c>
      <c r="F52" s="1774" t="s">
        <v>59</v>
      </c>
      <c r="G52" s="1774" t="s">
        <v>59</v>
      </c>
      <c r="H52" s="1774" t="s">
        <v>59</v>
      </c>
      <c r="I52" s="1774" t="s">
        <v>59</v>
      </c>
      <c r="J52" s="1773">
        <f>(J51/J48)-1</f>
        <v>-2.8688025716274046E-2</v>
      </c>
      <c r="K52" s="1773">
        <f>(K51/K48)-1</f>
        <v>-1.471115895227848E-2</v>
      </c>
      <c r="L52" s="1775">
        <f>(L51/L48)-1</f>
        <v>-2.6776859504132222E-2</v>
      </c>
      <c r="M52" s="1771"/>
    </row>
    <row r="53" spans="1:13">
      <c r="C53" s="1762"/>
      <c r="D53" s="1762"/>
      <c r="E53" s="1776"/>
      <c r="F53" s="1762"/>
      <c r="G53" s="1762"/>
      <c r="H53" s="1768"/>
      <c r="I53" s="1768"/>
      <c r="J53" s="1762"/>
      <c r="K53" s="1764"/>
      <c r="L53" s="1765"/>
      <c r="M53" s="1777"/>
    </row>
    <row r="54" spans="1:13">
      <c r="A54" s="1752">
        <v>9</v>
      </c>
      <c r="B54" s="1752" t="s">
        <v>500</v>
      </c>
      <c r="C54" s="1779">
        <v>57.642077350310821</v>
      </c>
      <c r="D54" s="1779">
        <v>60.131858482788445</v>
      </c>
      <c r="E54" s="1786">
        <v>61.491416169301154</v>
      </c>
      <c r="F54" s="1779">
        <v>65.76167578635949</v>
      </c>
      <c r="G54" s="1779">
        <v>68.92734993393816</v>
      </c>
      <c r="H54" s="1779">
        <v>66.649239980169568</v>
      </c>
      <c r="I54" s="1779">
        <v>68.449757529348247</v>
      </c>
      <c r="J54" s="1779">
        <v>71.506769252803821</v>
      </c>
      <c r="K54" s="1781">
        <v>72.13</v>
      </c>
      <c r="L54" s="1782">
        <v>73.489999999999995</v>
      </c>
      <c r="M54" s="1766">
        <f>(L54/K54)-1</f>
        <v>1.8854845417995314E-2</v>
      </c>
    </row>
    <row r="55" spans="1:13">
      <c r="B55" s="1767" t="s">
        <v>322</v>
      </c>
      <c r="C55" s="1783">
        <v>53.1</v>
      </c>
      <c r="D55" s="1783">
        <v>56.2</v>
      </c>
      <c r="E55" s="1784">
        <v>57.5</v>
      </c>
      <c r="F55" s="1783">
        <v>64.599999999999994</v>
      </c>
      <c r="G55" s="1783">
        <v>64.5</v>
      </c>
      <c r="H55" s="1783">
        <v>63.8</v>
      </c>
      <c r="I55" s="1783">
        <v>64.2</v>
      </c>
      <c r="J55" s="1783">
        <v>66.599999999999994</v>
      </c>
      <c r="K55" s="1783">
        <v>67.8</v>
      </c>
      <c r="L55" s="1785">
        <v>69.56</v>
      </c>
      <c r="M55" s="1771">
        <f>(L55/K55)-1</f>
        <v>2.595870206489681E-2</v>
      </c>
    </row>
    <row r="56" spans="1:13" s="1721" customFormat="1">
      <c r="B56" s="1772" t="s">
        <v>323</v>
      </c>
      <c r="C56" s="1773">
        <f t="shared" ref="C56:L56" si="8">(C55/C54)-1</f>
        <v>-7.8797946900959981E-2</v>
      </c>
      <c r="D56" s="1773">
        <f t="shared" si="8"/>
        <v>-6.5387276927651561E-2</v>
      </c>
      <c r="E56" s="1774">
        <f t="shared" si="8"/>
        <v>-6.4910135722224926E-2</v>
      </c>
      <c r="F56" s="1773">
        <f t="shared" si="8"/>
        <v>-1.7664935883529465E-2</v>
      </c>
      <c r="G56" s="1773">
        <f t="shared" si="8"/>
        <v>-6.423212176561921E-2</v>
      </c>
      <c r="H56" s="1773">
        <f t="shared" si="8"/>
        <v>-4.2749774506315674E-2</v>
      </c>
      <c r="I56" s="1773">
        <f t="shared" si="8"/>
        <v>-6.208579376670742E-2</v>
      </c>
      <c r="J56" s="1773">
        <f t="shared" si="8"/>
        <v>-6.8619646840098691E-2</v>
      </c>
      <c r="K56" s="1773">
        <f t="shared" si="8"/>
        <v>-6.003050048523495E-2</v>
      </c>
      <c r="L56" s="1775">
        <f t="shared" si="8"/>
        <v>-5.3476663491631382E-2</v>
      </c>
      <c r="M56" s="1771"/>
    </row>
    <row r="57" spans="1:13">
      <c r="B57" s="1767" t="s">
        <v>324</v>
      </c>
      <c r="C57" s="1769" t="s">
        <v>59</v>
      </c>
      <c r="D57" s="1769" t="s">
        <v>59</v>
      </c>
      <c r="E57" s="1769" t="s">
        <v>59</v>
      </c>
      <c r="F57" s="1769" t="s">
        <v>59</v>
      </c>
      <c r="G57" s="1769" t="s">
        <v>59</v>
      </c>
      <c r="H57" s="1769" t="s">
        <v>59</v>
      </c>
      <c r="I57" s="1769" t="s">
        <v>59</v>
      </c>
      <c r="J57" s="1783">
        <v>65.95</v>
      </c>
      <c r="K57" s="1783">
        <v>66.930000000000007</v>
      </c>
      <c r="L57" s="1785">
        <v>69.150000000000006</v>
      </c>
      <c r="M57" s="1771">
        <f>(L57/K57)-1</f>
        <v>3.3168982519049761E-2</v>
      </c>
    </row>
    <row r="58" spans="1:13" s="1721" customFormat="1">
      <c r="B58" s="1772" t="s">
        <v>325</v>
      </c>
      <c r="C58" s="1774" t="s">
        <v>59</v>
      </c>
      <c r="D58" s="1774" t="s">
        <v>59</v>
      </c>
      <c r="E58" s="1774" t="s">
        <v>59</v>
      </c>
      <c r="F58" s="1774" t="s">
        <v>59</v>
      </c>
      <c r="G58" s="1774" t="s">
        <v>59</v>
      </c>
      <c r="H58" s="1774" t="s">
        <v>59</v>
      </c>
      <c r="I58" s="1774" t="s">
        <v>59</v>
      </c>
      <c r="J58" s="1773">
        <f>(J57/J54)-1</f>
        <v>-7.770969533189942E-2</v>
      </c>
      <c r="K58" s="1773">
        <f>(K57/K54)-1</f>
        <v>-7.2092056009981809E-2</v>
      </c>
      <c r="L58" s="1775">
        <f>(L57/L54)-1</f>
        <v>-5.905565383045297E-2</v>
      </c>
      <c r="M58" s="1771"/>
    </row>
    <row r="59" spans="1:13">
      <c r="C59" s="1762"/>
      <c r="D59" s="1762"/>
      <c r="E59" s="1776"/>
      <c r="F59" s="1762"/>
      <c r="G59" s="1762"/>
      <c r="H59" s="1762"/>
      <c r="I59" s="1762"/>
      <c r="J59" s="1762"/>
      <c r="K59" s="1764"/>
      <c r="L59" s="1765"/>
      <c r="M59" s="1777"/>
    </row>
    <row r="60" spans="1:13">
      <c r="A60" s="1752">
        <v>10</v>
      </c>
      <c r="B60" s="1752" t="s">
        <v>2449</v>
      </c>
      <c r="C60" s="1779">
        <v>54.853189405924091</v>
      </c>
      <c r="D60" s="1779">
        <v>56.924385896913591</v>
      </c>
      <c r="E60" s="1786">
        <v>60.94101454443998</v>
      </c>
      <c r="F60" s="1779">
        <v>63.375782250498219</v>
      </c>
      <c r="G60" s="1779">
        <v>66.109744640711739</v>
      </c>
      <c r="H60" s="1779">
        <v>65.17295098477382</v>
      </c>
      <c r="I60" s="1779">
        <v>80.079219765387336</v>
      </c>
      <c r="J60" s="1779">
        <v>89.431105997755466</v>
      </c>
      <c r="K60" s="1781">
        <v>83.65</v>
      </c>
      <c r="L60" s="1782">
        <v>83.98</v>
      </c>
      <c r="M60" s="1766">
        <f>(L60/K60)-1</f>
        <v>3.9450089659294196E-3</v>
      </c>
    </row>
    <row r="61" spans="1:13">
      <c r="B61" s="1767" t="s">
        <v>322</v>
      </c>
      <c r="C61" s="1784" t="s">
        <v>59</v>
      </c>
      <c r="D61" s="1784" t="s">
        <v>59</v>
      </c>
      <c r="E61" s="1784" t="s">
        <v>59</v>
      </c>
      <c r="F61" s="1784" t="s">
        <v>59</v>
      </c>
      <c r="G61" s="1784" t="s">
        <v>59</v>
      </c>
      <c r="H61" s="1784" t="s">
        <v>59</v>
      </c>
      <c r="I61" s="1784" t="s">
        <v>59</v>
      </c>
      <c r="J61" s="1784" t="s">
        <v>59</v>
      </c>
      <c r="K61" s="1784" t="s">
        <v>59</v>
      </c>
      <c r="L61" s="1787" t="s">
        <v>59</v>
      </c>
      <c r="M61" s="1788" t="s">
        <v>59</v>
      </c>
    </row>
    <row r="62" spans="1:13" s="1721" customFormat="1">
      <c r="B62" s="1772" t="s">
        <v>323</v>
      </c>
      <c r="C62" s="1774" t="s">
        <v>59</v>
      </c>
      <c r="D62" s="1774" t="s">
        <v>59</v>
      </c>
      <c r="E62" s="1774" t="s">
        <v>59</v>
      </c>
      <c r="F62" s="1774" t="s">
        <v>59</v>
      </c>
      <c r="G62" s="1774" t="s">
        <v>59</v>
      </c>
      <c r="H62" s="1774" t="s">
        <v>59</v>
      </c>
      <c r="I62" s="1774" t="s">
        <v>59</v>
      </c>
      <c r="J62" s="1774" t="s">
        <v>59</v>
      </c>
      <c r="K62" s="1774" t="s">
        <v>59</v>
      </c>
      <c r="L62" s="1789" t="s">
        <v>59</v>
      </c>
      <c r="M62" s="1771"/>
    </row>
    <row r="63" spans="1:13">
      <c r="B63" s="1767" t="s">
        <v>324</v>
      </c>
      <c r="C63" s="1769" t="s">
        <v>59</v>
      </c>
      <c r="D63" s="1769" t="s">
        <v>59</v>
      </c>
      <c r="E63" s="1769" t="s">
        <v>59</v>
      </c>
      <c r="F63" s="1769" t="s">
        <v>59</v>
      </c>
      <c r="G63" s="1769" t="s">
        <v>59</v>
      </c>
      <c r="H63" s="1769" t="s">
        <v>59</v>
      </c>
      <c r="I63" s="1769" t="s">
        <v>59</v>
      </c>
      <c r="J63" s="1783">
        <v>63.68</v>
      </c>
      <c r="K63" s="1783">
        <v>59.6</v>
      </c>
      <c r="L63" s="1785">
        <v>62.77</v>
      </c>
      <c r="M63" s="1766">
        <f>(L63/K63)-1</f>
        <v>5.3187919463087319E-2</v>
      </c>
    </row>
    <row r="64" spans="1:13" s="1721" customFormat="1">
      <c r="B64" s="1772" t="s">
        <v>325</v>
      </c>
      <c r="C64" s="1774" t="s">
        <v>59</v>
      </c>
      <c r="D64" s="1774" t="s">
        <v>59</v>
      </c>
      <c r="E64" s="1774" t="s">
        <v>59</v>
      </c>
      <c r="F64" s="1774" t="s">
        <v>59</v>
      </c>
      <c r="G64" s="1774" t="s">
        <v>59</v>
      </c>
      <c r="H64" s="1774" t="s">
        <v>59</v>
      </c>
      <c r="I64" s="1774" t="s">
        <v>59</v>
      </c>
      <c r="J64" s="1773">
        <f>(J63/J60)-1</f>
        <v>-0.2879435036664062</v>
      </c>
      <c r="K64" s="1773">
        <f>(K63/K60)-1</f>
        <v>-0.28750747160789003</v>
      </c>
      <c r="L64" s="1775">
        <f>(L63/L60)-1</f>
        <v>-0.25256013336508687</v>
      </c>
      <c r="M64" s="1771"/>
    </row>
    <row r="67" spans="2:2">
      <c r="B67" s="1752" t="s">
        <v>2452</v>
      </c>
    </row>
    <row r="68" spans="2:2">
      <c r="B68" s="1790" t="s">
        <v>1434</v>
      </c>
    </row>
    <row r="69" spans="2:2">
      <c r="B69" s="1790" t="s">
        <v>1435</v>
      </c>
    </row>
    <row r="70" spans="2:2">
      <c r="B70" s="1790" t="s">
        <v>1436</v>
      </c>
    </row>
    <row r="71" spans="2:2">
      <c r="B71" s="1790" t="s">
        <v>1437</v>
      </c>
    </row>
    <row r="72" spans="2:2">
      <c r="B72" s="1790" t="s">
        <v>1438</v>
      </c>
    </row>
    <row r="74" spans="2:2">
      <c r="B74" s="1791" t="s">
        <v>1443</v>
      </c>
    </row>
    <row r="75" spans="2:2">
      <c r="B75" s="1792" t="s">
        <v>1444</v>
      </c>
    </row>
    <row r="76" spans="2:2">
      <c r="B76" s="1793" t="s">
        <v>1445</v>
      </c>
    </row>
  </sheetData>
  <phoneticPr fontId="71" type="noConversion"/>
  <pageMargins left="0.28000000000000003" right="0.26" top="0.48" bottom="0.4" header="0.31" footer="0.16"/>
  <pageSetup paperSize="9" scale="75" orientation="portrait"/>
  <headerFooter alignWithMargins="0"/>
  <colBreaks count="1" manualBreakCount="1">
    <brk id="2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8A10-9C03-BE42-BF00-ABCA204F55E1}">
  <sheetPr>
    <pageSetUpPr fitToPage="1"/>
  </sheetPr>
  <dimension ref="A1:M65"/>
  <sheetViews>
    <sheetView workbookViewId="0">
      <pane ySplit="5" topLeftCell="A6" activePane="bottomLeft" state="frozen"/>
      <selection pane="bottomLeft" activeCell="B5" sqref="B5"/>
    </sheetView>
  </sheetViews>
  <sheetFormatPr baseColWidth="10" defaultColWidth="11.3984375" defaultRowHeight="13"/>
  <cols>
    <col min="1" max="1" width="3.796875" style="955" customWidth="1"/>
    <col min="2" max="2" width="18.59765625" style="1000" customWidth="1"/>
    <col min="3" max="8" width="9.19921875" style="955" customWidth="1"/>
    <col min="9" max="9" width="9.19921875" style="997" customWidth="1"/>
    <col min="10" max="10" width="9.19921875" style="955" customWidth="1"/>
    <col min="11" max="11" width="11.19921875" style="1030" customWidth="1"/>
    <col min="12" max="12" width="8.796875" style="999" customWidth="1"/>
    <col min="13" max="13" width="8.796875" style="955" customWidth="1"/>
    <col min="14" max="16384" width="11.3984375" style="955"/>
  </cols>
  <sheetData>
    <row r="1" spans="1:13">
      <c r="B1" s="996" t="s">
        <v>2459</v>
      </c>
    </row>
    <row r="3" spans="1:13">
      <c r="B3" s="996" t="s">
        <v>2460</v>
      </c>
    </row>
    <row r="4" spans="1:13">
      <c r="I4" s="1001"/>
      <c r="K4" s="1031"/>
    </row>
    <row r="5" spans="1:13" ht="26.25" customHeight="1">
      <c r="C5" s="1004">
        <v>2000</v>
      </c>
      <c r="D5" s="1004">
        <v>2001</v>
      </c>
      <c r="E5" s="1004">
        <v>2002</v>
      </c>
      <c r="F5" s="1004">
        <v>2003</v>
      </c>
      <c r="G5" s="1004">
        <v>2004</v>
      </c>
      <c r="H5" s="1004">
        <v>2005</v>
      </c>
      <c r="I5" s="1005">
        <v>2006</v>
      </c>
      <c r="J5" s="1006">
        <v>2007</v>
      </c>
      <c r="K5" s="1032" t="s">
        <v>1580</v>
      </c>
      <c r="L5" s="1004">
        <v>2008</v>
      </c>
      <c r="M5" s="1004">
        <v>2009</v>
      </c>
    </row>
    <row r="6" spans="1:13">
      <c r="A6" s="998">
        <v>1</v>
      </c>
      <c r="B6" s="996" t="s">
        <v>1000</v>
      </c>
      <c r="C6" s="1033">
        <v>7265.1130000000003</v>
      </c>
      <c r="D6" s="1034">
        <v>7301.05</v>
      </c>
      <c r="E6" s="1034">
        <v>7344.6319999999996</v>
      </c>
      <c r="F6" s="1034">
        <v>7372.5050000000001</v>
      </c>
      <c r="G6" s="1034">
        <v>7383.5739999999996</v>
      </c>
      <c r="H6" s="1034">
        <v>7435.8649999999998</v>
      </c>
      <c r="I6" s="1034">
        <v>7478.4290000000001</v>
      </c>
      <c r="J6" s="1035">
        <v>7537.5873800000008</v>
      </c>
      <c r="K6" s="1036">
        <f>(J6/I6)-1</f>
        <v>7.910535755571324E-3</v>
      </c>
      <c r="L6" s="1033"/>
      <c r="M6" s="1033"/>
    </row>
    <row r="7" spans="1:13">
      <c r="B7" s="1015" t="s">
        <v>2443</v>
      </c>
      <c r="C7" s="1037">
        <v>7263.2904821520033</v>
      </c>
      <c r="D7" s="1038">
        <v>7277.9087635100614</v>
      </c>
      <c r="E7" s="1038">
        <v>7294.8725866470413</v>
      </c>
      <c r="F7" s="1038">
        <v>7381</v>
      </c>
      <c r="G7" s="1038">
        <v>7369</v>
      </c>
      <c r="H7" s="1038">
        <v>7439</v>
      </c>
      <c r="I7" s="1038">
        <v>7479.1931914420002</v>
      </c>
      <c r="J7" s="1039">
        <v>7540.1476616999998</v>
      </c>
      <c r="K7" s="1036">
        <f>(J7/I7)-1</f>
        <v>8.1498724124076105E-3</v>
      </c>
      <c r="L7" s="1037">
        <v>7616.5542101510009</v>
      </c>
      <c r="M7" s="1020"/>
    </row>
    <row r="8" spans="1:13">
      <c r="B8" s="1015" t="s">
        <v>2444</v>
      </c>
      <c r="C8" s="1021">
        <f t="shared" ref="C8:J8" si="0">(C7/C6)-1</f>
        <v>-2.5085884390196878E-4</v>
      </c>
      <c r="D8" s="1022">
        <f t="shared" si="0"/>
        <v>-3.1695764978926233E-3</v>
      </c>
      <c r="E8" s="1022">
        <f t="shared" si="0"/>
        <v>-6.774936219126837E-3</v>
      </c>
      <c r="F8" s="1022">
        <f t="shared" si="0"/>
        <v>1.1522542202413444E-3</v>
      </c>
      <c r="G8" s="1022">
        <f t="shared" si="0"/>
        <v>-1.9738408526818185E-3</v>
      </c>
      <c r="H8" s="1022">
        <f t="shared" si="0"/>
        <v>4.2160528734713765E-4</v>
      </c>
      <c r="I8" s="1022">
        <f t="shared" si="0"/>
        <v>1.0218609309520232E-4</v>
      </c>
      <c r="J8" s="1022">
        <f t="shared" si="0"/>
        <v>3.3966859300260666E-4</v>
      </c>
      <c r="K8" s="1036"/>
      <c r="L8" s="1037"/>
      <c r="M8" s="1037"/>
    </row>
    <row r="9" spans="1:13">
      <c r="B9" s="1015" t="s">
        <v>2445</v>
      </c>
      <c r="C9" s="1020" t="s">
        <v>59</v>
      </c>
      <c r="D9" s="1038">
        <v>7254.1157733654136</v>
      </c>
      <c r="E9" s="1038">
        <v>7163.7307153205684</v>
      </c>
      <c r="F9" s="1038">
        <v>7316.3455001697612</v>
      </c>
      <c r="G9" s="1038">
        <v>7362</v>
      </c>
      <c r="H9" s="1038">
        <v>7463</v>
      </c>
      <c r="I9" s="1038">
        <v>7592</v>
      </c>
      <c r="J9" s="1039">
        <v>7673.1906940349973</v>
      </c>
      <c r="K9" s="1036"/>
      <c r="L9" s="1037">
        <v>7691.2806604670004</v>
      </c>
      <c r="M9" s="1037">
        <v>7722.3599757610018</v>
      </c>
    </row>
    <row r="10" spans="1:13">
      <c r="C10" s="1033"/>
      <c r="D10" s="1034"/>
      <c r="E10" s="1034"/>
      <c r="F10" s="1034"/>
      <c r="G10" s="1034"/>
      <c r="H10" s="1034"/>
      <c r="I10" s="1034"/>
      <c r="J10" s="1035"/>
      <c r="K10" s="1036"/>
      <c r="L10" s="1033"/>
      <c r="M10" s="1033"/>
    </row>
    <row r="11" spans="1:13">
      <c r="A11" s="998">
        <v>2</v>
      </c>
      <c r="B11" s="996" t="s">
        <v>1488</v>
      </c>
      <c r="C11" s="1033">
        <v>13441.654683999999</v>
      </c>
      <c r="D11" s="1034">
        <v>13997.312</v>
      </c>
      <c r="E11" s="1034">
        <v>15355.045232</v>
      </c>
      <c r="F11" s="1034">
        <v>16820.111152000001</v>
      </c>
      <c r="G11" s="1034">
        <v>18029.704831999999</v>
      </c>
      <c r="H11" s="1034">
        <v>18496.419615660001</v>
      </c>
      <c r="I11" s="1034">
        <v>19314.688173570001</v>
      </c>
      <c r="J11" s="1035">
        <v>19689.141486260003</v>
      </c>
      <c r="K11" s="1036">
        <f>(J11/I11)-1</f>
        <v>1.9386971683156728E-2</v>
      </c>
      <c r="L11" s="1033"/>
      <c r="M11" s="1033"/>
    </row>
    <row r="12" spans="1:13">
      <c r="B12" s="1015" t="str">
        <f>B$7</f>
        <v>Schätzung 1</v>
      </c>
      <c r="C12" s="1037">
        <v>13389.707699910003</v>
      </c>
      <c r="D12" s="1038">
        <v>13989.048404499999</v>
      </c>
      <c r="E12" s="1038">
        <v>15274.144299349999</v>
      </c>
      <c r="F12" s="1038">
        <v>16841</v>
      </c>
      <c r="G12" s="1038">
        <v>18003</v>
      </c>
      <c r="H12" s="1038">
        <v>18529</v>
      </c>
      <c r="I12" s="1038">
        <v>19330</v>
      </c>
      <c r="J12" s="1039">
        <v>19702.417918889994</v>
      </c>
      <c r="K12" s="1019">
        <f>(J12/I12)-1</f>
        <v>1.9266317583548576E-2</v>
      </c>
      <c r="L12" s="1037">
        <v>19699.635458489996</v>
      </c>
      <c r="M12" s="1020"/>
    </row>
    <row r="13" spans="1:13">
      <c r="B13" s="1015" t="s">
        <v>2444</v>
      </c>
      <c r="C13" s="1021">
        <f t="shared" ref="C13:J13" si="1">(C12/C11)-1</f>
        <v>-3.8646271840200308E-3</v>
      </c>
      <c r="D13" s="1022">
        <f t="shared" si="1"/>
        <v>-5.9037017250174184E-4</v>
      </c>
      <c r="E13" s="1022">
        <f t="shared" si="1"/>
        <v>-5.2686873550462643E-3</v>
      </c>
      <c r="F13" s="1022">
        <f t="shared" si="1"/>
        <v>1.2418971439147608E-3</v>
      </c>
      <c r="G13" s="1022">
        <f t="shared" si="1"/>
        <v>-1.481157470343164E-3</v>
      </c>
      <c r="H13" s="1022">
        <f t="shared" si="1"/>
        <v>1.761442755786824E-3</v>
      </c>
      <c r="I13" s="1022">
        <f t="shared" si="1"/>
        <v>7.9275555952040833E-4</v>
      </c>
      <c r="J13" s="1022">
        <f t="shared" si="1"/>
        <v>6.7430226143971872E-4</v>
      </c>
      <c r="K13" s="1019"/>
      <c r="L13" s="1037"/>
      <c r="M13" s="1037"/>
    </row>
    <row r="14" spans="1:13">
      <c r="B14" s="1015" t="str">
        <f>B$9</f>
        <v>Schätzung 2</v>
      </c>
      <c r="C14" s="1037" t="s">
        <v>59</v>
      </c>
      <c r="D14" s="1038">
        <v>14172.21799859</v>
      </c>
      <c r="E14" s="1038">
        <v>15197.887399369996</v>
      </c>
      <c r="F14" s="1038">
        <v>16888.705110070001</v>
      </c>
      <c r="G14" s="1038">
        <v>18075</v>
      </c>
      <c r="H14" s="1038">
        <v>18735</v>
      </c>
      <c r="I14" s="1038">
        <v>19932</v>
      </c>
      <c r="J14" s="1039">
        <v>20116</v>
      </c>
      <c r="K14" s="1019"/>
      <c r="L14" s="1037">
        <v>20016.107919189995</v>
      </c>
      <c r="M14" s="1037">
        <v>20398.211203859999</v>
      </c>
    </row>
    <row r="15" spans="1:13">
      <c r="C15" s="1033"/>
      <c r="D15" s="1034"/>
      <c r="E15" s="1034"/>
      <c r="F15" s="1034"/>
      <c r="G15" s="1034"/>
      <c r="H15" s="1034"/>
      <c r="I15" s="1034"/>
      <c r="J15" s="1035"/>
      <c r="K15" s="1036"/>
      <c r="L15" s="1033"/>
      <c r="M15" s="1033"/>
    </row>
    <row r="16" spans="1:13">
      <c r="A16" s="998">
        <v>3</v>
      </c>
      <c r="B16" s="996" t="s">
        <v>2461</v>
      </c>
      <c r="C16" s="1033">
        <v>13190.309896999999</v>
      </c>
      <c r="D16" s="1034">
        <v>13986.27</v>
      </c>
      <c r="E16" s="1034">
        <v>14592.757041999999</v>
      </c>
      <c r="F16" s="1034">
        <v>15335.619703</v>
      </c>
      <c r="G16" s="1034">
        <v>16307.508545999999</v>
      </c>
      <c r="H16" s="1034">
        <v>17352.720035540002</v>
      </c>
      <c r="I16" s="1034">
        <v>17563.91560077</v>
      </c>
      <c r="J16" s="1035">
        <v>18423.621995400001</v>
      </c>
      <c r="K16" s="1036">
        <f>(J16/I16)-1</f>
        <v>4.8947308457364169E-2</v>
      </c>
      <c r="L16" s="1033"/>
      <c r="M16" s="1033"/>
    </row>
    <row r="17" spans="1:13">
      <c r="B17" s="1015" t="str">
        <f>B$7</f>
        <v>Schätzung 1</v>
      </c>
      <c r="C17" s="1037">
        <v>13263.352588819997</v>
      </c>
      <c r="D17" s="1038">
        <v>13868.973949539999</v>
      </c>
      <c r="E17" s="1038">
        <v>14545.501535449999</v>
      </c>
      <c r="F17" s="1038">
        <v>15382</v>
      </c>
      <c r="G17" s="1038">
        <v>16182</v>
      </c>
      <c r="H17" s="1038">
        <v>17293</v>
      </c>
      <c r="I17" s="1038">
        <v>17953</v>
      </c>
      <c r="J17" s="1039">
        <v>18303.805358469996</v>
      </c>
      <c r="K17" s="1019">
        <f>(J17/I17)-1</f>
        <v>1.9540208236506151E-2</v>
      </c>
      <c r="L17" s="1037">
        <v>19054.4411406</v>
      </c>
      <c r="M17" s="1020"/>
    </row>
    <row r="18" spans="1:13">
      <c r="B18" s="1015" t="s">
        <v>2444</v>
      </c>
      <c r="C18" s="1021">
        <f t="shared" ref="C18:J18" si="2">(C17/C16)-1</f>
        <v>5.5376024058850781E-3</v>
      </c>
      <c r="D18" s="1022">
        <f t="shared" si="2"/>
        <v>-8.3865140927495974E-3</v>
      </c>
      <c r="E18" s="1022">
        <f t="shared" si="2"/>
        <v>-3.2382850213974468E-3</v>
      </c>
      <c r="F18" s="1022">
        <f t="shared" si="2"/>
        <v>3.024351014059512E-3</v>
      </c>
      <c r="G18" s="1022">
        <f t="shared" si="2"/>
        <v>-7.6963654899193656E-3</v>
      </c>
      <c r="H18" s="1022">
        <f t="shared" si="2"/>
        <v>-3.4415374314625824E-3</v>
      </c>
      <c r="I18" s="1022">
        <f t="shared" si="2"/>
        <v>2.2152486272078331E-2</v>
      </c>
      <c r="J18" s="1022">
        <f t="shared" si="2"/>
        <v>-6.5034246230150083E-3</v>
      </c>
      <c r="K18" s="1019"/>
      <c r="L18" s="1037"/>
      <c r="M18" s="1037"/>
    </row>
    <row r="19" spans="1:13">
      <c r="B19" s="1015" t="str">
        <f>B$9</f>
        <v>Schätzung 2</v>
      </c>
      <c r="C19" s="1037" t="s">
        <v>59</v>
      </c>
      <c r="D19" s="1038">
        <v>13873.52074459</v>
      </c>
      <c r="E19" s="1038">
        <v>14375.897015919998</v>
      </c>
      <c r="F19" s="1038">
        <v>15461.261377419998</v>
      </c>
      <c r="G19" s="1038">
        <v>16330</v>
      </c>
      <c r="H19" s="1038">
        <v>17180</v>
      </c>
      <c r="I19" s="1038">
        <v>18848</v>
      </c>
      <c r="J19" s="1039">
        <v>19027</v>
      </c>
      <c r="K19" s="1019"/>
      <c r="L19" s="1037">
        <v>19109.311929110001</v>
      </c>
      <c r="M19" s="1037">
        <v>19772.739618319996</v>
      </c>
    </row>
    <row r="20" spans="1:13">
      <c r="C20" s="1033"/>
      <c r="D20" s="1034"/>
      <c r="E20" s="1034"/>
      <c r="F20" s="1034"/>
      <c r="G20" s="1034"/>
      <c r="H20" s="1034"/>
      <c r="I20" s="1034"/>
      <c r="J20" s="1035"/>
      <c r="K20" s="1036"/>
      <c r="L20" s="1033"/>
      <c r="M20" s="1033"/>
    </row>
    <row r="21" spans="1:13">
      <c r="A21" s="998">
        <v>4</v>
      </c>
      <c r="B21" s="996" t="s">
        <v>2462</v>
      </c>
      <c r="C21" s="1033">
        <v>2288.0175450000002</v>
      </c>
      <c r="D21" s="1034">
        <v>2400.1799999999998</v>
      </c>
      <c r="E21" s="1034">
        <v>2502.8303667999999</v>
      </c>
      <c r="F21" s="1034">
        <v>2588.499652</v>
      </c>
      <c r="G21" s="1034">
        <v>2832.3123952999999</v>
      </c>
      <c r="H21" s="1034">
        <v>2994.9866096700002</v>
      </c>
      <c r="I21" s="1034">
        <v>3038.7113187200002</v>
      </c>
      <c r="J21" s="1035">
        <v>3155.0668707</v>
      </c>
      <c r="K21" s="1036">
        <f>(J21/I21)-1</f>
        <v>3.829108453415464E-2</v>
      </c>
      <c r="L21" s="1033"/>
      <c r="M21" s="1033"/>
    </row>
    <row r="22" spans="1:13">
      <c r="B22" s="1015" t="str">
        <f>B$7</f>
        <v>Schätzung 1</v>
      </c>
      <c r="C22" s="1037">
        <v>2303.9403716100005</v>
      </c>
      <c r="D22" s="1038">
        <v>2425.1343131099998</v>
      </c>
      <c r="E22" s="1038">
        <v>2546.0819887000002</v>
      </c>
      <c r="F22" s="1038">
        <v>2666</v>
      </c>
      <c r="G22" s="1038">
        <v>2901</v>
      </c>
      <c r="H22" s="1038">
        <v>3099</v>
      </c>
      <c r="I22" s="1038">
        <v>3117</v>
      </c>
      <c r="J22" s="1039">
        <v>3178.8702050500001</v>
      </c>
      <c r="K22" s="1019">
        <f>(J22/I22)-1</f>
        <v>1.9849279772216954E-2</v>
      </c>
      <c r="L22" s="1037">
        <v>3291.5070437099998</v>
      </c>
      <c r="M22" s="1020"/>
    </row>
    <row r="23" spans="1:13">
      <c r="B23" s="1015" t="s">
        <v>2444</v>
      </c>
      <c r="C23" s="1021">
        <f t="shared" ref="C23:J23" si="3">(C22/C21)-1</f>
        <v>6.9592239993074845E-3</v>
      </c>
      <c r="D23" s="1022">
        <f t="shared" si="3"/>
        <v>1.0396850698697557E-2</v>
      </c>
      <c r="E23" s="1022">
        <f t="shared" si="3"/>
        <v>1.7281084037389149E-2</v>
      </c>
      <c r="F23" s="1022">
        <f t="shared" si="3"/>
        <v>2.9940258226466954E-2</v>
      </c>
      <c r="G23" s="1022">
        <f t="shared" si="3"/>
        <v>2.4251422552816537E-2</v>
      </c>
      <c r="H23" s="1022">
        <f t="shared" si="3"/>
        <v>3.472916706678042E-2</v>
      </c>
      <c r="I23" s="1022">
        <f t="shared" si="3"/>
        <v>2.5763777163596346E-2</v>
      </c>
      <c r="J23" s="1022">
        <f t="shared" si="3"/>
        <v>7.544478556398726E-3</v>
      </c>
      <c r="K23" s="1019"/>
      <c r="L23" s="1037"/>
      <c r="M23" s="1037"/>
    </row>
    <row r="24" spans="1:13">
      <c r="B24" s="1015" t="str">
        <f>B$9</f>
        <v>Schätzung 2</v>
      </c>
      <c r="C24" s="1020"/>
      <c r="D24" s="1038">
        <v>2328.0747466299999</v>
      </c>
      <c r="E24" s="1038">
        <v>2529.1750094200006</v>
      </c>
      <c r="F24" s="1038">
        <v>2692.6295753899999</v>
      </c>
      <c r="G24" s="1038">
        <v>3044</v>
      </c>
      <c r="H24" s="1038">
        <v>3181</v>
      </c>
      <c r="I24" s="1038">
        <v>3305</v>
      </c>
      <c r="J24" s="1039">
        <v>3346</v>
      </c>
      <c r="K24" s="1019"/>
      <c r="L24" s="1037">
        <v>3340.5068328800003</v>
      </c>
      <c r="M24" s="1037">
        <v>3435.5770779900013</v>
      </c>
    </row>
    <row r="25" spans="1:13">
      <c r="C25" s="1033"/>
      <c r="D25" s="1034"/>
      <c r="E25" s="1034"/>
      <c r="F25" s="1034"/>
      <c r="G25" s="1034"/>
      <c r="H25" s="1034"/>
      <c r="I25" s="1034"/>
      <c r="J25" s="1035"/>
      <c r="K25" s="1036"/>
      <c r="L25" s="1033"/>
      <c r="M25" s="1033"/>
    </row>
    <row r="26" spans="1:13">
      <c r="A26" s="998">
        <v>5</v>
      </c>
      <c r="B26" s="996" t="s">
        <v>2463</v>
      </c>
      <c r="C26" s="1040">
        <v>837.3</v>
      </c>
      <c r="D26" s="1040">
        <v>867</v>
      </c>
      <c r="E26" s="1041">
        <v>882.5</v>
      </c>
      <c r="F26" s="1034">
        <v>863.38168700000006</v>
      </c>
      <c r="G26" s="1034">
        <v>903.60567500000002</v>
      </c>
      <c r="H26" s="1034">
        <v>910.32016699999997</v>
      </c>
      <c r="I26" s="1034">
        <v>993.79577500000005</v>
      </c>
      <c r="J26" s="1035">
        <v>1009.51491821</v>
      </c>
      <c r="K26" s="1036">
        <f>(J26/I26)-1</f>
        <v>1.5817277156365384E-2</v>
      </c>
      <c r="L26" s="1033"/>
      <c r="M26" s="1033"/>
    </row>
    <row r="27" spans="1:13">
      <c r="B27" s="1015" t="str">
        <f>B$7</f>
        <v>Schätzung 1</v>
      </c>
      <c r="C27" s="1037">
        <v>857.32106895000004</v>
      </c>
      <c r="D27" s="1038">
        <v>904.9640978000001</v>
      </c>
      <c r="E27" s="1038">
        <v>933.20770917000004</v>
      </c>
      <c r="F27" s="1038">
        <v>938</v>
      </c>
      <c r="G27" s="1038">
        <v>965</v>
      </c>
      <c r="H27" s="1038">
        <v>979</v>
      </c>
      <c r="I27" s="1038">
        <v>1005</v>
      </c>
      <c r="J27" s="1039">
        <v>1054.2850677999998</v>
      </c>
      <c r="K27" s="1019">
        <f>(J27/I27)-1</f>
        <v>4.9039868457711133E-2</v>
      </c>
      <c r="L27" s="1037">
        <v>1084.5769063499997</v>
      </c>
      <c r="M27" s="1020"/>
    </row>
    <row r="28" spans="1:13">
      <c r="B28" s="1015" t="s">
        <v>2444</v>
      </c>
      <c r="C28" s="1022">
        <f t="shared" ref="C28:J28" si="4">(C27/C26)-1</f>
        <v>2.3911464170548236E-2</v>
      </c>
      <c r="D28" s="1022">
        <f t="shared" si="4"/>
        <v>4.3787886735870973E-2</v>
      </c>
      <c r="E28" s="1022">
        <f t="shared" si="4"/>
        <v>5.7459160532578046E-2</v>
      </c>
      <c r="F28" s="1022">
        <f t="shared" si="4"/>
        <v>8.6425637841910818E-2</v>
      </c>
      <c r="G28" s="1022">
        <f t="shared" si="4"/>
        <v>6.7943713390246296E-2</v>
      </c>
      <c r="H28" s="1022">
        <f t="shared" si="4"/>
        <v>7.5445799719386031E-2</v>
      </c>
      <c r="I28" s="1022">
        <f t="shared" si="4"/>
        <v>1.127417250289664E-2</v>
      </c>
      <c r="J28" s="1022">
        <f t="shared" si="4"/>
        <v>4.4348180281855498E-2</v>
      </c>
      <c r="K28" s="1019"/>
      <c r="L28" s="1037"/>
      <c r="M28" s="1037"/>
    </row>
    <row r="29" spans="1:13">
      <c r="B29" s="1015" t="str">
        <f>B$9</f>
        <v>Schätzung 2</v>
      </c>
      <c r="C29" s="1037" t="s">
        <v>59</v>
      </c>
      <c r="D29" s="1038">
        <v>884.35111183000004</v>
      </c>
      <c r="E29" s="1038">
        <v>908.60023298000021</v>
      </c>
      <c r="F29" s="1038">
        <v>979.25216290999992</v>
      </c>
      <c r="G29" s="1038">
        <v>973</v>
      </c>
      <c r="H29" s="1038">
        <v>999</v>
      </c>
      <c r="I29" s="1038">
        <v>1026</v>
      </c>
      <c r="J29" s="1039">
        <v>1041</v>
      </c>
      <c r="K29" s="1019"/>
      <c r="L29" s="1037">
        <v>1078.9641520900002</v>
      </c>
      <c r="M29" s="1037">
        <v>1100.7764457800001</v>
      </c>
    </row>
    <row r="30" spans="1:13">
      <c r="C30" s="1033"/>
      <c r="D30" s="1034"/>
      <c r="E30" s="1034"/>
      <c r="F30" s="1034"/>
      <c r="G30" s="1042"/>
      <c r="H30" s="1034"/>
      <c r="I30" s="1034"/>
      <c r="J30" s="1035"/>
      <c r="K30" s="1036"/>
      <c r="L30" s="1033"/>
      <c r="M30" s="1033"/>
    </row>
    <row r="31" spans="1:13">
      <c r="A31" s="998">
        <v>6</v>
      </c>
      <c r="B31" s="996" t="s">
        <v>2043</v>
      </c>
      <c r="C31" s="1033">
        <v>2832.1064590000001</v>
      </c>
      <c r="D31" s="1034">
        <v>2102.63</v>
      </c>
      <c r="E31" s="1034">
        <v>1965.5320859999999</v>
      </c>
      <c r="F31" s="1034">
        <v>2393.7060728000001</v>
      </c>
      <c r="G31" s="1034">
        <v>2968.4810149999998</v>
      </c>
      <c r="H31" s="1034">
        <v>3184.4883299199996</v>
      </c>
      <c r="I31" s="1034">
        <v>3749.0085763900001</v>
      </c>
      <c r="J31" s="1035">
        <v>3970.4438487200005</v>
      </c>
      <c r="K31" s="1036">
        <f>(J31/I31)-1</f>
        <v>5.906502154316895E-2</v>
      </c>
      <c r="L31" s="1033"/>
      <c r="M31" s="1033"/>
    </row>
    <row r="32" spans="1:13">
      <c r="B32" s="1015" t="str">
        <f>B$7</f>
        <v>Schätzung 1</v>
      </c>
      <c r="C32" s="1037">
        <v>2855.834492</v>
      </c>
      <c r="D32" s="1038">
        <v>2349.2245110000003</v>
      </c>
      <c r="E32" s="1038">
        <v>1976.764197</v>
      </c>
      <c r="F32" s="1038">
        <v>2260</v>
      </c>
      <c r="G32" s="1038">
        <v>2984</v>
      </c>
      <c r="H32" s="1038">
        <v>3152</v>
      </c>
      <c r="I32" s="1038">
        <v>3543</v>
      </c>
      <c r="J32" s="1039">
        <v>4165.3955720000013</v>
      </c>
      <c r="K32" s="1019">
        <f>(J32/I32)-1</f>
        <v>0.17566908608523879</v>
      </c>
      <c r="L32" s="1037">
        <v>3701.8404859999996</v>
      </c>
      <c r="M32" s="1020"/>
    </row>
    <row r="33" spans="1:13">
      <c r="B33" s="1015" t="s">
        <v>2444</v>
      </c>
      <c r="C33" s="1021">
        <f t="shared" ref="C33:J33" si="5">(C32/C31)-1</f>
        <v>8.3782277762178836E-3</v>
      </c>
      <c r="D33" s="1022">
        <f t="shared" si="5"/>
        <v>0.11727907953372685</v>
      </c>
      <c r="E33" s="1022">
        <f t="shared" si="5"/>
        <v>5.7145396302626938E-3</v>
      </c>
      <c r="F33" s="1022">
        <f t="shared" si="5"/>
        <v>-5.5857347867108609E-2</v>
      </c>
      <c r="G33" s="1022">
        <f t="shared" si="5"/>
        <v>5.2279212572292622E-3</v>
      </c>
      <c r="H33" s="1022">
        <f t="shared" si="5"/>
        <v>-1.0202056517134683E-2</v>
      </c>
      <c r="I33" s="1022">
        <f t="shared" si="5"/>
        <v>-5.4950148070445404E-2</v>
      </c>
      <c r="J33" s="1022">
        <f t="shared" si="5"/>
        <v>4.910073803029591E-2</v>
      </c>
      <c r="K33" s="1019"/>
      <c r="L33" s="1037"/>
      <c r="M33" s="1037"/>
    </row>
    <row r="34" spans="1:13">
      <c r="B34" s="1015" t="str">
        <f>B$9</f>
        <v>Schätzung 2</v>
      </c>
      <c r="C34" s="1037" t="s">
        <v>59</v>
      </c>
      <c r="D34" s="1038">
        <v>2814.2621860000008</v>
      </c>
      <c r="E34" s="1038">
        <v>2347.8065059999999</v>
      </c>
      <c r="F34" s="1038">
        <v>2216.3722629999997</v>
      </c>
      <c r="G34" s="1038">
        <v>2745</v>
      </c>
      <c r="H34" s="1038">
        <v>3240</v>
      </c>
      <c r="I34" s="1038">
        <v>3356</v>
      </c>
      <c r="J34" s="1039">
        <v>3461</v>
      </c>
      <c r="K34" s="1019"/>
      <c r="L34" s="1037">
        <v>3956.0224839999996</v>
      </c>
      <c r="M34" s="1037">
        <v>3318.8551230000007</v>
      </c>
    </row>
    <row r="35" spans="1:13">
      <c r="C35" s="1033"/>
      <c r="D35" s="1034"/>
      <c r="E35" s="1034"/>
      <c r="F35" s="1034"/>
      <c r="G35" s="1034"/>
      <c r="H35" s="1043"/>
      <c r="I35" s="1034"/>
      <c r="J35" s="1035"/>
      <c r="K35" s="1036"/>
      <c r="L35" s="1033"/>
      <c r="M35" s="1033"/>
    </row>
    <row r="36" spans="1:13">
      <c r="A36" s="998">
        <v>7</v>
      </c>
      <c r="B36" s="996" t="s">
        <v>2464</v>
      </c>
      <c r="C36" s="1033">
        <v>3956.2184860000002</v>
      </c>
      <c r="D36" s="1034">
        <v>3996.3</v>
      </c>
      <c r="E36" s="1034">
        <v>4018.0238040999998</v>
      </c>
      <c r="F36" s="1034">
        <v>4264.2535405999997</v>
      </c>
      <c r="G36" s="1034">
        <v>4487.9860974000003</v>
      </c>
      <c r="H36" s="1034">
        <v>4710.4063184600009</v>
      </c>
      <c r="I36" s="1034">
        <v>4989.9724867100003</v>
      </c>
      <c r="J36" s="1035">
        <v>5234.0909351299988</v>
      </c>
      <c r="K36" s="1036">
        <f>(J36/I36)-1</f>
        <v>4.8921802488925303E-2</v>
      </c>
      <c r="L36" s="1033"/>
      <c r="M36" s="1033"/>
    </row>
    <row r="37" spans="1:13">
      <c r="B37" s="1015" t="str">
        <f>B$7</f>
        <v>Schätzung 1</v>
      </c>
      <c r="C37" s="1037">
        <v>3962.9471309999999</v>
      </c>
      <c r="D37" s="1038">
        <v>3974.075738</v>
      </c>
      <c r="E37" s="1038">
        <v>4070.0846579999998</v>
      </c>
      <c r="F37" s="1040">
        <v>4272.4598530000003</v>
      </c>
      <c r="G37" s="1044">
        <v>4546.5489809999999</v>
      </c>
      <c r="H37" s="1038">
        <v>4697</v>
      </c>
      <c r="I37" s="1038">
        <v>4866</v>
      </c>
      <c r="J37" s="1039">
        <v>5169.9915730000012</v>
      </c>
      <c r="K37" s="1019">
        <f>(J37/I37)-1</f>
        <v>6.2472579736950529E-2</v>
      </c>
      <c r="L37" s="1037">
        <v>5298.7608519999994</v>
      </c>
      <c r="M37" s="1020"/>
    </row>
    <row r="38" spans="1:13">
      <c r="B38" s="1015" t="s">
        <v>2444</v>
      </c>
      <c r="C38" s="1021">
        <f t="shared" ref="C38:J38" si="6">(C37/C36)-1</f>
        <v>1.7007768968804182E-3</v>
      </c>
      <c r="D38" s="1022">
        <f t="shared" si="6"/>
        <v>-5.5612096188975002E-3</v>
      </c>
      <c r="E38" s="1022">
        <f t="shared" si="6"/>
        <v>1.2956830630738603E-2</v>
      </c>
      <c r="F38" s="1045">
        <f t="shared" si="6"/>
        <v>1.9244428882729814E-3</v>
      </c>
      <c r="G38" s="1045">
        <f t="shared" si="6"/>
        <v>1.3048811277273531E-2</v>
      </c>
      <c r="H38" s="1022">
        <f t="shared" si="6"/>
        <v>-2.8461065890349468E-3</v>
      </c>
      <c r="I38" s="1022">
        <f t="shared" si="6"/>
        <v>-2.484432269720549E-2</v>
      </c>
      <c r="J38" s="1022">
        <f t="shared" si="6"/>
        <v>-1.2246512894871109E-2</v>
      </c>
      <c r="K38" s="1036"/>
      <c r="L38" s="1037"/>
      <c r="M38" s="1037"/>
    </row>
    <row r="39" spans="1:13">
      <c r="B39" s="1015" t="str">
        <f>B$9</f>
        <v>Schätzung 2</v>
      </c>
      <c r="C39" s="1037" t="s">
        <v>59</v>
      </c>
      <c r="D39" s="1038">
        <v>4036.8502759999997</v>
      </c>
      <c r="E39" s="1038">
        <v>4069.2909930000001</v>
      </c>
      <c r="F39" s="1040">
        <v>4343.5413720000015</v>
      </c>
      <c r="G39" s="1040">
        <v>4528.577933999999</v>
      </c>
      <c r="H39" s="1038">
        <v>4824.4617770000004</v>
      </c>
      <c r="I39" s="1038">
        <v>4891</v>
      </c>
      <c r="J39" s="1039">
        <v>5045</v>
      </c>
      <c r="K39" s="1036"/>
      <c r="L39" s="1037">
        <v>5283.6306359999999</v>
      </c>
      <c r="M39" s="1037">
        <v>5364.6168920000009</v>
      </c>
    </row>
    <row r="40" spans="1:13">
      <c r="C40" s="1033"/>
      <c r="D40" s="1034"/>
      <c r="E40" s="1034"/>
      <c r="F40" s="1034"/>
      <c r="I40" s="1034"/>
      <c r="J40" s="1035"/>
      <c r="K40" s="1036"/>
      <c r="L40" s="1033"/>
      <c r="M40" s="1033"/>
    </row>
    <row r="41" spans="1:13">
      <c r="A41" s="998">
        <v>8</v>
      </c>
      <c r="B41" s="996" t="s">
        <v>2465</v>
      </c>
      <c r="C41" s="1033">
        <v>15478.327442</v>
      </c>
      <c r="D41" s="1034">
        <v>16386.46</v>
      </c>
      <c r="E41" s="1034">
        <v>17095.587409</v>
      </c>
      <c r="F41" s="1034">
        <v>17924.119354999999</v>
      </c>
      <c r="G41" s="1034">
        <v>19139.820941000002</v>
      </c>
      <c r="H41" s="1034">
        <v>20347.706645210001</v>
      </c>
      <c r="I41" s="1034">
        <v>20602.626919490001</v>
      </c>
      <c r="J41" s="1035">
        <v>21578.688866100001</v>
      </c>
      <c r="K41" s="1036">
        <f>(J41/I41)-1</f>
        <v>4.7375606539117987E-2</v>
      </c>
      <c r="L41" s="1033"/>
      <c r="M41" s="1033"/>
    </row>
    <row r="42" spans="1:13">
      <c r="B42" s="1015" t="str">
        <f>B$7</f>
        <v>Schätzung 1</v>
      </c>
      <c r="C42" s="1037">
        <v>15567.292960429999</v>
      </c>
      <c r="D42" s="1038">
        <v>16294.108262649997</v>
      </c>
      <c r="E42" s="1038">
        <v>17091.583524150003</v>
      </c>
      <c r="F42" s="1038">
        <v>18048</v>
      </c>
      <c r="G42" s="1038">
        <v>19083</v>
      </c>
      <c r="H42" s="1038">
        <v>20392</v>
      </c>
      <c r="I42" s="1038">
        <v>21069</v>
      </c>
      <c r="J42" s="1039">
        <v>21482.675563520002</v>
      </c>
      <c r="K42" s="1019">
        <f>(J42/I42)-1</f>
        <v>1.9634323580616231E-2</v>
      </c>
      <c r="L42" s="1037">
        <v>22345.948184309997</v>
      </c>
      <c r="M42" s="1020"/>
    </row>
    <row r="43" spans="1:13">
      <c r="B43" s="1015" t="s">
        <v>2444</v>
      </c>
      <c r="C43" s="1021">
        <f t="shared" ref="C43:J43" si="7">(C42/C41)-1</f>
        <v>5.747747536894332E-3</v>
      </c>
      <c r="D43" s="1022">
        <f t="shared" si="7"/>
        <v>-5.6358565150741446E-3</v>
      </c>
      <c r="E43" s="1022">
        <f t="shared" si="7"/>
        <v>-2.3420574878219025E-4</v>
      </c>
      <c r="F43" s="1022">
        <f t="shared" si="7"/>
        <v>6.9113936671842957E-3</v>
      </c>
      <c r="G43" s="1022">
        <f t="shared" si="7"/>
        <v>-2.9687289747984957E-3</v>
      </c>
      <c r="H43" s="1022">
        <f t="shared" si="7"/>
        <v>2.1768229492549196E-3</v>
      </c>
      <c r="I43" s="1022">
        <f t="shared" si="7"/>
        <v>2.2636583302336533E-2</v>
      </c>
      <c r="J43" s="1022">
        <f t="shared" si="7"/>
        <v>-4.4494502504660582E-3</v>
      </c>
      <c r="K43" s="1019"/>
      <c r="L43" s="1037"/>
      <c r="M43" s="1037"/>
    </row>
    <row r="44" spans="1:13">
      <c r="B44" s="1015" t="str">
        <f>B$9</f>
        <v>Schätzung 2</v>
      </c>
      <c r="C44" s="1037" t="s">
        <v>59</v>
      </c>
      <c r="D44" s="1038">
        <v>16201.595491220001</v>
      </c>
      <c r="E44" s="1038">
        <v>16905.07202534</v>
      </c>
      <c r="F44" s="1038">
        <v>18153.890952810001</v>
      </c>
      <c r="G44" s="1038">
        <v>19373</v>
      </c>
      <c r="H44" s="1038">
        <v>20361</v>
      </c>
      <c r="I44" s="1038">
        <v>21753</v>
      </c>
      <c r="J44" s="1039">
        <v>22373</v>
      </c>
      <c r="K44" s="1019"/>
      <c r="L44" s="1037">
        <v>22449.818761990002</v>
      </c>
      <c r="M44" s="1037">
        <v>23208.316696309994</v>
      </c>
    </row>
    <row r="48" spans="1:13">
      <c r="B48" s="996" t="s">
        <v>2452</v>
      </c>
      <c r="G48" s="998"/>
      <c r="H48" s="1030"/>
    </row>
    <row r="49" spans="2:11">
      <c r="B49" s="1027" t="s">
        <v>2466</v>
      </c>
      <c r="G49" s="998"/>
      <c r="H49" s="1030"/>
    </row>
    <row r="50" spans="2:11">
      <c r="B50" s="1027" t="s">
        <v>393</v>
      </c>
      <c r="G50" s="998"/>
      <c r="H50" s="1030"/>
    </row>
    <row r="51" spans="2:11">
      <c r="B51" s="1028" t="s">
        <v>2454</v>
      </c>
      <c r="G51" s="998"/>
      <c r="H51" s="1030"/>
    </row>
    <row r="52" spans="2:11">
      <c r="B52" s="1027" t="s">
        <v>394</v>
      </c>
      <c r="G52" s="998"/>
      <c r="H52" s="1030"/>
    </row>
    <row r="53" spans="2:11">
      <c r="B53" s="1028" t="s">
        <v>2455</v>
      </c>
      <c r="G53" s="998"/>
      <c r="H53" s="1030"/>
    </row>
    <row r="54" spans="2:11">
      <c r="B54" s="1028" t="s">
        <v>2456</v>
      </c>
      <c r="G54" s="998"/>
      <c r="H54" s="1030"/>
    </row>
    <row r="55" spans="2:11">
      <c r="B55" s="1028" t="s">
        <v>2457</v>
      </c>
      <c r="G55" s="998"/>
      <c r="H55" s="1030"/>
    </row>
    <row r="56" spans="2:11">
      <c r="B56" s="1029" t="s">
        <v>2475</v>
      </c>
      <c r="C56" s="1046"/>
      <c r="D56" s="1046"/>
      <c r="E56" s="1046"/>
      <c r="F56" s="1046"/>
      <c r="G56" s="1047"/>
      <c r="H56" s="1048"/>
      <c r="K56" s="1048"/>
    </row>
    <row r="57" spans="2:11">
      <c r="B57" s="1049" t="s">
        <v>2467</v>
      </c>
      <c r="C57" s="1046"/>
      <c r="D57" s="1046"/>
      <c r="E57" s="1046"/>
      <c r="F57" s="1046"/>
      <c r="G57" s="1047"/>
      <c r="H57" s="1048"/>
      <c r="K57" s="1048"/>
    </row>
    <row r="58" spans="2:11">
      <c r="B58" s="1049" t="s">
        <v>2468</v>
      </c>
      <c r="C58" s="1046"/>
      <c r="D58" s="1046"/>
      <c r="E58" s="1046"/>
      <c r="F58" s="1046"/>
      <c r="G58" s="1047"/>
      <c r="H58" s="1048"/>
      <c r="K58" s="1048"/>
    </row>
    <row r="59" spans="2:11">
      <c r="B59" s="1049" t="s">
        <v>2469</v>
      </c>
      <c r="C59" s="1046"/>
      <c r="D59" s="1046"/>
      <c r="E59" s="1046"/>
      <c r="F59" s="1046"/>
      <c r="G59" s="1047"/>
      <c r="H59" s="1048"/>
      <c r="K59" s="1048"/>
    </row>
    <row r="60" spans="2:11">
      <c r="B60" s="1050" t="s">
        <v>2470</v>
      </c>
      <c r="C60" s="1051"/>
      <c r="D60" s="1052"/>
      <c r="E60" s="1051"/>
      <c r="F60" s="1053" t="s">
        <v>59</v>
      </c>
      <c r="G60" s="1054" t="s">
        <v>59</v>
      </c>
      <c r="H60" s="1054" t="s">
        <v>2471</v>
      </c>
      <c r="I60" s="1055" t="s">
        <v>2471</v>
      </c>
      <c r="K60" s="1056"/>
    </row>
    <row r="61" spans="2:11">
      <c r="B61" s="1057" t="s">
        <v>2472</v>
      </c>
      <c r="C61" s="1058"/>
      <c r="D61" s="1059"/>
      <c r="E61" s="1060"/>
      <c r="F61" s="1053" t="s">
        <v>2471</v>
      </c>
      <c r="G61" s="1054" t="s">
        <v>59</v>
      </c>
      <c r="H61" s="1054" t="s">
        <v>59</v>
      </c>
      <c r="I61" s="1055" t="s">
        <v>2471</v>
      </c>
      <c r="K61" s="1056"/>
    </row>
    <row r="62" spans="2:11">
      <c r="B62" s="1061" t="s">
        <v>2473</v>
      </c>
      <c r="C62" s="1062"/>
      <c r="D62" s="1062"/>
      <c r="E62" s="1063"/>
      <c r="F62" s="1064" t="s">
        <v>2471</v>
      </c>
      <c r="G62" s="1064" t="s">
        <v>59</v>
      </c>
      <c r="H62" s="1064" t="s">
        <v>2471</v>
      </c>
      <c r="I62" s="1055" t="s">
        <v>59</v>
      </c>
      <c r="K62" s="1056"/>
    </row>
    <row r="63" spans="2:11">
      <c r="B63" s="1000" t="s">
        <v>2474</v>
      </c>
      <c r="G63" s="998"/>
      <c r="H63" s="1030"/>
    </row>
    <row r="65" spans="2:2">
      <c r="B65" s="1077" t="s">
        <v>392</v>
      </c>
    </row>
  </sheetData>
  <phoneticPr fontId="71" type="noConversion"/>
  <pageMargins left="0.24" right="0.28999999999999998" top="0.48" bottom="0.35" header="0.33" footer="0.16"/>
  <pageSetup paperSize="9" scale="81" orientation="portrait"/>
  <headerFooter alignWithMargins="0">
    <oddFooter>&amp;R&amp;8 1/2</oddFooter>
  </headerFooter>
  <colBreaks count="2" manualBreakCount="2">
    <brk id="12" max="1048575" man="1"/>
    <brk id="2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EC28-216B-954B-B1CF-373591D1C0FC}">
  <sheetPr>
    <pageSetUpPr fitToPage="1"/>
  </sheetPr>
  <dimension ref="A1:M72"/>
  <sheetViews>
    <sheetView topLeftCell="F1" workbookViewId="0">
      <pane ySplit="5" topLeftCell="A6" activePane="bottomLeft" state="frozen"/>
      <selection pane="bottomLeft" activeCell="I2" sqref="I2"/>
    </sheetView>
  </sheetViews>
  <sheetFormatPr baseColWidth="10" defaultColWidth="11.3984375" defaultRowHeight="13"/>
  <cols>
    <col min="1" max="1" width="3.796875" style="955" customWidth="1"/>
    <col min="2" max="2" width="22.796875" style="1000" customWidth="1"/>
    <col min="3" max="8" width="8.796875" style="955" customWidth="1"/>
    <col min="9" max="9" width="8.796875" style="997" customWidth="1"/>
    <col min="10" max="10" width="8.19921875" style="955" customWidth="1"/>
    <col min="11" max="11" width="11.19921875" style="998" customWidth="1"/>
    <col min="12" max="12" width="8.19921875" style="1003" customWidth="1"/>
    <col min="13" max="13" width="8.19921875" style="955" customWidth="1"/>
    <col min="14" max="16384" width="11.3984375" style="955"/>
  </cols>
  <sheetData>
    <row r="1" spans="1:13">
      <c r="B1" s="996" t="s">
        <v>1578</v>
      </c>
      <c r="L1" s="999"/>
    </row>
    <row r="2" spans="1:13">
      <c r="L2" s="999"/>
    </row>
    <row r="3" spans="1:13">
      <c r="B3" s="996" t="s">
        <v>1579</v>
      </c>
      <c r="L3" s="999"/>
    </row>
    <row r="4" spans="1:13">
      <c r="I4" s="1001"/>
      <c r="K4" s="1002"/>
    </row>
    <row r="5" spans="1:13" ht="39">
      <c r="C5" s="1004">
        <v>2000</v>
      </c>
      <c r="D5" s="1004">
        <v>2001</v>
      </c>
      <c r="E5" s="1004">
        <v>2002</v>
      </c>
      <c r="F5" s="1004">
        <v>2003</v>
      </c>
      <c r="G5" s="1004">
        <v>2004</v>
      </c>
      <c r="H5" s="1004">
        <v>2005</v>
      </c>
      <c r="I5" s="1005">
        <v>2006</v>
      </c>
      <c r="J5" s="1006">
        <v>2007</v>
      </c>
      <c r="K5" s="1007" t="s">
        <v>1580</v>
      </c>
      <c r="L5" s="1004">
        <v>2008</v>
      </c>
      <c r="M5" s="1004">
        <v>2009</v>
      </c>
    </row>
    <row r="6" spans="1:13">
      <c r="A6" s="996">
        <v>1</v>
      </c>
      <c r="B6" s="996" t="s">
        <v>1581</v>
      </c>
      <c r="C6" s="1008">
        <v>3846.3722419999999</v>
      </c>
      <c r="D6" s="1009">
        <v>4011.5563699999998</v>
      </c>
      <c r="E6" s="1010">
        <v>4108.8234659999998</v>
      </c>
      <c r="F6" s="1010">
        <v>4172.0328019999997</v>
      </c>
      <c r="G6" s="1010">
        <v>4377.7035830000004</v>
      </c>
      <c r="H6" s="1010">
        <v>4526.5123919999996</v>
      </c>
      <c r="I6" s="1011">
        <v>4631.4300709999998</v>
      </c>
      <c r="J6" s="1012">
        <v>4835.7349899999999</v>
      </c>
      <c r="K6" s="1013">
        <f>(J6/I6)-1</f>
        <v>4.4112707277881302E-2</v>
      </c>
      <c r="L6" s="1014"/>
      <c r="M6" s="1014"/>
    </row>
    <row r="7" spans="1:13">
      <c r="B7" s="1015" t="s">
        <v>2443</v>
      </c>
      <c r="C7" s="1016">
        <v>3938.61160608</v>
      </c>
      <c r="D7" s="1017">
        <v>4050.4871877899996</v>
      </c>
      <c r="E7" s="1017">
        <v>4183.652363969999</v>
      </c>
      <c r="F7" s="1017">
        <v>4318.0950047700007</v>
      </c>
      <c r="G7" s="1017">
        <v>4417</v>
      </c>
      <c r="H7" s="1017">
        <v>4463</v>
      </c>
      <c r="I7" s="1017">
        <v>4924</v>
      </c>
      <c r="J7" s="1018">
        <v>4885.54055195</v>
      </c>
      <c r="K7" s="1019">
        <f>(J7/I7)-1</f>
        <v>-7.8106108956133014E-3</v>
      </c>
      <c r="L7" s="1016">
        <v>5038.3533023300006</v>
      </c>
      <c r="M7" s="1020"/>
    </row>
    <row r="8" spans="1:13">
      <c r="B8" s="1015" t="s">
        <v>2444</v>
      </c>
      <c r="C8" s="1021">
        <f t="shared" ref="C8:J8" si="0">(C7/C6)-1</f>
        <v>2.3980872956809396E-2</v>
      </c>
      <c r="D8" s="1022">
        <f t="shared" si="0"/>
        <v>9.7046667675269038E-3</v>
      </c>
      <c r="E8" s="1022">
        <f t="shared" si="0"/>
        <v>1.8211757839975196E-2</v>
      </c>
      <c r="F8" s="1022">
        <f t="shared" si="0"/>
        <v>3.5009840454749419E-2</v>
      </c>
      <c r="G8" s="1022">
        <f t="shared" si="0"/>
        <v>8.9764910426095579E-3</v>
      </c>
      <c r="H8" s="1022">
        <f t="shared" si="0"/>
        <v>-1.4031198083595098E-2</v>
      </c>
      <c r="I8" s="1022">
        <f t="shared" si="0"/>
        <v>6.317053793642402E-2</v>
      </c>
      <c r="J8" s="1022">
        <f t="shared" si="0"/>
        <v>1.0299481268720267E-2</v>
      </c>
      <c r="K8" s="1019"/>
      <c r="L8" s="1016"/>
      <c r="M8" s="1016"/>
    </row>
    <row r="9" spans="1:13">
      <c r="B9" s="1015" t="s">
        <v>2445</v>
      </c>
      <c r="C9" s="1023" t="s">
        <v>59</v>
      </c>
      <c r="D9" s="1017">
        <v>4075.6874092499997</v>
      </c>
      <c r="E9" s="1017">
        <v>4192.9750219100006</v>
      </c>
      <c r="F9" s="1017">
        <v>4404.0048305500004</v>
      </c>
      <c r="G9" s="1017">
        <v>4599.2188474199993</v>
      </c>
      <c r="H9" s="1017">
        <v>4700</v>
      </c>
      <c r="I9" s="1017">
        <v>4980</v>
      </c>
      <c r="J9" s="1018">
        <v>5213</v>
      </c>
      <c r="K9" s="1019">
        <f>(J9/I9)-1</f>
        <v>4.6787148594377603E-2</v>
      </c>
      <c r="L9" s="1016">
        <v>5112.7117952300005</v>
      </c>
      <c r="M9" s="1016">
        <v>5237.8246549300011</v>
      </c>
    </row>
    <row r="10" spans="1:13">
      <c r="C10" s="1014"/>
      <c r="D10" s="1010"/>
      <c r="E10" s="1010"/>
      <c r="F10" s="1017"/>
      <c r="G10" s="1017"/>
      <c r="H10" s="1010"/>
      <c r="I10" s="1011"/>
      <c r="J10" s="1012"/>
      <c r="K10" s="1024"/>
      <c r="L10" s="1014"/>
      <c r="M10" s="1014"/>
    </row>
    <row r="11" spans="1:13">
      <c r="A11" s="996">
        <v>2</v>
      </c>
      <c r="B11" s="996" t="s">
        <v>2446</v>
      </c>
      <c r="C11" s="1014">
        <v>1665.8885190000001</v>
      </c>
      <c r="D11" s="1010">
        <v>1925.523136</v>
      </c>
      <c r="E11" s="1010">
        <v>1972.059045</v>
      </c>
      <c r="F11" s="1010">
        <v>2141.3752909999998</v>
      </c>
      <c r="G11" s="1010">
        <v>2192.3005199999998</v>
      </c>
      <c r="H11" s="1010">
        <v>2671.1515180000001</v>
      </c>
      <c r="I11" s="1011">
        <v>2644.9903220000001</v>
      </c>
      <c r="J11" s="1012">
        <v>2824.687347</v>
      </c>
      <c r="K11" s="1013">
        <f>(J11/I11)-1</f>
        <v>6.7938632328954141E-2</v>
      </c>
      <c r="L11" s="1014"/>
      <c r="M11" s="1014"/>
    </row>
    <row r="12" spans="1:13">
      <c r="B12" s="1015" t="str">
        <f>B$7</f>
        <v>Schätzung 1</v>
      </c>
      <c r="C12" s="1016">
        <v>1851.4102627399996</v>
      </c>
      <c r="D12" s="1017">
        <v>1937.1254129799997</v>
      </c>
      <c r="E12" s="1017">
        <v>2072.2399291899997</v>
      </c>
      <c r="F12" s="1017">
        <v>2181.9412260200006</v>
      </c>
      <c r="G12" s="1017">
        <v>2180</v>
      </c>
      <c r="H12" s="1017">
        <v>2362</v>
      </c>
      <c r="I12" s="1017">
        <v>2544</v>
      </c>
      <c r="J12" s="1018">
        <v>2547.3652646599999</v>
      </c>
      <c r="K12" s="1019">
        <f>(J12/I12)-1</f>
        <v>1.3228241588050249E-3</v>
      </c>
      <c r="L12" s="1016">
        <v>2780.70856288</v>
      </c>
      <c r="M12" s="1020"/>
    </row>
    <row r="13" spans="1:13">
      <c r="B13" s="1015" t="s">
        <v>2444</v>
      </c>
      <c r="C13" s="1021">
        <f t="shared" ref="C13:J13" si="1">(C12/C11)-1</f>
        <v>0.11136504131222691</v>
      </c>
      <c r="D13" s="1022">
        <f t="shared" si="1"/>
        <v>6.0255193838396615E-3</v>
      </c>
      <c r="E13" s="1022">
        <f t="shared" si="1"/>
        <v>5.0800144368902345E-2</v>
      </c>
      <c r="F13" s="1022">
        <f t="shared" si="1"/>
        <v>1.8943869946802749E-2</v>
      </c>
      <c r="G13" s="1022">
        <f t="shared" si="1"/>
        <v>-5.6107818648876151E-3</v>
      </c>
      <c r="H13" s="1022">
        <f t="shared" si="1"/>
        <v>-0.11573717024913455</v>
      </c>
      <c r="I13" s="1022">
        <f t="shared" si="1"/>
        <v>-3.8181735925459481E-2</v>
      </c>
      <c r="J13" s="1022">
        <f t="shared" si="1"/>
        <v>-9.8177974505579968E-2</v>
      </c>
      <c r="K13" s="1019"/>
      <c r="L13" s="1016"/>
      <c r="M13" s="1016"/>
    </row>
    <row r="14" spans="1:13">
      <c r="B14" s="1015" t="str">
        <f>B$9</f>
        <v>Schätzung 2</v>
      </c>
      <c r="C14" s="1023" t="s">
        <v>59</v>
      </c>
      <c r="D14" s="1017">
        <v>1945.1376375799998</v>
      </c>
      <c r="E14" s="1017">
        <v>2032.9617392999996</v>
      </c>
      <c r="F14" s="1017">
        <v>2231.8081653500003</v>
      </c>
      <c r="G14" s="1017">
        <v>2355.8384654000001</v>
      </c>
      <c r="H14" s="1017">
        <v>2334</v>
      </c>
      <c r="I14" s="1017">
        <v>2524</v>
      </c>
      <c r="J14" s="1018">
        <v>2703.77043847</v>
      </c>
      <c r="K14" s="1019"/>
      <c r="L14" s="1016">
        <v>2674.2475556499999</v>
      </c>
      <c r="M14" s="1016">
        <v>2928.8980638299995</v>
      </c>
    </row>
    <row r="15" spans="1:13">
      <c r="C15" s="1014"/>
      <c r="D15" s="1010"/>
      <c r="E15" s="1010"/>
      <c r="F15" s="1017"/>
      <c r="G15" s="1017"/>
      <c r="H15" s="1010"/>
      <c r="I15" s="1011"/>
      <c r="J15" s="1012"/>
      <c r="K15" s="1024"/>
      <c r="L15" s="1014"/>
      <c r="M15" s="1014"/>
    </row>
    <row r="16" spans="1:13">
      <c r="A16" s="996">
        <v>3</v>
      </c>
      <c r="B16" s="996" t="s">
        <v>2447</v>
      </c>
      <c r="C16" s="1014">
        <v>1143.2080209999999</v>
      </c>
      <c r="D16" s="1010">
        <v>1271.4507229999999</v>
      </c>
      <c r="E16" s="1010">
        <v>1260.789229</v>
      </c>
      <c r="F16" s="1010">
        <v>1347.924618</v>
      </c>
      <c r="G16" s="1010">
        <v>1398.7252390000001</v>
      </c>
      <c r="H16" s="1010">
        <v>1472.471274</v>
      </c>
      <c r="I16" s="1011">
        <v>1472.366248</v>
      </c>
      <c r="J16" s="1012">
        <v>1518.895055</v>
      </c>
      <c r="K16" s="1013">
        <f>(J16/I16)-1</f>
        <v>3.1601381153094632E-2</v>
      </c>
      <c r="L16" s="1014"/>
      <c r="M16" s="1014"/>
    </row>
    <row r="17" spans="1:13">
      <c r="B17" s="1015" t="str">
        <f>B$7</f>
        <v>Schätzung 1</v>
      </c>
      <c r="C17" s="1016">
        <v>1123.3049479299998</v>
      </c>
      <c r="D17" s="1017">
        <v>1295.82751145</v>
      </c>
      <c r="E17" s="1017">
        <v>1311.2804594900003</v>
      </c>
      <c r="F17" s="1017">
        <v>1392.4626909999995</v>
      </c>
      <c r="G17" s="1017">
        <v>1387</v>
      </c>
      <c r="H17" s="1017">
        <v>1421</v>
      </c>
      <c r="I17" s="1017">
        <v>1471</v>
      </c>
      <c r="J17" s="1018">
        <v>1495.8090895600005</v>
      </c>
      <c r="K17" s="1019">
        <f>(J17/I17)-1</f>
        <v>1.6865458572400183E-2</v>
      </c>
      <c r="L17" s="1016">
        <v>1509.9292932400001</v>
      </c>
      <c r="M17" s="1020"/>
    </row>
    <row r="18" spans="1:13">
      <c r="B18" s="1015" t="s">
        <v>2444</v>
      </c>
      <c r="C18" s="1021">
        <f t="shared" ref="C18:J18" si="2">(C17/C16)-1</f>
        <v>-1.7409843794299329E-2</v>
      </c>
      <c r="D18" s="1022">
        <f t="shared" si="2"/>
        <v>1.9172420927555001E-2</v>
      </c>
      <c r="E18" s="1022">
        <f t="shared" si="2"/>
        <v>4.0047320621582116E-2</v>
      </c>
      <c r="F18" s="1022">
        <f t="shared" si="2"/>
        <v>3.3041961253058361E-2</v>
      </c>
      <c r="G18" s="1022">
        <f t="shared" si="2"/>
        <v>-8.3828036222345359E-3</v>
      </c>
      <c r="H18" s="1022">
        <f t="shared" si="2"/>
        <v>-3.4955706714859813E-2</v>
      </c>
      <c r="I18" s="1022">
        <f t="shared" si="2"/>
        <v>-9.2792673144737048E-4</v>
      </c>
      <c r="J18" s="1022">
        <f t="shared" si="2"/>
        <v>-1.5199184014724088E-2</v>
      </c>
      <c r="K18" s="1019"/>
      <c r="L18" s="1016"/>
      <c r="M18" s="1016"/>
    </row>
    <row r="19" spans="1:13">
      <c r="B19" s="1015" t="str">
        <f>B$9</f>
        <v>Schätzung 2</v>
      </c>
      <c r="C19" s="1023" t="s">
        <v>59</v>
      </c>
      <c r="D19" s="1017">
        <v>1184.4347921299998</v>
      </c>
      <c r="E19" s="1017">
        <v>1362.4443053500004</v>
      </c>
      <c r="F19" s="1017">
        <v>1392.4626909999995</v>
      </c>
      <c r="G19" s="1017">
        <v>1413.6237303800003</v>
      </c>
      <c r="H19" s="1017">
        <v>1484</v>
      </c>
      <c r="I19" s="1017">
        <v>1505</v>
      </c>
      <c r="J19" s="1018">
        <v>1552</v>
      </c>
      <c r="K19" s="1019"/>
      <c r="L19" s="1016">
        <v>1558.5300954800002</v>
      </c>
      <c r="M19" s="1016">
        <v>1555.7789644399995</v>
      </c>
    </row>
    <row r="20" spans="1:13">
      <c r="C20" s="1014"/>
      <c r="D20" s="1010"/>
      <c r="E20" s="1010"/>
      <c r="F20" s="1010">
        <v>1324.5646002999999</v>
      </c>
      <c r="G20" s="1010">
        <v>1413.6237303800003</v>
      </c>
      <c r="H20" s="1010"/>
      <c r="I20" s="1011"/>
      <c r="J20" s="1012"/>
      <c r="K20" s="1024"/>
      <c r="L20" s="1014"/>
      <c r="M20" s="1014"/>
    </row>
    <row r="21" spans="1:13">
      <c r="A21" s="996">
        <v>4</v>
      </c>
      <c r="B21" s="996" t="s">
        <v>2448</v>
      </c>
      <c r="C21" s="1014">
        <v>2097.7667449999999</v>
      </c>
      <c r="D21" s="1010">
        <v>2242.439856</v>
      </c>
      <c r="E21" s="1010">
        <v>2524.68426</v>
      </c>
      <c r="F21" s="1010">
        <v>2602.0570160000002</v>
      </c>
      <c r="G21" s="1010">
        <v>2750.1970510000001</v>
      </c>
      <c r="H21" s="1010">
        <v>2820.8304370000001</v>
      </c>
      <c r="I21" s="1011">
        <v>2826.9170079999999</v>
      </c>
      <c r="J21" s="1012">
        <v>2887.694485</v>
      </c>
      <c r="K21" s="1013">
        <f>(J21/I21)-1</f>
        <v>2.1499561829372293E-2</v>
      </c>
      <c r="L21" s="1014"/>
      <c r="M21" s="1014"/>
    </row>
    <row r="22" spans="1:13">
      <c r="B22" s="1015" t="str">
        <f>B$7</f>
        <v>Schätzung 1</v>
      </c>
      <c r="C22" s="1016">
        <v>2002.6167560900001</v>
      </c>
      <c r="D22" s="1017">
        <v>2168.9402845899995</v>
      </c>
      <c r="E22" s="1017">
        <v>2391.4064239500003</v>
      </c>
      <c r="F22" s="1017">
        <v>2669.000856090001</v>
      </c>
      <c r="G22" s="1017">
        <v>2828</v>
      </c>
      <c r="H22" s="1017">
        <v>2920</v>
      </c>
      <c r="I22" s="1017">
        <v>2960</v>
      </c>
      <c r="J22" s="1018">
        <v>2935.4447303599995</v>
      </c>
      <c r="K22" s="1019">
        <f>(J22/I22)-1</f>
        <v>-8.2956992027028997E-3</v>
      </c>
      <c r="L22" s="1016">
        <v>3022.25457947</v>
      </c>
      <c r="M22" s="1020"/>
    </row>
    <row r="23" spans="1:13">
      <c r="B23" s="1015" t="s">
        <v>2444</v>
      </c>
      <c r="C23" s="1021">
        <f t="shared" ref="C23:J23" si="3">(C22/C21)-1</f>
        <v>-4.5357754448528964E-2</v>
      </c>
      <c r="D23" s="1022">
        <f t="shared" si="3"/>
        <v>-3.2776607681735959E-2</v>
      </c>
      <c r="E23" s="1022">
        <f t="shared" si="3"/>
        <v>-5.2789902548051604E-2</v>
      </c>
      <c r="F23" s="1022">
        <f t="shared" si="3"/>
        <v>2.5727276411840361E-2</v>
      </c>
      <c r="G23" s="1022">
        <f t="shared" si="3"/>
        <v>2.8289954340438905E-2</v>
      </c>
      <c r="H23" s="1022">
        <f t="shared" si="3"/>
        <v>3.5156158874075638E-2</v>
      </c>
      <c r="I23" s="1022">
        <f t="shared" si="3"/>
        <v>4.7077077828384661E-2</v>
      </c>
      <c r="J23" s="1022">
        <f t="shared" si="3"/>
        <v>1.6535767757993813E-2</v>
      </c>
      <c r="K23" s="1019"/>
      <c r="L23" s="1016"/>
      <c r="M23" s="1016"/>
    </row>
    <row r="24" spans="1:13">
      <c r="B24" s="1015" t="str">
        <f>B$9</f>
        <v>Schätzung 2</v>
      </c>
      <c r="C24" s="1023" t="s">
        <v>59</v>
      </c>
      <c r="D24" s="1017">
        <v>2102.2947870599996</v>
      </c>
      <c r="E24" s="1017">
        <v>2258.614063179999</v>
      </c>
      <c r="F24" s="1017">
        <v>2529.6978040200001</v>
      </c>
      <c r="G24" s="1017">
        <v>2866.02408496</v>
      </c>
      <c r="H24" s="1017">
        <v>3030</v>
      </c>
      <c r="I24" s="1017">
        <v>3131</v>
      </c>
      <c r="J24" s="1018">
        <v>3141</v>
      </c>
      <c r="K24" s="1019"/>
      <c r="L24" s="1016">
        <v>3067.7310022799998</v>
      </c>
      <c r="M24" s="1016">
        <v>3118.2808333500002</v>
      </c>
    </row>
    <row r="25" spans="1:13">
      <c r="C25" s="1014"/>
      <c r="D25" s="1010"/>
      <c r="E25" s="1010"/>
      <c r="F25" s="1017"/>
      <c r="G25" s="1017"/>
      <c r="H25" s="1010"/>
      <c r="I25" s="1011"/>
      <c r="J25" s="1012"/>
      <c r="K25" s="1024"/>
      <c r="L25" s="1014"/>
      <c r="M25" s="1014"/>
    </row>
    <row r="26" spans="1:13">
      <c r="A26" s="996">
        <v>5</v>
      </c>
      <c r="B26" s="996" t="s">
        <v>499</v>
      </c>
      <c r="C26" s="1008">
        <v>253.12159500000001</v>
      </c>
      <c r="D26" s="1009">
        <v>270.321618</v>
      </c>
      <c r="E26" s="1010">
        <v>290.06557500000002</v>
      </c>
      <c r="F26" s="1010">
        <v>320.12044100000003</v>
      </c>
      <c r="G26" s="1010">
        <v>365.15373399999999</v>
      </c>
      <c r="H26" s="1010">
        <v>388.382814</v>
      </c>
      <c r="I26" s="1011">
        <v>416.81203599999998</v>
      </c>
      <c r="J26" s="1012">
        <v>456.109013</v>
      </c>
      <c r="K26" s="1013">
        <f>(J26/I26)-1</f>
        <v>9.4279851841898354E-2</v>
      </c>
      <c r="L26" s="1014"/>
      <c r="M26" s="1014"/>
    </row>
    <row r="27" spans="1:13">
      <c r="B27" s="1015" t="str">
        <f>B$7</f>
        <v>Schätzung 1</v>
      </c>
      <c r="C27" s="1016">
        <v>234.55310613999995</v>
      </c>
      <c r="D27" s="1017">
        <v>247.77436455999998</v>
      </c>
      <c r="E27" s="1017">
        <v>284.74132640999994</v>
      </c>
      <c r="F27" s="1017">
        <v>310.97777827000004</v>
      </c>
      <c r="G27" s="1017">
        <v>343</v>
      </c>
      <c r="H27" s="1017">
        <v>385</v>
      </c>
      <c r="I27" s="1017">
        <v>405</v>
      </c>
      <c r="J27" s="1018">
        <v>434.65140127000001</v>
      </c>
      <c r="K27" s="1019">
        <f>(J27/I27)-1</f>
        <v>7.3213336469135859E-2</v>
      </c>
      <c r="L27" s="1016">
        <v>470.04406832000001</v>
      </c>
      <c r="M27" s="1020"/>
    </row>
    <row r="28" spans="1:13">
      <c r="B28" s="1015" t="s">
        <v>2444</v>
      </c>
      <c r="C28" s="1021">
        <f t="shared" ref="C28:J28" si="4">(C27/C26)-1</f>
        <v>-7.3357979827837538E-2</v>
      </c>
      <c r="D28" s="1022">
        <f t="shared" si="4"/>
        <v>-8.3408991137364441E-2</v>
      </c>
      <c r="E28" s="1022">
        <f t="shared" si="4"/>
        <v>-1.8355327377266639E-2</v>
      </c>
      <c r="F28" s="1022">
        <f t="shared" si="4"/>
        <v>-2.8560071645034268E-2</v>
      </c>
      <c r="G28" s="1022">
        <f t="shared" si="4"/>
        <v>-6.06696082697048E-2</v>
      </c>
      <c r="H28" s="1022">
        <f t="shared" si="4"/>
        <v>-8.7099992019729067E-3</v>
      </c>
      <c r="I28" s="1022">
        <f t="shared" si="4"/>
        <v>-2.8338999308551549E-2</v>
      </c>
      <c r="J28" s="1022">
        <f t="shared" si="4"/>
        <v>-4.7044919346945657E-2</v>
      </c>
      <c r="K28" s="1019"/>
      <c r="L28" s="1016"/>
      <c r="M28" s="1016"/>
    </row>
    <row r="29" spans="1:13">
      <c r="B29" s="1015" t="str">
        <f>B$9</f>
        <v>Schätzung 2</v>
      </c>
      <c r="C29" s="1023" t="s">
        <v>59</v>
      </c>
      <c r="D29" s="1017">
        <v>242.20726870999997</v>
      </c>
      <c r="E29" s="1017">
        <v>254.48464793999997</v>
      </c>
      <c r="F29" s="1017">
        <v>307.68836021000004</v>
      </c>
      <c r="G29" s="1017">
        <v>332.59616580000005</v>
      </c>
      <c r="H29" s="1017">
        <v>365</v>
      </c>
      <c r="I29" s="1017">
        <v>409</v>
      </c>
      <c r="J29" s="1018">
        <v>430</v>
      </c>
      <c r="K29" s="1019"/>
      <c r="L29" s="1016">
        <v>452.55042738000014</v>
      </c>
      <c r="M29" s="1016">
        <v>485.70403723999999</v>
      </c>
    </row>
    <row r="30" spans="1:13">
      <c r="C30" s="1014"/>
      <c r="D30" s="1010"/>
      <c r="E30" s="1010"/>
      <c r="F30" s="1017"/>
      <c r="G30" s="1017"/>
      <c r="H30" s="1010"/>
      <c r="I30" s="1011"/>
      <c r="J30" s="1012"/>
      <c r="K30" s="1024"/>
      <c r="L30" s="1014"/>
      <c r="M30" s="1014"/>
    </row>
    <row r="31" spans="1:13">
      <c r="A31" s="996">
        <v>6</v>
      </c>
      <c r="B31" s="996" t="s">
        <v>500</v>
      </c>
      <c r="C31" s="1014">
        <v>446.74208700000003</v>
      </c>
      <c r="D31" s="1010">
        <v>480.12928299999999</v>
      </c>
      <c r="E31" s="1010">
        <v>506.24601999999999</v>
      </c>
      <c r="F31" s="1010">
        <v>491.37185499999998</v>
      </c>
      <c r="G31" s="1010">
        <v>505.40384999999998</v>
      </c>
      <c r="H31" s="1010">
        <v>531.73997799999995</v>
      </c>
      <c r="I31" s="1011">
        <v>539.40939700000001</v>
      </c>
      <c r="J31" s="1012">
        <v>553.92740000000003</v>
      </c>
      <c r="K31" s="1013">
        <f>(J31/I31)-1</f>
        <v>2.6914627518066725E-2</v>
      </c>
      <c r="L31" s="1014"/>
      <c r="M31" s="1014"/>
    </row>
    <row r="32" spans="1:13">
      <c r="B32" s="1015" t="str">
        <f>B$7</f>
        <v>Schätzung 1</v>
      </c>
      <c r="C32" s="1016">
        <v>454.84478341999994</v>
      </c>
      <c r="D32" s="1017">
        <v>472.84906222000001</v>
      </c>
      <c r="E32" s="1017">
        <v>501.0772898699999</v>
      </c>
      <c r="F32" s="1017">
        <v>531.54985979000014</v>
      </c>
      <c r="G32" s="1017">
        <v>527</v>
      </c>
      <c r="H32" s="1017">
        <v>539</v>
      </c>
      <c r="I32" s="1017">
        <v>552</v>
      </c>
      <c r="J32" s="1018">
        <v>561.6919554399999</v>
      </c>
      <c r="K32" s="1019">
        <f>(J32/I32)-1</f>
        <v>1.7557890289854994E-2</v>
      </c>
      <c r="L32" s="1016">
        <v>571.24052766</v>
      </c>
      <c r="M32" s="1020"/>
    </row>
    <row r="33" spans="1:13">
      <c r="B33" s="1015" t="s">
        <v>2444</v>
      </c>
      <c r="C33" s="1021">
        <f t="shared" ref="C33:J33" si="5">(C32/C31)-1</f>
        <v>1.8137302608786765E-2</v>
      </c>
      <c r="D33" s="1022">
        <f t="shared" si="5"/>
        <v>-1.5163042617419298E-2</v>
      </c>
      <c r="E33" s="1022">
        <f t="shared" si="5"/>
        <v>-1.0209917561426085E-2</v>
      </c>
      <c r="F33" s="1022">
        <f t="shared" si="5"/>
        <v>8.1767004725983305E-2</v>
      </c>
      <c r="G33" s="1022">
        <f t="shared" si="5"/>
        <v>4.2730481772151219E-2</v>
      </c>
      <c r="H33" s="1022">
        <f t="shared" si="5"/>
        <v>1.3653331139980684E-2</v>
      </c>
      <c r="I33" s="1022">
        <f t="shared" si="5"/>
        <v>2.3341460252684465E-2</v>
      </c>
      <c r="J33" s="1022">
        <f t="shared" si="5"/>
        <v>1.4017279954015471E-2</v>
      </c>
      <c r="K33" s="1019"/>
      <c r="L33" s="1016"/>
      <c r="M33" s="1016"/>
    </row>
    <row r="34" spans="1:13">
      <c r="B34" s="1015" t="str">
        <f>B$9</f>
        <v>Schätzung 2</v>
      </c>
      <c r="C34" s="1023" t="s">
        <v>59</v>
      </c>
      <c r="D34" s="1017">
        <v>468.31135499999999</v>
      </c>
      <c r="E34" s="1017">
        <v>490.57164705000002</v>
      </c>
      <c r="F34" s="1017">
        <v>531.46036050000009</v>
      </c>
      <c r="G34" s="1017">
        <v>561.78395574000001</v>
      </c>
      <c r="H34" s="1017">
        <v>564</v>
      </c>
      <c r="I34" s="1017">
        <v>575</v>
      </c>
      <c r="J34" s="1018">
        <v>590</v>
      </c>
      <c r="K34" s="1019"/>
      <c r="L34" s="1016">
        <v>583.74677100999997</v>
      </c>
      <c r="M34" s="1016">
        <v>593.38225087000001</v>
      </c>
    </row>
    <row r="35" spans="1:13">
      <c r="C35" s="1014"/>
      <c r="D35" s="1010"/>
      <c r="E35" s="1010"/>
      <c r="F35" s="1010"/>
      <c r="G35" s="1010"/>
      <c r="H35" s="1010"/>
      <c r="I35" s="1011"/>
      <c r="J35" s="1012"/>
      <c r="K35" s="1024"/>
      <c r="L35" s="1014"/>
      <c r="M35" s="1014"/>
    </row>
    <row r="36" spans="1:13">
      <c r="A36" s="996">
        <v>7</v>
      </c>
      <c r="B36" s="996" t="s">
        <v>2449</v>
      </c>
      <c r="C36" s="1014">
        <v>442.743357</v>
      </c>
      <c r="D36" s="1010">
        <v>462.70975499999997</v>
      </c>
      <c r="E36" s="1010">
        <v>485.55174599999998</v>
      </c>
      <c r="F36" s="1010">
        <v>480.48790700000001</v>
      </c>
      <c r="G36" s="1010">
        <v>591.27084500000001</v>
      </c>
      <c r="H36" s="1010">
        <v>664.98868300000004</v>
      </c>
      <c r="I36" s="1011">
        <v>625.59989599999994</v>
      </c>
      <c r="J36" s="1012">
        <v>633.04220399999997</v>
      </c>
      <c r="K36" s="1013">
        <f>(J36/I36)-1</f>
        <v>1.1896274356158143E-2</v>
      </c>
      <c r="L36" s="1014"/>
      <c r="M36" s="1014"/>
    </row>
    <row r="37" spans="1:13">
      <c r="B37" s="1015" t="str">
        <f>B$7</f>
        <v>Schätzung 1</v>
      </c>
      <c r="C37" s="1016">
        <v>440.45303472000001</v>
      </c>
      <c r="D37" s="1017">
        <v>456.41362247999996</v>
      </c>
      <c r="E37" s="1017">
        <v>473.91804361999999</v>
      </c>
      <c r="F37" s="1017">
        <v>510.33468491000008</v>
      </c>
      <c r="G37" s="1017">
        <v>556</v>
      </c>
      <c r="H37" s="1017">
        <v>646</v>
      </c>
      <c r="I37" s="1017">
        <v>675</v>
      </c>
      <c r="J37" s="1018">
        <v>642.26203663000013</v>
      </c>
      <c r="K37" s="1019">
        <f>(J37/I37)-1</f>
        <v>-4.8500686474073906E-2</v>
      </c>
      <c r="L37" s="1016">
        <v>660.00236314000006</v>
      </c>
      <c r="M37" s="1020"/>
    </row>
    <row r="38" spans="1:13">
      <c r="B38" s="1015" t="s">
        <v>2444</v>
      </c>
      <c r="C38" s="1021">
        <f t="shared" ref="C38:J38" si="6">(C37/C36)-1</f>
        <v>-5.173024606216714E-3</v>
      </c>
      <c r="D38" s="1022">
        <f t="shared" si="6"/>
        <v>-1.3607088357149522E-2</v>
      </c>
      <c r="E38" s="1022">
        <f t="shared" si="6"/>
        <v>-2.3959758101662731E-2</v>
      </c>
      <c r="F38" s="1022">
        <f t="shared" si="6"/>
        <v>6.2117646407280125E-2</v>
      </c>
      <c r="G38" s="1022">
        <f t="shared" si="6"/>
        <v>-5.965260303000397E-2</v>
      </c>
      <c r="H38" s="1022">
        <f t="shared" si="6"/>
        <v>-2.8554896474832225E-2</v>
      </c>
      <c r="I38" s="1022">
        <f t="shared" si="6"/>
        <v>7.8964373740880722E-2</v>
      </c>
      <c r="J38" s="1022">
        <f t="shared" si="6"/>
        <v>1.4564325366844155E-2</v>
      </c>
      <c r="K38" s="1019"/>
      <c r="L38" s="1016"/>
      <c r="M38" s="1016"/>
    </row>
    <row r="39" spans="1:13">
      <c r="B39" s="1015" t="str">
        <f>B$9</f>
        <v>Schätzung 2</v>
      </c>
      <c r="C39" s="1023" t="s">
        <v>59</v>
      </c>
      <c r="D39" s="1017">
        <v>454.26680877000001</v>
      </c>
      <c r="E39" s="1017">
        <v>474.47826611999994</v>
      </c>
      <c r="F39" s="1017">
        <v>500.14957426000007</v>
      </c>
      <c r="G39" s="1017">
        <v>542.34782923</v>
      </c>
      <c r="H39" s="1017">
        <v>596</v>
      </c>
      <c r="I39" s="1017">
        <v>700</v>
      </c>
      <c r="J39" s="1018">
        <v>732</v>
      </c>
      <c r="K39" s="1019"/>
      <c r="L39" s="1016">
        <v>676.51669571000014</v>
      </c>
      <c r="M39" s="1016">
        <v>685.75076850000005</v>
      </c>
    </row>
    <row r="40" spans="1:13">
      <c r="C40" s="1014"/>
      <c r="D40" s="1010"/>
      <c r="E40" s="1010"/>
      <c r="F40" s="1010"/>
      <c r="G40" s="1010"/>
      <c r="H40" s="1010"/>
      <c r="I40" s="1011"/>
      <c r="J40" s="1012"/>
      <c r="K40" s="1024"/>
      <c r="L40" s="1014"/>
      <c r="M40" s="1014"/>
    </row>
    <row r="41" spans="1:13">
      <c r="A41" s="996">
        <v>8</v>
      </c>
      <c r="B41" s="996" t="s">
        <v>502</v>
      </c>
      <c r="C41" s="1014">
        <v>62.290866000000001</v>
      </c>
      <c r="D41" s="1010">
        <v>65.236801</v>
      </c>
      <c r="E41" s="1010">
        <v>65.211265999999995</v>
      </c>
      <c r="F41" s="1010">
        <v>65.007204000000002</v>
      </c>
      <c r="G41" s="1010">
        <v>68.244215999999994</v>
      </c>
      <c r="H41" s="1010">
        <v>69.204526000000001</v>
      </c>
      <c r="I41" s="1011">
        <v>68.417607000000004</v>
      </c>
      <c r="J41" s="1012">
        <v>71.228594000000001</v>
      </c>
      <c r="K41" s="1013">
        <f>(J41/I41)-1</f>
        <v>4.1085725199362821E-2</v>
      </c>
      <c r="L41" s="1014"/>
      <c r="M41" s="1014"/>
    </row>
    <row r="42" spans="1:13">
      <c r="B42" s="1015" t="str">
        <f>B$7</f>
        <v>Schätzung 1</v>
      </c>
      <c r="C42" s="1016">
        <v>62.941033570000009</v>
      </c>
      <c r="D42" s="1017">
        <v>65.86987044</v>
      </c>
      <c r="E42" s="1017">
        <v>68.133457929999992</v>
      </c>
      <c r="F42" s="1017">
        <v>68.449917359999986</v>
      </c>
      <c r="G42" s="1017">
        <v>70</v>
      </c>
      <c r="H42" s="1017">
        <v>73</v>
      </c>
      <c r="I42" s="1017">
        <v>72</v>
      </c>
      <c r="J42" s="1018">
        <v>72.540101259999986</v>
      </c>
      <c r="K42" s="1019">
        <f>(J42/I42)-1</f>
        <v>7.5014063888887428E-3</v>
      </c>
      <c r="L42" s="1016">
        <v>73.442020809999988</v>
      </c>
      <c r="M42" s="1020"/>
    </row>
    <row r="43" spans="1:13">
      <c r="B43" s="1015" t="s">
        <v>2444</v>
      </c>
      <c r="C43" s="1021">
        <f t="shared" ref="C43:J43" si="7">(C42/C41)-1</f>
        <v>1.0437606855554282E-2</v>
      </c>
      <c r="D43" s="1022">
        <f t="shared" si="7"/>
        <v>9.7041766349026393E-3</v>
      </c>
      <c r="E43" s="1022">
        <f t="shared" si="7"/>
        <v>4.4811151649777781E-2</v>
      </c>
      <c r="F43" s="1022">
        <f t="shared" si="7"/>
        <v>5.2958951441750779E-2</v>
      </c>
      <c r="G43" s="1022">
        <f t="shared" si="7"/>
        <v>2.5727953267131287E-2</v>
      </c>
      <c r="H43" s="1022">
        <f t="shared" si="7"/>
        <v>5.4844303102372205E-2</v>
      </c>
      <c r="I43" s="1022">
        <f t="shared" si="7"/>
        <v>5.2360688382451004E-2</v>
      </c>
      <c r="J43" s="1022">
        <f t="shared" si="7"/>
        <v>1.8412651245088174E-2</v>
      </c>
      <c r="K43" s="1019"/>
      <c r="L43" s="1016"/>
      <c r="M43" s="1016"/>
    </row>
    <row r="44" spans="1:13">
      <c r="B44" s="1015" t="str">
        <f>B$9</f>
        <v>Schätzung 2</v>
      </c>
      <c r="C44" s="1025" t="s">
        <v>59</v>
      </c>
      <c r="D44" s="1017">
        <v>64.988257719999993</v>
      </c>
      <c r="E44" s="1017">
        <v>68.359294500000004</v>
      </c>
      <c r="F44" s="1017">
        <v>72.008952440000002</v>
      </c>
      <c r="G44" s="1017">
        <v>72.895692549999978</v>
      </c>
      <c r="H44" s="1017">
        <v>75</v>
      </c>
      <c r="I44" s="1017">
        <v>78</v>
      </c>
      <c r="J44" s="1018">
        <v>77</v>
      </c>
      <c r="K44" s="1019"/>
      <c r="L44" s="1016">
        <v>74.963388120000019</v>
      </c>
      <c r="M44" s="1016">
        <v>76.685380290000026</v>
      </c>
    </row>
    <row r="45" spans="1:13" ht="13.5" customHeight="1">
      <c r="C45" s="1014"/>
      <c r="D45" s="1010"/>
      <c r="E45" s="1010"/>
      <c r="F45" s="1010"/>
      <c r="G45" s="1010"/>
      <c r="H45" s="1010"/>
      <c r="I45" s="1011"/>
      <c r="J45" s="1012"/>
      <c r="K45" s="1024"/>
      <c r="L45" s="1014"/>
      <c r="M45" s="1014"/>
    </row>
    <row r="46" spans="1:13">
      <c r="A46" s="996">
        <v>9</v>
      </c>
      <c r="B46" s="996" t="s">
        <v>503</v>
      </c>
      <c r="C46" s="1014">
        <v>179.87060299999999</v>
      </c>
      <c r="D46" s="1010">
        <v>173.02369200000001</v>
      </c>
      <c r="E46" s="1010">
        <v>202.87558799999999</v>
      </c>
      <c r="F46" s="1010">
        <v>214.51952800000001</v>
      </c>
      <c r="G46" s="1010">
        <v>259.95297099999999</v>
      </c>
      <c r="H46" s="1010">
        <v>297.96774900000003</v>
      </c>
      <c r="I46" s="1011">
        <v>336.37458700000002</v>
      </c>
      <c r="J46" s="1012">
        <v>373.80373800000001</v>
      </c>
      <c r="K46" s="1013">
        <f>(J46/I46)-1</f>
        <v>0.1112722317515622</v>
      </c>
      <c r="L46" s="1014"/>
      <c r="M46" s="1014"/>
    </row>
    <row r="47" spans="1:13">
      <c r="B47" s="1015" t="str">
        <f>B$7</f>
        <v>Schätzung 1</v>
      </c>
      <c r="C47" s="1016">
        <v>88.272828489999995</v>
      </c>
      <c r="D47" s="1017">
        <v>133.88951411999994</v>
      </c>
      <c r="E47" s="1017">
        <v>160.70304878999997</v>
      </c>
      <c r="F47" s="1026">
        <v>178.20850439000003</v>
      </c>
      <c r="G47" s="1026">
        <v>219.0370781199999</v>
      </c>
      <c r="H47" s="1017">
        <v>258</v>
      </c>
      <c r="I47" s="1017">
        <v>292</v>
      </c>
      <c r="J47" s="1018">
        <v>322.89409531000001</v>
      </c>
      <c r="K47" s="1019">
        <f>(J47/I47)-1</f>
        <v>0.10580169626712332</v>
      </c>
      <c r="L47" s="1016">
        <v>339.08158886999996</v>
      </c>
      <c r="M47" s="1020"/>
    </row>
    <row r="48" spans="1:13">
      <c r="B48" s="1015" t="s">
        <v>2444</v>
      </c>
      <c r="C48" s="1021">
        <f t="shared" ref="C48:J48" si="8">(C47/C46)-1</f>
        <v>-0.50924260541896338</v>
      </c>
      <c r="D48" s="1022">
        <f t="shared" si="8"/>
        <v>-0.22617814605412567</v>
      </c>
      <c r="E48" s="1022">
        <f t="shared" si="8"/>
        <v>-0.20787389762241881</v>
      </c>
      <c r="F48" s="1022">
        <f t="shared" si="8"/>
        <v>-0.1692667513700663</v>
      </c>
      <c r="G48" s="1022">
        <f t="shared" si="8"/>
        <v>-0.15739728891192428</v>
      </c>
      <c r="H48" s="1022">
        <f t="shared" si="8"/>
        <v>-0.13413447976881554</v>
      </c>
      <c r="I48" s="1022">
        <f t="shared" si="8"/>
        <v>-0.13192015305246596</v>
      </c>
      <c r="J48" s="1022">
        <f t="shared" si="8"/>
        <v>-0.13619350882467629</v>
      </c>
      <c r="K48" s="1019"/>
      <c r="L48" s="1016"/>
      <c r="M48" s="1016"/>
    </row>
    <row r="49" spans="1:13">
      <c r="B49" s="1015" t="str">
        <f>B$9</f>
        <v>Schätzung 2</v>
      </c>
      <c r="C49" s="1025" t="s">
        <v>59</v>
      </c>
      <c r="D49" s="1017">
        <v>91.703126609999998</v>
      </c>
      <c r="E49" s="1017">
        <v>138.86285222000001</v>
      </c>
      <c r="F49" s="1017">
        <v>168.79498560000002</v>
      </c>
      <c r="G49" s="1026">
        <v>191.65427169</v>
      </c>
      <c r="H49" s="1026">
        <v>239.25797566999998</v>
      </c>
      <c r="I49" s="1017">
        <v>276</v>
      </c>
      <c r="J49" s="1018">
        <v>313</v>
      </c>
      <c r="K49" s="1019"/>
      <c r="L49" s="1016">
        <v>337.39778656000004</v>
      </c>
      <c r="M49" s="1016">
        <v>353.54752739000008</v>
      </c>
    </row>
    <row r="50" spans="1:13">
      <c r="C50" s="1014"/>
      <c r="D50" s="1010"/>
      <c r="E50" s="1010"/>
      <c r="F50" s="1010"/>
      <c r="G50" s="1010"/>
      <c r="H50" s="1010"/>
      <c r="I50" s="1011"/>
      <c r="J50" s="1012"/>
      <c r="K50" s="1024"/>
      <c r="L50" s="1014"/>
      <c r="M50" s="1014"/>
    </row>
    <row r="51" spans="1:13">
      <c r="A51" s="996">
        <v>10</v>
      </c>
      <c r="B51" s="996" t="s">
        <v>2450</v>
      </c>
      <c r="C51" s="1014">
        <v>3696.49064</v>
      </c>
      <c r="D51" s="1010">
        <v>3798.2139889999999</v>
      </c>
      <c r="E51" s="1010">
        <v>3783.9358269999998</v>
      </c>
      <c r="F51" s="1010">
        <v>4111.8764270000001</v>
      </c>
      <c r="G51" s="1010">
        <v>4569.0303759999997</v>
      </c>
      <c r="H51" s="1010">
        <v>4803.16752</v>
      </c>
      <c r="I51" s="1011">
        <v>4893.0853630000001</v>
      </c>
      <c r="J51" s="1012">
        <v>5137.1482340000002</v>
      </c>
      <c r="K51" s="1013">
        <f>(J51/I51)-1</f>
        <v>4.987913614700612E-2</v>
      </c>
      <c r="L51" s="1014"/>
      <c r="M51" s="1014"/>
    </row>
    <row r="52" spans="1:13">
      <c r="B52" s="1015" t="str">
        <f>B$7</f>
        <v>Schätzung 1</v>
      </c>
      <c r="C52" s="1016">
        <v>3740.9726523599998</v>
      </c>
      <c r="D52" s="1017">
        <v>3792.0878105800011</v>
      </c>
      <c r="E52" s="1017">
        <v>3846.7902257300002</v>
      </c>
      <c r="F52" s="1017">
        <v>4015.5913748200005</v>
      </c>
      <c r="G52" s="1017">
        <v>4462</v>
      </c>
      <c r="H52" s="1017">
        <v>4859</v>
      </c>
      <c r="I52" s="1017">
        <v>4924</v>
      </c>
      <c r="J52" s="1018">
        <v>5067.8229497399989</v>
      </c>
      <c r="K52" s="1019">
        <f>(J52/I52)-1</f>
        <v>2.9208560060925759E-2</v>
      </c>
      <c r="L52" s="1016">
        <v>5271.712038730001</v>
      </c>
      <c r="M52" s="1020"/>
    </row>
    <row r="53" spans="1:13">
      <c r="B53" s="1015" t="s">
        <v>2444</v>
      </c>
      <c r="C53" s="1021">
        <f t="shared" ref="C53:J53" si="9">(C52/C51)-1</f>
        <v>1.2033579059732125E-2</v>
      </c>
      <c r="D53" s="1022">
        <f t="shared" si="9"/>
        <v>-1.6129102882935786E-3</v>
      </c>
      <c r="E53" s="1022">
        <f t="shared" si="9"/>
        <v>1.6610852192975312E-2</v>
      </c>
      <c r="F53" s="1022">
        <f t="shared" si="9"/>
        <v>-2.3416329232989308E-2</v>
      </c>
      <c r="G53" s="1022">
        <f t="shared" si="9"/>
        <v>-2.3425183724363974E-2</v>
      </c>
      <c r="H53" s="1022">
        <f t="shared" si="9"/>
        <v>1.1624095925765188E-2</v>
      </c>
      <c r="I53" s="1022">
        <f t="shared" si="9"/>
        <v>6.318025275783512E-3</v>
      </c>
      <c r="J53" s="1022">
        <f t="shared" si="9"/>
        <v>-1.34948966045354E-2</v>
      </c>
      <c r="K53" s="1019"/>
      <c r="L53" s="1016"/>
      <c r="M53" s="1016"/>
    </row>
    <row r="54" spans="1:13">
      <c r="B54" s="1015" t="str">
        <f>B$9</f>
        <v>Schätzung 2</v>
      </c>
      <c r="C54" s="1023" t="s">
        <v>59</v>
      </c>
      <c r="D54" s="1017">
        <v>3873.2425618800007</v>
      </c>
      <c r="E54" s="1017">
        <v>3982.8808826599993</v>
      </c>
      <c r="F54" s="1017">
        <v>4067.97892456</v>
      </c>
      <c r="G54" s="1017">
        <v>4334.1649224699995</v>
      </c>
      <c r="H54" s="1017">
        <v>4744</v>
      </c>
      <c r="I54" s="1017">
        <v>5174</v>
      </c>
      <c r="J54" s="1018">
        <v>5213</v>
      </c>
      <c r="K54" s="1019"/>
      <c r="L54" s="1016">
        <v>5293.9899117899995</v>
      </c>
      <c r="M54" s="1016">
        <v>5473.0962470699997</v>
      </c>
    </row>
    <row r="55" spans="1:13">
      <c r="C55" s="1014"/>
      <c r="D55" s="1010"/>
      <c r="E55" s="1010"/>
      <c r="F55" s="1010"/>
      <c r="H55" s="1010"/>
      <c r="I55" s="1011"/>
      <c r="J55" s="1012"/>
      <c r="K55" s="1024"/>
      <c r="L55" s="1014"/>
      <c r="M55" s="1014"/>
    </row>
    <row r="56" spans="1:13">
      <c r="A56" s="996">
        <v>11</v>
      </c>
      <c r="B56" s="996" t="s">
        <v>2451</v>
      </c>
      <c r="C56" s="1014">
        <v>1214.941513</v>
      </c>
      <c r="D56" s="1010">
        <v>1257.8527670000001</v>
      </c>
      <c r="E56" s="1010">
        <v>1392.356614</v>
      </c>
      <c r="F56" s="1010">
        <v>1477.775099</v>
      </c>
      <c r="G56" s="1010">
        <v>1572.8925360000001</v>
      </c>
      <c r="H56" s="1010">
        <v>1587.1501499999999</v>
      </c>
      <c r="I56" s="1011">
        <v>1627.1193760000001</v>
      </c>
      <c r="J56" s="1012">
        <v>1706.5482260000001</v>
      </c>
      <c r="K56" s="1013">
        <f>(J56/I56)-1</f>
        <v>4.8815625436937848E-2</v>
      </c>
      <c r="L56" s="1014"/>
      <c r="M56" s="1014"/>
    </row>
    <row r="57" spans="1:13">
      <c r="B57" s="1015" t="str">
        <f>B$7</f>
        <v>Schätzung 1</v>
      </c>
      <c r="C57" s="1016">
        <v>1226.3031161400002</v>
      </c>
      <c r="D57" s="1017">
        <v>1253.9277950300002</v>
      </c>
      <c r="E57" s="1017">
        <v>1363.9685086999998</v>
      </c>
      <c r="F57" s="1017">
        <v>1471.8621297899999</v>
      </c>
      <c r="G57" s="1017">
        <v>1557</v>
      </c>
      <c r="H57" s="1017">
        <v>1507</v>
      </c>
      <c r="I57" s="1017">
        <v>1629</v>
      </c>
      <c r="J57" s="1018">
        <v>1668.0087725400001</v>
      </c>
      <c r="K57" s="1019">
        <f>(J57/I57)-1</f>
        <v>2.3946453370165877E-2</v>
      </c>
      <c r="L57" s="1016">
        <v>1747.6031324000003</v>
      </c>
      <c r="M57" s="1020"/>
    </row>
    <row r="58" spans="1:13">
      <c r="B58" s="1015" t="s">
        <v>2444</v>
      </c>
      <c r="C58" s="1021">
        <f t="shared" ref="C58:J58" si="10">(C57/C56)-1</f>
        <v>9.3515638558974157E-3</v>
      </c>
      <c r="D58" s="1022">
        <f t="shared" si="10"/>
        <v>-3.1203747155249539E-3</v>
      </c>
      <c r="E58" s="1022">
        <f t="shared" si="10"/>
        <v>-2.0388530506165403E-2</v>
      </c>
      <c r="F58" s="1022">
        <f t="shared" si="10"/>
        <v>-4.0012646132698837E-3</v>
      </c>
      <c r="G58" s="1022">
        <f t="shared" si="10"/>
        <v>-1.0104018956321181E-2</v>
      </c>
      <c r="H58" s="1022">
        <f t="shared" si="10"/>
        <v>-5.0499412421691758E-2</v>
      </c>
      <c r="I58" s="1022">
        <f t="shared" si="10"/>
        <v>1.1557996467495002E-3</v>
      </c>
      <c r="J58" s="1022">
        <f t="shared" si="10"/>
        <v>-2.2583278264765583E-2</v>
      </c>
      <c r="K58" s="1019"/>
      <c r="L58" s="1016"/>
      <c r="M58" s="1016"/>
    </row>
    <row r="59" spans="1:13">
      <c r="B59" s="1015" t="str">
        <f>B$9</f>
        <v>Schätzung 2</v>
      </c>
      <c r="C59" s="1023" t="s">
        <v>59</v>
      </c>
      <c r="D59" s="1017">
        <v>1284.3260120099997</v>
      </c>
      <c r="E59" s="1017">
        <v>1207.5906850399999</v>
      </c>
      <c r="F59" s="1017">
        <v>1462.3228685799997</v>
      </c>
      <c r="G59" s="1017">
        <v>1601.02125125</v>
      </c>
      <c r="H59" s="1017">
        <v>1651</v>
      </c>
      <c r="I59" s="1017">
        <v>1587</v>
      </c>
      <c r="J59" s="1018">
        <v>1722</v>
      </c>
      <c r="K59" s="1019"/>
      <c r="L59" s="1016">
        <v>1729.6701934299999</v>
      </c>
      <c r="M59" s="1016">
        <v>1803.2070682899996</v>
      </c>
    </row>
    <row r="62" spans="1:13">
      <c r="B62" s="996" t="s">
        <v>2452</v>
      </c>
    </row>
    <row r="63" spans="1:13">
      <c r="B63" s="1027" t="s">
        <v>2453</v>
      </c>
      <c r="L63" s="999"/>
    </row>
    <row r="64" spans="1:13">
      <c r="B64" s="1027" t="s">
        <v>393</v>
      </c>
      <c r="L64" s="999"/>
    </row>
    <row r="65" spans="2:12">
      <c r="B65" s="1028" t="s">
        <v>2454</v>
      </c>
      <c r="L65" s="999"/>
    </row>
    <row r="66" spans="2:12">
      <c r="B66" s="1027" t="s">
        <v>394</v>
      </c>
      <c r="L66" s="999"/>
    </row>
    <row r="67" spans="2:12">
      <c r="B67" s="1028" t="s">
        <v>2455</v>
      </c>
      <c r="L67" s="999"/>
    </row>
    <row r="68" spans="2:12">
      <c r="B68" s="1028" t="s">
        <v>2456</v>
      </c>
      <c r="L68" s="999"/>
    </row>
    <row r="69" spans="2:12">
      <c r="B69" s="1028" t="s">
        <v>2457</v>
      </c>
      <c r="L69" s="999"/>
    </row>
    <row r="70" spans="2:12">
      <c r="B70" s="1029" t="s">
        <v>2458</v>
      </c>
      <c r="L70" s="999"/>
    </row>
    <row r="72" spans="2:12">
      <c r="B72" s="1077" t="s">
        <v>392</v>
      </c>
    </row>
  </sheetData>
  <phoneticPr fontId="71" type="noConversion"/>
  <pageMargins left="0.28000000000000003" right="0.26" top="0.48" bottom="0.4" header="0.31" footer="0.16"/>
  <pageSetup paperSize="9" scale="80" orientation="portrait"/>
  <headerFooter alignWithMargins="0">
    <oddFooter>&amp;R2/2</oddFooter>
  </headerFooter>
  <colBreaks count="2" manualBreakCount="2">
    <brk id="12" max="1048575" man="1"/>
    <brk id="2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BF88-C2D8-DD47-AD46-3EB572498799}">
  <sheetPr>
    <pageSetUpPr fitToPage="1"/>
  </sheetPr>
  <dimension ref="A1:B20"/>
  <sheetViews>
    <sheetView workbookViewId="0">
      <selection activeCell="G19" sqref="G19"/>
    </sheetView>
  </sheetViews>
  <sheetFormatPr baseColWidth="10" defaultColWidth="11.3984375" defaultRowHeight="13"/>
  <cols>
    <col min="1" max="1" width="5.59765625" style="194" customWidth="1"/>
    <col min="2" max="16384" width="11.3984375" style="194"/>
  </cols>
  <sheetData>
    <row r="1" spans="1:2" ht="16">
      <c r="A1" s="193" t="s">
        <v>1780</v>
      </c>
    </row>
    <row r="3" spans="1:2">
      <c r="A3" s="195">
        <v>1.01</v>
      </c>
      <c r="B3" s="196" t="s">
        <v>1711</v>
      </c>
    </row>
    <row r="4" spans="1:2">
      <c r="A4" s="195">
        <v>1.02</v>
      </c>
      <c r="B4" s="196" t="s">
        <v>1781</v>
      </c>
    </row>
    <row r="5" spans="1:2">
      <c r="A5" s="195">
        <v>1.03</v>
      </c>
      <c r="B5" s="196" t="s">
        <v>1782</v>
      </c>
    </row>
    <row r="6" spans="1:2">
      <c r="A6" s="195">
        <v>1.04</v>
      </c>
      <c r="B6" s="196" t="s">
        <v>1783</v>
      </c>
    </row>
    <row r="7" spans="1:2">
      <c r="A7" s="195">
        <v>1.05</v>
      </c>
      <c r="B7" s="196" t="s">
        <v>1784</v>
      </c>
    </row>
    <row r="8" spans="1:2">
      <c r="A8" s="195">
        <v>1.06</v>
      </c>
      <c r="B8" s="196" t="s">
        <v>1785</v>
      </c>
    </row>
    <row r="9" spans="1:2">
      <c r="A9" s="195">
        <v>1.07</v>
      </c>
      <c r="B9" s="197" t="s">
        <v>1786</v>
      </c>
    </row>
    <row r="10" spans="1:2">
      <c r="A10" s="195">
        <v>1.08</v>
      </c>
      <c r="B10" s="196" t="s">
        <v>1712</v>
      </c>
    </row>
    <row r="11" spans="1:2">
      <c r="A11" s="195">
        <v>1.0900000000000001</v>
      </c>
      <c r="B11" s="196" t="s">
        <v>1713</v>
      </c>
    </row>
    <row r="12" spans="1:2">
      <c r="A12" s="195">
        <v>1.1000000000000001</v>
      </c>
      <c r="B12" s="196" t="s">
        <v>1714</v>
      </c>
    </row>
    <row r="13" spans="1:2">
      <c r="A13" s="195">
        <v>1.1100000000000001</v>
      </c>
      <c r="B13" s="196" t="s">
        <v>1715</v>
      </c>
    </row>
    <row r="14" spans="1:2">
      <c r="A14" s="195">
        <v>1.1200000000000001</v>
      </c>
      <c r="B14" s="196" t="s">
        <v>1716</v>
      </c>
    </row>
    <row r="15" spans="1:2">
      <c r="A15" s="195">
        <v>1.1299999999999999</v>
      </c>
      <c r="B15" s="196" t="s">
        <v>1717</v>
      </c>
    </row>
    <row r="16" spans="1:2">
      <c r="A16" s="1078">
        <v>1.1399999999999999</v>
      </c>
      <c r="B16" s="1113" t="s">
        <v>957</v>
      </c>
    </row>
    <row r="17" spans="1:2">
      <c r="A17" s="1078">
        <v>1.1499999999999999</v>
      </c>
      <c r="B17" s="1113" t="s">
        <v>958</v>
      </c>
    </row>
    <row r="18" spans="1:2">
      <c r="A18" s="198"/>
      <c r="B18" s="199"/>
    </row>
    <row r="20" spans="1:2">
      <c r="A20" s="200" t="s">
        <v>634</v>
      </c>
    </row>
  </sheetData>
  <phoneticPr fontId="30" type="noConversion"/>
  <pageMargins left="0.46" right="0.46" top="0.63" bottom="0.984251969" header="0.38" footer="0.492125984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C5F3-21F9-A840-9D6C-BAE9F4BBEFFE}">
  <sheetPr>
    <pageSetUpPr fitToPage="1"/>
  </sheetPr>
  <dimension ref="A1:S56"/>
  <sheetViews>
    <sheetView zoomScale="75" workbookViewId="0">
      <selection activeCell="T8" sqref="T8"/>
    </sheetView>
  </sheetViews>
  <sheetFormatPr baseColWidth="10" defaultColWidth="11.3984375" defaultRowHeight="13"/>
  <cols>
    <col min="1" max="1" width="2.59765625" style="2" customWidth="1"/>
    <col min="2" max="2" width="3.19921875" style="2" customWidth="1"/>
    <col min="3" max="3" width="54.796875" style="2" customWidth="1"/>
    <col min="4" max="4" width="0.19921875" style="502" customWidth="1"/>
    <col min="5" max="5" width="9.3984375" style="502" customWidth="1"/>
    <col min="6" max="8" width="9.3984375" style="2" customWidth="1"/>
    <col min="9" max="9" width="9.3984375" style="148" customWidth="1"/>
    <col min="10" max="10" width="9.3984375" style="2" customWidth="1"/>
    <col min="11" max="12" width="9.3984375" style="148" customWidth="1"/>
    <col min="13" max="13" width="9.3984375" style="2" customWidth="1"/>
    <col min="14" max="15" width="10.796875" style="2" customWidth="1"/>
    <col min="16" max="16" width="4.796875" style="2" customWidth="1"/>
    <col min="17" max="17" width="11" style="2" customWidth="1"/>
    <col min="18" max="18" width="11.796875" style="2" customWidth="1"/>
    <col min="19" max="19" width="4.796875" style="2" customWidth="1"/>
    <col min="20" max="16384" width="11.3984375" style="2"/>
  </cols>
  <sheetData>
    <row r="1" spans="2:19" ht="12" customHeight="1">
      <c r="C1" s="420"/>
      <c r="D1" s="421"/>
      <c r="E1" s="421"/>
      <c r="F1" s="348"/>
      <c r="G1" s="348"/>
      <c r="H1" s="348"/>
      <c r="I1" s="422"/>
      <c r="K1" s="422"/>
      <c r="L1" s="422"/>
    </row>
    <row r="2" spans="2:19" ht="26.25" customHeight="1">
      <c r="B2" s="423" t="s">
        <v>1425</v>
      </c>
      <c r="C2" s="423"/>
      <c r="D2" s="424"/>
      <c r="E2" s="424"/>
      <c r="F2" s="425"/>
      <c r="G2" s="425"/>
      <c r="H2" s="425"/>
      <c r="I2" s="426"/>
      <c r="J2" s="427"/>
      <c r="K2" s="427"/>
      <c r="L2" s="426"/>
      <c r="M2" s="428"/>
      <c r="N2" s="428"/>
      <c r="O2" s="428"/>
      <c r="P2" s="428"/>
      <c r="Q2" s="428"/>
      <c r="R2" s="354">
        <v>2007</v>
      </c>
      <c r="S2" s="56"/>
    </row>
    <row r="3" spans="2:19" ht="72.75" customHeight="1">
      <c r="B3" s="429"/>
      <c r="C3" s="430" t="s">
        <v>1426</v>
      </c>
      <c r="D3" s="431">
        <v>1996</v>
      </c>
      <c r="E3" s="430">
        <v>1997</v>
      </c>
      <c r="F3" s="431">
        <v>1998</v>
      </c>
      <c r="G3" s="430">
        <v>1999</v>
      </c>
      <c r="H3" s="431">
        <v>2000</v>
      </c>
      <c r="I3" s="387">
        <v>2001</v>
      </c>
      <c r="J3" s="350">
        <v>2002</v>
      </c>
      <c r="K3" s="387">
        <v>2003</v>
      </c>
      <c r="L3" s="350">
        <v>2004</v>
      </c>
      <c r="M3" s="387">
        <v>2005</v>
      </c>
      <c r="N3" s="350">
        <v>2006</v>
      </c>
      <c r="O3" s="387">
        <v>2007</v>
      </c>
      <c r="P3" s="432"/>
      <c r="Q3" s="433" t="s">
        <v>1427</v>
      </c>
      <c r="R3" s="434" t="s">
        <v>1428</v>
      </c>
      <c r="S3" s="435"/>
    </row>
    <row r="4" spans="2:19" ht="14" customHeight="1">
      <c r="B4" s="429"/>
      <c r="C4" s="430"/>
      <c r="D4" s="431"/>
      <c r="E4" s="430"/>
      <c r="F4" s="431"/>
      <c r="G4" s="430"/>
      <c r="H4" s="431"/>
      <c r="I4" s="387"/>
      <c r="J4" s="436"/>
      <c r="K4" s="387"/>
      <c r="L4" s="350"/>
      <c r="M4" s="387"/>
      <c r="N4" s="350"/>
      <c r="O4" s="387"/>
      <c r="P4" s="432"/>
      <c r="Q4" s="430"/>
      <c r="R4" s="431"/>
      <c r="S4" s="437"/>
    </row>
    <row r="5" spans="2:19" ht="9.75" customHeight="1">
      <c r="B5" s="438"/>
      <c r="C5" s="439"/>
      <c r="D5" s="440"/>
      <c r="E5" s="439"/>
      <c r="F5" s="440"/>
      <c r="G5" s="439"/>
      <c r="H5" s="440"/>
      <c r="I5" s="441"/>
      <c r="J5" s="442"/>
      <c r="K5" s="441"/>
      <c r="L5" s="351"/>
      <c r="M5" s="441"/>
      <c r="N5" s="351"/>
      <c r="O5" s="441"/>
      <c r="P5" s="443"/>
      <c r="Q5" s="444"/>
      <c r="R5" s="442"/>
      <c r="S5" s="437"/>
    </row>
    <row r="6" spans="2:19" ht="20" customHeight="1" thickBot="1">
      <c r="B6" s="445">
        <v>1</v>
      </c>
      <c r="C6" s="446" t="s">
        <v>1429</v>
      </c>
      <c r="D6" s="447">
        <v>145</v>
      </c>
      <c r="E6" s="448">
        <v>129</v>
      </c>
      <c r="F6" s="447">
        <v>118</v>
      </c>
      <c r="G6" s="448">
        <v>109</v>
      </c>
      <c r="H6" s="447">
        <v>101</v>
      </c>
      <c r="I6" s="448">
        <v>99</v>
      </c>
      <c r="J6" s="447">
        <v>93</v>
      </c>
      <c r="K6" s="448">
        <v>93</v>
      </c>
      <c r="L6" s="447">
        <v>92</v>
      </c>
      <c r="M6" s="448">
        <v>85</v>
      </c>
      <c r="N6" s="449">
        <v>87</v>
      </c>
      <c r="O6" s="450">
        <v>87</v>
      </c>
      <c r="P6" s="451"/>
      <c r="Q6" s="452">
        <v>0</v>
      </c>
      <c r="R6" s="453">
        <v>-3.8624712515943016E-2</v>
      </c>
      <c r="S6" s="454"/>
    </row>
    <row r="7" spans="2:19" ht="16" customHeight="1" thickBot="1">
      <c r="B7" s="455">
        <v>2</v>
      </c>
      <c r="C7" s="456" t="s">
        <v>1430</v>
      </c>
      <c r="D7" s="457">
        <v>7232.6670000000004</v>
      </c>
      <c r="E7" s="458">
        <v>7236.4709999999995</v>
      </c>
      <c r="F7" s="457">
        <v>7246.616</v>
      </c>
      <c r="G7" s="458">
        <v>7270.5219999999999</v>
      </c>
      <c r="H7" s="457">
        <v>7265.1130000000003</v>
      </c>
      <c r="I7" s="458">
        <v>7301.05</v>
      </c>
      <c r="J7" s="457">
        <v>7344.6319999999996</v>
      </c>
      <c r="K7" s="458">
        <v>7372.5050000000001</v>
      </c>
      <c r="L7" s="457">
        <v>7383.5739999999996</v>
      </c>
      <c r="M7" s="458">
        <v>7435.8649999999998</v>
      </c>
      <c r="N7" s="459">
        <v>7478.4290000000001</v>
      </c>
      <c r="O7" s="460">
        <v>7537.5873800000008</v>
      </c>
      <c r="P7" s="451"/>
      <c r="Q7" s="452">
        <v>7.910535755571324E-3</v>
      </c>
      <c r="R7" s="453">
        <v>4.0851714634380087E-3</v>
      </c>
      <c r="S7" s="454"/>
    </row>
    <row r="8" spans="2:19" ht="16" customHeight="1" thickBot="1">
      <c r="B8" s="455" t="s">
        <v>1431</v>
      </c>
      <c r="C8" s="456" t="s">
        <v>1432</v>
      </c>
      <c r="D8" s="457">
        <v>5599.991</v>
      </c>
      <c r="E8" s="458">
        <v>5669.3249999999998</v>
      </c>
      <c r="F8" s="457">
        <v>5768.6210000000001</v>
      </c>
      <c r="G8" s="458">
        <v>5833.1670000000004</v>
      </c>
      <c r="H8" s="457">
        <v>5947.0349999999999</v>
      </c>
      <c r="I8" s="458">
        <v>6043.9049999999997</v>
      </c>
      <c r="J8" s="297">
        <v>6170.7879999999996</v>
      </c>
      <c r="K8" s="458">
        <v>6105.0770000000002</v>
      </c>
      <c r="L8" s="457">
        <v>6076.2309999999998</v>
      </c>
      <c r="M8" s="458">
        <v>6104.0569999999998</v>
      </c>
      <c r="N8" s="459">
        <v>6139.7749999999996</v>
      </c>
      <c r="O8" s="460">
        <v>6170.95</v>
      </c>
      <c r="P8" s="451"/>
      <c r="Q8" s="452">
        <v>5.0775476300026767E-3</v>
      </c>
      <c r="R8" s="453">
        <v>8.5143157325222596E-3</v>
      </c>
      <c r="S8" s="454"/>
    </row>
    <row r="9" spans="2:19" ht="16" customHeight="1" thickBot="1">
      <c r="B9" s="455" t="s">
        <v>1433</v>
      </c>
      <c r="C9" s="456" t="s">
        <v>1871</v>
      </c>
      <c r="D9" s="461">
        <v>77.42636291702631</v>
      </c>
      <c r="E9" s="462">
        <v>78.343781105458731</v>
      </c>
      <c r="F9" s="461">
        <v>79.604342219872009</v>
      </c>
      <c r="G9" s="462">
        <v>80.230374105188048</v>
      </c>
      <c r="H9" s="461">
        <v>81.857432912605759</v>
      </c>
      <c r="I9" s="462">
        <v>82.781312277001248</v>
      </c>
      <c r="J9" s="463">
        <v>84.017660789539889</v>
      </c>
      <c r="K9" s="462">
        <v>82.808719695680097</v>
      </c>
      <c r="L9" s="461">
        <v>82.293899946015301</v>
      </c>
      <c r="M9" s="462">
        <v>82.08940049341939</v>
      </c>
      <c r="N9" s="464">
        <v>82.099820560923789</v>
      </c>
      <c r="O9" s="465">
        <v>81.869034332839803</v>
      </c>
      <c r="P9" s="466"/>
      <c r="Q9" s="452">
        <v>-2.8110442447645267E-3</v>
      </c>
      <c r="R9" s="453">
        <v>4.4111240709081567E-3</v>
      </c>
      <c r="S9" s="454"/>
    </row>
    <row r="10" spans="2:19" ht="16" customHeight="1" thickBot="1">
      <c r="B10" s="455">
        <v>4</v>
      </c>
      <c r="C10" s="456" t="s">
        <v>1872</v>
      </c>
      <c r="D10" s="457">
        <v>1117.0840000000001</v>
      </c>
      <c r="E10" s="458">
        <v>1150.1220000000001</v>
      </c>
      <c r="F10" s="457">
        <v>1154.759</v>
      </c>
      <c r="G10" s="458">
        <v>1096.0329999999999</v>
      </c>
      <c r="H10" s="457">
        <v>1097.932</v>
      </c>
      <c r="I10" s="458">
        <v>1193.3150000000001</v>
      </c>
      <c r="J10" s="297">
        <v>1207.239</v>
      </c>
      <c r="K10" s="458">
        <v>1148.028</v>
      </c>
      <c r="L10" s="457">
        <v>1196.146</v>
      </c>
      <c r="M10" s="458">
        <v>1219.4549999999999</v>
      </c>
      <c r="N10" s="459">
        <v>1147.933</v>
      </c>
      <c r="O10" s="460">
        <v>1232.442</v>
      </c>
      <c r="P10" s="451"/>
      <c r="Q10" s="452">
        <v>7.3618408042978034E-2</v>
      </c>
      <c r="R10" s="453">
        <v>6.9369039544322497E-3</v>
      </c>
      <c r="S10" s="454"/>
    </row>
    <row r="11" spans="2:19" ht="15.75" customHeight="1" thickBot="1">
      <c r="B11" s="455">
        <v>5</v>
      </c>
      <c r="C11" s="456" t="s">
        <v>1873</v>
      </c>
      <c r="D11" s="457">
        <v>18812.841</v>
      </c>
      <c r="E11" s="458">
        <v>18987.651000000002</v>
      </c>
      <c r="F11" s="457">
        <v>17067.058000000001</v>
      </c>
      <c r="G11" s="458">
        <v>12747.16</v>
      </c>
      <c r="H11" s="457">
        <v>12447.351000000001</v>
      </c>
      <c r="I11" s="458">
        <v>12514.1</v>
      </c>
      <c r="J11" s="297">
        <v>12391.460999999999</v>
      </c>
      <c r="K11" s="458">
        <v>11395.671</v>
      </c>
      <c r="L11" s="457">
        <v>11754.955</v>
      </c>
      <c r="M11" s="458">
        <v>11492.861999999999</v>
      </c>
      <c r="N11" s="459">
        <v>11050.112999999999</v>
      </c>
      <c r="O11" s="460">
        <v>11706.005999999999</v>
      </c>
      <c r="P11" s="451"/>
      <c r="Q11" s="452">
        <v>5.935622558791942E-2</v>
      </c>
      <c r="R11" s="453">
        <v>-4.7217547332455534E-2</v>
      </c>
      <c r="S11" s="454"/>
    </row>
    <row r="12" spans="2:19" ht="15.75" customHeight="1" thickBot="1">
      <c r="B12" s="455" t="s">
        <v>1874</v>
      </c>
      <c r="C12" s="456" t="s">
        <v>1875</v>
      </c>
      <c r="D12" s="457">
        <v>1538.9393456106855</v>
      </c>
      <c r="E12" s="458">
        <v>1663.8889491853145</v>
      </c>
      <c r="F12" s="457">
        <v>1753.683394842503</v>
      </c>
      <c r="G12" s="458">
        <v>1792.6969718267821</v>
      </c>
      <c r="H12" s="457">
        <v>1850.1645719756871</v>
      </c>
      <c r="I12" s="458">
        <v>1917.1642434992227</v>
      </c>
      <c r="J12" s="457">
        <v>2090.6486849170938</v>
      </c>
      <c r="K12" s="458">
        <v>2281.464868725081</v>
      </c>
      <c r="L12" s="457">
        <v>2441.8668834361247</v>
      </c>
      <c r="M12" s="458">
        <v>2487.4603849935415</v>
      </c>
      <c r="N12" s="459">
        <v>2582.7207564451369</v>
      </c>
      <c r="O12" s="460">
        <v>2612.1277928402606</v>
      </c>
      <c r="P12" s="451"/>
      <c r="Q12" s="452">
        <v>1.138606886622906E-2</v>
      </c>
      <c r="R12" s="453">
        <v>4.6133255934772688E-2</v>
      </c>
      <c r="S12" s="454"/>
    </row>
    <row r="13" spans="2:19" ht="18" customHeight="1" thickBot="1">
      <c r="B13" s="455" t="s">
        <v>1876</v>
      </c>
      <c r="C13" s="456" t="s">
        <v>1477</v>
      </c>
      <c r="D13" s="457">
        <v>1722.6034666050571</v>
      </c>
      <c r="E13" s="458">
        <v>1815.591817475673</v>
      </c>
      <c r="F13" s="457">
        <v>1935.2609068839854</v>
      </c>
      <c r="G13" s="458">
        <v>2010.9299604622613</v>
      </c>
      <c r="H13" s="457">
        <v>2130.500577485856</v>
      </c>
      <c r="I13" s="458">
        <v>2244.3977236150963</v>
      </c>
      <c r="J13" s="457">
        <v>2327.6302215005462</v>
      </c>
      <c r="K13" s="458">
        <v>2431.2115563163397</v>
      </c>
      <c r="L13" s="457">
        <v>2592.2163089311498</v>
      </c>
      <c r="M13" s="458">
        <v>2736.4276577385417</v>
      </c>
      <c r="N13" s="459">
        <v>2754.9413018779796</v>
      </c>
      <c r="O13" s="460">
        <v>2862.8111062906178</v>
      </c>
      <c r="P13" s="451"/>
      <c r="Q13" s="452">
        <v>3.9155028217517929E-2</v>
      </c>
      <c r="R13" s="453">
        <v>4.6592088993308689E-2</v>
      </c>
      <c r="S13" s="454"/>
    </row>
    <row r="14" spans="2:19" ht="16" customHeight="1" thickBot="1">
      <c r="B14" s="455" t="s">
        <v>1877</v>
      </c>
      <c r="C14" s="456" t="s">
        <v>1878</v>
      </c>
      <c r="D14" s="457">
        <v>1135.7666791471866</v>
      </c>
      <c r="E14" s="458">
        <v>1207.1705655887454</v>
      </c>
      <c r="F14" s="457">
        <v>1287.8682695481589</v>
      </c>
      <c r="G14" s="458">
        <v>1351.582122301535</v>
      </c>
      <c r="H14" s="457">
        <v>1451.1566242672343</v>
      </c>
      <c r="I14" s="458">
        <v>1548.8249816122338</v>
      </c>
      <c r="J14" s="457">
        <v>1615.4324000167742</v>
      </c>
      <c r="K14" s="458">
        <v>1666.6209287074066</v>
      </c>
      <c r="L14" s="457">
        <v>1751.3120155631952</v>
      </c>
      <c r="M14" s="458">
        <v>1868.8498613140498</v>
      </c>
      <c r="N14" s="459">
        <v>1876.1663221824504</v>
      </c>
      <c r="O14" s="460">
        <v>1947.0011165814174</v>
      </c>
      <c r="P14" s="451"/>
      <c r="Q14" s="452">
        <v>3.7755071904589155E-2</v>
      </c>
      <c r="R14" s="453">
        <v>4.8962001706349678E-2</v>
      </c>
      <c r="S14" s="454"/>
    </row>
    <row r="15" spans="2:19" ht="16" customHeight="1" thickBot="1">
      <c r="B15" s="455" t="s">
        <v>1879</v>
      </c>
      <c r="C15" s="456" t="s">
        <v>1880</v>
      </c>
      <c r="D15" s="457">
        <v>586.83678759613247</v>
      </c>
      <c r="E15" s="458">
        <v>608.42125188692751</v>
      </c>
      <c r="F15" s="457">
        <v>647.39263733582686</v>
      </c>
      <c r="G15" s="458">
        <v>659.34783816072627</v>
      </c>
      <c r="H15" s="457">
        <v>679.34395321862166</v>
      </c>
      <c r="I15" s="458">
        <v>695.57285390457537</v>
      </c>
      <c r="J15" s="457">
        <v>712.19782148377203</v>
      </c>
      <c r="K15" s="458">
        <v>764.59062760893346</v>
      </c>
      <c r="L15" s="457">
        <v>840.90429336795432</v>
      </c>
      <c r="M15" s="458">
        <v>867.57779639624982</v>
      </c>
      <c r="N15" s="459">
        <v>878.77497969552894</v>
      </c>
      <c r="O15" s="460">
        <v>915.80998970920029</v>
      </c>
      <c r="P15" s="451"/>
      <c r="Q15" s="452">
        <v>4.2143905856881547E-2</v>
      </c>
      <c r="R15" s="453">
        <v>4.1741822771853121E-2</v>
      </c>
      <c r="S15" s="454"/>
    </row>
    <row r="16" spans="2:19" ht="16" customHeight="1" thickBot="1">
      <c r="B16" s="455" t="s">
        <v>1881</v>
      </c>
      <c r="C16" s="456" t="s">
        <v>1882</v>
      </c>
      <c r="D16" s="457">
        <v>232.07645782669101</v>
      </c>
      <c r="E16" s="458">
        <v>245.69743221523311</v>
      </c>
      <c r="F16" s="457">
        <v>289.40857360180263</v>
      </c>
      <c r="G16" s="458">
        <v>301.20274500235331</v>
      </c>
      <c r="H16" s="457">
        <v>314.93213457244229</v>
      </c>
      <c r="I16" s="458">
        <v>328.74449565473458</v>
      </c>
      <c r="J16" s="457">
        <v>340.77001636024784</v>
      </c>
      <c r="K16" s="458">
        <v>351.10178317952989</v>
      </c>
      <c r="L16" s="457">
        <v>383.59639861400456</v>
      </c>
      <c r="M16" s="458">
        <v>402.77581823634512</v>
      </c>
      <c r="N16" s="459">
        <v>406.33028735313604</v>
      </c>
      <c r="O16" s="460">
        <v>418.57781696455766</v>
      </c>
      <c r="P16" s="451"/>
      <c r="Q16" s="452">
        <v>3.0141808259489755E-2</v>
      </c>
      <c r="R16" s="453">
        <v>5.4720917400634894E-2</v>
      </c>
      <c r="S16" s="454"/>
    </row>
    <row r="17" spans="2:19" ht="18.75" customHeight="1" thickBot="1">
      <c r="B17" s="455" t="s">
        <v>1883</v>
      </c>
      <c r="C17" s="456" t="s">
        <v>1478</v>
      </c>
      <c r="D17" s="457">
        <v>1490.5270087783663</v>
      </c>
      <c r="E17" s="458">
        <v>1569.89438526044</v>
      </c>
      <c r="F17" s="457">
        <v>1645.8523332821831</v>
      </c>
      <c r="G17" s="458">
        <v>1709.7272154599079</v>
      </c>
      <c r="H17" s="457">
        <v>1815.5684429134135</v>
      </c>
      <c r="I17" s="458">
        <v>1915.651858294355</v>
      </c>
      <c r="J17" s="457">
        <v>1986.8602051130677</v>
      </c>
      <c r="K17" s="458">
        <v>2080.1097731368104</v>
      </c>
      <c r="L17" s="457">
        <v>2208.6199103577751</v>
      </c>
      <c r="M17" s="458">
        <v>2333.6518395021967</v>
      </c>
      <c r="N17" s="459">
        <v>2348.6110145248435</v>
      </c>
      <c r="O17" s="460">
        <v>2444.23328932606</v>
      </c>
      <c r="P17" s="451"/>
      <c r="Q17" s="452">
        <v>4.071439425679535E-2</v>
      </c>
      <c r="R17" s="453">
        <v>4.5266957389642926E-2</v>
      </c>
      <c r="S17" s="454"/>
    </row>
    <row r="18" spans="2:19" ht="15.75" customHeight="1" thickBot="1">
      <c r="B18" s="455" t="s">
        <v>1884</v>
      </c>
      <c r="C18" s="467" t="s">
        <v>1885</v>
      </c>
      <c r="D18" s="457">
        <v>132.70728197496166</v>
      </c>
      <c r="E18" s="458">
        <v>123.43149540708448</v>
      </c>
      <c r="F18" s="457">
        <v>117.97848775207628</v>
      </c>
      <c r="G18" s="458">
        <v>117.4940565477967</v>
      </c>
      <c r="H18" s="457">
        <v>118.82517959459129</v>
      </c>
      <c r="I18" s="458">
        <v>124.48209504112421</v>
      </c>
      <c r="J18" s="457">
        <v>125.74808222386092</v>
      </c>
      <c r="K18" s="458">
        <v>128.73966972012903</v>
      </c>
      <c r="L18" s="457">
        <v>133.72666834516724</v>
      </c>
      <c r="M18" s="458">
        <v>134.36734701880681</v>
      </c>
      <c r="N18" s="459">
        <v>144.14164993460486</v>
      </c>
      <c r="O18" s="460">
        <v>142.1810814948058</v>
      </c>
      <c r="P18" s="451"/>
      <c r="Q18" s="452">
        <v>-1.3601678908827131E-2</v>
      </c>
      <c r="R18" s="453">
        <v>1.4241980036239443E-2</v>
      </c>
      <c r="S18" s="454"/>
    </row>
    <row r="19" spans="2:19" ht="18" customHeight="1" thickBot="1">
      <c r="B19" s="455" t="s">
        <v>1886</v>
      </c>
      <c r="C19" s="456" t="s">
        <v>1887</v>
      </c>
      <c r="D19" s="457">
        <v>477.62973077565988</v>
      </c>
      <c r="E19" s="458">
        <v>484.75254775428522</v>
      </c>
      <c r="F19" s="457">
        <v>509.74935597525797</v>
      </c>
      <c r="G19" s="458">
        <v>524.03642778331459</v>
      </c>
      <c r="H19" s="457">
        <v>544.55016542757153</v>
      </c>
      <c r="I19" s="458">
        <v>547.35962635511339</v>
      </c>
      <c r="J19" s="457">
        <v>547.06945209780417</v>
      </c>
      <c r="K19" s="458">
        <v>578.39954541909435</v>
      </c>
      <c r="L19" s="457">
        <v>607.83383459013214</v>
      </c>
      <c r="M19" s="458">
        <v>633.47119917588623</v>
      </c>
      <c r="N19" s="459">
        <v>667.24895580511941</v>
      </c>
      <c r="O19" s="460">
        <v>694.39870760476651</v>
      </c>
      <c r="P19" s="451"/>
      <c r="Q19" s="452">
        <v>4.0689088478059077E-2</v>
      </c>
      <c r="R19" s="453">
        <v>3.6594452600364757E-2</v>
      </c>
      <c r="S19" s="454"/>
    </row>
    <row r="20" spans="2:19" ht="19.5" customHeight="1" thickBot="1">
      <c r="B20" s="455" t="s">
        <v>1888</v>
      </c>
      <c r="C20" s="456" t="s">
        <v>1889</v>
      </c>
      <c r="D20" s="457">
        <v>394.88575237875602</v>
      </c>
      <c r="E20" s="458">
        <v>413.44461478530076</v>
      </c>
      <c r="F20" s="457">
        <v>411.98967338686089</v>
      </c>
      <c r="G20" s="458">
        <v>423.27251702147385</v>
      </c>
      <c r="H20" s="457">
        <v>389.82276793217119</v>
      </c>
      <c r="I20" s="458">
        <v>287.99008361810974</v>
      </c>
      <c r="J20" s="457">
        <v>267.61478124431557</v>
      </c>
      <c r="K20" s="458">
        <v>324.68015590359045</v>
      </c>
      <c r="L20" s="457">
        <v>402.03849991887398</v>
      </c>
      <c r="M20" s="458">
        <v>428.26064350549666</v>
      </c>
      <c r="N20" s="459">
        <v>501.3097896958493</v>
      </c>
      <c r="O20" s="460">
        <v>526.75261307816504</v>
      </c>
      <c r="P20" s="451"/>
      <c r="Q20" s="452">
        <v>5.0752696047990931E-2</v>
      </c>
      <c r="R20" s="453">
        <v>2.4516449857019618E-2</v>
      </c>
      <c r="S20" s="454"/>
    </row>
    <row r="21" spans="2:19" ht="16" customHeight="1" thickBot="1">
      <c r="B21" s="455" t="s">
        <v>1890</v>
      </c>
      <c r="C21" s="456" t="s">
        <v>1891</v>
      </c>
      <c r="D21" s="457">
        <v>11130.63582</v>
      </c>
      <c r="E21" s="458">
        <v>12040.684128000001</v>
      </c>
      <c r="F21" s="457">
        <v>12708.270148</v>
      </c>
      <c r="G21" s="458">
        <v>13033.842773</v>
      </c>
      <c r="H21" s="457">
        <v>13441.654683999999</v>
      </c>
      <c r="I21" s="458">
        <v>13997.312</v>
      </c>
      <c r="J21" s="457">
        <v>15355.045232</v>
      </c>
      <c r="K21" s="458">
        <v>16820.111152000001</v>
      </c>
      <c r="L21" s="457">
        <v>18029.704831999999</v>
      </c>
      <c r="M21" s="458">
        <v>18496.419615660001</v>
      </c>
      <c r="N21" s="459">
        <v>19314.688173570001</v>
      </c>
      <c r="O21" s="460">
        <v>19689.141486260003</v>
      </c>
      <c r="P21" s="451"/>
      <c r="Q21" s="452">
        <v>1.9386971683156728E-2</v>
      </c>
      <c r="R21" s="453">
        <v>5.0406889658870968E-2</v>
      </c>
      <c r="S21" s="454"/>
    </row>
    <row r="22" spans="2:19" ht="18" customHeight="1" thickBot="1">
      <c r="B22" s="455" t="s">
        <v>1892</v>
      </c>
      <c r="C22" s="456" t="s">
        <v>1480</v>
      </c>
      <c r="D22" s="457">
        <v>12459.017247</v>
      </c>
      <c r="E22" s="458">
        <v>13138.477535</v>
      </c>
      <c r="F22" s="457">
        <v>14024.092651999999</v>
      </c>
      <c r="G22" s="458">
        <v>14620.510517999999</v>
      </c>
      <c r="H22" s="457">
        <v>15478.327442</v>
      </c>
      <c r="I22" s="458">
        <v>16386.46</v>
      </c>
      <c r="J22" s="457">
        <v>17095.587409</v>
      </c>
      <c r="K22" s="458">
        <v>17924.119354999999</v>
      </c>
      <c r="L22" s="457">
        <v>19139.820941000002</v>
      </c>
      <c r="M22" s="458">
        <v>20347.706645210001</v>
      </c>
      <c r="N22" s="459">
        <v>20602.626919490001</v>
      </c>
      <c r="O22" s="460">
        <v>21578.688866100001</v>
      </c>
      <c r="P22" s="451"/>
      <c r="Q22" s="452">
        <v>4.7375606539117987E-2</v>
      </c>
      <c r="R22" s="453">
        <v>5.0867597129124142E-2</v>
      </c>
      <c r="S22" s="454"/>
    </row>
    <row r="23" spans="2:19" ht="16" customHeight="1" thickBot="1">
      <c r="B23" s="455" t="s">
        <v>1893</v>
      </c>
      <c r="C23" s="456" t="s">
        <v>1894</v>
      </c>
      <c r="D23" s="457">
        <v>1678.5317379999999</v>
      </c>
      <c r="E23" s="458">
        <v>1777.9823429999999</v>
      </c>
      <c r="F23" s="457">
        <v>2097.2328000000002</v>
      </c>
      <c r="G23" s="458">
        <v>2189.9011839999998</v>
      </c>
      <c r="H23" s="457">
        <v>2288.0175450000002</v>
      </c>
      <c r="I23" s="458">
        <v>2400.1799999999998</v>
      </c>
      <c r="J23" s="457">
        <v>2502.8303667999999</v>
      </c>
      <c r="K23" s="458">
        <v>2588.499652</v>
      </c>
      <c r="L23" s="457">
        <v>2832.3123952999999</v>
      </c>
      <c r="M23" s="458">
        <v>2994.9866096700002</v>
      </c>
      <c r="N23" s="459">
        <v>3038.7113187200002</v>
      </c>
      <c r="O23" s="460">
        <v>3155.0668707</v>
      </c>
      <c r="P23" s="451"/>
      <c r="Q23" s="452">
        <v>3.829108453415464E-2</v>
      </c>
      <c r="R23" s="453">
        <v>5.902963319429122E-2</v>
      </c>
      <c r="S23" s="454"/>
    </row>
    <row r="24" spans="2:19" ht="18.75" customHeight="1" thickBot="1">
      <c r="B24" s="455" t="s">
        <v>1895</v>
      </c>
      <c r="C24" s="456" t="s">
        <v>1481</v>
      </c>
      <c r="D24" s="457">
        <v>10780.485509</v>
      </c>
      <c r="E24" s="458">
        <v>11360.495192</v>
      </c>
      <c r="F24" s="457">
        <v>11926.859852</v>
      </c>
      <c r="G24" s="458">
        <v>12430.609334000001</v>
      </c>
      <c r="H24" s="457">
        <v>13190.309896999999</v>
      </c>
      <c r="I24" s="458">
        <v>13986.27</v>
      </c>
      <c r="J24" s="457">
        <v>14592.757041999999</v>
      </c>
      <c r="K24" s="458">
        <v>15335.619703</v>
      </c>
      <c r="L24" s="457">
        <v>16307.508545999999</v>
      </c>
      <c r="M24" s="458">
        <v>17352.720035540002</v>
      </c>
      <c r="N24" s="459">
        <v>17563.91560077</v>
      </c>
      <c r="O24" s="460">
        <v>18423.621995400001</v>
      </c>
      <c r="P24" s="451"/>
      <c r="Q24" s="452">
        <v>4.8947308457364169E-2</v>
      </c>
      <c r="R24" s="453">
        <v>4.9537052135645743E-2</v>
      </c>
      <c r="S24" s="454"/>
    </row>
    <row r="25" spans="2:19" ht="15.75" customHeight="1" thickBot="1">
      <c r="B25" s="455" t="s">
        <v>1896</v>
      </c>
      <c r="C25" s="456" t="s">
        <v>339</v>
      </c>
      <c r="D25" s="457">
        <v>959.82757900000001</v>
      </c>
      <c r="E25" s="458">
        <v>893.208437</v>
      </c>
      <c r="F25" s="457">
        <v>854.94479699999999</v>
      </c>
      <c r="G25" s="458">
        <v>854.24312299999997</v>
      </c>
      <c r="H25" s="457">
        <v>863.27835700000003</v>
      </c>
      <c r="I25" s="458">
        <v>908.85</v>
      </c>
      <c r="J25" s="457">
        <v>923.57338863999996</v>
      </c>
      <c r="K25" s="458">
        <v>949.13385871000003</v>
      </c>
      <c r="L25" s="457">
        <v>987.38075149999997</v>
      </c>
      <c r="M25" s="458">
        <v>999.13745283999992</v>
      </c>
      <c r="N25" s="459">
        <v>1077.9527807500003</v>
      </c>
      <c r="O25" s="460">
        <v>1071.7023255499998</v>
      </c>
      <c r="P25" s="451"/>
      <c r="Q25" s="452">
        <v>-5.7984499058034711E-3</v>
      </c>
      <c r="R25" s="453">
        <v>1.8385332430104429E-2</v>
      </c>
      <c r="S25" s="454"/>
    </row>
    <row r="26" spans="2:19" ht="15.75" customHeight="1" thickBot="1">
      <c r="B26" s="455">
        <v>11</v>
      </c>
      <c r="C26" s="456" t="s">
        <v>340</v>
      </c>
      <c r="D26" s="457">
        <v>-319.932346</v>
      </c>
      <c r="E26" s="458">
        <v>70.171887999999996</v>
      </c>
      <c r="F26" s="457">
        <v>-3.3297E-2</v>
      </c>
      <c r="G26" s="458">
        <v>-49.386769999999999</v>
      </c>
      <c r="H26" s="457">
        <v>-305.95411300000001</v>
      </c>
      <c r="I26" s="458">
        <v>-789.7</v>
      </c>
      <c r="J26" s="457">
        <v>-223.6723628</v>
      </c>
      <c r="K26" s="458">
        <v>399.72993602999998</v>
      </c>
      <c r="L26" s="457">
        <v>514.14165576000005</v>
      </c>
      <c r="M26" s="458">
        <v>171.42467388000034</v>
      </c>
      <c r="N26" s="459">
        <v>490.9499524699998</v>
      </c>
      <c r="O26" s="460">
        <v>178.66007693999958</v>
      </c>
      <c r="P26" s="451"/>
      <c r="Q26" s="452" t="s">
        <v>59</v>
      </c>
      <c r="R26" s="453" t="s">
        <v>59</v>
      </c>
      <c r="S26" s="454"/>
    </row>
    <row r="27" spans="2:19" ht="18" customHeight="1" thickBot="1">
      <c r="B27" s="455" t="s">
        <v>341</v>
      </c>
      <c r="C27" s="456" t="s">
        <v>342</v>
      </c>
      <c r="D27" s="457">
        <v>3454.5367919999999</v>
      </c>
      <c r="E27" s="458">
        <v>3507.8977540000001</v>
      </c>
      <c r="F27" s="457">
        <v>3693.9578390000001</v>
      </c>
      <c r="G27" s="458">
        <v>3810.0183769999999</v>
      </c>
      <c r="H27" s="457">
        <v>3956.2184860000002</v>
      </c>
      <c r="I27" s="458">
        <v>3996.3</v>
      </c>
      <c r="J27" s="457">
        <v>4018.0238040999998</v>
      </c>
      <c r="K27" s="458">
        <v>4264.2535405999997</v>
      </c>
      <c r="L27" s="457">
        <v>4487.9860974000003</v>
      </c>
      <c r="M27" s="458">
        <v>4710.4063184600009</v>
      </c>
      <c r="N27" s="459">
        <v>4989.9724867100003</v>
      </c>
      <c r="O27" s="460">
        <v>5234.0909351299988</v>
      </c>
      <c r="P27" s="451"/>
      <c r="Q27" s="452">
        <v>4.8921802488925303E-2</v>
      </c>
      <c r="R27" s="453">
        <v>4.0829118677286003E-2</v>
      </c>
      <c r="S27" s="454"/>
    </row>
    <row r="28" spans="2:19" ht="19.5" customHeight="1" thickBot="1">
      <c r="B28" s="455" t="s">
        <v>343</v>
      </c>
      <c r="C28" s="456" t="s">
        <v>1482</v>
      </c>
      <c r="D28" s="468">
        <v>0.3204435263250443</v>
      </c>
      <c r="E28" s="469">
        <v>0.30878035637656381</v>
      </c>
      <c r="F28" s="468">
        <v>0.30971755221728081</v>
      </c>
      <c r="G28" s="469">
        <v>0.30650294564232661</v>
      </c>
      <c r="H28" s="468">
        <v>0.29993370261147551</v>
      </c>
      <c r="I28" s="469">
        <v>0.28573021970832824</v>
      </c>
      <c r="J28" s="468">
        <v>0.27534370595875501</v>
      </c>
      <c r="K28" s="469">
        <v>0.27806202965282278</v>
      </c>
      <c r="L28" s="468">
        <v>0.27520979582750793</v>
      </c>
      <c r="M28" s="469">
        <v>0.27145060306468599</v>
      </c>
      <c r="N28" s="470">
        <v>0.28410364750848838</v>
      </c>
      <c r="O28" s="471">
        <v>0.28409673930765861</v>
      </c>
      <c r="P28" s="451"/>
      <c r="Q28" s="452" t="s">
        <v>59</v>
      </c>
      <c r="R28" s="453" t="s">
        <v>59</v>
      </c>
      <c r="S28" s="454"/>
    </row>
    <row r="29" spans="2:19" ht="19.5" customHeight="1" thickBot="1">
      <c r="B29" s="455" t="s">
        <v>344</v>
      </c>
      <c r="C29" s="456" t="s">
        <v>345</v>
      </c>
      <c r="D29" s="457">
        <v>2856.0771500000001</v>
      </c>
      <c r="E29" s="458">
        <v>2991.8799650000001</v>
      </c>
      <c r="F29" s="457">
        <v>2985.5309590000002</v>
      </c>
      <c r="G29" s="458">
        <v>3077.412147</v>
      </c>
      <c r="H29" s="457">
        <v>2832.1064590000001</v>
      </c>
      <c r="I29" s="458">
        <v>2102.63</v>
      </c>
      <c r="J29" s="457">
        <v>1965.5320859999999</v>
      </c>
      <c r="K29" s="458">
        <v>2393.7060728000001</v>
      </c>
      <c r="L29" s="457">
        <v>2968.4810149999998</v>
      </c>
      <c r="M29" s="458">
        <v>3184.4883299199996</v>
      </c>
      <c r="N29" s="459">
        <v>3749.0085763900001</v>
      </c>
      <c r="O29" s="460">
        <v>3970.4438487200005</v>
      </c>
      <c r="P29" s="451"/>
      <c r="Q29" s="452">
        <v>5.906502154316895E-2</v>
      </c>
      <c r="R29" s="453">
        <v>2.8701775221798398E-2</v>
      </c>
      <c r="S29" s="454"/>
    </row>
    <row r="30" spans="2:19" s="419" customFormat="1" ht="19.5" customHeight="1" thickBot="1">
      <c r="B30" s="472" t="s">
        <v>2338</v>
      </c>
      <c r="C30" s="473" t="s">
        <v>1483</v>
      </c>
      <c r="D30" s="474">
        <v>0.25659604681954279</v>
      </c>
      <c r="E30" s="475">
        <v>0.24848089470618492</v>
      </c>
      <c r="F30" s="474">
        <v>0.23492819433570639</v>
      </c>
      <c r="G30" s="475">
        <v>0.23610935014307161</v>
      </c>
      <c r="H30" s="474">
        <v>0.21069626661151625</v>
      </c>
      <c r="I30" s="475">
        <v>0.15</v>
      </c>
      <c r="J30" s="474">
        <v>0.12800562009999999</v>
      </c>
      <c r="K30" s="475">
        <v>0.1423121436</v>
      </c>
      <c r="L30" s="474">
        <v>0.1646439053</v>
      </c>
      <c r="M30" s="475">
        <v>0.17216782469748099</v>
      </c>
      <c r="N30" s="476">
        <v>0.19410142906268091</v>
      </c>
      <c r="O30" s="477">
        <v>0.20165652481550608</v>
      </c>
      <c r="P30" s="478"/>
      <c r="Q30" s="479" t="s">
        <v>59</v>
      </c>
      <c r="R30" s="480" t="s">
        <v>59</v>
      </c>
      <c r="S30" s="481"/>
    </row>
    <row r="31" spans="2:19" ht="17.25" customHeight="1">
      <c r="B31" s="482" t="s">
        <v>1256</v>
      </c>
      <c r="C31" s="482"/>
      <c r="D31" s="483"/>
      <c r="E31" s="483"/>
      <c r="F31" s="483"/>
      <c r="G31" s="483"/>
      <c r="H31" s="483"/>
      <c r="I31" s="484"/>
      <c r="K31" s="484"/>
      <c r="L31" s="485"/>
    </row>
    <row r="32" spans="2:19" ht="13.5" customHeight="1">
      <c r="B32" s="486"/>
      <c r="C32" s="486"/>
      <c r="D32" s="381"/>
      <c r="E32" s="381"/>
      <c r="F32" s="381"/>
      <c r="G32" s="381"/>
      <c r="H32" s="381"/>
      <c r="I32" s="487"/>
      <c r="K32" s="487"/>
      <c r="L32" s="487"/>
    </row>
    <row r="33" spans="1:12" ht="12" customHeight="1">
      <c r="B33" s="348" t="s">
        <v>2339</v>
      </c>
      <c r="C33" s="348"/>
      <c r="D33" s="381"/>
      <c r="E33" s="381"/>
      <c r="F33" s="381"/>
      <c r="G33" s="381"/>
      <c r="H33" s="381"/>
      <c r="I33" s="487"/>
      <c r="K33" s="487"/>
      <c r="L33" s="487"/>
    </row>
    <row r="34" spans="1:12" ht="12.75" customHeight="1">
      <c r="B34" s="348" t="s">
        <v>2340</v>
      </c>
      <c r="C34" s="348"/>
      <c r="D34" s="381"/>
      <c r="E34" s="381"/>
      <c r="F34" s="381"/>
      <c r="G34" s="381"/>
      <c r="H34" s="381"/>
      <c r="I34" s="487"/>
      <c r="K34" s="487"/>
      <c r="L34" s="487"/>
    </row>
    <row r="35" spans="1:12" ht="12" customHeight="1">
      <c r="B35" s="4" t="s">
        <v>2341</v>
      </c>
      <c r="C35" s="4"/>
      <c r="D35" s="54"/>
      <c r="E35" s="54"/>
      <c r="F35" s="1"/>
      <c r="G35" s="1"/>
      <c r="H35" s="1"/>
      <c r="I35" s="17"/>
      <c r="K35" s="17"/>
      <c r="L35" s="17"/>
    </row>
    <row r="36" spans="1:12" ht="12" customHeight="1">
      <c r="B36" s="4" t="s">
        <v>2342</v>
      </c>
      <c r="C36" s="4"/>
      <c r="D36" s="54"/>
      <c r="E36" s="54"/>
      <c r="F36" s="1"/>
      <c r="G36" s="1"/>
      <c r="H36" s="1"/>
      <c r="I36" s="17"/>
      <c r="K36" s="17"/>
      <c r="L36" s="17"/>
    </row>
    <row r="37" spans="1:12" ht="11.25" customHeight="1">
      <c r="B37" s="488"/>
      <c r="C37" s="488"/>
      <c r="D37" s="489"/>
      <c r="E37" s="489"/>
      <c r="F37" s="490"/>
      <c r="G37" s="490"/>
      <c r="H37" s="490"/>
      <c r="I37" s="491"/>
      <c r="K37" s="491"/>
      <c r="L37" s="491"/>
    </row>
    <row r="38" spans="1:12">
      <c r="B38" s="4" t="s">
        <v>2343</v>
      </c>
      <c r="C38" s="4"/>
      <c r="D38" s="37"/>
      <c r="E38" s="37"/>
    </row>
    <row r="39" spans="1:12">
      <c r="B39" s="4" t="s">
        <v>2344</v>
      </c>
      <c r="C39" s="4"/>
      <c r="D39" s="37"/>
      <c r="E39" s="37"/>
    </row>
    <row r="40" spans="1:12">
      <c r="B40" s="4" t="s">
        <v>1452</v>
      </c>
      <c r="C40" s="4"/>
      <c r="D40" s="37"/>
      <c r="E40" s="37"/>
    </row>
    <row r="41" spans="1:12">
      <c r="A41" s="156"/>
      <c r="B41" s="492">
        <v>1</v>
      </c>
      <c r="C41" s="493" t="s">
        <v>1453</v>
      </c>
      <c r="D41" s="494"/>
      <c r="E41" s="495" t="s">
        <v>1881</v>
      </c>
      <c r="F41" s="496" t="s">
        <v>1454</v>
      </c>
      <c r="G41" s="497"/>
      <c r="H41" s="497"/>
      <c r="I41" s="498"/>
      <c r="J41" s="497"/>
      <c r="K41" s="498"/>
      <c r="L41" s="486"/>
    </row>
    <row r="42" spans="1:12">
      <c r="A42" s="156"/>
      <c r="B42" s="492">
        <v>2</v>
      </c>
      <c r="C42" s="499" t="s">
        <v>1455</v>
      </c>
      <c r="D42" s="494"/>
      <c r="E42" s="500" t="s">
        <v>1895</v>
      </c>
      <c r="F42" s="497" t="s">
        <v>1456</v>
      </c>
      <c r="G42" s="497"/>
      <c r="H42" s="497"/>
      <c r="I42" s="498"/>
      <c r="J42" s="497"/>
      <c r="K42" s="498"/>
      <c r="L42" s="486"/>
    </row>
    <row r="43" spans="1:12">
      <c r="A43" s="156"/>
      <c r="B43" s="492" t="s">
        <v>1431</v>
      </c>
      <c r="C43" s="497" t="s">
        <v>1457</v>
      </c>
      <c r="D43" s="494"/>
      <c r="E43" s="500" t="s">
        <v>1895</v>
      </c>
      <c r="F43" s="497" t="s">
        <v>1456</v>
      </c>
      <c r="G43" s="497"/>
      <c r="H43" s="497"/>
      <c r="I43" s="498"/>
      <c r="J43" s="497"/>
      <c r="K43" s="498"/>
      <c r="L43" s="486"/>
    </row>
    <row r="44" spans="1:12">
      <c r="A44" s="156"/>
      <c r="B44" s="492" t="s">
        <v>1433</v>
      </c>
      <c r="C44" s="496" t="s">
        <v>1458</v>
      </c>
      <c r="D44" s="494"/>
      <c r="E44" s="500" t="s">
        <v>1883</v>
      </c>
      <c r="F44" s="497" t="s">
        <v>1459</v>
      </c>
      <c r="G44" s="497"/>
      <c r="H44" s="497"/>
      <c r="I44" s="498"/>
      <c r="J44" s="497"/>
      <c r="K44" s="498"/>
      <c r="L44" s="486"/>
    </row>
    <row r="45" spans="1:12">
      <c r="A45" s="156"/>
      <c r="B45" s="492">
        <v>4</v>
      </c>
      <c r="C45" s="497" t="s">
        <v>1460</v>
      </c>
      <c r="D45" s="501"/>
      <c r="E45" s="500" t="s">
        <v>1896</v>
      </c>
      <c r="F45" s="497" t="s">
        <v>1461</v>
      </c>
      <c r="G45" s="497"/>
      <c r="H45" s="497"/>
      <c r="I45" s="498"/>
      <c r="J45" s="497"/>
      <c r="K45" s="498"/>
      <c r="L45" s="486"/>
    </row>
    <row r="46" spans="1:12">
      <c r="A46" s="156"/>
      <c r="B46" s="492">
        <v>5</v>
      </c>
      <c r="C46" s="497" t="s">
        <v>1460</v>
      </c>
      <c r="D46" s="501"/>
      <c r="E46" s="500" t="s">
        <v>1884</v>
      </c>
      <c r="F46" s="497" t="s">
        <v>1462</v>
      </c>
      <c r="G46" s="497"/>
      <c r="H46" s="497"/>
      <c r="I46" s="498"/>
      <c r="J46" s="497"/>
      <c r="K46" s="498"/>
      <c r="L46" s="486"/>
    </row>
    <row r="47" spans="1:12">
      <c r="A47" s="156"/>
      <c r="B47" s="492" t="s">
        <v>1890</v>
      </c>
      <c r="C47" s="497" t="s">
        <v>1463</v>
      </c>
      <c r="D47" s="501"/>
      <c r="E47" s="500">
        <v>11</v>
      </c>
      <c r="F47" s="497" t="s">
        <v>1464</v>
      </c>
      <c r="G47" s="497"/>
      <c r="H47" s="497"/>
      <c r="I47" s="498"/>
      <c r="J47" s="497"/>
      <c r="K47" s="498"/>
      <c r="L47" s="486"/>
    </row>
    <row r="48" spans="1:12">
      <c r="A48" s="156"/>
      <c r="B48" s="492" t="s">
        <v>1874</v>
      </c>
      <c r="C48" s="496" t="s">
        <v>1465</v>
      </c>
      <c r="D48" s="501"/>
      <c r="E48" s="500" t="s">
        <v>341</v>
      </c>
      <c r="F48" s="497" t="s">
        <v>1466</v>
      </c>
      <c r="G48" s="497"/>
      <c r="H48" s="497"/>
      <c r="I48" s="498"/>
      <c r="J48" s="497"/>
      <c r="K48" s="498"/>
      <c r="L48" s="486"/>
    </row>
    <row r="49" spans="1:12">
      <c r="A49" s="156"/>
      <c r="B49" s="492" t="s">
        <v>1892</v>
      </c>
      <c r="C49" s="497" t="s">
        <v>1467</v>
      </c>
      <c r="D49" s="501"/>
      <c r="E49" s="500" t="s">
        <v>1886</v>
      </c>
      <c r="F49" s="497" t="s">
        <v>1468</v>
      </c>
      <c r="G49" s="497"/>
      <c r="H49" s="497"/>
      <c r="I49" s="498"/>
      <c r="J49" s="497"/>
      <c r="K49" s="498"/>
      <c r="L49" s="486"/>
    </row>
    <row r="50" spans="1:12">
      <c r="A50" s="156"/>
      <c r="B50" s="492" t="s">
        <v>1876</v>
      </c>
      <c r="C50" s="496" t="s">
        <v>1469</v>
      </c>
      <c r="D50" s="501"/>
      <c r="E50" s="500" t="s">
        <v>343</v>
      </c>
      <c r="F50" s="496" t="s">
        <v>1470</v>
      </c>
      <c r="G50" s="497"/>
      <c r="H50" s="497"/>
      <c r="I50" s="498"/>
      <c r="J50" s="497"/>
      <c r="K50" s="498"/>
      <c r="L50" s="486"/>
    </row>
    <row r="51" spans="1:12">
      <c r="A51" s="156"/>
      <c r="B51" s="492" t="s">
        <v>1877</v>
      </c>
      <c r="C51" s="497" t="s">
        <v>1471</v>
      </c>
      <c r="D51" s="501"/>
      <c r="E51" s="500" t="s">
        <v>344</v>
      </c>
      <c r="F51" s="497" t="s">
        <v>1472</v>
      </c>
      <c r="G51" s="497"/>
      <c r="H51" s="497"/>
      <c r="I51" s="498"/>
      <c r="J51" s="497"/>
      <c r="K51" s="498"/>
      <c r="L51" s="486"/>
    </row>
    <row r="52" spans="1:12">
      <c r="A52" s="156"/>
      <c r="B52" s="492" t="s">
        <v>1879</v>
      </c>
      <c r="C52" s="497" t="s">
        <v>1473</v>
      </c>
      <c r="D52" s="501"/>
      <c r="E52" s="500" t="s">
        <v>1888</v>
      </c>
      <c r="F52" s="497" t="s">
        <v>1474</v>
      </c>
      <c r="G52" s="497"/>
      <c r="H52" s="497"/>
      <c r="I52" s="498"/>
      <c r="J52" s="497"/>
      <c r="K52" s="498"/>
      <c r="L52" s="486"/>
    </row>
    <row r="53" spans="1:12">
      <c r="A53" s="156"/>
      <c r="B53" s="492" t="s">
        <v>1893</v>
      </c>
      <c r="C53" s="497" t="s">
        <v>1475</v>
      </c>
      <c r="D53" s="501"/>
      <c r="E53" s="500" t="s">
        <v>2338</v>
      </c>
      <c r="F53" s="497" t="s">
        <v>1476</v>
      </c>
      <c r="G53" s="497"/>
      <c r="H53" s="497"/>
      <c r="I53" s="498"/>
      <c r="J53" s="497"/>
      <c r="K53" s="498"/>
      <c r="L53" s="486"/>
    </row>
    <row r="56" spans="1:12">
      <c r="A56" s="2" t="s">
        <v>634</v>
      </c>
    </row>
  </sheetData>
  <phoneticPr fontId="0" type="noConversion"/>
  <pageMargins left="0.28000000000000003" right="0.25" top="0.32" bottom="0.32" header="0.19" footer="0.23"/>
  <pageSetup paperSize="9" scale="63" orientation="landscape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418F-9B43-3448-8223-1CA6904BE9A9}">
  <sheetPr>
    <pageSetUpPr fitToPage="1"/>
  </sheetPr>
  <dimension ref="A1:E39"/>
  <sheetViews>
    <sheetView topLeftCell="A22" zoomScale="75" workbookViewId="0">
      <selection activeCell="B37" sqref="B37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7.796875" style="2" customWidth="1"/>
    <col min="4" max="4" width="16.796875" style="8" customWidth="1"/>
    <col min="5" max="5" width="18" style="8" customWidth="1"/>
    <col min="6" max="16384" width="11.3984375" style="2"/>
  </cols>
  <sheetData>
    <row r="1" spans="1:5" s="1" customFormat="1" ht="14" customHeight="1">
      <c r="B1" s="166"/>
      <c r="D1" s="274"/>
      <c r="E1" s="274"/>
    </row>
    <row r="2" spans="1:5" s="1" customFormat="1" ht="39" customHeight="1">
      <c r="A2" s="1800" t="s">
        <v>2124</v>
      </c>
      <c r="B2" s="1801"/>
      <c r="C2" s="1801"/>
      <c r="D2" s="1801"/>
      <c r="E2" s="56">
        <v>2007</v>
      </c>
    </row>
    <row r="3" spans="1:5" ht="39" customHeight="1">
      <c r="A3" s="110" t="s">
        <v>1485</v>
      </c>
      <c r="B3" s="110"/>
      <c r="C3" s="111" t="s">
        <v>1486</v>
      </c>
      <c r="D3" s="276" t="s">
        <v>1487</v>
      </c>
      <c r="E3" s="504" t="s">
        <v>629</v>
      </c>
    </row>
    <row r="4" spans="1:5" ht="38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122">
        <v>61</v>
      </c>
      <c r="B5" s="122" t="s">
        <v>1488</v>
      </c>
      <c r="C5" s="326">
        <v>18979948535.139999</v>
      </c>
      <c r="D5" s="327">
        <v>709192951.41999996</v>
      </c>
      <c r="E5" s="508">
        <v>19689141486.560001</v>
      </c>
    </row>
    <row r="6" spans="1:5" ht="20" customHeight="1" thickBot="1">
      <c r="A6" s="127">
        <v>64</v>
      </c>
      <c r="B6" s="127" t="s">
        <v>1489</v>
      </c>
      <c r="C6" s="144">
        <v>-65513742.149999999</v>
      </c>
      <c r="D6" s="297">
        <v>-2485041.1800000002</v>
      </c>
      <c r="E6" s="314">
        <v>-67998783.329999998</v>
      </c>
    </row>
    <row r="7" spans="1:5" ht="20" customHeight="1" thickBot="1">
      <c r="A7" s="127">
        <v>65</v>
      </c>
      <c r="B7" s="127" t="s">
        <v>1490</v>
      </c>
      <c r="C7" s="144">
        <v>8224900.6399999997</v>
      </c>
      <c r="D7" s="297">
        <v>242683.26</v>
      </c>
      <c r="E7" s="314">
        <v>8467583.9000000004</v>
      </c>
    </row>
    <row r="8" spans="1:5" ht="27" customHeight="1" thickBot="1">
      <c r="A8" s="128" t="s">
        <v>1491</v>
      </c>
      <c r="B8" s="128" t="s">
        <v>1492</v>
      </c>
      <c r="C8" s="509">
        <v>18922659693.68</v>
      </c>
      <c r="D8" s="510">
        <v>706950593.49000001</v>
      </c>
      <c r="E8" s="146">
        <v>19629610287.169998</v>
      </c>
    </row>
    <row r="9" spans="1:5" ht="20" customHeight="1" thickBot="1">
      <c r="A9" s="127">
        <v>66</v>
      </c>
      <c r="B9" s="127" t="s">
        <v>1493</v>
      </c>
      <c r="C9" s="144">
        <v>-38269730.5</v>
      </c>
      <c r="D9" s="297">
        <v>-1537313.58</v>
      </c>
      <c r="E9" s="314">
        <v>-39807044.079999998</v>
      </c>
    </row>
    <row r="10" spans="1:5" ht="27" customHeight="1" thickBot="1">
      <c r="A10" s="128" t="s">
        <v>1494</v>
      </c>
      <c r="B10" s="128" t="s">
        <v>1495</v>
      </c>
      <c r="C10" s="509">
        <v>18884389963.130001</v>
      </c>
      <c r="D10" s="510">
        <v>705413279.89999998</v>
      </c>
      <c r="E10" s="146">
        <v>19589803243.029999</v>
      </c>
    </row>
    <row r="11" spans="1:5" ht="20" customHeight="1" thickBot="1">
      <c r="A11" s="127">
        <v>67</v>
      </c>
      <c r="B11" s="127" t="s">
        <v>1496</v>
      </c>
      <c r="C11" s="144">
        <v>1598879698.1400001</v>
      </c>
      <c r="D11" s="297">
        <v>58637879</v>
      </c>
      <c r="E11" s="314">
        <v>1657517577.1400001</v>
      </c>
    </row>
    <row r="12" spans="1:5" ht="20" customHeight="1" thickBot="1">
      <c r="A12" s="127">
        <v>68</v>
      </c>
      <c r="B12" s="127" t="s">
        <v>1497</v>
      </c>
      <c r="C12" s="144">
        <v>-1598893676.71</v>
      </c>
      <c r="D12" s="297">
        <v>-58425341.240000002</v>
      </c>
      <c r="E12" s="314">
        <v>-1657319017.95</v>
      </c>
    </row>
    <row r="13" spans="1:5" ht="20" customHeight="1" thickBot="1">
      <c r="A13" s="127">
        <v>69</v>
      </c>
      <c r="B13" s="127" t="s">
        <v>1498</v>
      </c>
      <c r="C13" s="144">
        <v>99538350.400000006</v>
      </c>
      <c r="D13" s="297">
        <v>3099043.68</v>
      </c>
      <c r="E13" s="314">
        <v>102637394.08</v>
      </c>
    </row>
    <row r="14" spans="1:5" ht="27" customHeight="1" thickBot="1">
      <c r="A14" s="128">
        <v>6</v>
      </c>
      <c r="B14" s="128" t="s">
        <v>1499</v>
      </c>
      <c r="C14" s="509">
        <v>18983914334.959999</v>
      </c>
      <c r="D14" s="510">
        <v>708724861.36000001</v>
      </c>
      <c r="E14" s="146">
        <v>19692639196.32</v>
      </c>
    </row>
    <row r="15" spans="1:5" ht="20" customHeight="1" thickBot="1">
      <c r="A15" s="127">
        <v>31</v>
      </c>
      <c r="B15" s="127" t="s">
        <v>535</v>
      </c>
      <c r="C15" s="144">
        <v>20907829180.700001</v>
      </c>
      <c r="D15" s="297">
        <v>670859684.58000004</v>
      </c>
      <c r="E15" s="314">
        <v>21578688865.279999</v>
      </c>
    </row>
    <row r="16" spans="1:5" ht="20" customHeight="1" thickBot="1">
      <c r="A16" s="127">
        <v>32</v>
      </c>
      <c r="B16" s="127" t="s">
        <v>1500</v>
      </c>
      <c r="C16" s="144">
        <v>-3069116134.5300002</v>
      </c>
      <c r="D16" s="297">
        <v>-85950736.170000002</v>
      </c>
      <c r="E16" s="314">
        <v>-3155066870.6999998</v>
      </c>
    </row>
    <row r="17" spans="1:5" ht="27" customHeight="1" thickBot="1">
      <c r="A17" s="128" t="s">
        <v>1501</v>
      </c>
      <c r="B17" s="128" t="s">
        <v>1502</v>
      </c>
      <c r="C17" s="509">
        <v>17838713046.189999</v>
      </c>
      <c r="D17" s="510">
        <v>584908948.41999996</v>
      </c>
      <c r="E17" s="146">
        <v>18423621994.610001</v>
      </c>
    </row>
    <row r="18" spans="1:5" ht="20" customHeight="1" thickBot="1">
      <c r="A18" s="127">
        <v>34</v>
      </c>
      <c r="B18" s="127" t="s">
        <v>1503</v>
      </c>
      <c r="C18" s="144">
        <v>47033505.5</v>
      </c>
      <c r="D18" s="297">
        <v>82897.679999999993</v>
      </c>
      <c r="E18" s="314">
        <v>47116403.18</v>
      </c>
    </row>
    <row r="19" spans="1:5" ht="20" customHeight="1" thickBot="1">
      <c r="A19" s="127">
        <v>35</v>
      </c>
      <c r="B19" s="127" t="s">
        <v>1504</v>
      </c>
      <c r="C19" s="144">
        <v>205074639.62</v>
      </c>
      <c r="D19" s="297">
        <v>19712790.129999999</v>
      </c>
      <c r="E19" s="314">
        <v>224787429.75</v>
      </c>
    </row>
    <row r="20" spans="1:5" ht="27" customHeight="1" thickBot="1">
      <c r="A20" s="128" t="s">
        <v>1505</v>
      </c>
      <c r="B20" s="128" t="s">
        <v>1506</v>
      </c>
      <c r="C20" s="509">
        <v>18090821191.360001</v>
      </c>
      <c r="D20" s="510">
        <v>604704636.22000003</v>
      </c>
      <c r="E20" s="146">
        <v>18695525827.580002</v>
      </c>
    </row>
    <row r="21" spans="1:5" ht="20" customHeight="1" thickBot="1">
      <c r="A21" s="127">
        <v>36</v>
      </c>
      <c r="B21" s="127" t="s">
        <v>614</v>
      </c>
      <c r="C21" s="144">
        <v>-43632202.5</v>
      </c>
      <c r="D21" s="297">
        <v>-953734.63</v>
      </c>
      <c r="E21" s="314">
        <v>-44585937.130000003</v>
      </c>
    </row>
    <row r="22" spans="1:5" ht="20" customHeight="1" thickBot="1">
      <c r="A22" s="127">
        <v>37</v>
      </c>
      <c r="B22" s="127" t="s">
        <v>615</v>
      </c>
      <c r="C22" s="144">
        <v>75262476.5</v>
      </c>
      <c r="D22" s="297">
        <v>-85518096.469999999</v>
      </c>
      <c r="E22" s="314">
        <v>-10255619.970000001</v>
      </c>
    </row>
    <row r="23" spans="1:5" ht="27" customHeight="1" thickBot="1">
      <c r="A23" s="128">
        <v>3</v>
      </c>
      <c r="B23" s="128" t="s">
        <v>2111</v>
      </c>
      <c r="C23" s="509">
        <v>18122451465.330002</v>
      </c>
      <c r="D23" s="510">
        <v>518232805.06</v>
      </c>
      <c r="E23" s="146">
        <v>18640684270.389999</v>
      </c>
    </row>
    <row r="24" spans="1:5" ht="21" customHeight="1" thickBot="1">
      <c r="A24" s="127" t="s">
        <v>2112</v>
      </c>
      <c r="B24" s="127" t="s">
        <v>2113</v>
      </c>
      <c r="C24" s="144">
        <v>971427571.69000006</v>
      </c>
      <c r="D24" s="297">
        <v>38087346.520000003</v>
      </c>
      <c r="E24" s="314">
        <v>1009514918.21</v>
      </c>
    </row>
    <row r="25" spans="1:5" ht="21" customHeight="1" thickBot="1">
      <c r="A25" s="127">
        <v>48</v>
      </c>
      <c r="B25" s="127" t="s">
        <v>2114</v>
      </c>
      <c r="C25" s="144">
        <v>59349962.920000002</v>
      </c>
      <c r="D25" s="297">
        <v>2837444.42</v>
      </c>
      <c r="E25" s="314">
        <v>62187407.340000004</v>
      </c>
    </row>
    <row r="26" spans="1:5" ht="21" customHeight="1" thickBot="1">
      <c r="A26" s="127">
        <v>49</v>
      </c>
      <c r="B26" s="127" t="s">
        <v>2115</v>
      </c>
      <c r="C26" s="144">
        <v>17133780.489999998</v>
      </c>
      <c r="D26" s="297">
        <v>909218.05</v>
      </c>
      <c r="E26" s="314">
        <v>18042998.539999999</v>
      </c>
    </row>
    <row r="27" spans="1:5" ht="27" customHeight="1" thickBot="1">
      <c r="A27" s="128">
        <v>4</v>
      </c>
      <c r="B27" s="128" t="s">
        <v>2116</v>
      </c>
      <c r="C27" s="509">
        <v>1047911315.12</v>
      </c>
      <c r="D27" s="510">
        <v>41834008.960000001</v>
      </c>
      <c r="E27" s="146">
        <v>1089745324.0799999</v>
      </c>
    </row>
    <row r="28" spans="1:5" ht="27" customHeight="1" thickBot="1">
      <c r="A28" s="128" t="s">
        <v>2117</v>
      </c>
      <c r="B28" s="128" t="s">
        <v>2118</v>
      </c>
      <c r="C28" s="509">
        <v>19170362780.490002</v>
      </c>
      <c r="D28" s="510">
        <v>560066814.05999994</v>
      </c>
      <c r="E28" s="146">
        <v>19730429594.549999</v>
      </c>
    </row>
    <row r="29" spans="1:5" ht="27" customHeight="1" thickBot="1">
      <c r="A29" s="128"/>
      <c r="B29" s="128" t="s">
        <v>2119</v>
      </c>
      <c r="C29" s="509">
        <v>-186448445.49000001</v>
      </c>
      <c r="D29" s="510">
        <v>148658047.31</v>
      </c>
      <c r="E29" s="146">
        <v>-37790398.18</v>
      </c>
    </row>
    <row r="30" spans="1:5" ht="27" customHeight="1" thickBot="1">
      <c r="A30" s="128">
        <v>7</v>
      </c>
      <c r="B30" s="128" t="s">
        <v>2120</v>
      </c>
      <c r="C30" s="509">
        <v>206832386.91</v>
      </c>
      <c r="D30" s="510">
        <v>9618088.2799999993</v>
      </c>
      <c r="E30" s="146">
        <v>216450475.19</v>
      </c>
    </row>
    <row r="31" spans="1:5" ht="34.5" customHeight="1" thickBot="1">
      <c r="A31" s="511"/>
      <c r="B31" s="511" t="s">
        <v>2121</v>
      </c>
      <c r="C31" s="512">
        <v>20383941.390000001</v>
      </c>
      <c r="D31" s="513">
        <v>158276135.55000001</v>
      </c>
      <c r="E31" s="514">
        <v>178660076.94</v>
      </c>
    </row>
    <row r="32" spans="1:5" ht="19.5" customHeight="1">
      <c r="A32" s="2" t="s">
        <v>1256</v>
      </c>
    </row>
    <row r="34" spans="1:1">
      <c r="A34" s="515" t="s">
        <v>1660</v>
      </c>
    </row>
    <row r="35" spans="1:1">
      <c r="A35" s="516"/>
    </row>
    <row r="36" spans="1:1">
      <c r="A36" s="2" t="s">
        <v>2123</v>
      </c>
    </row>
    <row r="39" spans="1:1">
      <c r="A39" s="2" t="s">
        <v>634</v>
      </c>
    </row>
  </sheetData>
  <mergeCells count="1">
    <mergeCell ref="A2:D2"/>
  </mergeCells>
  <phoneticPr fontId="0" type="noConversion"/>
  <pageMargins left="0.62" right="0.69" top="0.71" bottom="0.49" header="0.42" footer="0.4921259845"/>
  <pageSetup paperSize="9" scale="82" orientation="portrait" horizontalDpi="1200" verticalDpi="12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C00A-BC09-7640-8B04-5A3A8711A5AC}">
  <sheetPr>
    <pageSetUpPr fitToPage="1"/>
  </sheetPr>
  <dimension ref="A1:E39"/>
  <sheetViews>
    <sheetView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6.796875" style="2" customWidth="1"/>
    <col min="4" max="4" width="16.796875" style="8" customWidth="1"/>
    <col min="5" max="5" width="18.19921875" style="8" customWidth="1"/>
    <col min="6" max="16384" width="11.3984375" style="2"/>
  </cols>
  <sheetData>
    <row r="1" spans="1:5" s="1" customFormat="1" ht="14" customHeight="1">
      <c r="B1" s="166"/>
      <c r="D1" s="274"/>
      <c r="E1" s="274"/>
    </row>
    <row r="2" spans="1:5" s="1" customFormat="1" ht="28" customHeight="1">
      <c r="A2" s="56" t="s">
        <v>2127</v>
      </c>
      <c r="B2" s="166"/>
      <c r="D2" s="274"/>
      <c r="E2" s="56">
        <v>2007</v>
      </c>
    </row>
    <row r="3" spans="1:5" ht="39" customHeight="1">
      <c r="A3" s="110" t="s">
        <v>1485</v>
      </c>
      <c r="B3" s="110"/>
      <c r="C3" s="111" t="s">
        <v>1486</v>
      </c>
      <c r="D3" s="276" t="s">
        <v>1487</v>
      </c>
      <c r="E3" s="504" t="s">
        <v>629</v>
      </c>
    </row>
    <row r="4" spans="1:5" ht="39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122">
        <v>61</v>
      </c>
      <c r="B5" s="122" t="s">
        <v>1488</v>
      </c>
      <c r="C5" s="326">
        <v>8160401949.6499996</v>
      </c>
      <c r="D5" s="327">
        <v>372065918.94999999</v>
      </c>
      <c r="E5" s="508">
        <v>8532467868.6000004</v>
      </c>
    </row>
    <row r="6" spans="1:5" ht="19.5" customHeight="1" thickBot="1">
      <c r="A6" s="127">
        <v>64</v>
      </c>
      <c r="B6" s="127" t="s">
        <v>1489</v>
      </c>
      <c r="C6" s="144">
        <v>-28400830.940000001</v>
      </c>
      <c r="D6" s="297">
        <v>-1298464.1599999999</v>
      </c>
      <c r="E6" s="314">
        <v>-29699295.100000001</v>
      </c>
    </row>
    <row r="7" spans="1:5" ht="19.5" customHeight="1" thickBot="1">
      <c r="A7" s="127">
        <v>65</v>
      </c>
      <c r="B7" s="127" t="s">
        <v>1490</v>
      </c>
      <c r="C7" s="144">
        <v>3420716.38</v>
      </c>
      <c r="D7" s="297">
        <v>118584.2</v>
      </c>
      <c r="E7" s="314">
        <v>3539300.58</v>
      </c>
    </row>
    <row r="8" spans="1:5" ht="27" customHeight="1" thickBot="1">
      <c r="A8" s="128" t="s">
        <v>1491</v>
      </c>
      <c r="B8" s="128" t="s">
        <v>1492</v>
      </c>
      <c r="C8" s="509">
        <v>8135421835.0900002</v>
      </c>
      <c r="D8" s="510">
        <v>370886038.98000002</v>
      </c>
      <c r="E8" s="146">
        <v>8506307874.0699997</v>
      </c>
    </row>
    <row r="9" spans="1:5" ht="19.5" customHeight="1" thickBot="1">
      <c r="A9" s="127">
        <v>66</v>
      </c>
      <c r="B9" s="127" t="s">
        <v>1493</v>
      </c>
      <c r="C9" s="144">
        <v>-19369802.77</v>
      </c>
      <c r="D9" s="297">
        <v>-884969.9</v>
      </c>
      <c r="E9" s="314">
        <v>-20254772.670000002</v>
      </c>
    </row>
    <row r="10" spans="1:5" ht="27" customHeight="1" thickBot="1">
      <c r="A10" s="128" t="s">
        <v>1494</v>
      </c>
      <c r="B10" s="128" t="s">
        <v>1495</v>
      </c>
      <c r="C10" s="509">
        <v>8116052032.3000002</v>
      </c>
      <c r="D10" s="510">
        <v>370001069.08999997</v>
      </c>
      <c r="E10" s="146">
        <v>8486053101.3900003</v>
      </c>
    </row>
    <row r="11" spans="1:5" ht="19.5" customHeight="1" thickBot="1">
      <c r="A11" s="127">
        <v>67</v>
      </c>
      <c r="B11" s="127" t="s">
        <v>1496</v>
      </c>
      <c r="C11" s="144">
        <v>895676132.01999998</v>
      </c>
      <c r="D11" s="297">
        <v>38067123.189999998</v>
      </c>
      <c r="E11" s="314">
        <v>933743255.21000004</v>
      </c>
    </row>
    <row r="12" spans="1:5" ht="19.5" customHeight="1" thickBot="1">
      <c r="A12" s="127">
        <v>68</v>
      </c>
      <c r="B12" s="127" t="s">
        <v>1497</v>
      </c>
      <c r="C12" s="144">
        <v>-893848647.74000001</v>
      </c>
      <c r="D12" s="297">
        <v>-37830832.840000004</v>
      </c>
      <c r="E12" s="314">
        <v>-931679480.58000004</v>
      </c>
    </row>
    <row r="13" spans="1:5" ht="19.5" customHeight="1" thickBot="1">
      <c r="A13" s="127">
        <v>69</v>
      </c>
      <c r="B13" s="127" t="s">
        <v>1498</v>
      </c>
      <c r="C13" s="144">
        <v>35768233.219999999</v>
      </c>
      <c r="D13" s="297">
        <v>1371379.39</v>
      </c>
      <c r="E13" s="314">
        <v>37139612.609999999</v>
      </c>
    </row>
    <row r="14" spans="1:5" ht="27" customHeight="1" thickBot="1">
      <c r="A14" s="128">
        <v>6</v>
      </c>
      <c r="B14" s="128" t="s">
        <v>1499</v>
      </c>
      <c r="C14" s="509">
        <v>8153647749.8100004</v>
      </c>
      <c r="D14" s="510">
        <v>371608738.86000001</v>
      </c>
      <c r="E14" s="146">
        <v>8525256488.6700001</v>
      </c>
    </row>
    <row r="15" spans="1:5" ht="20" customHeight="1" thickBot="1">
      <c r="A15" s="127">
        <v>31</v>
      </c>
      <c r="B15" s="127" t="s">
        <v>535</v>
      </c>
      <c r="C15" s="144">
        <v>11842675290.870001</v>
      </c>
      <c r="D15" s="297">
        <v>387222538.13999999</v>
      </c>
      <c r="E15" s="314">
        <v>12229897829.01</v>
      </c>
    </row>
    <row r="16" spans="1:5" ht="20" customHeight="1" thickBot="1">
      <c r="A16" s="127">
        <v>32</v>
      </c>
      <c r="B16" s="127" t="s">
        <v>1500</v>
      </c>
      <c r="C16" s="144">
        <v>-1220866443.71</v>
      </c>
      <c r="D16" s="297">
        <v>-34068290.649999999</v>
      </c>
      <c r="E16" s="314">
        <v>-1254934734.3599999</v>
      </c>
    </row>
    <row r="17" spans="1:5" ht="27" customHeight="1" thickBot="1">
      <c r="A17" s="128" t="s">
        <v>1501</v>
      </c>
      <c r="B17" s="128" t="s">
        <v>1502</v>
      </c>
      <c r="C17" s="509">
        <v>10621808847.16</v>
      </c>
      <c r="D17" s="510">
        <v>353154247.49000001</v>
      </c>
      <c r="E17" s="146">
        <v>10974963094.65</v>
      </c>
    </row>
    <row r="18" spans="1:5" ht="20" customHeight="1" thickBot="1">
      <c r="A18" s="127">
        <v>34</v>
      </c>
      <c r="B18" s="127" t="s">
        <v>1503</v>
      </c>
      <c r="C18" s="144">
        <v>19397917.289999999</v>
      </c>
      <c r="D18" s="297">
        <v>-280525.86</v>
      </c>
      <c r="E18" s="314">
        <v>19117391.43</v>
      </c>
    </row>
    <row r="19" spans="1:5" ht="20" customHeight="1" thickBot="1">
      <c r="A19" s="127">
        <v>35</v>
      </c>
      <c r="B19" s="127" t="s">
        <v>1504</v>
      </c>
      <c r="C19" s="144">
        <v>26999828.23</v>
      </c>
      <c r="D19" s="297">
        <v>5867316.3300000001</v>
      </c>
      <c r="E19" s="314">
        <v>32867144.559999999</v>
      </c>
    </row>
    <row r="20" spans="1:5" ht="27" customHeight="1" thickBot="1">
      <c r="A20" s="128" t="s">
        <v>1505</v>
      </c>
      <c r="B20" s="128" t="s">
        <v>1506</v>
      </c>
      <c r="C20" s="509">
        <v>10668206592.719999</v>
      </c>
      <c r="D20" s="510">
        <v>358741037.94999999</v>
      </c>
      <c r="E20" s="146">
        <v>11026947630.67</v>
      </c>
    </row>
    <row r="21" spans="1:5" ht="19.5" customHeight="1" thickBot="1">
      <c r="A21" s="127">
        <v>36</v>
      </c>
      <c r="B21" s="127" t="s">
        <v>614</v>
      </c>
      <c r="C21" s="144">
        <v>-30131872.359999999</v>
      </c>
      <c r="D21" s="297">
        <v>-590768.27</v>
      </c>
      <c r="E21" s="314">
        <v>-30722640.629999999</v>
      </c>
    </row>
    <row r="22" spans="1:5" ht="19.5" customHeight="1" thickBot="1">
      <c r="A22" s="127">
        <v>37</v>
      </c>
      <c r="B22" s="127" t="s">
        <v>615</v>
      </c>
      <c r="C22" s="144">
        <v>-1138987999.1300001</v>
      </c>
      <c r="D22" s="297">
        <v>-75008446.980000004</v>
      </c>
      <c r="E22" s="314">
        <v>-1213996446.1099999</v>
      </c>
    </row>
    <row r="23" spans="1:5" ht="27" customHeight="1" thickBot="1">
      <c r="A23" s="128">
        <v>3</v>
      </c>
      <c r="B23" s="128" t="s">
        <v>2111</v>
      </c>
      <c r="C23" s="509">
        <v>9499086721.2299995</v>
      </c>
      <c r="D23" s="510">
        <v>283141822.67000002</v>
      </c>
      <c r="E23" s="146">
        <v>9782228543.8999996</v>
      </c>
    </row>
    <row r="24" spans="1:5" ht="20" customHeight="1" thickBot="1">
      <c r="A24" s="127" t="s">
        <v>2112</v>
      </c>
      <c r="B24" s="127" t="s">
        <v>2113</v>
      </c>
      <c r="C24" s="144">
        <v>429373473.85000002</v>
      </c>
      <c r="D24" s="297">
        <v>20491335.920000002</v>
      </c>
      <c r="E24" s="314">
        <v>449864809.76999998</v>
      </c>
    </row>
    <row r="25" spans="1:5" ht="20" customHeight="1" thickBot="1">
      <c r="A25" s="127">
        <v>48</v>
      </c>
      <c r="B25" s="127" t="s">
        <v>2114</v>
      </c>
      <c r="C25" s="144">
        <v>29498676.02</v>
      </c>
      <c r="D25" s="297">
        <v>1657500.55</v>
      </c>
      <c r="E25" s="314">
        <v>31156176.57</v>
      </c>
    </row>
    <row r="26" spans="1:5" ht="20" customHeight="1" thickBot="1">
      <c r="A26" s="127">
        <v>49</v>
      </c>
      <c r="B26" s="127" t="s">
        <v>2115</v>
      </c>
      <c r="C26" s="144">
        <v>8078033.7999999998</v>
      </c>
      <c r="D26" s="297">
        <v>493609.26</v>
      </c>
      <c r="E26" s="314">
        <v>8571643.0600000005</v>
      </c>
    </row>
    <row r="27" spans="1:5" ht="27" customHeight="1" thickBot="1">
      <c r="A27" s="128">
        <v>4</v>
      </c>
      <c r="B27" s="128" t="s">
        <v>2116</v>
      </c>
      <c r="C27" s="509">
        <v>466950183.67000002</v>
      </c>
      <c r="D27" s="510">
        <v>22642445.710000001</v>
      </c>
      <c r="E27" s="146">
        <v>489592629.38</v>
      </c>
    </row>
    <row r="28" spans="1:5" ht="27" customHeight="1" thickBot="1">
      <c r="A28" s="128" t="s">
        <v>2117</v>
      </c>
      <c r="B28" s="128" t="s">
        <v>2118</v>
      </c>
      <c r="C28" s="509">
        <v>9966036904.9099998</v>
      </c>
      <c r="D28" s="510">
        <v>305784268.42000002</v>
      </c>
      <c r="E28" s="146">
        <v>10271821173.33</v>
      </c>
    </row>
    <row r="29" spans="1:5" ht="27" customHeight="1" thickBot="1">
      <c r="A29" s="128"/>
      <c r="B29" s="128" t="s">
        <v>2119</v>
      </c>
      <c r="C29" s="509">
        <v>-1812389155.0899999</v>
      </c>
      <c r="D29" s="510">
        <v>65824470.43</v>
      </c>
      <c r="E29" s="146">
        <v>-1746564684.6600001</v>
      </c>
    </row>
    <row r="30" spans="1:5" ht="27" customHeight="1" thickBot="1">
      <c r="A30" s="128">
        <v>7</v>
      </c>
      <c r="B30" s="128" t="s">
        <v>2120</v>
      </c>
      <c r="C30" s="509">
        <v>93501124.859999999</v>
      </c>
      <c r="D30" s="510">
        <v>5342883.7699999996</v>
      </c>
      <c r="E30" s="146">
        <v>98844008.629999995</v>
      </c>
    </row>
    <row r="31" spans="1:5" ht="34.5" customHeight="1" thickBot="1">
      <c r="A31" s="511"/>
      <c r="B31" s="511" t="s">
        <v>2121</v>
      </c>
      <c r="C31" s="512">
        <v>-1718888030.27</v>
      </c>
      <c r="D31" s="513">
        <v>71167354.200000003</v>
      </c>
      <c r="E31" s="514">
        <v>-1647720676.0699999</v>
      </c>
    </row>
    <row r="32" spans="1:5" ht="19.5" customHeight="1">
      <c r="A32" s="2" t="s">
        <v>1256</v>
      </c>
    </row>
    <row r="33" spans="1:1" ht="14.25" customHeight="1"/>
    <row r="34" spans="1:1" ht="19.5" customHeight="1">
      <c r="A34" s="2" t="s">
        <v>2125</v>
      </c>
    </row>
    <row r="36" spans="1:1">
      <c r="A36" s="2" t="s">
        <v>2126</v>
      </c>
    </row>
    <row r="39" spans="1:1">
      <c r="A39" s="2" t="s">
        <v>634</v>
      </c>
    </row>
  </sheetData>
  <phoneticPr fontId="0" type="noConversion"/>
  <pageMargins left="0.64" right="0.7" top="0.94" bottom="0.49" header="0.57999999999999996" footer="0.4921259845"/>
  <pageSetup paperSize="9" scale="82" orientation="portrait" horizontalDpi="1200" verticalDpi="12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32CE-2BED-3C4D-B071-DFD16FA6A6C9}">
  <sheetPr>
    <pageSetUpPr fitToPage="1"/>
  </sheetPr>
  <dimension ref="A1:E39"/>
  <sheetViews>
    <sheetView topLeftCell="A20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50.19921875" style="95" customWidth="1"/>
    <col min="3" max="3" width="16.796875" style="2" customWidth="1"/>
    <col min="4" max="4" width="16.796875" style="8" customWidth="1"/>
    <col min="5" max="5" width="17.3984375" style="8" customWidth="1"/>
    <col min="6" max="16384" width="11.3984375" style="2"/>
  </cols>
  <sheetData>
    <row r="1" spans="1:5" s="1" customFormat="1" ht="14" customHeight="1">
      <c r="B1" s="166"/>
      <c r="D1" s="274"/>
      <c r="E1" s="274"/>
    </row>
    <row r="2" spans="1:5" s="1" customFormat="1" ht="28" customHeight="1">
      <c r="A2" s="56" t="s">
        <v>2129</v>
      </c>
      <c r="B2" s="166"/>
      <c r="D2" s="274"/>
      <c r="E2" s="56">
        <v>2007</v>
      </c>
    </row>
    <row r="3" spans="1:5" ht="39" customHeight="1">
      <c r="A3" s="110" t="s">
        <v>1485</v>
      </c>
      <c r="B3" s="110"/>
      <c r="C3" s="111" t="s">
        <v>1486</v>
      </c>
      <c r="D3" s="276" t="s">
        <v>1487</v>
      </c>
      <c r="E3" s="139" t="s">
        <v>629</v>
      </c>
    </row>
    <row r="4" spans="1:5" ht="39" customHeight="1">
      <c r="A4" s="505"/>
      <c r="B4" s="506"/>
      <c r="C4" s="120" t="s">
        <v>494</v>
      </c>
      <c r="D4" s="282" t="s">
        <v>494</v>
      </c>
      <c r="E4" s="141" t="s">
        <v>494</v>
      </c>
    </row>
    <row r="5" spans="1:5" ht="30" customHeight="1" thickBot="1">
      <c r="A5" s="122">
        <v>61</v>
      </c>
      <c r="B5" s="122" t="s">
        <v>1488</v>
      </c>
      <c r="C5" s="326">
        <v>7012274602.8199997</v>
      </c>
      <c r="D5" s="327">
        <v>218189564.30000001</v>
      </c>
      <c r="E5" s="508">
        <v>7230464167.1199999</v>
      </c>
    </row>
    <row r="6" spans="1:5" ht="20" customHeight="1" thickBot="1">
      <c r="A6" s="127">
        <v>64</v>
      </c>
      <c r="B6" s="127" t="s">
        <v>1489</v>
      </c>
      <c r="C6" s="144">
        <v>-25810278.850000001</v>
      </c>
      <c r="D6" s="297">
        <v>-809890.28</v>
      </c>
      <c r="E6" s="314">
        <v>-26620169.129999999</v>
      </c>
    </row>
    <row r="7" spans="1:5" ht="20" customHeight="1" thickBot="1">
      <c r="A7" s="127">
        <v>65</v>
      </c>
      <c r="B7" s="127" t="s">
        <v>1490</v>
      </c>
      <c r="C7" s="144">
        <v>3480456.1</v>
      </c>
      <c r="D7" s="297">
        <v>92280.65</v>
      </c>
      <c r="E7" s="314">
        <v>3572736.75</v>
      </c>
    </row>
    <row r="8" spans="1:5" ht="27" customHeight="1" thickBot="1">
      <c r="A8" s="128" t="s">
        <v>1491</v>
      </c>
      <c r="B8" s="128" t="s">
        <v>1492</v>
      </c>
      <c r="C8" s="509">
        <v>6989944780.0799999</v>
      </c>
      <c r="D8" s="510">
        <v>217471954.68000001</v>
      </c>
      <c r="E8" s="146">
        <v>7207416734.7600002</v>
      </c>
    </row>
    <row r="9" spans="1:5" ht="20" customHeight="1" thickBot="1">
      <c r="A9" s="127">
        <v>66</v>
      </c>
      <c r="B9" s="127" t="s">
        <v>1493</v>
      </c>
      <c r="C9" s="144">
        <v>-14476632.68</v>
      </c>
      <c r="D9" s="297">
        <v>-522375.01</v>
      </c>
      <c r="E9" s="314">
        <v>-14999007.689999999</v>
      </c>
    </row>
    <row r="10" spans="1:5" ht="27" customHeight="1" thickBot="1">
      <c r="A10" s="128" t="s">
        <v>1494</v>
      </c>
      <c r="B10" s="128" t="s">
        <v>1495</v>
      </c>
      <c r="C10" s="509">
        <v>6975468147.3800001</v>
      </c>
      <c r="D10" s="510">
        <v>216949579.65000001</v>
      </c>
      <c r="E10" s="146">
        <v>7192417727.0299997</v>
      </c>
    </row>
    <row r="11" spans="1:5" ht="20" customHeight="1" thickBot="1">
      <c r="A11" s="127">
        <v>67</v>
      </c>
      <c r="B11" s="127" t="s">
        <v>1496</v>
      </c>
      <c r="C11" s="144">
        <v>460413113.80000001</v>
      </c>
      <c r="D11" s="297">
        <v>13135580.77</v>
      </c>
      <c r="E11" s="314">
        <v>473548694.56999999</v>
      </c>
    </row>
    <row r="12" spans="1:5" ht="20" customHeight="1" thickBot="1">
      <c r="A12" s="127">
        <v>68</v>
      </c>
      <c r="B12" s="127" t="s">
        <v>1497</v>
      </c>
      <c r="C12" s="144">
        <v>-463307219.81999999</v>
      </c>
      <c r="D12" s="297">
        <v>-13213996.960000001</v>
      </c>
      <c r="E12" s="314">
        <v>-476521216.77999997</v>
      </c>
    </row>
    <row r="13" spans="1:5" ht="20" customHeight="1" thickBot="1">
      <c r="A13" s="127">
        <v>69</v>
      </c>
      <c r="B13" s="127" t="s">
        <v>1498</v>
      </c>
      <c r="C13" s="144">
        <v>47027913.890000001</v>
      </c>
      <c r="D13" s="297">
        <v>1267788.6100000001</v>
      </c>
      <c r="E13" s="314">
        <v>48295702.5</v>
      </c>
    </row>
    <row r="14" spans="1:5" ht="27" customHeight="1" thickBot="1">
      <c r="A14" s="128">
        <v>6</v>
      </c>
      <c r="B14" s="128" t="s">
        <v>1499</v>
      </c>
      <c r="C14" s="509">
        <v>7019601955.2700005</v>
      </c>
      <c r="D14" s="510">
        <v>218138952.06999999</v>
      </c>
      <c r="E14" s="146">
        <v>7237740907.3400002</v>
      </c>
    </row>
    <row r="15" spans="1:5" ht="20" customHeight="1" thickBot="1">
      <c r="A15" s="127">
        <v>31</v>
      </c>
      <c r="B15" s="127" t="s">
        <v>535</v>
      </c>
      <c r="C15" s="144">
        <v>5884648035.3000002</v>
      </c>
      <c r="D15" s="297">
        <v>173874133.44</v>
      </c>
      <c r="E15" s="314">
        <v>6058522168.7399998</v>
      </c>
    </row>
    <row r="16" spans="1:5" ht="20" customHeight="1" thickBot="1">
      <c r="A16" s="127">
        <v>32</v>
      </c>
      <c r="B16" s="127" t="s">
        <v>1500</v>
      </c>
      <c r="C16" s="144">
        <v>-1249222396.74</v>
      </c>
      <c r="D16" s="297">
        <v>-34327777.390000001</v>
      </c>
      <c r="E16" s="314">
        <v>-1283550174.1300001</v>
      </c>
    </row>
    <row r="17" spans="1:5" ht="27" customHeight="1" thickBot="1">
      <c r="A17" s="128" t="s">
        <v>1501</v>
      </c>
      <c r="B17" s="128" t="s">
        <v>1502</v>
      </c>
      <c r="C17" s="509">
        <v>4635425638.5799999</v>
      </c>
      <c r="D17" s="510">
        <v>139546356.08000001</v>
      </c>
      <c r="E17" s="146">
        <v>4774971994.6599998</v>
      </c>
    </row>
    <row r="18" spans="1:5" ht="20" customHeight="1" thickBot="1">
      <c r="A18" s="127">
        <v>34</v>
      </c>
      <c r="B18" s="127" t="s">
        <v>1503</v>
      </c>
      <c r="C18" s="144">
        <v>9105010.8900000006</v>
      </c>
      <c r="D18" s="297">
        <v>72856.77</v>
      </c>
      <c r="E18" s="314">
        <v>9177867.6600000001</v>
      </c>
    </row>
    <row r="19" spans="1:5" ht="20" customHeight="1" thickBot="1">
      <c r="A19" s="127">
        <v>35</v>
      </c>
      <c r="B19" s="127" t="s">
        <v>1504</v>
      </c>
      <c r="C19" s="144">
        <v>20541961</v>
      </c>
      <c r="D19" s="297">
        <v>7984590.2199999997</v>
      </c>
      <c r="E19" s="314">
        <v>28526551.219999999</v>
      </c>
    </row>
    <row r="20" spans="1:5" ht="27" customHeight="1" thickBot="1">
      <c r="A20" s="128" t="s">
        <v>1505</v>
      </c>
      <c r="B20" s="128" t="s">
        <v>1506</v>
      </c>
      <c r="C20" s="509">
        <v>4665072610.5</v>
      </c>
      <c r="D20" s="510">
        <v>147603803.06</v>
      </c>
      <c r="E20" s="146">
        <v>4812676413.5600004</v>
      </c>
    </row>
    <row r="21" spans="1:5" ht="20" customHeight="1" thickBot="1">
      <c r="A21" s="127">
        <v>36</v>
      </c>
      <c r="B21" s="127" t="s">
        <v>614</v>
      </c>
      <c r="C21" s="144">
        <v>-10091436.060000001</v>
      </c>
      <c r="D21" s="297">
        <v>-241659.01</v>
      </c>
      <c r="E21" s="314">
        <v>-10333095.07</v>
      </c>
    </row>
    <row r="22" spans="1:5" ht="20" customHeight="1" thickBot="1">
      <c r="A22" s="127">
        <v>37</v>
      </c>
      <c r="B22" s="127" t="s">
        <v>615</v>
      </c>
      <c r="C22" s="144">
        <v>654905863.66999996</v>
      </c>
      <c r="D22" s="297">
        <v>-22880653.18</v>
      </c>
      <c r="E22" s="314">
        <v>632025210.49000001</v>
      </c>
    </row>
    <row r="23" spans="1:5" ht="27" customHeight="1" thickBot="1">
      <c r="A23" s="128">
        <v>3</v>
      </c>
      <c r="B23" s="128" t="s">
        <v>2111</v>
      </c>
      <c r="C23" s="509">
        <v>5309887038.0900002</v>
      </c>
      <c r="D23" s="510">
        <v>124481490.86</v>
      </c>
      <c r="E23" s="146">
        <v>5434368528.9499998</v>
      </c>
    </row>
    <row r="24" spans="1:5" ht="20" customHeight="1" thickBot="1">
      <c r="A24" s="127" t="s">
        <v>2112</v>
      </c>
      <c r="B24" s="127" t="s">
        <v>2113</v>
      </c>
      <c r="C24" s="144">
        <v>345161693.47000003</v>
      </c>
      <c r="D24" s="297">
        <v>11500665.539999999</v>
      </c>
      <c r="E24" s="314">
        <v>356662359.00999999</v>
      </c>
    </row>
    <row r="25" spans="1:5" ht="20" customHeight="1" thickBot="1">
      <c r="A25" s="127">
        <v>48</v>
      </c>
      <c r="B25" s="127" t="s">
        <v>2114</v>
      </c>
      <c r="C25" s="144">
        <v>18505175.879999999</v>
      </c>
      <c r="D25" s="297">
        <v>768335.08</v>
      </c>
      <c r="E25" s="314">
        <v>19273510.960000001</v>
      </c>
    </row>
    <row r="26" spans="1:5" ht="20" customHeight="1" thickBot="1">
      <c r="A26" s="127">
        <v>49</v>
      </c>
      <c r="B26" s="127" t="s">
        <v>2115</v>
      </c>
      <c r="C26" s="144">
        <v>5207127.5999999996</v>
      </c>
      <c r="D26" s="297">
        <v>252007.66</v>
      </c>
      <c r="E26" s="314">
        <v>5459135.2599999998</v>
      </c>
    </row>
    <row r="27" spans="1:5" ht="27" customHeight="1" thickBot="1">
      <c r="A27" s="128">
        <v>4</v>
      </c>
      <c r="B27" s="128" t="s">
        <v>2116</v>
      </c>
      <c r="C27" s="509">
        <v>368873996.94999999</v>
      </c>
      <c r="D27" s="510">
        <v>12521008.26</v>
      </c>
      <c r="E27" s="146">
        <v>381395005.20999998</v>
      </c>
    </row>
    <row r="28" spans="1:5" ht="27" customHeight="1" thickBot="1">
      <c r="A28" s="128" t="s">
        <v>2117</v>
      </c>
      <c r="B28" s="128" t="s">
        <v>2118</v>
      </c>
      <c r="C28" s="509">
        <v>5678761035.0500002</v>
      </c>
      <c r="D28" s="510">
        <v>137002499.09999999</v>
      </c>
      <c r="E28" s="146">
        <v>5815763534.1499996</v>
      </c>
    </row>
    <row r="29" spans="1:5" ht="27" customHeight="1" thickBot="1">
      <c r="A29" s="128"/>
      <c r="B29" s="128" t="s">
        <v>2119</v>
      </c>
      <c r="C29" s="509">
        <v>1340840920.23</v>
      </c>
      <c r="D29" s="510">
        <v>81136452.959999993</v>
      </c>
      <c r="E29" s="146">
        <v>1421977373.1900001</v>
      </c>
    </row>
    <row r="30" spans="1:5" ht="27" customHeight="1" thickBot="1">
      <c r="A30" s="128">
        <v>7</v>
      </c>
      <c r="B30" s="128" t="s">
        <v>2120</v>
      </c>
      <c r="C30" s="509">
        <v>65532561.329999998</v>
      </c>
      <c r="D30" s="510">
        <v>2713200.37</v>
      </c>
      <c r="E30" s="146">
        <v>68245761.700000003</v>
      </c>
    </row>
    <row r="31" spans="1:5" ht="34.5" customHeight="1" thickBot="1">
      <c r="A31" s="511"/>
      <c r="B31" s="511" t="s">
        <v>2121</v>
      </c>
      <c r="C31" s="512">
        <v>1406373481.5699999</v>
      </c>
      <c r="D31" s="513">
        <v>83849653.310000002</v>
      </c>
      <c r="E31" s="514">
        <v>1490223134.8800001</v>
      </c>
    </row>
    <row r="32" spans="1:5" ht="19.5" customHeight="1">
      <c r="A32" s="2" t="s">
        <v>1256</v>
      </c>
    </row>
    <row r="34" spans="1:1">
      <c r="A34" s="2" t="s">
        <v>2125</v>
      </c>
    </row>
    <row r="36" spans="1:1">
      <c r="A36" s="2" t="s">
        <v>2128</v>
      </c>
    </row>
    <row r="39" spans="1:1">
      <c r="A39" s="2" t="s">
        <v>634</v>
      </c>
    </row>
  </sheetData>
  <phoneticPr fontId="0" type="noConversion"/>
  <pageMargins left="0.59" right="0.66" top="1.01" bottom="0.49" header="0.61" footer="0.4921259845"/>
  <pageSetup paperSize="9" scale="82" orientation="portrait" horizontalDpi="4294967292" verticalDpi="429496729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3227-78DE-FB41-8E96-7751E60E8736}">
  <sheetPr>
    <pageSetUpPr fitToPage="1"/>
  </sheetPr>
  <dimension ref="A1:E39"/>
  <sheetViews>
    <sheetView topLeftCell="A31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52.19921875" style="95" customWidth="1"/>
    <col min="3" max="3" width="16.796875" style="2" customWidth="1"/>
    <col min="4" max="5" width="16.796875" style="8" customWidth="1"/>
    <col min="6" max="16384" width="11.3984375" style="2"/>
  </cols>
  <sheetData>
    <row r="1" spans="1:5" s="1" customFormat="1" ht="14" customHeight="1">
      <c r="B1" s="166"/>
      <c r="D1" s="274"/>
      <c r="E1" s="274"/>
    </row>
    <row r="2" spans="1:5" s="1" customFormat="1" ht="28" customHeight="1">
      <c r="A2" s="56" t="s">
        <v>2131</v>
      </c>
      <c r="B2" s="166"/>
      <c r="D2" s="274"/>
      <c r="E2" s="56">
        <v>2007</v>
      </c>
    </row>
    <row r="3" spans="1:5" ht="39" customHeight="1">
      <c r="A3" s="110" t="s">
        <v>1485</v>
      </c>
      <c r="B3" s="110"/>
      <c r="C3" s="111" t="s">
        <v>1486</v>
      </c>
      <c r="D3" s="276" t="s">
        <v>1487</v>
      </c>
      <c r="E3" s="504" t="s">
        <v>629</v>
      </c>
    </row>
    <row r="4" spans="1:5" ht="39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122">
        <v>61</v>
      </c>
      <c r="B5" s="122" t="s">
        <v>1488</v>
      </c>
      <c r="C5" s="326">
        <v>16388393.359999999</v>
      </c>
      <c r="D5" s="327">
        <v>465752.31</v>
      </c>
      <c r="E5" s="508">
        <v>16854145.670000002</v>
      </c>
    </row>
    <row r="6" spans="1:5" ht="20" customHeight="1" thickBot="1">
      <c r="A6" s="127">
        <v>64</v>
      </c>
      <c r="B6" s="127" t="s">
        <v>1489</v>
      </c>
      <c r="C6" s="144">
        <v>-44433.34</v>
      </c>
      <c r="D6" s="297">
        <v>-1256.99</v>
      </c>
      <c r="E6" s="314">
        <v>-45690.33</v>
      </c>
    </row>
    <row r="7" spans="1:5" ht="20" customHeight="1" thickBot="1">
      <c r="A7" s="127">
        <v>65</v>
      </c>
      <c r="B7" s="127" t="s">
        <v>1490</v>
      </c>
      <c r="C7" s="144">
        <v>1244.93</v>
      </c>
      <c r="D7" s="297">
        <v>32.53</v>
      </c>
      <c r="E7" s="314">
        <v>1277.46</v>
      </c>
    </row>
    <row r="8" spans="1:5" ht="26.25" customHeight="1" thickBot="1">
      <c r="A8" s="128" t="s">
        <v>1491</v>
      </c>
      <c r="B8" s="128" t="s">
        <v>1492</v>
      </c>
      <c r="C8" s="509">
        <v>16345204.960000001</v>
      </c>
      <c r="D8" s="510">
        <v>464527.85</v>
      </c>
      <c r="E8" s="146">
        <v>16809732.809999999</v>
      </c>
    </row>
    <row r="9" spans="1:5" ht="20" customHeight="1" thickBot="1">
      <c r="A9" s="127">
        <v>66</v>
      </c>
      <c r="B9" s="127" t="s">
        <v>1493</v>
      </c>
      <c r="C9" s="144">
        <v>0</v>
      </c>
      <c r="D9" s="297">
        <v>0</v>
      </c>
      <c r="E9" s="314">
        <v>0</v>
      </c>
    </row>
    <row r="10" spans="1:5" ht="27" customHeight="1" thickBot="1">
      <c r="A10" s="128" t="s">
        <v>1494</v>
      </c>
      <c r="B10" s="128" t="s">
        <v>1495</v>
      </c>
      <c r="C10" s="509">
        <v>16345204.960000001</v>
      </c>
      <c r="D10" s="510">
        <v>464527.85</v>
      </c>
      <c r="E10" s="146">
        <v>16809732.809999999</v>
      </c>
    </row>
    <row r="11" spans="1:5" ht="20" customHeight="1" thickBot="1">
      <c r="A11" s="127">
        <v>67</v>
      </c>
      <c r="B11" s="127" t="s">
        <v>1496</v>
      </c>
      <c r="C11" s="144">
        <v>489630.03</v>
      </c>
      <c r="D11" s="297">
        <v>14384.91</v>
      </c>
      <c r="E11" s="314">
        <v>504014.94</v>
      </c>
    </row>
    <row r="12" spans="1:5" ht="20" customHeight="1" thickBot="1">
      <c r="A12" s="127">
        <v>68</v>
      </c>
      <c r="B12" s="127" t="s">
        <v>1497</v>
      </c>
      <c r="C12" s="144">
        <v>-505318.9</v>
      </c>
      <c r="D12" s="297">
        <v>-14837.82</v>
      </c>
      <c r="E12" s="314">
        <v>-520156.72</v>
      </c>
    </row>
    <row r="13" spans="1:5" ht="20" customHeight="1" thickBot="1">
      <c r="A13" s="127">
        <v>69</v>
      </c>
      <c r="B13" s="127" t="s">
        <v>1498</v>
      </c>
      <c r="C13" s="144">
        <v>139287.45000000001</v>
      </c>
      <c r="D13" s="297">
        <v>3591.76</v>
      </c>
      <c r="E13" s="314">
        <v>142879.21</v>
      </c>
    </row>
    <row r="14" spans="1:5" ht="27" customHeight="1" thickBot="1">
      <c r="A14" s="128">
        <v>6</v>
      </c>
      <c r="B14" s="128" t="s">
        <v>1499</v>
      </c>
      <c r="C14" s="509">
        <v>16468803.529999999</v>
      </c>
      <c r="D14" s="510">
        <v>467666.71</v>
      </c>
      <c r="E14" s="146">
        <v>16936470.239999998</v>
      </c>
    </row>
    <row r="15" spans="1:5" ht="20" customHeight="1" thickBot="1">
      <c r="A15" s="127">
        <v>31</v>
      </c>
      <c r="B15" s="127" t="s">
        <v>535</v>
      </c>
      <c r="C15" s="144">
        <v>8687643.9100000001</v>
      </c>
      <c r="D15" s="297">
        <v>324938.57</v>
      </c>
      <c r="E15" s="314">
        <v>9012582.4800000004</v>
      </c>
    </row>
    <row r="16" spans="1:5" ht="20" customHeight="1" thickBot="1">
      <c r="A16" s="127">
        <v>32</v>
      </c>
      <c r="B16" s="127" t="s">
        <v>1500</v>
      </c>
      <c r="C16" s="144">
        <v>-1298031.04</v>
      </c>
      <c r="D16" s="297">
        <v>-49671.12</v>
      </c>
      <c r="E16" s="314">
        <v>-1347702.16</v>
      </c>
    </row>
    <row r="17" spans="1:5" ht="27" customHeight="1" thickBot="1">
      <c r="A17" s="128" t="s">
        <v>1501</v>
      </c>
      <c r="B17" s="128" t="s">
        <v>1502</v>
      </c>
      <c r="C17" s="509">
        <v>7389612.8700000001</v>
      </c>
      <c r="D17" s="510">
        <v>275267.44</v>
      </c>
      <c r="E17" s="146">
        <v>7664880.3099999996</v>
      </c>
    </row>
    <row r="18" spans="1:5" ht="20" customHeight="1" thickBot="1">
      <c r="A18" s="127">
        <v>34</v>
      </c>
      <c r="B18" s="127" t="s">
        <v>1503</v>
      </c>
      <c r="C18" s="144">
        <v>4547.32</v>
      </c>
      <c r="D18" s="297">
        <v>174.45</v>
      </c>
      <c r="E18" s="314">
        <v>4721.7700000000004</v>
      </c>
    </row>
    <row r="19" spans="1:5" ht="20" customHeight="1" thickBot="1">
      <c r="A19" s="127">
        <v>35</v>
      </c>
      <c r="B19" s="127" t="s">
        <v>1504</v>
      </c>
      <c r="C19" s="144">
        <v>93065.06</v>
      </c>
      <c r="D19" s="297">
        <v>2938.42</v>
      </c>
      <c r="E19" s="314">
        <v>96003.48</v>
      </c>
    </row>
    <row r="20" spans="1:5" ht="27" customHeight="1" thickBot="1">
      <c r="A20" s="128" t="s">
        <v>1505</v>
      </c>
      <c r="B20" s="128" t="s">
        <v>1506</v>
      </c>
      <c r="C20" s="509">
        <v>7487225.25</v>
      </c>
      <c r="D20" s="510">
        <v>278380.3</v>
      </c>
      <c r="E20" s="146">
        <v>7765605.5499999998</v>
      </c>
    </row>
    <row r="21" spans="1:5" ht="20" customHeight="1" thickBot="1">
      <c r="A21" s="127">
        <v>36</v>
      </c>
      <c r="B21" s="127" t="s">
        <v>614</v>
      </c>
      <c r="C21" s="144">
        <v>0</v>
      </c>
      <c r="D21" s="297">
        <v>0</v>
      </c>
      <c r="E21" s="314">
        <v>0</v>
      </c>
    </row>
    <row r="22" spans="1:5" ht="20" customHeight="1" thickBot="1">
      <c r="A22" s="127">
        <v>37</v>
      </c>
      <c r="B22" s="127" t="s">
        <v>615</v>
      </c>
      <c r="C22" s="144">
        <v>3000050.85</v>
      </c>
      <c r="D22" s="297">
        <v>133208.91</v>
      </c>
      <c r="E22" s="314">
        <v>3133259.76</v>
      </c>
    </row>
    <row r="23" spans="1:5" ht="26.25" customHeight="1" thickBot="1">
      <c r="A23" s="128">
        <v>3</v>
      </c>
      <c r="B23" s="128" t="s">
        <v>2111</v>
      </c>
      <c r="C23" s="509">
        <v>10487276.109999999</v>
      </c>
      <c r="D23" s="510">
        <v>411589.2</v>
      </c>
      <c r="E23" s="146">
        <v>10898865.310000001</v>
      </c>
    </row>
    <row r="24" spans="1:5" ht="20" customHeight="1" thickBot="1">
      <c r="A24" s="127" t="s">
        <v>2112</v>
      </c>
      <c r="B24" s="127" t="s">
        <v>2113</v>
      </c>
      <c r="C24" s="144">
        <v>656496.55000000005</v>
      </c>
      <c r="D24" s="297">
        <v>19108.650000000001</v>
      </c>
      <c r="E24" s="314">
        <v>675605.2</v>
      </c>
    </row>
    <row r="25" spans="1:5" ht="20" customHeight="1" thickBot="1">
      <c r="A25" s="127">
        <v>48</v>
      </c>
      <c r="B25" s="127" t="s">
        <v>2114</v>
      </c>
      <c r="C25" s="144">
        <v>53585.56</v>
      </c>
      <c r="D25" s="297">
        <v>1658.19</v>
      </c>
      <c r="E25" s="314">
        <v>55243.75</v>
      </c>
    </row>
    <row r="26" spans="1:5" ht="20" customHeight="1" thickBot="1">
      <c r="A26" s="127">
        <v>49</v>
      </c>
      <c r="B26" s="127" t="s">
        <v>2115</v>
      </c>
      <c r="C26" s="144">
        <v>60526.84</v>
      </c>
      <c r="D26" s="297">
        <v>1911.81</v>
      </c>
      <c r="E26" s="314">
        <v>62438.65</v>
      </c>
    </row>
    <row r="27" spans="1:5" ht="27" customHeight="1" thickBot="1">
      <c r="A27" s="128">
        <v>4</v>
      </c>
      <c r="B27" s="128" t="s">
        <v>2116</v>
      </c>
      <c r="C27" s="509">
        <v>770608.95</v>
      </c>
      <c r="D27" s="510">
        <v>22678.65</v>
      </c>
      <c r="E27" s="146">
        <v>793287.6</v>
      </c>
    </row>
    <row r="28" spans="1:5" ht="27" customHeight="1" thickBot="1">
      <c r="A28" s="128" t="s">
        <v>2117</v>
      </c>
      <c r="B28" s="128" t="s">
        <v>2118</v>
      </c>
      <c r="C28" s="509">
        <v>11257885.060000001</v>
      </c>
      <c r="D28" s="510">
        <v>434267.85</v>
      </c>
      <c r="E28" s="146">
        <v>11692152.91</v>
      </c>
    </row>
    <row r="29" spans="1:5" ht="27" customHeight="1" thickBot="1">
      <c r="A29" s="128"/>
      <c r="B29" s="128" t="s">
        <v>2119</v>
      </c>
      <c r="C29" s="509">
        <v>5210918.47</v>
      </c>
      <c r="D29" s="510">
        <v>33398.86</v>
      </c>
      <c r="E29" s="146">
        <v>5244317.33</v>
      </c>
    </row>
    <row r="30" spans="1:5" ht="27" customHeight="1" thickBot="1">
      <c r="A30" s="128">
        <v>7</v>
      </c>
      <c r="B30" s="128" t="s">
        <v>2120</v>
      </c>
      <c r="C30" s="509">
        <v>134534.54999999999</v>
      </c>
      <c r="D30" s="510">
        <v>3851.69</v>
      </c>
      <c r="E30" s="146">
        <v>138386.23999999999</v>
      </c>
    </row>
    <row r="31" spans="1:5" ht="34.5" customHeight="1" thickBot="1">
      <c r="A31" s="511"/>
      <c r="B31" s="511" t="s">
        <v>2121</v>
      </c>
      <c r="C31" s="512">
        <v>5345453.0199999996</v>
      </c>
      <c r="D31" s="513">
        <v>37250.550000000003</v>
      </c>
      <c r="E31" s="514">
        <v>5382703.5700000003</v>
      </c>
    </row>
    <row r="32" spans="1:5" ht="20.25" customHeight="1">
      <c r="A32" s="2" t="s">
        <v>1256</v>
      </c>
    </row>
    <row r="34" spans="1:1">
      <c r="A34" s="2" t="s">
        <v>2125</v>
      </c>
    </row>
    <row r="36" spans="1:1">
      <c r="A36" s="2" t="s">
        <v>2130</v>
      </c>
    </row>
    <row r="39" spans="1:1">
      <c r="A39" s="2" t="s">
        <v>634</v>
      </c>
    </row>
  </sheetData>
  <phoneticPr fontId="0" type="noConversion"/>
  <pageMargins left="0.64" right="0.7" top="0.9" bottom="0.49" header="0.51" footer="0.4921259845"/>
  <pageSetup paperSize="9" scale="80" orientation="portrait" horizontalDpi="4294967292" verticalDpi="429496729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C42C-86D6-E44C-83F8-3ABE249C4E92}">
  <sheetPr>
    <pageSetUpPr fitToPage="1"/>
  </sheetPr>
  <dimension ref="A1:E39"/>
  <sheetViews>
    <sheetView topLeftCell="A31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6.796875" style="2" customWidth="1"/>
    <col min="4" max="5" width="16.796875" style="8" customWidth="1"/>
    <col min="6" max="16384" width="11.3984375" style="2"/>
  </cols>
  <sheetData>
    <row r="1" spans="1:5" s="1" customFormat="1" ht="14" customHeight="1">
      <c r="B1" s="166"/>
      <c r="D1" s="274"/>
      <c r="E1" s="274"/>
    </row>
    <row r="2" spans="1:5" s="1" customFormat="1" ht="42" customHeight="1">
      <c r="A2" s="1800" t="s">
        <v>2133</v>
      </c>
      <c r="B2" s="1801"/>
      <c r="C2" s="1801"/>
      <c r="D2" s="1801"/>
      <c r="E2" s="56">
        <v>2007</v>
      </c>
    </row>
    <row r="3" spans="1:5" ht="39" customHeight="1">
      <c r="A3" s="110" t="s">
        <v>1485</v>
      </c>
      <c r="B3" s="110"/>
      <c r="C3" s="111" t="s">
        <v>1486</v>
      </c>
      <c r="D3" s="276" t="s">
        <v>1487</v>
      </c>
      <c r="E3" s="504" t="s">
        <v>629</v>
      </c>
    </row>
    <row r="4" spans="1:5" ht="39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122">
        <v>61</v>
      </c>
      <c r="B5" s="122" t="s">
        <v>1488</v>
      </c>
      <c r="C5" s="326">
        <v>3790883589.3099999</v>
      </c>
      <c r="D5" s="327">
        <v>118471715.86</v>
      </c>
      <c r="E5" s="508">
        <v>3909355305.1700001</v>
      </c>
    </row>
    <row r="6" spans="1:5" ht="20" customHeight="1" thickBot="1">
      <c r="A6" s="127">
        <v>64</v>
      </c>
      <c r="B6" s="127" t="s">
        <v>1489</v>
      </c>
      <c r="C6" s="144">
        <v>-11258199.02</v>
      </c>
      <c r="D6" s="297">
        <v>-375429.75</v>
      </c>
      <c r="E6" s="314">
        <v>-11633628.77</v>
      </c>
    </row>
    <row r="7" spans="1:5" ht="20" customHeight="1" thickBot="1">
      <c r="A7" s="127">
        <v>65</v>
      </c>
      <c r="B7" s="127" t="s">
        <v>1490</v>
      </c>
      <c r="C7" s="144">
        <v>1322483.23</v>
      </c>
      <c r="D7" s="297">
        <v>31785.88</v>
      </c>
      <c r="E7" s="314">
        <v>1354269.11</v>
      </c>
    </row>
    <row r="8" spans="1:5" ht="27" customHeight="1" thickBot="1">
      <c r="A8" s="128" t="s">
        <v>1491</v>
      </c>
      <c r="B8" s="128" t="s">
        <v>1492</v>
      </c>
      <c r="C8" s="509">
        <v>3780947873.5500002</v>
      </c>
      <c r="D8" s="510">
        <v>118128071.98</v>
      </c>
      <c r="E8" s="146">
        <v>3899075945.5300002</v>
      </c>
    </row>
    <row r="9" spans="1:5" ht="20" customHeight="1" thickBot="1">
      <c r="A9" s="127">
        <v>66</v>
      </c>
      <c r="B9" s="127" t="s">
        <v>1493</v>
      </c>
      <c r="C9" s="144">
        <v>-4423295.05</v>
      </c>
      <c r="D9" s="297">
        <v>-129968.67</v>
      </c>
      <c r="E9" s="314">
        <v>-4553263.72</v>
      </c>
    </row>
    <row r="10" spans="1:5" ht="30" customHeight="1" thickBot="1">
      <c r="A10" s="128" t="s">
        <v>1494</v>
      </c>
      <c r="B10" s="128" t="s">
        <v>1495</v>
      </c>
      <c r="C10" s="509">
        <v>3776524578.4899998</v>
      </c>
      <c r="D10" s="510">
        <v>117998103.31</v>
      </c>
      <c r="E10" s="146">
        <v>3894522681.8000002</v>
      </c>
    </row>
    <row r="11" spans="1:5" ht="20" customHeight="1" thickBot="1">
      <c r="A11" s="127">
        <v>67</v>
      </c>
      <c r="B11" s="127" t="s">
        <v>1496</v>
      </c>
      <c r="C11" s="144">
        <v>242300822.28999999</v>
      </c>
      <c r="D11" s="297">
        <v>7420790.1299999999</v>
      </c>
      <c r="E11" s="314">
        <v>249721612.41999999</v>
      </c>
    </row>
    <row r="12" spans="1:5" ht="20" customHeight="1" thickBot="1">
      <c r="A12" s="127">
        <v>68</v>
      </c>
      <c r="B12" s="127" t="s">
        <v>1497</v>
      </c>
      <c r="C12" s="144">
        <v>-241232490.25</v>
      </c>
      <c r="D12" s="297">
        <v>-7365673.6200000001</v>
      </c>
      <c r="E12" s="314">
        <v>-248598163.87</v>
      </c>
    </row>
    <row r="13" spans="1:5" ht="20" customHeight="1" thickBot="1">
      <c r="A13" s="127">
        <v>69</v>
      </c>
      <c r="B13" s="127" t="s">
        <v>1498</v>
      </c>
      <c r="C13" s="144">
        <v>16602915.84</v>
      </c>
      <c r="D13" s="297">
        <v>456283.92</v>
      </c>
      <c r="E13" s="314">
        <v>17059199.760000002</v>
      </c>
    </row>
    <row r="14" spans="1:5" ht="27" customHeight="1" thickBot="1">
      <c r="A14" s="128">
        <v>6</v>
      </c>
      <c r="B14" s="128" t="s">
        <v>1499</v>
      </c>
      <c r="C14" s="509">
        <v>3794195826.3499999</v>
      </c>
      <c r="D14" s="510">
        <v>118509503.72</v>
      </c>
      <c r="E14" s="146">
        <v>3912705330.0700002</v>
      </c>
    </row>
    <row r="15" spans="1:5" ht="20" customHeight="1" thickBot="1">
      <c r="A15" s="127">
        <v>31</v>
      </c>
      <c r="B15" s="127" t="s">
        <v>535</v>
      </c>
      <c r="C15" s="144">
        <v>3171818210.6199999</v>
      </c>
      <c r="D15" s="297">
        <v>109438074.43000001</v>
      </c>
      <c r="E15" s="314">
        <v>3281256285.0500002</v>
      </c>
    </row>
    <row r="16" spans="1:5" ht="20" customHeight="1" thickBot="1">
      <c r="A16" s="127">
        <v>32</v>
      </c>
      <c r="B16" s="127" t="s">
        <v>1500</v>
      </c>
      <c r="C16" s="144">
        <v>-597729263.03999996</v>
      </c>
      <c r="D16" s="297">
        <v>-17504997.010000002</v>
      </c>
      <c r="E16" s="314">
        <v>-615234260.04999995</v>
      </c>
    </row>
    <row r="17" spans="1:5" ht="27" customHeight="1" thickBot="1">
      <c r="A17" s="128" t="s">
        <v>1501</v>
      </c>
      <c r="B17" s="128" t="s">
        <v>1502</v>
      </c>
      <c r="C17" s="509">
        <v>2574088947.5799999</v>
      </c>
      <c r="D17" s="510">
        <v>91933077.409999996</v>
      </c>
      <c r="E17" s="146">
        <v>2666022024.9899998</v>
      </c>
    </row>
    <row r="18" spans="1:5" ht="20" customHeight="1" thickBot="1">
      <c r="A18" s="127">
        <v>34</v>
      </c>
      <c r="B18" s="127" t="s">
        <v>1503</v>
      </c>
      <c r="C18" s="144">
        <v>18526030</v>
      </c>
      <c r="D18" s="297">
        <v>290392.32000000001</v>
      </c>
      <c r="E18" s="314">
        <v>18816422.32</v>
      </c>
    </row>
    <row r="19" spans="1:5" ht="20" customHeight="1" thickBot="1">
      <c r="A19" s="127">
        <v>35</v>
      </c>
      <c r="B19" s="127" t="s">
        <v>1504</v>
      </c>
      <c r="C19" s="144">
        <v>157439785.33000001</v>
      </c>
      <c r="D19" s="297">
        <v>5857945.1600000001</v>
      </c>
      <c r="E19" s="314">
        <v>163297730.49000001</v>
      </c>
    </row>
    <row r="20" spans="1:5" ht="27" customHeight="1" thickBot="1">
      <c r="A20" s="128" t="s">
        <v>1505</v>
      </c>
      <c r="B20" s="128" t="s">
        <v>1506</v>
      </c>
      <c r="C20" s="509">
        <v>2750054762.8899999</v>
      </c>
      <c r="D20" s="510">
        <v>98081414.909999996</v>
      </c>
      <c r="E20" s="146">
        <v>2848136177.8000002</v>
      </c>
    </row>
    <row r="21" spans="1:5" ht="20" customHeight="1" thickBot="1">
      <c r="A21" s="127">
        <v>36</v>
      </c>
      <c r="B21" s="127" t="s">
        <v>614</v>
      </c>
      <c r="C21" s="144">
        <v>-3408894.08</v>
      </c>
      <c r="D21" s="297">
        <v>-121307.35</v>
      </c>
      <c r="E21" s="314">
        <v>-3530201.43</v>
      </c>
    </row>
    <row r="22" spans="1:5" ht="20" customHeight="1" thickBot="1">
      <c r="A22" s="127">
        <v>37</v>
      </c>
      <c r="B22" s="127" t="s">
        <v>615</v>
      </c>
      <c r="C22" s="144">
        <v>556344561.11000001</v>
      </c>
      <c r="D22" s="297">
        <v>12237794.779999999</v>
      </c>
      <c r="E22" s="314">
        <v>568582355.88999999</v>
      </c>
    </row>
    <row r="23" spans="1:5" ht="27" customHeight="1" thickBot="1">
      <c r="A23" s="128">
        <v>3</v>
      </c>
      <c r="B23" s="128" t="s">
        <v>2111</v>
      </c>
      <c r="C23" s="509">
        <v>3302990429.9000001</v>
      </c>
      <c r="D23" s="510">
        <v>110197902.33</v>
      </c>
      <c r="E23" s="146">
        <v>3413188332.23</v>
      </c>
    </row>
    <row r="24" spans="1:5" ht="20" customHeight="1" thickBot="1">
      <c r="A24" s="127" t="s">
        <v>2112</v>
      </c>
      <c r="B24" s="127" t="s">
        <v>2113</v>
      </c>
      <c r="C24" s="144">
        <v>196235907.81999999</v>
      </c>
      <c r="D24" s="297">
        <v>6076236.4100000001</v>
      </c>
      <c r="E24" s="314">
        <v>202312144.22999999</v>
      </c>
    </row>
    <row r="25" spans="1:5" ht="20" customHeight="1" thickBot="1">
      <c r="A25" s="127">
        <v>48</v>
      </c>
      <c r="B25" s="127" t="s">
        <v>2114</v>
      </c>
      <c r="C25" s="144">
        <v>11292525.460000001</v>
      </c>
      <c r="D25" s="297">
        <v>409950.6</v>
      </c>
      <c r="E25" s="314">
        <v>11702476.060000001</v>
      </c>
    </row>
    <row r="26" spans="1:5" ht="20" customHeight="1" thickBot="1">
      <c r="A26" s="127">
        <v>49</v>
      </c>
      <c r="B26" s="127" t="s">
        <v>2115</v>
      </c>
      <c r="C26" s="144">
        <v>3788092.25</v>
      </c>
      <c r="D26" s="297">
        <v>161689.32</v>
      </c>
      <c r="E26" s="314">
        <v>3949781.57</v>
      </c>
    </row>
    <row r="27" spans="1:5" ht="27" customHeight="1" thickBot="1">
      <c r="A27" s="128">
        <v>4</v>
      </c>
      <c r="B27" s="128" t="s">
        <v>2116</v>
      </c>
      <c r="C27" s="509">
        <v>211316525.55000001</v>
      </c>
      <c r="D27" s="510">
        <v>6647876.3399999999</v>
      </c>
      <c r="E27" s="146">
        <v>217964401.88999999</v>
      </c>
    </row>
    <row r="28" spans="1:5" ht="27" customHeight="1" thickBot="1">
      <c r="A28" s="128" t="s">
        <v>2117</v>
      </c>
      <c r="B28" s="128" t="s">
        <v>2118</v>
      </c>
      <c r="C28" s="509">
        <v>3514306955.4699998</v>
      </c>
      <c r="D28" s="510">
        <v>116845778.69</v>
      </c>
      <c r="E28" s="146">
        <v>3631152734.1599998</v>
      </c>
    </row>
    <row r="29" spans="1:5" ht="27" customHeight="1" thickBot="1">
      <c r="A29" s="128"/>
      <c r="B29" s="128" t="s">
        <v>2119</v>
      </c>
      <c r="C29" s="509">
        <v>279888870.89999998</v>
      </c>
      <c r="D29" s="510">
        <v>1663725.06</v>
      </c>
      <c r="E29" s="146">
        <v>281552595.95999998</v>
      </c>
    </row>
    <row r="30" spans="1:5" ht="27" customHeight="1" thickBot="1">
      <c r="A30" s="128">
        <v>7</v>
      </c>
      <c r="B30" s="128" t="s">
        <v>2120</v>
      </c>
      <c r="C30" s="509">
        <v>47664166.170000002</v>
      </c>
      <c r="D30" s="510">
        <v>1558152.45</v>
      </c>
      <c r="E30" s="146">
        <v>49222318.619999997</v>
      </c>
    </row>
    <row r="31" spans="1:5" ht="34.5" customHeight="1" thickBot="1">
      <c r="A31" s="511"/>
      <c r="B31" s="511" t="s">
        <v>2121</v>
      </c>
      <c r="C31" s="512">
        <v>327553037.06999999</v>
      </c>
      <c r="D31" s="513">
        <v>3221877.49</v>
      </c>
      <c r="E31" s="514">
        <v>330774914.56</v>
      </c>
    </row>
    <row r="32" spans="1:5" ht="18.75" customHeight="1">
      <c r="A32" s="2" t="s">
        <v>1256</v>
      </c>
    </row>
    <row r="34" spans="1:1">
      <c r="A34" s="2" t="s">
        <v>2125</v>
      </c>
    </row>
    <row r="36" spans="1:1">
      <c r="A36" s="2" t="s">
        <v>2132</v>
      </c>
    </row>
    <row r="39" spans="1:1">
      <c r="A39" s="2" t="s">
        <v>634</v>
      </c>
    </row>
  </sheetData>
  <mergeCells count="1">
    <mergeCell ref="A2:D2"/>
  </mergeCells>
  <phoneticPr fontId="0" type="noConversion"/>
  <pageMargins left="0.64" right="0.56000000000000005" top="0.96" bottom="0.49" header="0.53" footer="0.4921259845"/>
  <pageSetup paperSize="9" scale="84" orientation="portrait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282B-BFF7-C247-8B77-BAD60DC90761}">
  <sheetPr>
    <pageSetUpPr fitToPage="1"/>
  </sheetPr>
  <dimension ref="A1:E48"/>
  <sheetViews>
    <sheetView topLeftCell="A32" zoomScale="75" workbookViewId="0">
      <selection activeCell="A41" sqref="A41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6.796875" style="2" customWidth="1"/>
    <col min="4" max="4" width="16.796875" style="8" customWidth="1"/>
    <col min="5" max="5" width="16.796875" style="533" customWidth="1"/>
    <col min="6" max="16384" width="11.3984375" style="2"/>
  </cols>
  <sheetData>
    <row r="1" spans="1:5" s="1" customFormat="1" ht="54.75" customHeight="1">
      <c r="A1" s="1802" t="s">
        <v>1197</v>
      </c>
      <c r="B1" s="1803"/>
      <c r="C1" s="1803"/>
      <c r="D1" s="1803"/>
      <c r="E1" s="56">
        <v>2007</v>
      </c>
    </row>
    <row r="2" spans="1:5" s="1" customFormat="1" ht="10.5" customHeight="1">
      <c r="A2" s="353"/>
      <c r="B2" s="353"/>
      <c r="C2" s="353"/>
      <c r="D2" s="353"/>
      <c r="E2" s="353"/>
    </row>
    <row r="3" spans="1:5" ht="39" customHeight="1">
      <c r="A3" s="519" t="s">
        <v>1485</v>
      </c>
      <c r="B3" s="167"/>
      <c r="C3" s="111" t="s">
        <v>1486</v>
      </c>
      <c r="D3" s="276" t="s">
        <v>1487</v>
      </c>
      <c r="E3" s="504" t="s">
        <v>629</v>
      </c>
    </row>
    <row r="4" spans="1:5" ht="25.5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122">
        <v>61.1</v>
      </c>
      <c r="B5" s="122" t="s">
        <v>2134</v>
      </c>
      <c r="C5" s="142">
        <v>78086992.159999996</v>
      </c>
      <c r="D5" s="291">
        <v>1902989.22</v>
      </c>
      <c r="E5" s="520">
        <v>79989981.379999995</v>
      </c>
    </row>
    <row r="6" spans="1:5" ht="22.5" customHeight="1" thickBot="1">
      <c r="A6" s="521">
        <v>61.2</v>
      </c>
      <c r="B6" s="521" t="s">
        <v>29</v>
      </c>
      <c r="C6" s="142">
        <v>4428585.5999999996</v>
      </c>
      <c r="D6" s="291">
        <v>205168.28</v>
      </c>
      <c r="E6" s="520">
        <v>4633753.88</v>
      </c>
    </row>
    <row r="7" spans="1:5" ht="20" customHeight="1" thickBot="1">
      <c r="A7" s="127">
        <v>64</v>
      </c>
      <c r="B7" s="127" t="s">
        <v>1489</v>
      </c>
      <c r="C7" s="142">
        <v>-328082.46000000002</v>
      </c>
      <c r="D7" s="291">
        <v>-9000.91</v>
      </c>
      <c r="E7" s="520">
        <v>-337083.37</v>
      </c>
    </row>
    <row r="8" spans="1:5" ht="20" customHeight="1" thickBot="1">
      <c r="A8" s="127">
        <v>65</v>
      </c>
      <c r="B8" s="127" t="s">
        <v>1490</v>
      </c>
      <c r="C8" s="142">
        <v>41080.22</v>
      </c>
      <c r="D8" s="291">
        <v>1698.15</v>
      </c>
      <c r="E8" s="520">
        <v>42778.37</v>
      </c>
    </row>
    <row r="9" spans="1:5" ht="27" customHeight="1" thickBot="1">
      <c r="A9" s="128" t="s">
        <v>1491</v>
      </c>
      <c r="B9" s="128" t="s">
        <v>1492</v>
      </c>
      <c r="C9" s="142">
        <v>82228575.510000005</v>
      </c>
      <c r="D9" s="291">
        <v>2100854.75</v>
      </c>
      <c r="E9" s="520">
        <v>84329430.260000005</v>
      </c>
    </row>
    <row r="10" spans="1:5" ht="20" customHeight="1" thickBot="1">
      <c r="A10" s="127">
        <v>66</v>
      </c>
      <c r="B10" s="127" t="s">
        <v>1493</v>
      </c>
      <c r="C10" s="142">
        <v>-34250.559999999998</v>
      </c>
      <c r="D10" s="291">
        <v>-786.4</v>
      </c>
      <c r="E10" s="520">
        <v>-35036.959999999999</v>
      </c>
    </row>
    <row r="11" spans="1:5" ht="27" customHeight="1" thickBot="1">
      <c r="A11" s="128" t="s">
        <v>1494</v>
      </c>
      <c r="B11" s="128" t="s">
        <v>1495</v>
      </c>
      <c r="C11" s="142">
        <v>82194324.950000003</v>
      </c>
      <c r="D11" s="291">
        <v>2100068.35</v>
      </c>
      <c r="E11" s="520">
        <v>84294393.299999997</v>
      </c>
    </row>
    <row r="12" spans="1:5" ht="21" customHeight="1" thickBot="1">
      <c r="A12" s="127">
        <v>67</v>
      </c>
      <c r="B12" s="127" t="s">
        <v>1496</v>
      </c>
      <c r="C12" s="142">
        <v>1227210.27</v>
      </c>
      <c r="D12" s="291">
        <v>38247.81</v>
      </c>
      <c r="E12" s="520">
        <v>1265458.08</v>
      </c>
    </row>
    <row r="13" spans="1:5" ht="21" customHeight="1" thickBot="1">
      <c r="A13" s="127">
        <v>68</v>
      </c>
      <c r="B13" s="127" t="s">
        <v>1497</v>
      </c>
      <c r="C13" s="142">
        <v>-1307365.72</v>
      </c>
      <c r="D13" s="291">
        <v>-39488.79</v>
      </c>
      <c r="E13" s="520">
        <v>-1346854.51</v>
      </c>
    </row>
    <row r="14" spans="1:5" ht="21" customHeight="1" thickBot="1">
      <c r="A14" s="127">
        <v>69</v>
      </c>
      <c r="B14" s="127" t="s">
        <v>1498</v>
      </c>
      <c r="C14" s="142">
        <v>47044.57</v>
      </c>
      <c r="D14" s="291">
        <v>1614.24</v>
      </c>
      <c r="E14" s="520">
        <v>48658.81</v>
      </c>
    </row>
    <row r="15" spans="1:5" ht="27" customHeight="1" thickBot="1">
      <c r="A15" s="128">
        <v>6</v>
      </c>
      <c r="B15" s="128" t="s">
        <v>1499</v>
      </c>
      <c r="C15" s="142">
        <v>82161214.079999998</v>
      </c>
      <c r="D15" s="291">
        <v>2100441.62</v>
      </c>
      <c r="E15" s="520">
        <v>84261655.700000003</v>
      </c>
    </row>
    <row r="16" spans="1:5" ht="20" customHeight="1" thickBot="1">
      <c r="A16" s="127">
        <v>31.1</v>
      </c>
      <c r="B16" s="127" t="s">
        <v>30</v>
      </c>
      <c r="C16" s="142">
        <v>55215892.270000003</v>
      </c>
      <c r="D16" s="291">
        <v>868871.86</v>
      </c>
      <c r="E16" s="520">
        <v>56084764.130000003</v>
      </c>
    </row>
    <row r="17" spans="1:5" ht="20" customHeight="1" thickBot="1">
      <c r="A17" s="127">
        <v>31.2</v>
      </c>
      <c r="B17" s="127" t="s">
        <v>31</v>
      </c>
      <c r="C17" s="142">
        <v>4221413.41</v>
      </c>
      <c r="D17" s="291">
        <v>116273.11</v>
      </c>
      <c r="E17" s="520">
        <v>4337686.5199999996</v>
      </c>
    </row>
    <row r="18" spans="1:5" ht="20" customHeight="1" thickBot="1">
      <c r="A18" s="127">
        <v>32</v>
      </c>
      <c r="B18" s="127" t="s">
        <v>1500</v>
      </c>
      <c r="C18" s="142">
        <v>-4053664.71</v>
      </c>
      <c r="D18" s="291">
        <v>-78095.3</v>
      </c>
      <c r="E18" s="520">
        <v>-4131760.01</v>
      </c>
    </row>
    <row r="19" spans="1:5" ht="27" customHeight="1" thickBot="1">
      <c r="A19" s="128" t="s">
        <v>1501</v>
      </c>
      <c r="B19" s="128" t="s">
        <v>1502</v>
      </c>
      <c r="C19" s="142">
        <v>55383640.950000003</v>
      </c>
      <c r="D19" s="291">
        <v>907049.67</v>
      </c>
      <c r="E19" s="520">
        <v>56290690.619999997</v>
      </c>
    </row>
    <row r="20" spans="1:5" ht="20" customHeight="1" thickBot="1">
      <c r="A20" s="127">
        <v>34</v>
      </c>
      <c r="B20" s="127" t="s">
        <v>1503</v>
      </c>
      <c r="C20" s="142">
        <v>61069.41</v>
      </c>
      <c r="D20" s="291">
        <v>1005.35</v>
      </c>
      <c r="E20" s="520">
        <v>62074.76</v>
      </c>
    </row>
    <row r="21" spans="1:5" ht="20" customHeight="1" thickBot="1">
      <c r="A21" s="127">
        <v>35</v>
      </c>
      <c r="B21" s="127" t="s">
        <v>1504</v>
      </c>
      <c r="C21" s="142">
        <v>6275642.0999999996</v>
      </c>
      <c r="D21" s="291">
        <v>-69157.23</v>
      </c>
      <c r="E21" s="520">
        <v>6206484.8700000001</v>
      </c>
    </row>
    <row r="22" spans="1:5" ht="20" customHeight="1" thickBot="1">
      <c r="A22" s="127">
        <v>35.1</v>
      </c>
      <c r="B22" s="127" t="s">
        <v>32</v>
      </c>
      <c r="C22" s="142">
        <v>373710.36</v>
      </c>
      <c r="D22" s="291">
        <v>803.01</v>
      </c>
      <c r="E22" s="520">
        <v>374513.37</v>
      </c>
    </row>
    <row r="23" spans="1:5" ht="27" customHeight="1" thickBot="1">
      <c r="A23" s="128" t="s">
        <v>1505</v>
      </c>
      <c r="B23" s="128" t="s">
        <v>1506</v>
      </c>
      <c r="C23" s="142">
        <v>62094062.82</v>
      </c>
      <c r="D23" s="291">
        <v>839700.81</v>
      </c>
      <c r="E23" s="520">
        <v>62933763.630000003</v>
      </c>
    </row>
    <row r="24" spans="1:5" ht="20" customHeight="1" thickBot="1">
      <c r="A24" s="127">
        <v>36</v>
      </c>
      <c r="B24" s="127" t="s">
        <v>614</v>
      </c>
      <c r="C24" s="142">
        <v>-39498.6</v>
      </c>
      <c r="D24" s="291">
        <v>-404.96</v>
      </c>
      <c r="E24" s="520">
        <v>-39903.56</v>
      </c>
    </row>
    <row r="25" spans="1:5" ht="20" customHeight="1" thickBot="1">
      <c r="A25" s="127">
        <v>37</v>
      </c>
      <c r="B25" s="127" t="s">
        <v>615</v>
      </c>
      <c r="C25" s="142">
        <v>12036798.029999999</v>
      </c>
      <c r="D25" s="291">
        <v>230694.99</v>
      </c>
      <c r="E25" s="520">
        <v>12267493.02</v>
      </c>
    </row>
    <row r="26" spans="1:5" ht="27" customHeight="1" thickBot="1">
      <c r="A26" s="128">
        <v>3</v>
      </c>
      <c r="B26" s="128" t="s">
        <v>2111</v>
      </c>
      <c r="C26" s="142">
        <v>74091362.230000004</v>
      </c>
      <c r="D26" s="291">
        <v>1069990.8600000001</v>
      </c>
      <c r="E26" s="520">
        <v>75161353.090000004</v>
      </c>
    </row>
    <row r="27" spans="1:5" ht="20" customHeight="1" thickBot="1">
      <c r="A27" s="127" t="s">
        <v>2112</v>
      </c>
      <c r="B27" s="127" t="s">
        <v>2113</v>
      </c>
      <c r="C27" s="142">
        <v>5087047.34</v>
      </c>
      <c r="D27" s="291">
        <v>117456.33</v>
      </c>
      <c r="E27" s="520">
        <v>5204503.67</v>
      </c>
    </row>
    <row r="28" spans="1:5" ht="20" customHeight="1" thickBot="1">
      <c r="A28" s="127">
        <v>48</v>
      </c>
      <c r="B28" s="127" t="s">
        <v>2114</v>
      </c>
      <c r="C28" s="142">
        <v>259354.5</v>
      </c>
      <c r="D28" s="291">
        <v>5187.05</v>
      </c>
      <c r="E28" s="520">
        <v>264541.55</v>
      </c>
    </row>
    <row r="29" spans="1:5" ht="20" customHeight="1" thickBot="1">
      <c r="A29" s="127">
        <v>49</v>
      </c>
      <c r="B29" s="127" t="s">
        <v>2115</v>
      </c>
      <c r="C29" s="142">
        <v>250382.44</v>
      </c>
      <c r="D29" s="291">
        <v>3762.84</v>
      </c>
      <c r="E29" s="520">
        <v>254145.28</v>
      </c>
    </row>
    <row r="30" spans="1:5" ht="27" customHeight="1" thickBot="1">
      <c r="A30" s="128">
        <v>4</v>
      </c>
      <c r="B30" s="128" t="s">
        <v>2116</v>
      </c>
      <c r="C30" s="142">
        <v>5596784.3099999996</v>
      </c>
      <c r="D30" s="291">
        <v>126406.22</v>
      </c>
      <c r="E30" s="520">
        <v>5723190.5300000003</v>
      </c>
    </row>
    <row r="31" spans="1:5" ht="27" customHeight="1" thickBot="1">
      <c r="A31" s="128" t="s">
        <v>2117</v>
      </c>
      <c r="B31" s="128" t="s">
        <v>2118</v>
      </c>
      <c r="C31" s="142">
        <v>79688146.530000001</v>
      </c>
      <c r="D31" s="291">
        <v>1196397.08</v>
      </c>
      <c r="E31" s="520">
        <v>80884543.609999999</v>
      </c>
    </row>
    <row r="32" spans="1:5" ht="27" customHeight="1" thickBot="1">
      <c r="A32" s="128"/>
      <c r="B32" s="128" t="s">
        <v>2119</v>
      </c>
      <c r="C32" s="144">
        <v>2473067.5299999998</v>
      </c>
      <c r="D32" s="297">
        <v>904044.54</v>
      </c>
      <c r="E32" s="314">
        <v>3377112.07</v>
      </c>
    </row>
    <row r="33" spans="1:5" ht="27" customHeight="1" thickBot="1">
      <c r="A33" s="128">
        <v>7</v>
      </c>
      <c r="B33" s="128" t="s">
        <v>2120</v>
      </c>
      <c r="C33" s="144">
        <v>522131.72</v>
      </c>
      <c r="D33" s="297">
        <v>14997.56</v>
      </c>
      <c r="E33" s="314">
        <v>537129.28</v>
      </c>
    </row>
    <row r="34" spans="1:5" ht="27.75" customHeight="1" thickBot="1">
      <c r="A34" s="522"/>
      <c r="B34" s="522" t="s">
        <v>2121</v>
      </c>
      <c r="C34" s="523">
        <v>2995199.25</v>
      </c>
      <c r="D34" s="524">
        <v>919042.09</v>
      </c>
      <c r="E34" s="525">
        <v>3914241.34</v>
      </c>
    </row>
    <row r="35" spans="1:5" ht="22.5" customHeight="1">
      <c r="A35" s="526"/>
      <c r="B35" s="526"/>
      <c r="C35" s="365"/>
      <c r="D35" s="365"/>
      <c r="E35" s="366"/>
    </row>
    <row r="36" spans="1:5" ht="24" customHeight="1">
      <c r="A36" s="527" t="s">
        <v>1198</v>
      </c>
      <c r="B36" s="528"/>
      <c r="C36" s="528"/>
      <c r="D36" s="528"/>
      <c r="E36" s="528"/>
    </row>
    <row r="37" spans="1:5" ht="21" customHeight="1" thickBot="1">
      <c r="A37" s="529"/>
      <c r="B37" s="529" t="s">
        <v>33</v>
      </c>
      <c r="C37" s="530" t="s">
        <v>59</v>
      </c>
      <c r="D37" s="531" t="s">
        <v>59</v>
      </c>
      <c r="E37" s="292">
        <v>34488720.359999999</v>
      </c>
    </row>
    <row r="38" spans="1:5" ht="21" customHeight="1" thickBot="1">
      <c r="A38" s="128"/>
      <c r="B38" s="128" t="s">
        <v>34</v>
      </c>
      <c r="C38" s="509" t="s">
        <v>59</v>
      </c>
      <c r="D38" s="510" t="s">
        <v>59</v>
      </c>
      <c r="E38" s="146">
        <v>-2429269.96</v>
      </c>
    </row>
    <row r="39" spans="1:5" ht="21" customHeight="1" thickBot="1">
      <c r="A39" s="128"/>
      <c r="B39" s="128" t="s">
        <v>1193</v>
      </c>
      <c r="C39" s="509" t="s">
        <v>59</v>
      </c>
      <c r="D39" s="510" t="s">
        <v>59</v>
      </c>
      <c r="E39" s="146">
        <v>32059450.41</v>
      </c>
    </row>
    <row r="40" spans="1:5" ht="15.75" customHeight="1">
      <c r="A40" s="133" t="s">
        <v>1256</v>
      </c>
      <c r="B40" s="170"/>
      <c r="C40" s="133"/>
      <c r="D40" s="287"/>
      <c r="E40" s="532"/>
    </row>
    <row r="42" spans="1:5">
      <c r="A42" s="2" t="s">
        <v>1194</v>
      </c>
    </row>
    <row r="43" spans="1:5">
      <c r="A43" s="534" t="s">
        <v>1195</v>
      </c>
    </row>
    <row r="45" spans="1:5">
      <c r="A45" s="2" t="s">
        <v>1196</v>
      </c>
    </row>
    <row r="48" spans="1:5">
      <c r="A48" s="2" t="s">
        <v>634</v>
      </c>
    </row>
  </sheetData>
  <mergeCells count="1">
    <mergeCell ref="A1:D1"/>
  </mergeCells>
  <phoneticPr fontId="0" type="noConversion"/>
  <pageMargins left="0.47244094488188981" right="0.59055118110236227" top="0.5" bottom="0.3" header="0.26" footer="0.19"/>
  <pageSetup paperSize="9" scale="76" orientation="portrait" horizontalDpi="4294967292" verticalDpi="429496729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F193-B456-964E-ADCB-2240038D7F7B}">
  <sheetPr>
    <pageSetUpPr fitToPage="1"/>
  </sheetPr>
  <dimension ref="A1:J24"/>
  <sheetViews>
    <sheetView topLeftCell="A4" zoomScale="75" workbookViewId="0">
      <selection activeCell="A3" sqref="A3"/>
    </sheetView>
  </sheetViews>
  <sheetFormatPr baseColWidth="10" defaultColWidth="11.3984375" defaultRowHeight="13"/>
  <cols>
    <col min="1" max="1" width="14.3984375" style="2" customWidth="1"/>
    <col min="2" max="2" width="17.3984375" style="2" customWidth="1"/>
    <col min="3" max="5" width="15.19921875" style="2" customWidth="1"/>
    <col min="6" max="6" width="16.3984375" style="2" customWidth="1"/>
    <col min="7" max="16384" width="11.3984375" style="2"/>
  </cols>
  <sheetData>
    <row r="1" spans="1:10" s="1" customFormat="1" ht="14" customHeight="1"/>
    <row r="2" spans="1:10" s="1" customFormat="1" ht="39" customHeight="1">
      <c r="A2" s="1800" t="s">
        <v>1330</v>
      </c>
      <c r="B2" s="1804"/>
      <c r="C2" s="1804"/>
      <c r="D2" s="1804"/>
      <c r="E2" s="1804"/>
      <c r="F2" s="56">
        <v>2007</v>
      </c>
    </row>
    <row r="3" spans="1:10" ht="24" customHeight="1">
      <c r="A3" s="110" t="s">
        <v>517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</row>
    <row r="4" spans="1:10" ht="15" customHeight="1">
      <c r="A4" s="308"/>
      <c r="B4" s="114" t="s">
        <v>836</v>
      </c>
      <c r="C4" s="115" t="s">
        <v>837</v>
      </c>
      <c r="D4" s="114" t="s">
        <v>838</v>
      </c>
      <c r="E4" s="279" t="s">
        <v>839</v>
      </c>
      <c r="F4" s="114"/>
    </row>
    <row r="5" spans="1:10" ht="15" customHeight="1">
      <c r="A5" s="308"/>
      <c r="B5" s="114" t="s">
        <v>840</v>
      </c>
      <c r="C5" s="115" t="s">
        <v>841</v>
      </c>
      <c r="D5" s="114"/>
      <c r="E5" s="279" t="s">
        <v>1331</v>
      </c>
      <c r="F5" s="114"/>
    </row>
    <row r="6" spans="1:10" ht="24" customHeight="1">
      <c r="A6" s="309"/>
      <c r="B6" s="120"/>
      <c r="C6" s="119"/>
      <c r="D6" s="120"/>
      <c r="E6" s="282" t="s">
        <v>843</v>
      </c>
      <c r="F6" s="120"/>
    </row>
    <row r="7" spans="1:10" ht="3" customHeight="1" thickBot="1">
      <c r="A7" s="310">
        <v>1996</v>
      </c>
      <c r="B7" s="142">
        <v>-991775322</v>
      </c>
      <c r="C7" s="291">
        <v>663779882</v>
      </c>
      <c r="D7" s="142">
        <v>3167199</v>
      </c>
      <c r="E7" s="291">
        <v>4895896</v>
      </c>
      <c r="F7" s="142">
        <v>-319932346</v>
      </c>
      <c r="G7" s="8"/>
    </row>
    <row r="8" spans="1:10" ht="20" customHeight="1" thickBot="1">
      <c r="A8" s="312">
        <v>1997</v>
      </c>
      <c r="B8" s="144">
        <v>-876459686</v>
      </c>
      <c r="C8" s="297">
        <v>838256173</v>
      </c>
      <c r="D8" s="144">
        <v>-2030295</v>
      </c>
      <c r="E8" s="297">
        <v>110405696</v>
      </c>
      <c r="F8" s="144">
        <v>70171888</v>
      </c>
      <c r="G8" s="8"/>
      <c r="H8" s="9"/>
      <c r="I8" s="9"/>
      <c r="J8" s="9"/>
    </row>
    <row r="9" spans="1:10" ht="20" customHeight="1" thickBot="1">
      <c r="A9" s="312">
        <v>1998</v>
      </c>
      <c r="B9" s="144">
        <v>-430866451</v>
      </c>
      <c r="C9" s="297">
        <v>357976738</v>
      </c>
      <c r="D9" s="144">
        <v>4544767</v>
      </c>
      <c r="E9" s="297">
        <v>68311649</v>
      </c>
      <c r="F9" s="144">
        <v>-33297</v>
      </c>
      <c r="G9" s="8"/>
    </row>
    <row r="10" spans="1:10" ht="20" customHeight="1" thickBot="1">
      <c r="A10" s="312">
        <v>1999</v>
      </c>
      <c r="B10" s="144">
        <v>-927498708</v>
      </c>
      <c r="C10" s="297">
        <v>825438408</v>
      </c>
      <c r="D10" s="144">
        <v>3614253</v>
      </c>
      <c r="E10" s="297">
        <v>49059277</v>
      </c>
      <c r="F10" s="144">
        <v>-49386770</v>
      </c>
      <c r="G10" s="8"/>
    </row>
    <row r="11" spans="1:10" ht="19.5" customHeight="1" thickBot="1">
      <c r="A11" s="312">
        <v>2000</v>
      </c>
      <c r="B11" s="144">
        <v>-1105229685</v>
      </c>
      <c r="C11" s="297">
        <v>733255417.92999995</v>
      </c>
      <c r="D11" s="144">
        <v>3877650.94</v>
      </c>
      <c r="E11" s="297">
        <v>62142502.969999999</v>
      </c>
      <c r="F11" s="144">
        <v>-305954113.39999998</v>
      </c>
      <c r="G11" s="8"/>
    </row>
    <row r="12" spans="1:10" ht="19.5" customHeight="1" thickBot="1">
      <c r="A12" s="312">
        <v>2001</v>
      </c>
      <c r="B12" s="144">
        <v>-1433346588</v>
      </c>
      <c r="C12" s="297">
        <v>618037013.5</v>
      </c>
      <c r="D12" s="144">
        <v>2472338.21</v>
      </c>
      <c r="E12" s="297">
        <v>23119861.41</v>
      </c>
      <c r="F12" s="144">
        <v>-789717374.88</v>
      </c>
      <c r="G12" s="8"/>
    </row>
    <row r="13" spans="1:10" ht="19.5" customHeight="1" thickBot="1">
      <c r="A13" s="312">
        <v>2002</v>
      </c>
      <c r="B13" s="144">
        <v>-1276900302</v>
      </c>
      <c r="C13" s="297">
        <v>976642734.75999999</v>
      </c>
      <c r="D13" s="144">
        <v>4263892.6399999997</v>
      </c>
      <c r="E13" s="297">
        <v>72321311.689999998</v>
      </c>
      <c r="F13" s="144">
        <v>-223672362.91000003</v>
      </c>
      <c r="G13" s="8"/>
    </row>
    <row r="14" spans="1:10" ht="19.5" customHeight="1" thickBot="1">
      <c r="A14" s="312">
        <v>2003</v>
      </c>
      <c r="B14" s="144">
        <v>-1199959344</v>
      </c>
      <c r="C14" s="297">
        <v>1406688222.5</v>
      </c>
      <c r="D14" s="144">
        <v>4842490.32</v>
      </c>
      <c r="E14" s="297">
        <v>188158567.50999999</v>
      </c>
      <c r="F14" s="144">
        <v>399729936.32999998</v>
      </c>
      <c r="G14" s="8"/>
    </row>
    <row r="15" spans="1:10" ht="19.5" customHeight="1" thickBot="1">
      <c r="A15" s="312">
        <v>2004</v>
      </c>
      <c r="B15" s="144">
        <v>-1391640712</v>
      </c>
      <c r="C15" s="297">
        <v>1634981205.5999999</v>
      </c>
      <c r="D15" s="144">
        <v>5236324.96</v>
      </c>
      <c r="E15" s="297">
        <v>265564837.19999999</v>
      </c>
      <c r="F15" s="144">
        <v>514141655.75999987</v>
      </c>
      <c r="G15" s="8"/>
    </row>
    <row r="16" spans="1:10" ht="19.5" customHeight="1" thickBot="1">
      <c r="A16" s="312">
        <v>2005</v>
      </c>
      <c r="B16" s="144">
        <v>-1649416138.25</v>
      </c>
      <c r="C16" s="297">
        <v>1546156469.1700001</v>
      </c>
      <c r="D16" s="144">
        <v>5085262.22</v>
      </c>
      <c r="E16" s="297">
        <v>269599080.74000001</v>
      </c>
      <c r="F16" s="144">
        <v>171424673.88000008</v>
      </c>
      <c r="G16" s="8"/>
    </row>
    <row r="17" spans="1:7" ht="19.5" customHeight="1" thickBot="1">
      <c r="A17" s="312">
        <v>2006</v>
      </c>
      <c r="B17" s="144">
        <v>-1546989478.8199999</v>
      </c>
      <c r="C17" s="297">
        <v>1652478712.1400001</v>
      </c>
      <c r="D17" s="144">
        <v>4831758.9400000004</v>
      </c>
      <c r="E17" s="297">
        <v>380628960.20999998</v>
      </c>
      <c r="F17" s="144">
        <v>490949952.47000015</v>
      </c>
      <c r="G17" s="8"/>
    </row>
    <row r="18" spans="1:7" ht="30" customHeight="1" thickBot="1">
      <c r="A18" s="396">
        <v>2007</v>
      </c>
      <c r="B18" s="338">
        <v>-1647720676.0699999</v>
      </c>
      <c r="C18" s="339">
        <v>1490223134.8800001</v>
      </c>
      <c r="D18" s="338">
        <v>5382703.5700000003</v>
      </c>
      <c r="E18" s="339">
        <v>330774914.56</v>
      </c>
      <c r="F18" s="338">
        <v>178660076.94000018</v>
      </c>
      <c r="G18" s="549"/>
    </row>
    <row r="19" spans="1:7" ht="20" customHeight="1">
      <c r="A19" s="133" t="s">
        <v>1256</v>
      </c>
      <c r="B19" s="133"/>
      <c r="C19" s="133"/>
      <c r="D19" s="133"/>
      <c r="E19" s="133"/>
      <c r="F19" s="133"/>
    </row>
    <row r="20" spans="1:7" ht="12" customHeight="1">
      <c r="A20" s="3"/>
      <c r="B20" s="3"/>
      <c r="C20" s="3"/>
      <c r="D20" s="3"/>
      <c r="E20" s="3"/>
      <c r="F20" s="3"/>
    </row>
    <row r="21" spans="1:7">
      <c r="A21" s="2" t="s">
        <v>1332</v>
      </c>
    </row>
    <row r="24" spans="1:7">
      <c r="A24" s="2" t="s">
        <v>634</v>
      </c>
    </row>
  </sheetData>
  <mergeCells count="1">
    <mergeCell ref="A2:E2"/>
  </mergeCells>
  <phoneticPr fontId="0" type="noConversion"/>
  <pageMargins left="0.6" right="0.65" top="1.01" bottom="0.49" header="0.53" footer="0.4921259845"/>
  <pageSetup paperSize="9" scale="97" orientation="portrait" horizontalDpi="4294967292" verticalDpi="429496729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5AE7-1AB3-B24B-A25E-FA4D81BC350A}">
  <sheetPr>
    <pageSetUpPr fitToPage="1"/>
  </sheetPr>
  <dimension ref="A1:J24"/>
  <sheetViews>
    <sheetView zoomScale="75" workbookViewId="0">
      <selection activeCell="H12" sqref="H12"/>
    </sheetView>
  </sheetViews>
  <sheetFormatPr baseColWidth="10" defaultColWidth="11.3984375" defaultRowHeight="13"/>
  <cols>
    <col min="1" max="1" width="14.3984375" style="2" customWidth="1"/>
    <col min="2" max="6" width="15.3984375" style="2" customWidth="1"/>
    <col min="7" max="16384" width="11.3984375" style="2"/>
  </cols>
  <sheetData>
    <row r="1" spans="1:10" s="1" customFormat="1" ht="14" customHeight="1"/>
    <row r="2" spans="1:10" s="1" customFormat="1" ht="39" customHeight="1">
      <c r="A2" s="1800" t="s">
        <v>1333</v>
      </c>
      <c r="B2" s="1804"/>
      <c r="C2" s="1804"/>
      <c r="D2" s="1804"/>
      <c r="E2" s="1804"/>
      <c r="F2" s="321">
        <v>2007</v>
      </c>
    </row>
    <row r="3" spans="1:10" ht="24" customHeight="1">
      <c r="A3" s="110" t="s">
        <v>533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</row>
    <row r="4" spans="1:10" ht="15" customHeight="1">
      <c r="A4" s="308"/>
      <c r="B4" s="114" t="s">
        <v>836</v>
      </c>
      <c r="C4" s="115" t="s">
        <v>837</v>
      </c>
      <c r="D4" s="114" t="s">
        <v>1334</v>
      </c>
      <c r="E4" s="279" t="s">
        <v>1335</v>
      </c>
      <c r="F4" s="114"/>
    </row>
    <row r="5" spans="1:10" ht="15" customHeight="1">
      <c r="A5" s="308"/>
      <c r="B5" s="114" t="s">
        <v>840</v>
      </c>
      <c r="C5" s="115" t="s">
        <v>841</v>
      </c>
      <c r="D5" s="114" t="s">
        <v>1336</v>
      </c>
      <c r="E5" s="279" t="s">
        <v>1337</v>
      </c>
      <c r="F5" s="114"/>
    </row>
    <row r="6" spans="1:10" ht="24" customHeight="1">
      <c r="A6" s="309"/>
      <c r="B6" s="120"/>
      <c r="C6" s="119"/>
      <c r="D6" s="120"/>
      <c r="E6" s="282" t="s">
        <v>843</v>
      </c>
      <c r="F6" s="120"/>
    </row>
    <row r="7" spans="1:10" ht="1.5" customHeight="1" thickBot="1">
      <c r="A7" s="310">
        <v>1996</v>
      </c>
      <c r="B7" s="142">
        <v>-209.25119249563258</v>
      </c>
      <c r="C7" s="291">
        <v>287.88798918153714</v>
      </c>
      <c r="D7" s="142">
        <v>113.8133893919793</v>
      </c>
      <c r="E7" s="291">
        <v>40.26296485139558</v>
      </c>
      <c r="F7" s="142">
        <v>-44.467447531910054</v>
      </c>
    </row>
    <row r="8" spans="1:10" ht="20" customHeight="1" thickBot="1">
      <c r="A8" s="312">
        <v>1997</v>
      </c>
      <c r="B8" s="144">
        <v>-214.61582270081155</v>
      </c>
      <c r="C8" s="297">
        <v>306.33942450638875</v>
      </c>
      <c r="D8" s="144">
        <v>-176.63955107012353</v>
      </c>
      <c r="E8" s="297">
        <v>288.19554520703849</v>
      </c>
      <c r="F8" s="144">
        <v>9.7260962701001628</v>
      </c>
      <c r="H8" s="9"/>
      <c r="I8" s="9"/>
      <c r="J8" s="9"/>
    </row>
    <row r="9" spans="1:10" ht="20" customHeight="1" thickBot="1">
      <c r="A9" s="312">
        <v>1998</v>
      </c>
      <c r="B9" s="144">
        <v>-107.28033046607707</v>
      </c>
      <c r="C9" s="297">
        <v>131.29687859897859</v>
      </c>
      <c r="D9" s="144">
        <v>384.2379945891106</v>
      </c>
      <c r="E9" s="297">
        <v>138.27149421099506</v>
      </c>
      <c r="F9" s="144">
        <v>-4.5935747895146139E-3</v>
      </c>
    </row>
    <row r="10" spans="1:10" ht="20" customHeight="1" thickBot="1">
      <c r="A10" s="312">
        <v>1999</v>
      </c>
      <c r="B10" s="144">
        <v>-231.94750851767455</v>
      </c>
      <c r="C10" s="297">
        <v>303.95700464199626</v>
      </c>
      <c r="D10" s="144">
        <v>352.33505556638721</v>
      </c>
      <c r="E10" s="297">
        <v>90.53364520474635</v>
      </c>
      <c r="F10" s="144">
        <v>-6.7964685777290796</v>
      </c>
    </row>
    <row r="11" spans="1:10" ht="20" customHeight="1" thickBot="1">
      <c r="A11" s="312">
        <v>2000</v>
      </c>
      <c r="B11" s="144">
        <v>-281.80831964955939</v>
      </c>
      <c r="C11" s="297">
        <v>265.81296038591444</v>
      </c>
      <c r="D11" s="144">
        <v>395.23503618387525</v>
      </c>
      <c r="E11" s="297">
        <v>107.54256442516194</v>
      </c>
      <c r="F11" s="144">
        <v>-42.095410127886048</v>
      </c>
    </row>
    <row r="12" spans="1:10" ht="20" customHeight="1" thickBot="1">
      <c r="A12" s="312">
        <v>2001</v>
      </c>
      <c r="B12" s="144">
        <v>-369.21073383560986</v>
      </c>
      <c r="C12" s="297">
        <v>218.09355776804139</v>
      </c>
      <c r="D12" s="144">
        <v>264.67596724119471</v>
      </c>
      <c r="E12" s="297">
        <v>38.795684474417683</v>
      </c>
      <c r="F12" s="144">
        <v>-107.86592232759077</v>
      </c>
    </row>
    <row r="13" spans="1:10" ht="20" customHeight="1" thickBot="1">
      <c r="A13" s="312">
        <v>2002</v>
      </c>
      <c r="B13" s="144">
        <v>-334.90929649130862</v>
      </c>
      <c r="C13" s="297">
        <v>327.64230472151957</v>
      </c>
      <c r="D13" s="144">
        <v>482.61376796830785</v>
      </c>
      <c r="E13" s="297">
        <v>129.83261678350553</v>
      </c>
      <c r="F13" s="144">
        <v>-30.392888912290669</v>
      </c>
    </row>
    <row r="14" spans="1:10" ht="20" customHeight="1" thickBot="1">
      <c r="A14" s="312">
        <v>2003</v>
      </c>
      <c r="B14" s="144">
        <v>-326.58442193959615</v>
      </c>
      <c r="C14" s="297">
        <v>452.73392575127201</v>
      </c>
      <c r="D14" s="144">
        <v>582.24002885655887</v>
      </c>
      <c r="E14" s="297">
        <v>311.77683579562023</v>
      </c>
      <c r="F14" s="144">
        <v>54.067330132819563</v>
      </c>
    </row>
    <row r="15" spans="1:10" ht="20" customHeight="1" thickBot="1">
      <c r="A15" s="312">
        <v>2004</v>
      </c>
      <c r="B15" s="144">
        <v>-382.39377988050956</v>
      </c>
      <c r="C15" s="297">
        <v>540.52128193947215</v>
      </c>
      <c r="D15" s="144">
        <v>646.61953074833286</v>
      </c>
      <c r="E15" s="297">
        <v>355.14430610645576</v>
      </c>
      <c r="F15" s="144">
        <v>69.291571070195104</v>
      </c>
    </row>
    <row r="16" spans="1:10" ht="20" customHeight="1" thickBot="1">
      <c r="A16" s="312">
        <v>2005</v>
      </c>
      <c r="B16" s="144">
        <v>-457.46233703722402</v>
      </c>
      <c r="C16" s="297">
        <v>526.06943385550483</v>
      </c>
      <c r="D16" s="144">
        <v>659.48154843729731</v>
      </c>
      <c r="E16" s="297">
        <v>297.53361969202518</v>
      </c>
      <c r="F16" s="144">
        <v>22.983877251046639</v>
      </c>
    </row>
    <row r="17" spans="1:6" ht="20" customHeight="1" thickBot="1">
      <c r="A17" s="312">
        <v>2006</v>
      </c>
      <c r="B17" s="144">
        <v>-460.949938416431</v>
      </c>
      <c r="C17" s="297">
        <v>592.83257515796822</v>
      </c>
      <c r="D17" s="144">
        <v>669.21868975069253</v>
      </c>
      <c r="E17" s="297">
        <v>280.53307562761364</v>
      </c>
      <c r="F17" s="144">
        <v>65.394207090333808</v>
      </c>
    </row>
    <row r="18" spans="1:6" s="148" customFormat="1" ht="30" customHeight="1" thickBot="1">
      <c r="A18" s="396">
        <v>2007</v>
      </c>
      <c r="B18" s="338">
        <v>-523.18043356720625</v>
      </c>
      <c r="C18" s="339">
        <v>577.6616172956227</v>
      </c>
      <c r="D18" s="338">
        <v>779.76293930175291</v>
      </c>
      <c r="E18" s="339">
        <v>179.66674102290708</v>
      </c>
      <c r="F18" s="338">
        <v>23.57885238636468</v>
      </c>
    </row>
    <row r="19" spans="1:6" ht="20" customHeight="1">
      <c r="A19" s="133" t="s">
        <v>1256</v>
      </c>
      <c r="B19" s="133"/>
      <c r="C19" s="133"/>
      <c r="D19" s="133"/>
      <c r="E19" s="133"/>
      <c r="F19" s="133"/>
    </row>
    <row r="21" spans="1:6">
      <c r="A21" s="2" t="s">
        <v>1338</v>
      </c>
    </row>
    <row r="24" spans="1:6">
      <c r="A24" s="2" t="s">
        <v>634</v>
      </c>
    </row>
  </sheetData>
  <mergeCells count="1">
    <mergeCell ref="A2:E2"/>
  </mergeCells>
  <phoneticPr fontId="0" type="noConversion"/>
  <pageMargins left="0.57999999999999996" right="0.72" top="1.1000000000000001" bottom="0.49" header="0.57999999999999996" footer="0.4921259845"/>
  <pageSetup paperSize="9" scale="98" orientation="portrait" horizontalDpi="4294967292" verticalDpi="429496729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69F8-5146-744D-A679-EB5019F89CE4}">
  <sheetPr>
    <pageSetUpPr fitToPage="1"/>
  </sheetPr>
  <dimension ref="A1:J24"/>
  <sheetViews>
    <sheetView topLeftCell="A4" zoomScale="75" workbookViewId="0">
      <selection activeCell="J10" sqref="J10"/>
    </sheetView>
  </sheetViews>
  <sheetFormatPr baseColWidth="10" defaultColWidth="11.3984375" defaultRowHeight="13"/>
  <cols>
    <col min="1" max="1" width="14.3984375" style="2" customWidth="1"/>
    <col min="2" max="7" width="15.3984375" style="2" customWidth="1"/>
    <col min="8" max="8" width="17.796875" style="2" customWidth="1"/>
    <col min="9" max="16384" width="11.3984375" style="2"/>
  </cols>
  <sheetData>
    <row r="1" spans="1:10" s="1" customFormat="1" ht="14" customHeight="1"/>
    <row r="2" spans="1:10" s="1" customFormat="1" ht="28" customHeight="1">
      <c r="A2" s="109" t="s">
        <v>1339</v>
      </c>
      <c r="H2" s="550">
        <v>2007</v>
      </c>
    </row>
    <row r="3" spans="1:10" ht="24" customHeight="1">
      <c r="A3" s="110" t="s">
        <v>533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12" t="s">
        <v>1340</v>
      </c>
      <c r="H3" s="114" t="s">
        <v>976</v>
      </c>
    </row>
    <row r="4" spans="1:10" ht="15" customHeight="1">
      <c r="A4" s="308"/>
      <c r="B4" s="114" t="s">
        <v>836</v>
      </c>
      <c r="C4" s="115" t="s">
        <v>837</v>
      </c>
      <c r="D4" s="114" t="s">
        <v>1334</v>
      </c>
      <c r="E4" s="115" t="s">
        <v>1335</v>
      </c>
      <c r="F4" s="114"/>
      <c r="G4" s="115" t="s">
        <v>976</v>
      </c>
      <c r="H4" s="551" t="s">
        <v>977</v>
      </c>
    </row>
    <row r="5" spans="1:10" ht="15" customHeight="1">
      <c r="A5" s="308"/>
      <c r="B5" s="114" t="s">
        <v>840</v>
      </c>
      <c r="C5" s="115" t="s">
        <v>841</v>
      </c>
      <c r="D5" s="114" t="s">
        <v>1336</v>
      </c>
      <c r="E5" s="115" t="s">
        <v>1337</v>
      </c>
      <c r="F5" s="114"/>
      <c r="G5" s="552" t="s">
        <v>977</v>
      </c>
      <c r="H5" s="391" t="s">
        <v>978</v>
      </c>
    </row>
    <row r="6" spans="1:10" ht="24" customHeight="1">
      <c r="A6" s="309"/>
      <c r="B6" s="120"/>
      <c r="C6" s="119"/>
      <c r="D6" s="120"/>
      <c r="E6" s="119" t="s">
        <v>843</v>
      </c>
      <c r="F6" s="120"/>
      <c r="G6" s="119" t="s">
        <v>979</v>
      </c>
      <c r="H6" s="120"/>
    </row>
    <row r="7" spans="1:10" ht="1.5" customHeight="1" thickBot="1">
      <c r="A7" s="553">
        <v>1996</v>
      </c>
      <c r="B7" s="142">
        <v>649209078</v>
      </c>
      <c r="C7" s="291">
        <v>296204692</v>
      </c>
      <c r="D7" s="142">
        <v>2703444</v>
      </c>
      <c r="E7" s="291">
        <v>11710365</v>
      </c>
      <c r="F7" s="142">
        <v>959827579</v>
      </c>
      <c r="G7" s="143">
        <v>8.160992566527614E-2</v>
      </c>
      <c r="H7" s="142">
        <v>11761162275</v>
      </c>
    </row>
    <row r="8" spans="1:10" ht="20" customHeight="1" thickBot="1">
      <c r="A8" s="554">
        <v>1997</v>
      </c>
      <c r="B8" s="144">
        <v>500889187</v>
      </c>
      <c r="C8" s="297">
        <v>356202290</v>
      </c>
      <c r="D8" s="144">
        <v>947002</v>
      </c>
      <c r="E8" s="297">
        <v>35169957</v>
      </c>
      <c r="F8" s="144">
        <v>893208437</v>
      </c>
      <c r="G8" s="555">
        <v>7.2355407590263501E-2</v>
      </c>
      <c r="H8" s="144">
        <v>12344736444</v>
      </c>
      <c r="I8" s="9"/>
      <c r="J8" s="9"/>
    </row>
    <row r="9" spans="1:10" ht="20" customHeight="1" thickBot="1">
      <c r="A9" s="554">
        <v>1998</v>
      </c>
      <c r="B9" s="144">
        <v>457365467</v>
      </c>
      <c r="C9" s="297">
        <v>348237805</v>
      </c>
      <c r="D9" s="144">
        <v>775330</v>
      </c>
      <c r="E9" s="297">
        <v>48566196</v>
      </c>
      <c r="F9" s="144">
        <v>854944797</v>
      </c>
      <c r="G9" s="555">
        <v>6.5539994260804979E-2</v>
      </c>
      <c r="H9" s="144">
        <v>13044627279</v>
      </c>
    </row>
    <row r="10" spans="1:10" ht="20" customHeight="1" thickBot="1">
      <c r="A10" s="554">
        <v>1999</v>
      </c>
      <c r="B10" s="144">
        <v>466630422</v>
      </c>
      <c r="C10" s="297">
        <v>332810614</v>
      </c>
      <c r="D10" s="144">
        <v>653141</v>
      </c>
      <c r="E10" s="297">
        <v>54148946</v>
      </c>
      <c r="F10" s="144">
        <v>854243123</v>
      </c>
      <c r="G10" s="555">
        <v>6.3520258007815578E-2</v>
      </c>
      <c r="H10" s="144">
        <v>13448357261</v>
      </c>
    </row>
    <row r="11" spans="1:10" ht="20" customHeight="1" thickBot="1">
      <c r="A11" s="554">
        <v>2000</v>
      </c>
      <c r="B11" s="144">
        <v>463039687.31</v>
      </c>
      <c r="C11" s="297">
        <v>338664058.75</v>
      </c>
      <c r="D11" s="144">
        <v>692132.4</v>
      </c>
      <c r="E11" s="297">
        <v>60882478.25</v>
      </c>
      <c r="F11" s="144">
        <v>863278356.70999992</v>
      </c>
      <c r="G11" s="555">
        <v>6.0778319554744789E-2</v>
      </c>
      <c r="H11" s="144">
        <v>14203722035</v>
      </c>
    </row>
    <row r="12" spans="1:10" ht="20" customHeight="1" thickBot="1">
      <c r="A12" s="554">
        <v>2001</v>
      </c>
      <c r="B12" s="144">
        <v>473405802.30000001</v>
      </c>
      <c r="C12" s="297">
        <v>367784678.56</v>
      </c>
      <c r="D12" s="144">
        <v>749931.27</v>
      </c>
      <c r="E12" s="297">
        <v>66915939.469999999</v>
      </c>
      <c r="F12" s="144">
        <v>908856351.60000002</v>
      </c>
      <c r="G12" s="555">
        <v>6.0883052653460515E-2</v>
      </c>
      <c r="H12" s="144">
        <v>14927903776</v>
      </c>
    </row>
    <row r="13" spans="1:10" ht="20" customHeight="1" thickBot="1">
      <c r="A13" s="554">
        <v>2002</v>
      </c>
      <c r="B13" s="144">
        <v>472860051.04000002</v>
      </c>
      <c r="C13" s="297">
        <v>381940533.88</v>
      </c>
      <c r="D13" s="144">
        <v>686255.39</v>
      </c>
      <c r="E13" s="297">
        <v>68086548.329999998</v>
      </c>
      <c r="F13" s="144">
        <v>923573388.6400001</v>
      </c>
      <c r="G13" s="555">
        <v>5.9305732530714958E-2</v>
      </c>
      <c r="H13" s="144">
        <v>15573087950</v>
      </c>
    </row>
    <row r="14" spans="1:10" ht="20" customHeight="1" thickBot="1">
      <c r="A14" s="554">
        <v>2003</v>
      </c>
      <c r="B14" s="144">
        <v>470970297.86000001</v>
      </c>
      <c r="C14" s="297">
        <v>408594784.26000005</v>
      </c>
      <c r="D14" s="144">
        <v>692369.29</v>
      </c>
      <c r="E14" s="297">
        <v>68876407.299999997</v>
      </c>
      <c r="F14" s="144">
        <v>949133858.71000004</v>
      </c>
      <c r="G14" s="555">
        <v>5.7102364889053812E-2</v>
      </c>
      <c r="H14" s="144">
        <v>16621620848</v>
      </c>
    </row>
    <row r="15" spans="1:10" ht="20" customHeight="1" thickBot="1">
      <c r="A15" s="554">
        <v>2004</v>
      </c>
      <c r="B15" s="144">
        <v>484897853.29000002</v>
      </c>
      <c r="C15" s="297">
        <v>415930592.72000003</v>
      </c>
      <c r="D15" s="144">
        <v>723109.3</v>
      </c>
      <c r="E15" s="297">
        <v>85829196.189999998</v>
      </c>
      <c r="F15" s="144">
        <v>987380751.5</v>
      </c>
      <c r="G15" s="555">
        <v>5.6068315584587115E-2</v>
      </c>
      <c r="H15" s="144">
        <v>17610315937</v>
      </c>
    </row>
    <row r="16" spans="1:10" ht="20" customHeight="1" thickBot="1">
      <c r="A16" s="554">
        <v>2005</v>
      </c>
      <c r="B16" s="144">
        <v>499701726.70000005</v>
      </c>
      <c r="C16" s="297">
        <v>398938241.44999999</v>
      </c>
      <c r="D16" s="144">
        <v>733379.04</v>
      </c>
      <c r="E16" s="297">
        <v>99764105.649999991</v>
      </c>
      <c r="F16" s="144">
        <v>999137452.84000003</v>
      </c>
      <c r="G16" s="555">
        <v>5.3974609336098663E-2</v>
      </c>
      <c r="H16" s="144">
        <v>18511249365.759998</v>
      </c>
    </row>
    <row r="17" spans="1:9" ht="20" customHeight="1" thickBot="1">
      <c r="A17" s="554">
        <v>2006</v>
      </c>
      <c r="B17" s="144">
        <v>508338112.01999998</v>
      </c>
      <c r="C17" s="297">
        <v>413420689.21999997</v>
      </c>
      <c r="D17" s="144">
        <v>822420.13</v>
      </c>
      <c r="E17" s="297">
        <v>155371559.38</v>
      </c>
      <c r="F17" s="144">
        <v>1077952780.75</v>
      </c>
      <c r="G17" s="555">
        <v>5.6978300934543424E-2</v>
      </c>
      <c r="H17" s="144">
        <v>18918654348.580002</v>
      </c>
    </row>
    <row r="18" spans="1:9" ht="27" customHeight="1" thickBot="1">
      <c r="A18" s="556">
        <v>2007</v>
      </c>
      <c r="B18" s="338">
        <v>481020986.33999997</v>
      </c>
      <c r="C18" s="339">
        <v>375935869.96999997</v>
      </c>
      <c r="D18" s="338">
        <v>730848.95</v>
      </c>
      <c r="E18" s="339">
        <v>214014620.28999999</v>
      </c>
      <c r="F18" s="338">
        <v>1071702325.55</v>
      </c>
      <c r="G18" s="557">
        <v>5.4317232192756151E-2</v>
      </c>
      <c r="H18" s="333">
        <v>19730429594.549999</v>
      </c>
      <c r="I18" s="8"/>
    </row>
    <row r="19" spans="1:9" ht="20" customHeight="1">
      <c r="A19" s="133" t="s">
        <v>1256</v>
      </c>
      <c r="B19" s="133"/>
      <c r="C19" s="133"/>
      <c r="D19" s="133"/>
      <c r="E19" s="133"/>
      <c r="F19" s="133"/>
      <c r="G19" s="133"/>
    </row>
    <row r="20" spans="1:9">
      <c r="F20" s="558"/>
    </row>
    <row r="21" spans="1:9">
      <c r="A21" s="2" t="s">
        <v>980</v>
      </c>
    </row>
    <row r="24" spans="1:9">
      <c r="A24" s="2" t="s">
        <v>634</v>
      </c>
    </row>
  </sheetData>
  <phoneticPr fontId="0" type="noConversion"/>
  <pageMargins left="0.48" right="0.56000000000000005" top="0.94" bottom="0.49" header="0.57999999999999996" footer="0.4921259845"/>
  <pageSetup paperSize="9" scale="75" orientation="portrait" horizontalDpi="1200" verticalDpi="12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601A-8B2F-5A4B-9ACA-EDA86C91E921}">
  <sheetPr>
    <pageSetUpPr fitToPage="1"/>
  </sheetPr>
  <dimension ref="A1:J24"/>
  <sheetViews>
    <sheetView zoomScale="75" workbookViewId="0">
      <selection activeCell="G22" sqref="G22"/>
    </sheetView>
  </sheetViews>
  <sheetFormatPr baseColWidth="10" defaultColWidth="11.3984375" defaultRowHeight="13"/>
  <cols>
    <col min="1" max="1" width="18.796875" style="2" customWidth="1"/>
    <col min="2" max="7" width="14.796875" style="2" customWidth="1"/>
    <col min="8" max="8" width="9.19921875" style="2" customWidth="1"/>
    <col min="9" max="16384" width="11.3984375" style="2"/>
  </cols>
  <sheetData>
    <row r="1" spans="1:10" s="1" customFormat="1" ht="14" customHeight="1"/>
    <row r="2" spans="1:10" s="1" customFormat="1" ht="39" customHeight="1">
      <c r="A2" s="1800" t="s">
        <v>981</v>
      </c>
      <c r="B2" s="1804"/>
      <c r="C2" s="1804"/>
      <c r="D2" s="1804"/>
      <c r="E2" s="1804"/>
      <c r="F2" s="1804"/>
      <c r="G2" s="321">
        <v>2007</v>
      </c>
    </row>
    <row r="3" spans="1:10" ht="24" customHeight="1">
      <c r="A3" s="110" t="s">
        <v>533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12" t="s">
        <v>1801</v>
      </c>
    </row>
    <row r="4" spans="1:10" ht="15" customHeight="1">
      <c r="A4" s="308"/>
      <c r="B4" s="114" t="s">
        <v>836</v>
      </c>
      <c r="C4" s="115" t="s">
        <v>837</v>
      </c>
      <c r="D4" s="114" t="s">
        <v>1334</v>
      </c>
      <c r="E4" s="279" t="s">
        <v>1335</v>
      </c>
      <c r="F4" s="114"/>
      <c r="G4" s="115" t="s">
        <v>1802</v>
      </c>
    </row>
    <row r="5" spans="1:10" ht="15" customHeight="1">
      <c r="A5" s="308"/>
      <c r="B5" s="114" t="s">
        <v>840</v>
      </c>
      <c r="C5" s="115" t="s">
        <v>841</v>
      </c>
      <c r="D5" s="114" t="s">
        <v>1336</v>
      </c>
      <c r="E5" s="279" t="s">
        <v>1337</v>
      </c>
      <c r="F5" s="114"/>
      <c r="G5" s="115" t="s">
        <v>1806</v>
      </c>
    </row>
    <row r="6" spans="1:10" ht="24" customHeight="1">
      <c r="A6" s="309"/>
      <c r="B6" s="120"/>
      <c r="C6" s="119"/>
      <c r="D6" s="120"/>
      <c r="E6" s="282" t="s">
        <v>843</v>
      </c>
      <c r="F6" s="120"/>
      <c r="G6" s="119"/>
    </row>
    <row r="7" spans="1:10" ht="1.5" customHeight="1" thickBot="1">
      <c r="A7" s="310">
        <v>1996</v>
      </c>
      <c r="B7" s="142">
        <v>136.97434362103451</v>
      </c>
      <c r="C7" s="291">
        <v>128.46694435673865</v>
      </c>
      <c r="D7" s="142">
        <v>97.148339801638642</v>
      </c>
      <c r="E7" s="291">
        <v>96.303927696179215</v>
      </c>
      <c r="F7" s="142">
        <v>133.40658749416588</v>
      </c>
      <c r="G7" s="143">
        <v>0.15128629508664851</v>
      </c>
    </row>
    <row r="8" spans="1:10" ht="20" customHeight="1" thickBot="1">
      <c r="A8" s="312">
        <v>1997</v>
      </c>
      <c r="B8" s="144">
        <v>122.6511004066257</v>
      </c>
      <c r="C8" s="297">
        <v>130.17357705334524</v>
      </c>
      <c r="D8" s="144">
        <v>82.390986601705237</v>
      </c>
      <c r="E8" s="297">
        <v>91.805271826945415</v>
      </c>
      <c r="F8" s="144">
        <v>123.8021591713151</v>
      </c>
      <c r="G8" s="145">
        <v>-7.1993658658503643E-2</v>
      </c>
      <c r="H8" s="9"/>
      <c r="I8" s="9"/>
      <c r="J8" s="9"/>
    </row>
    <row r="9" spans="1:10" ht="20" customHeight="1" thickBot="1">
      <c r="A9" s="312">
        <v>1998</v>
      </c>
      <c r="B9" s="144">
        <v>113.87825236718575</v>
      </c>
      <c r="C9" s="297">
        <v>127.72488252200283</v>
      </c>
      <c r="D9" s="144">
        <v>65.550388907676705</v>
      </c>
      <c r="E9" s="297">
        <v>98.304177799368475</v>
      </c>
      <c r="F9" s="144">
        <v>117.94614727831004</v>
      </c>
      <c r="G9" s="145">
        <v>-4.7301371253966752E-2</v>
      </c>
    </row>
    <row r="10" spans="1:10" ht="20" customHeight="1" thickBot="1">
      <c r="A10" s="312">
        <v>1999</v>
      </c>
      <c r="B10" s="144">
        <v>116.69424749371302</v>
      </c>
      <c r="C10" s="297">
        <v>122.55319883843305</v>
      </c>
      <c r="D10" s="144">
        <v>63.671378436342366</v>
      </c>
      <c r="E10" s="297">
        <v>99.926084629721899</v>
      </c>
      <c r="F10" s="144">
        <v>117.55853932562621</v>
      </c>
      <c r="G10" s="145">
        <v>-3.2863129625523811E-3</v>
      </c>
    </row>
    <row r="11" spans="1:10" ht="20" customHeight="1" thickBot="1">
      <c r="A11" s="312">
        <v>2000</v>
      </c>
      <c r="B11" s="144">
        <v>118.06454168111537</v>
      </c>
      <c r="C11" s="297">
        <v>122.76935680445337</v>
      </c>
      <c r="D11" s="144">
        <v>70.546570176332693</v>
      </c>
      <c r="E11" s="297">
        <v>105.36199101482934</v>
      </c>
      <c r="F11" s="144">
        <v>118.77616573412266</v>
      </c>
      <c r="G11" s="145">
        <v>1.0357617706730186E-2</v>
      </c>
    </row>
    <row r="12" spans="1:10" ht="20" customHeight="1" thickBot="1">
      <c r="A12" s="312">
        <v>2001</v>
      </c>
      <c r="B12" s="144">
        <v>121.94294466707073</v>
      </c>
      <c r="C12" s="297">
        <v>129.78424801045657</v>
      </c>
      <c r="D12" s="144">
        <v>80.283831495557223</v>
      </c>
      <c r="E12" s="297">
        <v>112.28655864106896</v>
      </c>
      <c r="F12" s="144">
        <v>124.13887771371346</v>
      </c>
      <c r="G12" s="145">
        <v>4.514973139977501E-2</v>
      </c>
    </row>
    <row r="13" spans="1:10" ht="20" customHeight="1" thickBot="1">
      <c r="A13" s="312">
        <v>2002</v>
      </c>
      <c r="B13" s="144">
        <v>124.02317297960094</v>
      </c>
      <c r="C13" s="297">
        <v>128.13270639622655</v>
      </c>
      <c r="D13" s="144">
        <v>77.674633842671199</v>
      </c>
      <c r="E13" s="297">
        <v>122.23028773775435</v>
      </c>
      <c r="F13" s="144">
        <v>125.49634223061366</v>
      </c>
      <c r="G13" s="145">
        <v>1.0935047439616501E-2</v>
      </c>
    </row>
    <row r="14" spans="1:10" ht="20" customHeight="1" thickBot="1">
      <c r="A14" s="312">
        <v>2003</v>
      </c>
      <c r="B14" s="144">
        <v>128.18064482468625</v>
      </c>
      <c r="C14" s="297">
        <v>131.50371046027854</v>
      </c>
      <c r="D14" s="144">
        <v>83.247479860526639</v>
      </c>
      <c r="E14" s="297">
        <v>114.12750752273389</v>
      </c>
      <c r="F14" s="144">
        <v>128.37951080237647</v>
      </c>
      <c r="G14" s="145">
        <v>2.2974124349095865E-2</v>
      </c>
    </row>
    <row r="15" spans="1:10" ht="20" customHeight="1" thickBot="1">
      <c r="A15" s="312">
        <v>2004</v>
      </c>
      <c r="B15" s="144">
        <v>133.23979485267307</v>
      </c>
      <c r="C15" s="297">
        <v>137.50576239336979</v>
      </c>
      <c r="D15" s="144">
        <v>89.294801185477908</v>
      </c>
      <c r="E15" s="297">
        <v>114.78082206198195</v>
      </c>
      <c r="F15" s="144">
        <v>133.07064842814813</v>
      </c>
      <c r="G15" s="145">
        <v>3.6541170755768453E-2</v>
      </c>
    </row>
    <row r="16" spans="1:10" ht="20" customHeight="1" thickBot="1">
      <c r="A16" s="312">
        <v>2005</v>
      </c>
      <c r="B16" s="144">
        <v>138.59129568130271</v>
      </c>
      <c r="C16" s="297">
        <v>135.73607782113612</v>
      </c>
      <c r="D16" s="144">
        <v>95.10816236545196</v>
      </c>
      <c r="E16" s="297">
        <v>110.10117463274447</v>
      </c>
      <c r="F16" s="144">
        <v>133.96001901729241</v>
      </c>
      <c r="G16" s="145">
        <v>6.6834467228473445E-3</v>
      </c>
    </row>
    <row r="17" spans="1:7" ht="20" customHeight="1" thickBot="1">
      <c r="A17" s="312">
        <v>2006</v>
      </c>
      <c r="B17" s="144">
        <v>151.46736589900746</v>
      </c>
      <c r="C17" s="297">
        <v>148.31613261539576</v>
      </c>
      <c r="D17" s="144">
        <v>113.9086052631579</v>
      </c>
      <c r="E17" s="297">
        <v>114.51273017660594</v>
      </c>
      <c r="F17" s="144">
        <v>143.58259334442883</v>
      </c>
      <c r="G17" s="145">
        <v>7.1831688273306951E-2</v>
      </c>
    </row>
    <row r="18" spans="1:7" ht="30" customHeight="1" thickBot="1">
      <c r="A18" s="396">
        <v>2007</v>
      </c>
      <c r="B18" s="338">
        <v>152.73266388118995</v>
      </c>
      <c r="C18" s="339">
        <v>145.72564172666276</v>
      </c>
      <c r="D18" s="338">
        <v>105.8741054613936</v>
      </c>
      <c r="E18" s="339">
        <v>116.24614705110733</v>
      </c>
      <c r="F18" s="338">
        <v>141.43904653502142</v>
      </c>
      <c r="G18" s="147">
        <v>-1.4929015833175735E-2</v>
      </c>
    </row>
    <row r="19" spans="1:7" ht="20.25" customHeight="1">
      <c r="A19" s="133" t="s">
        <v>1256</v>
      </c>
      <c r="B19" s="133"/>
      <c r="C19" s="133"/>
      <c r="D19" s="133"/>
      <c r="E19" s="133"/>
      <c r="F19" s="133"/>
      <c r="G19" s="133"/>
    </row>
    <row r="21" spans="1:7">
      <c r="A21" s="2" t="s">
        <v>982</v>
      </c>
    </row>
    <row r="24" spans="1:7">
      <c r="A24" s="2" t="s">
        <v>634</v>
      </c>
    </row>
  </sheetData>
  <mergeCells count="1">
    <mergeCell ref="A2:F2"/>
  </mergeCells>
  <phoneticPr fontId="0" type="noConversion"/>
  <pageMargins left="0.55000000000000004" right="0.55000000000000004" top="1.0900000000000001" bottom="0.49" header="0.53" footer="0.4921259845"/>
  <pageSetup paperSize="9" scale="86" orientation="portrait" horizontalDpi="4294967292" verticalDpi="429496729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CE51-1745-9F4B-A5C1-15504071B460}">
  <sheetPr>
    <pageSetUpPr fitToPage="1"/>
  </sheetPr>
  <dimension ref="A1:K27"/>
  <sheetViews>
    <sheetView topLeftCell="A6" zoomScale="75" workbookViewId="0">
      <selection activeCell="A3" sqref="A3"/>
    </sheetView>
  </sheetViews>
  <sheetFormatPr baseColWidth="10" defaultColWidth="11.3984375" defaultRowHeight="13"/>
  <cols>
    <col min="1" max="1" width="14.3984375" style="2" customWidth="1"/>
    <col min="2" max="2" width="17.19921875" style="2" customWidth="1"/>
    <col min="3" max="5" width="15.3984375" style="2" customWidth="1"/>
    <col min="6" max="6" width="16.19921875" style="414" customWidth="1"/>
    <col min="7" max="7" width="15.3984375" style="2" customWidth="1"/>
    <col min="8" max="16384" width="11.3984375" style="2"/>
  </cols>
  <sheetData>
    <row r="1" spans="1:11" s="1" customFormat="1" ht="14" customHeight="1">
      <c r="F1" s="562"/>
    </row>
    <row r="2" spans="1:11" s="1" customFormat="1" ht="28" customHeight="1">
      <c r="A2" s="109" t="s">
        <v>359</v>
      </c>
      <c r="F2" s="321">
        <v>2007</v>
      </c>
      <c r="G2" s="879"/>
    </row>
    <row r="3" spans="1:11" ht="24" customHeight="1">
      <c r="A3" s="110" t="s">
        <v>533</v>
      </c>
      <c r="B3" s="111" t="s">
        <v>2220</v>
      </c>
      <c r="C3" s="112" t="s">
        <v>1801</v>
      </c>
      <c r="D3" s="111" t="s">
        <v>1899</v>
      </c>
      <c r="E3" s="112" t="s">
        <v>1801</v>
      </c>
      <c r="F3" s="563" t="s">
        <v>360</v>
      </c>
      <c r="G3" s="868"/>
    </row>
    <row r="4" spans="1:11" ht="15" customHeight="1">
      <c r="A4" s="308"/>
      <c r="B4" s="140" t="s">
        <v>2043</v>
      </c>
      <c r="C4" s="115" t="s">
        <v>1802</v>
      </c>
      <c r="D4" s="140" t="s">
        <v>361</v>
      </c>
      <c r="E4" s="115" t="s">
        <v>1802</v>
      </c>
      <c r="F4" s="564" t="s">
        <v>1900</v>
      </c>
      <c r="G4" s="868"/>
    </row>
    <row r="5" spans="1:11" ht="15" customHeight="1">
      <c r="A5" s="308"/>
      <c r="B5" s="114" t="s">
        <v>494</v>
      </c>
      <c r="C5" s="115" t="s">
        <v>1806</v>
      </c>
      <c r="D5" s="114" t="s">
        <v>362</v>
      </c>
      <c r="E5" s="115" t="s">
        <v>1806</v>
      </c>
      <c r="F5" s="564"/>
      <c r="G5" s="868"/>
    </row>
    <row r="6" spans="1:11" ht="24" customHeight="1">
      <c r="A6" s="309"/>
      <c r="B6" s="120"/>
      <c r="C6" s="119"/>
      <c r="D6" s="120" t="s">
        <v>363</v>
      </c>
      <c r="E6" s="119"/>
      <c r="F6" s="565"/>
      <c r="G6" s="869"/>
    </row>
    <row r="7" spans="1:11" ht="2.25" customHeight="1" thickBot="1">
      <c r="A7" s="310">
        <v>1996</v>
      </c>
      <c r="B7" s="142">
        <v>2856.0771495999998</v>
      </c>
      <c r="C7" s="143" t="s">
        <v>407</v>
      </c>
      <c r="D7" s="142">
        <v>394.88575237875602</v>
      </c>
      <c r="E7" s="143" t="s">
        <v>407</v>
      </c>
      <c r="F7" s="586">
        <v>0.25659604678130066</v>
      </c>
      <c r="G7" s="870"/>
    </row>
    <row r="8" spans="1:11" ht="20" customHeight="1" thickBot="1">
      <c r="A8" s="312">
        <v>1997</v>
      </c>
      <c r="B8" s="144">
        <v>2991.8799653000001</v>
      </c>
      <c r="C8" s="145">
        <v>4.7548721055738929E-2</v>
      </c>
      <c r="D8" s="144">
        <v>413.44461478530076</v>
      </c>
      <c r="E8" s="145">
        <v>4.6998055246986824E-2</v>
      </c>
      <c r="F8" s="416">
        <v>0.24848089473110047</v>
      </c>
      <c r="G8" s="870"/>
      <c r="I8" s="9"/>
      <c r="J8" s="9"/>
      <c r="K8" s="9"/>
    </row>
    <row r="9" spans="1:11" ht="20" customHeight="1" thickBot="1">
      <c r="A9" s="312">
        <v>1998</v>
      </c>
      <c r="B9" s="144">
        <v>2985.5309591999999</v>
      </c>
      <c r="C9" s="145">
        <v>-2.1220791521171876E-3</v>
      </c>
      <c r="D9" s="144">
        <v>411.98967338686089</v>
      </c>
      <c r="E9" s="145">
        <v>-3.5190720749752979E-3</v>
      </c>
      <c r="F9" s="416">
        <v>0.23492819435144413</v>
      </c>
      <c r="G9" s="870"/>
    </row>
    <row r="10" spans="1:11" ht="20" customHeight="1" thickBot="1">
      <c r="A10" s="312">
        <v>1999</v>
      </c>
      <c r="B10" s="144">
        <v>3077.4121471999997</v>
      </c>
      <c r="C10" s="145">
        <v>3.0775493289347849E-2</v>
      </c>
      <c r="D10" s="144">
        <v>423.27251702147385</v>
      </c>
      <c r="E10" s="145">
        <v>2.7386229227202737E-2</v>
      </c>
      <c r="F10" s="416">
        <v>0.23610935015841622</v>
      </c>
      <c r="G10" s="870"/>
    </row>
    <row r="11" spans="1:11" ht="20" customHeight="1" thickBot="1">
      <c r="A11" s="312">
        <v>2000</v>
      </c>
      <c r="B11" s="144">
        <v>2832.1064589000002</v>
      </c>
      <c r="C11" s="145">
        <v>-7.9711678698347957E-2</v>
      </c>
      <c r="D11" s="144">
        <v>389.82276793217119</v>
      </c>
      <c r="E11" s="145">
        <v>-7.9026508323018885E-2</v>
      </c>
      <c r="F11" s="416">
        <v>0.21069626660407667</v>
      </c>
      <c r="G11" s="870"/>
    </row>
    <row r="12" spans="1:11" ht="20" customHeight="1" thickBot="1">
      <c r="A12" s="312">
        <v>2001</v>
      </c>
      <c r="B12" s="144">
        <v>2102.6392701999998</v>
      </c>
      <c r="C12" s="145">
        <v>-0.25757053955638659</v>
      </c>
      <c r="D12" s="144">
        <v>287.99008361810974</v>
      </c>
      <c r="E12" s="145">
        <v>-0.26122815979742942</v>
      </c>
      <c r="F12" s="416">
        <v>0.15021735666544661</v>
      </c>
      <c r="G12" s="870"/>
    </row>
    <row r="13" spans="1:11" ht="20" customHeight="1" thickBot="1">
      <c r="A13" s="312">
        <v>2002</v>
      </c>
      <c r="B13" s="144">
        <v>1965.5320859999999</v>
      </c>
      <c r="C13" s="145">
        <v>-6.5207183249725215E-2</v>
      </c>
      <c r="D13" s="144">
        <v>267.61478124431557</v>
      </c>
      <c r="E13" s="145">
        <v>-7.075001374287912E-2</v>
      </c>
      <c r="F13" s="416">
        <v>0.12800562007019203</v>
      </c>
      <c r="G13" s="870"/>
    </row>
    <row r="14" spans="1:11" ht="20" customHeight="1" thickBot="1">
      <c r="A14" s="312">
        <v>2003</v>
      </c>
      <c r="B14" s="144">
        <v>2393.7060728000001</v>
      </c>
      <c r="C14" s="145">
        <v>0.2178412603130612</v>
      </c>
      <c r="D14" s="144">
        <v>324.68015590359045</v>
      </c>
      <c r="E14" s="145">
        <v>0.21323700579594579</v>
      </c>
      <c r="F14" s="416">
        <v>0.14231214354211111</v>
      </c>
      <c r="G14" s="870"/>
    </row>
    <row r="15" spans="1:11" ht="20" customHeight="1" thickBot="1">
      <c r="A15" s="312">
        <v>2004</v>
      </c>
      <c r="B15" s="144">
        <v>2968.4810149999998</v>
      </c>
      <c r="C15" s="145">
        <v>0.24011926473815798</v>
      </c>
      <c r="D15" s="144">
        <v>402.03849991887398</v>
      </c>
      <c r="E15" s="145">
        <v>0.23826015421236305</v>
      </c>
      <c r="F15" s="416">
        <v>0.16464390527007836</v>
      </c>
      <c r="G15" s="870"/>
    </row>
    <row r="16" spans="1:11" ht="20" customHeight="1" thickBot="1">
      <c r="A16" s="312">
        <v>2005</v>
      </c>
      <c r="B16" s="144">
        <v>3184.4883300000001</v>
      </c>
      <c r="C16" s="145">
        <v>7.2766951820980502E-2</v>
      </c>
      <c r="D16" s="144">
        <v>428.26064350549666</v>
      </c>
      <c r="E16" s="145">
        <v>6.5222966437079921E-2</v>
      </c>
      <c r="F16" s="416">
        <v>0.17216782468933323</v>
      </c>
      <c r="G16" s="870"/>
    </row>
    <row r="17" spans="1:7" ht="20" customHeight="1" thickBot="1">
      <c r="A17" s="312">
        <v>2006</v>
      </c>
      <c r="B17" s="144">
        <v>3749.0085764</v>
      </c>
      <c r="C17" s="145">
        <v>0.17727188417738679</v>
      </c>
      <c r="D17" s="144">
        <v>501.3096435628392</v>
      </c>
      <c r="E17" s="145">
        <v>0.17057135920640573</v>
      </c>
      <c r="F17" s="416">
        <v>0.19410142905887745</v>
      </c>
      <c r="G17" s="870"/>
    </row>
    <row r="18" spans="1:7" ht="30" customHeight="1" thickBot="1">
      <c r="A18" s="396">
        <v>2007</v>
      </c>
      <c r="B18" s="338">
        <v>3970.4438487200005</v>
      </c>
      <c r="C18" s="147">
        <v>5.9065021540344008E-2</v>
      </c>
      <c r="D18" s="338">
        <v>526.75277940082935</v>
      </c>
      <c r="E18" s="147">
        <v>5.0753334121331053E-2</v>
      </c>
      <c r="F18" s="587">
        <v>0.20165652481540366</v>
      </c>
      <c r="G18" s="871"/>
    </row>
    <row r="19" spans="1:7" ht="20" customHeight="1">
      <c r="A19" s="133" t="s">
        <v>1256</v>
      </c>
      <c r="B19" s="133"/>
      <c r="C19" s="133"/>
      <c r="D19" s="133"/>
      <c r="E19" s="133"/>
      <c r="F19" s="599"/>
      <c r="G19" s="3"/>
    </row>
    <row r="20" spans="1:7" ht="14.25" customHeight="1">
      <c r="A20" s="3"/>
      <c r="B20" s="3"/>
      <c r="C20" s="3"/>
      <c r="D20" s="3"/>
      <c r="E20" s="3"/>
      <c r="F20" s="600"/>
      <c r="G20" s="3"/>
    </row>
    <row r="21" spans="1:7" ht="12.75" customHeight="1">
      <c r="A21" s="3" t="s">
        <v>2228</v>
      </c>
      <c r="B21" s="3"/>
      <c r="C21" s="3"/>
      <c r="D21" s="3"/>
      <c r="E21" s="3"/>
      <c r="F21" s="600"/>
      <c r="G21" s="3"/>
    </row>
    <row r="22" spans="1:7">
      <c r="A22" s="2" t="s">
        <v>1897</v>
      </c>
    </row>
    <row r="24" spans="1:7">
      <c r="A24" s="2" t="s">
        <v>1898</v>
      </c>
    </row>
    <row r="27" spans="1:7">
      <c r="A27" s="2" t="s">
        <v>634</v>
      </c>
    </row>
  </sheetData>
  <phoneticPr fontId="0" type="noConversion"/>
  <pageMargins left="0.57999999999999996" right="0.69" top="0.94" bottom="0.49" header="0.53" footer="0.4921259845"/>
  <pageSetup paperSize="9" scale="83" orientation="portrait" horizontalDpi="4294967292" verticalDpi="429496729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2A2B-0109-0841-8453-B1EE4B51029F}">
  <sheetPr>
    <pageSetUpPr fitToPage="1"/>
  </sheetPr>
  <dimension ref="A1:K27"/>
  <sheetViews>
    <sheetView zoomScale="75" workbookViewId="0">
      <selection activeCell="A3" sqref="A3"/>
    </sheetView>
  </sheetViews>
  <sheetFormatPr baseColWidth="10" defaultColWidth="11.3984375" defaultRowHeight="13"/>
  <cols>
    <col min="1" max="1" width="15.19921875" style="2" customWidth="1"/>
    <col min="2" max="2" width="16.796875" style="2" customWidth="1"/>
    <col min="3" max="5" width="15.19921875" style="2" customWidth="1"/>
    <col min="6" max="6" width="15.19921875" style="414" customWidth="1"/>
    <col min="7" max="7" width="15.19921875" style="2" customWidth="1"/>
    <col min="8" max="16384" width="11.3984375" style="2"/>
  </cols>
  <sheetData>
    <row r="1" spans="1:11" s="1" customFormat="1" ht="14" customHeight="1">
      <c r="F1" s="562"/>
    </row>
    <row r="2" spans="1:11" s="1" customFormat="1" ht="37.5" customHeight="1">
      <c r="A2" s="1800" t="s">
        <v>355</v>
      </c>
      <c r="B2" s="1804"/>
      <c r="C2" s="1804"/>
      <c r="D2" s="1804"/>
      <c r="E2" s="1804"/>
      <c r="F2" s="321">
        <v>2007</v>
      </c>
      <c r="G2" s="321"/>
    </row>
    <row r="3" spans="1:11" ht="24" customHeight="1">
      <c r="A3" s="110" t="s">
        <v>533</v>
      </c>
      <c r="B3" s="111" t="s">
        <v>2220</v>
      </c>
      <c r="C3" s="112" t="s">
        <v>1801</v>
      </c>
      <c r="D3" s="111" t="s">
        <v>2221</v>
      </c>
      <c r="E3" s="112" t="s">
        <v>1801</v>
      </c>
      <c r="F3" s="563" t="s">
        <v>2222</v>
      </c>
      <c r="G3" s="868"/>
    </row>
    <row r="4" spans="1:11" ht="15" customHeight="1">
      <c r="A4" s="308"/>
      <c r="B4" s="140" t="s">
        <v>2223</v>
      </c>
      <c r="C4" s="115" t="s">
        <v>1802</v>
      </c>
      <c r="D4" s="140" t="s">
        <v>2224</v>
      </c>
      <c r="E4" s="115" t="s">
        <v>1802</v>
      </c>
      <c r="F4" s="564" t="s">
        <v>2225</v>
      </c>
      <c r="G4" s="868"/>
    </row>
    <row r="5" spans="1:11" ht="15" customHeight="1">
      <c r="A5" s="308"/>
      <c r="B5" s="114" t="s">
        <v>2226</v>
      </c>
      <c r="C5" s="115" t="s">
        <v>1806</v>
      </c>
      <c r="D5" s="114" t="s">
        <v>713</v>
      </c>
      <c r="E5" s="115" t="s">
        <v>1806</v>
      </c>
      <c r="F5" s="564" t="s">
        <v>2227</v>
      </c>
      <c r="G5" s="868"/>
    </row>
    <row r="6" spans="1:11" ht="24" customHeight="1">
      <c r="A6" s="309"/>
      <c r="B6" s="120" t="s">
        <v>1058</v>
      </c>
      <c r="C6" s="119"/>
      <c r="D6" s="120" t="s">
        <v>2231</v>
      </c>
      <c r="E6" s="119"/>
      <c r="F6" s="565" t="s">
        <v>2232</v>
      </c>
      <c r="G6" s="869"/>
    </row>
    <row r="7" spans="1:11" ht="2.25" customHeight="1" thickBot="1">
      <c r="A7" s="310">
        <v>1996</v>
      </c>
      <c r="B7" s="142">
        <v>3454.5367919999999</v>
      </c>
      <c r="C7" s="143" t="s">
        <v>407</v>
      </c>
      <c r="D7" s="142">
        <v>477.62973077565988</v>
      </c>
      <c r="E7" s="143" t="s">
        <v>407</v>
      </c>
      <c r="F7" s="586">
        <v>0.3204435263250443</v>
      </c>
      <c r="G7" s="870"/>
    </row>
    <row r="8" spans="1:11" ht="20" customHeight="1" thickBot="1">
      <c r="A8" s="312">
        <v>1997</v>
      </c>
      <c r="B8" s="144">
        <v>3507.8977540000001</v>
      </c>
      <c r="C8" s="145">
        <v>1.5446632996809664E-2</v>
      </c>
      <c r="D8" s="144">
        <v>484.75254775428522</v>
      </c>
      <c r="E8" s="145">
        <v>1.4912842563334664E-2</v>
      </c>
      <c r="F8" s="416">
        <v>0.30878035637656381</v>
      </c>
      <c r="G8" s="870"/>
      <c r="I8" s="9"/>
      <c r="J8" s="9"/>
      <c r="K8" s="9"/>
    </row>
    <row r="9" spans="1:11" ht="20" customHeight="1" thickBot="1">
      <c r="A9" s="312">
        <v>1998</v>
      </c>
      <c r="B9" s="144">
        <v>3693.9578390000001</v>
      </c>
      <c r="C9" s="145">
        <v>5.3040338700818382E-2</v>
      </c>
      <c r="D9" s="144">
        <v>509.74935597525797</v>
      </c>
      <c r="E9" s="145">
        <v>5.1566120357232882E-2</v>
      </c>
      <c r="F9" s="416">
        <v>0.30971755221728081</v>
      </c>
      <c r="G9" s="870"/>
    </row>
    <row r="10" spans="1:11" ht="20" customHeight="1" thickBot="1">
      <c r="A10" s="312">
        <v>1999</v>
      </c>
      <c r="B10" s="144">
        <v>3810.0183766999999</v>
      </c>
      <c r="C10" s="145">
        <v>3.1419020670636219E-2</v>
      </c>
      <c r="D10" s="144">
        <v>524.03642778331459</v>
      </c>
      <c r="E10" s="145">
        <v>2.8027640723002865E-2</v>
      </c>
      <c r="F10" s="416">
        <v>0.30650294561819263</v>
      </c>
      <c r="G10" s="870"/>
    </row>
    <row r="11" spans="1:11" ht="20" customHeight="1" thickBot="1">
      <c r="A11" s="312">
        <v>2000</v>
      </c>
      <c r="B11" s="144">
        <v>3956.2184863000002</v>
      </c>
      <c r="C11" s="145">
        <v>3.8372547096906594E-2</v>
      </c>
      <c r="D11" s="144">
        <v>544.55016542757153</v>
      </c>
      <c r="E11" s="145">
        <v>3.9145632930577913E-2</v>
      </c>
      <c r="F11" s="416">
        <v>0.29993370263899466</v>
      </c>
      <c r="G11" s="870"/>
    </row>
    <row r="12" spans="1:11" ht="20" customHeight="1" thickBot="1">
      <c r="A12" s="312">
        <v>2001</v>
      </c>
      <c r="B12" s="144">
        <v>3996.3588403000003</v>
      </c>
      <c r="C12" s="145">
        <v>1.0146141862235935E-2</v>
      </c>
      <c r="D12" s="144">
        <v>547.35962635511339</v>
      </c>
      <c r="E12" s="145">
        <v>5.1592325297264803E-3</v>
      </c>
      <c r="F12" s="416">
        <v>0.28573440049664334</v>
      </c>
      <c r="G12" s="870"/>
    </row>
    <row r="13" spans="1:11" ht="20" customHeight="1" thickBot="1">
      <c r="A13" s="312">
        <v>2002</v>
      </c>
      <c r="B13" s="144">
        <v>4018.0238040999998</v>
      </c>
      <c r="C13" s="145">
        <v>5.4211757917047021E-3</v>
      </c>
      <c r="D13" s="144">
        <v>547.06945209780417</v>
      </c>
      <c r="E13" s="145">
        <v>-5.3013456480431012E-4</v>
      </c>
      <c r="F13" s="416">
        <v>0.27534370592196139</v>
      </c>
      <c r="G13" s="870"/>
    </row>
    <row r="14" spans="1:11" ht="20" customHeight="1" thickBot="1">
      <c r="A14" s="312">
        <v>2003</v>
      </c>
      <c r="B14" s="144">
        <v>4264.2535405999997</v>
      </c>
      <c r="C14" s="145">
        <v>6.1281303572354805E-2</v>
      </c>
      <c r="D14" s="144">
        <v>578.39954541909435</v>
      </c>
      <c r="E14" s="145">
        <v>5.7268950406847131E-2</v>
      </c>
      <c r="F14" s="416">
        <v>0.27806202962780097</v>
      </c>
      <c r="G14" s="870"/>
    </row>
    <row r="15" spans="1:11" ht="20" customHeight="1" thickBot="1">
      <c r="A15" s="312">
        <v>2004</v>
      </c>
      <c r="B15" s="144">
        <v>4487.9860973999994</v>
      </c>
      <c r="C15" s="145">
        <v>5.2466992093654796E-2</v>
      </c>
      <c r="D15" s="144">
        <v>607.83383459013214</v>
      </c>
      <c r="E15" s="145">
        <v>5.0889198313097593E-2</v>
      </c>
      <c r="F15" s="416">
        <v>0.27520979583864619</v>
      </c>
      <c r="G15" s="870"/>
    </row>
    <row r="16" spans="1:11" ht="20" customHeight="1" thickBot="1">
      <c r="A16" s="312">
        <v>2005</v>
      </c>
      <c r="B16" s="144">
        <v>4710.4063185000005</v>
      </c>
      <c r="C16" s="145">
        <v>4.9559026314465314E-2</v>
      </c>
      <c r="D16" s="144">
        <v>633.47119917588623</v>
      </c>
      <c r="E16" s="145">
        <v>4.2178245314431359E-2</v>
      </c>
      <c r="F16" s="416">
        <v>0.27145060304290114</v>
      </c>
      <c r="G16" s="870"/>
    </row>
    <row r="17" spans="1:7" ht="20" customHeight="1" thickBot="1">
      <c r="A17" s="312">
        <v>2006</v>
      </c>
      <c r="B17" s="144">
        <v>4989.9724866999995</v>
      </c>
      <c r="C17" s="145">
        <v>5.9350754329198757E-2</v>
      </c>
      <c r="D17" s="144">
        <v>667.24876129732593</v>
      </c>
      <c r="E17" s="145">
        <v>5.3321385668965833E-2</v>
      </c>
      <c r="F17" s="416">
        <v>0.28410364747524469</v>
      </c>
      <c r="G17" s="870"/>
    </row>
    <row r="18" spans="1:7" ht="30" customHeight="1" thickBot="1">
      <c r="A18" s="396">
        <v>2007</v>
      </c>
      <c r="B18" s="338">
        <v>5234.0909351299997</v>
      </c>
      <c r="C18" s="147">
        <v>4.8921802491027788E-2</v>
      </c>
      <c r="D18" s="338">
        <v>694.39892686185294</v>
      </c>
      <c r="E18" s="147">
        <v>4.0689720445099345E-2</v>
      </c>
      <c r="F18" s="587">
        <v>0.28409673931984064</v>
      </c>
      <c r="G18" s="871"/>
    </row>
    <row r="19" spans="1:7" ht="20" customHeight="1">
      <c r="A19" s="133" t="s">
        <v>1256</v>
      </c>
      <c r="B19" s="133"/>
      <c r="C19" s="133"/>
      <c r="D19" s="133"/>
      <c r="E19" s="133"/>
      <c r="F19" s="599"/>
      <c r="G19" s="3"/>
    </row>
    <row r="20" spans="1:7" ht="12.75" customHeight="1">
      <c r="A20" s="3"/>
      <c r="B20" s="3"/>
      <c r="C20" s="3"/>
      <c r="D20" s="3"/>
      <c r="E20" s="3"/>
      <c r="F20" s="600"/>
      <c r="G20" s="3"/>
    </row>
    <row r="21" spans="1:7" ht="12.75" customHeight="1">
      <c r="A21" s="2" t="s">
        <v>2228</v>
      </c>
      <c r="B21" s="3"/>
      <c r="C21" s="3"/>
      <c r="D21" s="3"/>
      <c r="E21" s="3"/>
      <c r="F21" s="600"/>
      <c r="G21" s="3"/>
    </row>
    <row r="22" spans="1:7" ht="12.75" customHeight="1">
      <c r="A22" s="2" t="s">
        <v>2229</v>
      </c>
    </row>
    <row r="24" spans="1:7">
      <c r="A24" s="2" t="s">
        <v>2230</v>
      </c>
    </row>
    <row r="27" spans="1:7">
      <c r="A27" s="2" t="s">
        <v>634</v>
      </c>
    </row>
  </sheetData>
  <mergeCells count="1">
    <mergeCell ref="A2:E2"/>
  </mergeCells>
  <phoneticPr fontId="0" type="noConversion"/>
  <pageMargins left="0.62" right="0.78740157480314965" top="0.99" bottom="0.49" header="0.6" footer="0.4921259845"/>
  <pageSetup paperSize="9" scale="82" orientation="portrait" horizontalDpi="4294967292" verticalDpi="429496729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A25E-1BE0-9244-AE31-52C00873AF37}">
  <sheetPr>
    <pageSetUpPr fitToPage="1"/>
  </sheetPr>
  <dimension ref="A1:M42"/>
  <sheetViews>
    <sheetView topLeftCell="A22" zoomScale="75" workbookViewId="0">
      <selection activeCell="K40" sqref="K40"/>
    </sheetView>
  </sheetViews>
  <sheetFormatPr baseColWidth="10" defaultColWidth="11.3984375" defaultRowHeight="13"/>
  <cols>
    <col min="1" max="1" width="16.796875" style="2" customWidth="1"/>
    <col min="2" max="2" width="0.3984375" style="2" customWidth="1"/>
    <col min="3" max="12" width="10.3984375" style="2" customWidth="1"/>
    <col min="13" max="16384" width="11.3984375" style="2"/>
  </cols>
  <sheetData>
    <row r="1" spans="1:13" s="1" customFormat="1" ht="14" customHeight="1"/>
    <row r="2" spans="1:13" s="1" customFormat="1" ht="24.75" customHeight="1">
      <c r="A2" s="1800" t="s">
        <v>2328</v>
      </c>
      <c r="B2" s="1805"/>
      <c r="C2" s="1805"/>
      <c r="D2" s="1805"/>
      <c r="E2" s="1805"/>
      <c r="F2" s="1805"/>
      <c r="G2" s="1805"/>
      <c r="H2" s="1805"/>
      <c r="I2" s="1805"/>
      <c r="J2" s="1805"/>
      <c r="K2" s="1805"/>
      <c r="L2" s="354"/>
      <c r="M2" s="354"/>
    </row>
    <row r="3" spans="1:13" ht="24" customHeight="1">
      <c r="A3" s="349" t="s">
        <v>1797</v>
      </c>
      <c r="B3" s="114">
        <v>1996</v>
      </c>
      <c r="C3" s="115">
        <v>1997</v>
      </c>
      <c r="D3" s="114">
        <v>1998</v>
      </c>
      <c r="E3" s="115">
        <v>1999</v>
      </c>
      <c r="F3" s="658">
        <v>2000</v>
      </c>
      <c r="G3" s="659">
        <v>2001</v>
      </c>
      <c r="H3" s="114">
        <v>2002</v>
      </c>
      <c r="I3" s="115">
        <v>2003</v>
      </c>
      <c r="J3" s="114">
        <v>2004</v>
      </c>
      <c r="K3" s="115">
        <v>2005</v>
      </c>
      <c r="L3" s="114">
        <v>2006</v>
      </c>
      <c r="M3" s="115">
        <v>2007</v>
      </c>
    </row>
    <row r="4" spans="1:13" ht="15" customHeight="1">
      <c r="A4" s="653"/>
      <c r="B4" s="653"/>
      <c r="C4" s="115"/>
      <c r="D4" s="114"/>
      <c r="E4" s="115"/>
      <c r="F4" s="140"/>
      <c r="G4" s="279"/>
      <c r="H4" s="114"/>
      <c r="I4" s="115"/>
      <c r="J4" s="114"/>
      <c r="K4" s="115"/>
      <c r="L4" s="114"/>
      <c r="M4" s="115"/>
    </row>
    <row r="5" spans="1:13" ht="16" customHeight="1">
      <c r="A5" s="654"/>
      <c r="B5" s="654"/>
      <c r="C5" s="119"/>
      <c r="D5" s="120"/>
      <c r="E5" s="119"/>
      <c r="F5" s="141"/>
      <c r="G5" s="282"/>
      <c r="H5" s="120"/>
      <c r="I5" s="119"/>
      <c r="J5" s="120"/>
      <c r="K5" s="119"/>
      <c r="L5" s="120"/>
      <c r="M5" s="119"/>
    </row>
    <row r="6" spans="1:13" ht="26.25" customHeight="1" thickBot="1">
      <c r="A6" s="655" t="s">
        <v>1807</v>
      </c>
      <c r="B6" s="358">
        <v>0.2634227125004695</v>
      </c>
      <c r="C6" s="555">
        <v>0.2300324710120896</v>
      </c>
      <c r="D6" s="358">
        <v>0.20251354313748665</v>
      </c>
      <c r="E6" s="555">
        <v>0.19120936116799284</v>
      </c>
      <c r="F6" s="358">
        <v>0.18744031261524499</v>
      </c>
      <c r="G6" s="555">
        <v>0.16065262316394033</v>
      </c>
      <c r="H6" s="358">
        <v>0.14149928786851756</v>
      </c>
      <c r="I6" s="143">
        <v>0.21521528701468851</v>
      </c>
      <c r="J6" s="586">
        <v>0.25116698085815475</v>
      </c>
      <c r="K6" s="143">
        <v>0.28327951111651667</v>
      </c>
      <c r="L6" s="586">
        <v>0.32190124962810607</v>
      </c>
      <c r="M6" s="143">
        <v>0.34128800135164433</v>
      </c>
    </row>
    <row r="7" spans="1:13" ht="20" customHeight="1" thickBot="1">
      <c r="A7" s="656" t="s">
        <v>1808</v>
      </c>
      <c r="B7" s="416">
        <v>0.23235146063383727</v>
      </c>
      <c r="C7" s="145">
        <v>0.20555096262894337</v>
      </c>
      <c r="D7" s="416">
        <v>0.22990607076846439</v>
      </c>
      <c r="E7" s="145">
        <v>0.24838409380060938</v>
      </c>
      <c r="F7" s="416">
        <v>0.22181685273656229</v>
      </c>
      <c r="G7" s="145">
        <v>0.16849274687658564</v>
      </c>
      <c r="H7" s="416">
        <v>0.14248301442737826</v>
      </c>
      <c r="I7" s="143">
        <v>0.14602495851755054</v>
      </c>
      <c r="J7" s="586">
        <v>9.9815930981512563E-2</v>
      </c>
      <c r="K7" s="143">
        <v>4.6454307105322008E-2</v>
      </c>
      <c r="L7" s="586">
        <v>2.0529104744383939E-2</v>
      </c>
      <c r="M7" s="143">
        <v>-1.7309077806537707E-2</v>
      </c>
    </row>
    <row r="8" spans="1:13" ht="20" customHeight="1" thickBot="1">
      <c r="A8" s="656" t="s">
        <v>1809</v>
      </c>
      <c r="B8" s="416">
        <v>0.26584023597644763</v>
      </c>
      <c r="C8" s="145">
        <v>0.31271554209843622</v>
      </c>
      <c r="D8" s="416">
        <v>0.31522137253377702</v>
      </c>
      <c r="E8" s="145">
        <v>0.29053536904586225</v>
      </c>
      <c r="F8" s="416">
        <v>0.23933329387214186</v>
      </c>
      <c r="G8" s="145">
        <v>0.16188591662030111</v>
      </c>
      <c r="H8" s="416">
        <v>0.14781546126644296</v>
      </c>
      <c r="I8" s="143">
        <v>0.14327175852104376</v>
      </c>
      <c r="J8" s="586">
        <v>0.12755396857197224</v>
      </c>
      <c r="K8" s="143">
        <v>9.3681246570406537E-2</v>
      </c>
      <c r="L8" s="586">
        <v>0.10668399812730318</v>
      </c>
      <c r="M8" s="143">
        <v>9.6152634933930572E-2</v>
      </c>
    </row>
    <row r="9" spans="1:13" ht="20" customHeight="1" thickBot="1">
      <c r="A9" s="656" t="s">
        <v>1810</v>
      </c>
      <c r="B9" s="416">
        <v>0.25324038775732494</v>
      </c>
      <c r="C9" s="145">
        <v>0.31030358937772989</v>
      </c>
      <c r="D9" s="416">
        <v>0.39132535734956697</v>
      </c>
      <c r="E9" s="145">
        <v>0.39486039728373246</v>
      </c>
      <c r="F9" s="416">
        <v>0.35958136282943409</v>
      </c>
      <c r="G9" s="145">
        <v>0.21075710377074799</v>
      </c>
      <c r="H9" s="416">
        <v>0.21604584923969608</v>
      </c>
      <c r="I9" s="143">
        <v>0.20719871245075289</v>
      </c>
      <c r="J9" s="586">
        <v>0.20956536974136691</v>
      </c>
      <c r="K9" s="143">
        <v>0.14538287957166046</v>
      </c>
      <c r="L9" s="586">
        <v>9.1478413804166533E-2</v>
      </c>
      <c r="M9" s="143">
        <v>-2.1576060091339479E-2</v>
      </c>
    </row>
    <row r="10" spans="1:13" ht="20" customHeight="1" thickBot="1">
      <c r="A10" s="656" t="s">
        <v>1811</v>
      </c>
      <c r="B10" s="416">
        <v>0.27217220526182745</v>
      </c>
      <c r="C10" s="145">
        <v>0.32639202738231093</v>
      </c>
      <c r="D10" s="416">
        <v>0.40130547479736495</v>
      </c>
      <c r="E10" s="145">
        <v>0.37801225816696959</v>
      </c>
      <c r="F10" s="416">
        <v>0.33465572843725377</v>
      </c>
      <c r="G10" s="145">
        <v>0.18987346362753815</v>
      </c>
      <c r="H10" s="416">
        <v>0.16577372289281472</v>
      </c>
      <c r="I10" s="143">
        <v>0.15822256336389404</v>
      </c>
      <c r="J10" s="586">
        <v>0.1521517697850901</v>
      </c>
      <c r="K10" s="143">
        <v>0.14655442880900277</v>
      </c>
      <c r="L10" s="586">
        <v>0.13727953347573557</v>
      </c>
      <c r="M10" s="143">
        <v>0.11596122167087022</v>
      </c>
    </row>
    <row r="11" spans="1:13" ht="20" customHeight="1" thickBot="1">
      <c r="A11" s="656" t="s">
        <v>1812</v>
      </c>
      <c r="B11" s="416">
        <v>0.25491681249510278</v>
      </c>
      <c r="C11" s="145">
        <v>0.30124645267951627</v>
      </c>
      <c r="D11" s="416">
        <v>0.31658503968260293</v>
      </c>
      <c r="E11" s="145">
        <v>0.30356945414859665</v>
      </c>
      <c r="F11" s="416">
        <v>0.25443756533044776</v>
      </c>
      <c r="G11" s="145">
        <v>0.21243618256298138</v>
      </c>
      <c r="H11" s="416">
        <v>0.18207666207899045</v>
      </c>
      <c r="I11" s="143">
        <v>0.1432346169103676</v>
      </c>
      <c r="J11" s="586">
        <v>0.12766118334325563</v>
      </c>
      <c r="K11" s="143">
        <v>7.0281978685824753E-2</v>
      </c>
      <c r="L11" s="586">
        <v>2.5500449104954151E-2</v>
      </c>
      <c r="M11" s="143">
        <v>-9.0001408448058262E-2</v>
      </c>
    </row>
    <row r="12" spans="1:13" ht="20" customHeight="1" thickBot="1">
      <c r="A12" s="656" t="s">
        <v>1813</v>
      </c>
      <c r="B12" s="416">
        <v>0.24797084644691073</v>
      </c>
      <c r="C12" s="145">
        <v>0.34071013397258532</v>
      </c>
      <c r="D12" s="416">
        <v>0.41906573628683091</v>
      </c>
      <c r="E12" s="145">
        <v>0.44405532841213452</v>
      </c>
      <c r="F12" s="416">
        <v>0.39652645290442345</v>
      </c>
      <c r="G12" s="145">
        <v>0.33321415868053961</v>
      </c>
      <c r="H12" s="416">
        <v>0.26762976098403074</v>
      </c>
      <c r="I12" s="143">
        <v>0.23970429636067705</v>
      </c>
      <c r="J12" s="586">
        <v>0.22487277001990333</v>
      </c>
      <c r="K12" s="143">
        <v>0.19891007547106582</v>
      </c>
      <c r="L12" s="586">
        <v>0.17501999637407706</v>
      </c>
      <c r="M12" s="143">
        <v>9.920097005358211E-2</v>
      </c>
    </row>
    <row r="13" spans="1:13" ht="20" customHeight="1" thickBot="1">
      <c r="A13" s="656" t="s">
        <v>1814</v>
      </c>
      <c r="B13" s="416">
        <v>0.24402817259960116</v>
      </c>
      <c r="C13" s="145">
        <v>0.19215628507138377</v>
      </c>
      <c r="D13" s="416">
        <v>0.2146753959221511</v>
      </c>
      <c r="E13" s="145">
        <v>0.17064443950082706</v>
      </c>
      <c r="F13" s="416">
        <v>8.5185521297170649E-2</v>
      </c>
      <c r="G13" s="145">
        <v>-4.8648076670398978E-2</v>
      </c>
      <c r="H13" s="416">
        <v>-6.7622757611448425E-2</v>
      </c>
      <c r="I13" s="143">
        <v>-2.1853590375176792E-2</v>
      </c>
      <c r="J13" s="586">
        <v>-5.474320249555905E-3</v>
      </c>
      <c r="K13" s="143">
        <v>-1.9322463992327066E-2</v>
      </c>
      <c r="L13" s="586">
        <v>1.6114427564821471E-3</v>
      </c>
      <c r="M13" s="143">
        <v>5.0028179819713754E-3</v>
      </c>
    </row>
    <row r="14" spans="1:13" ht="20" customHeight="1" thickBot="1">
      <c r="A14" s="656" t="s">
        <v>1815</v>
      </c>
      <c r="B14" s="416">
        <v>0.23894112642061488</v>
      </c>
      <c r="C14" s="145">
        <v>0.3403292170118517</v>
      </c>
      <c r="D14" s="416">
        <v>0.39052797437824199</v>
      </c>
      <c r="E14" s="145">
        <v>0.36231825521399358</v>
      </c>
      <c r="F14" s="416">
        <v>0.29181111335205689</v>
      </c>
      <c r="G14" s="145">
        <v>0.14279017594196197</v>
      </c>
      <c r="H14" s="416">
        <v>3.1505956256030122E-2</v>
      </c>
      <c r="I14" s="143">
        <v>3.0847646691087822E-2</v>
      </c>
      <c r="J14" s="586">
        <v>4.2841752762412935E-2</v>
      </c>
      <c r="K14" s="143">
        <v>5.8655771928796514E-2</v>
      </c>
      <c r="L14" s="586">
        <v>7.2974058930847546E-2</v>
      </c>
      <c r="M14" s="143">
        <v>6.6776738065622898E-2</v>
      </c>
    </row>
    <row r="15" spans="1:13" ht="20" customHeight="1" thickBot="1">
      <c r="A15" s="656" t="s">
        <v>1816</v>
      </c>
      <c r="B15" s="416">
        <v>0.25178331238561441</v>
      </c>
      <c r="C15" s="145">
        <v>0.30660091228279412</v>
      </c>
      <c r="D15" s="416">
        <v>0.27901942424159176</v>
      </c>
      <c r="E15" s="145">
        <v>0.24966932748396012</v>
      </c>
      <c r="F15" s="416">
        <v>0.26135467283099711</v>
      </c>
      <c r="G15" s="145">
        <v>0.21838855116856853</v>
      </c>
      <c r="H15" s="416">
        <v>0.20613612249366109</v>
      </c>
      <c r="I15" s="143">
        <v>0.23257546390356967</v>
      </c>
      <c r="J15" s="586">
        <v>0.24801584372642493</v>
      </c>
      <c r="K15" s="143">
        <v>0.24212779232687789</v>
      </c>
      <c r="L15" s="586">
        <v>0.22462103933524197</v>
      </c>
      <c r="M15" s="143">
        <v>0.20376302954724085</v>
      </c>
    </row>
    <row r="16" spans="1:13" ht="20" customHeight="1" thickBot="1">
      <c r="A16" s="656" t="s">
        <v>1817</v>
      </c>
      <c r="B16" s="416">
        <v>0.26853512487220682</v>
      </c>
      <c r="C16" s="145">
        <v>0.28591865182107673</v>
      </c>
      <c r="D16" s="416">
        <v>0.3303659458864574</v>
      </c>
      <c r="E16" s="145">
        <v>0.30904530148288967</v>
      </c>
      <c r="F16" s="416">
        <v>0.31267801109145449</v>
      </c>
      <c r="G16" s="145">
        <v>0.30250784342107884</v>
      </c>
      <c r="H16" s="416">
        <v>0.26529509865397671</v>
      </c>
      <c r="I16" s="143">
        <v>0.22684029728863092</v>
      </c>
      <c r="J16" s="586">
        <v>0.23609060659102094</v>
      </c>
      <c r="K16" s="143">
        <v>0.1953729968588028</v>
      </c>
      <c r="L16" s="586">
        <v>0.15475066288438055</v>
      </c>
      <c r="M16" s="143">
        <v>0.12170271563874681</v>
      </c>
    </row>
    <row r="17" spans="1:13" ht="20" customHeight="1" thickBot="1">
      <c r="A17" s="656" t="s">
        <v>1818</v>
      </c>
      <c r="B17" s="416">
        <v>0.36281434238684518</v>
      </c>
      <c r="C17" s="145">
        <v>0.32184341961627005</v>
      </c>
      <c r="D17" s="416">
        <v>0.3149843969738953</v>
      </c>
      <c r="E17" s="145">
        <v>0.3109577436082348</v>
      </c>
      <c r="F17" s="416">
        <v>0.21713878274573126</v>
      </c>
      <c r="G17" s="145">
        <v>0.1194145782981933</v>
      </c>
      <c r="H17" s="416">
        <v>0.10774739527821756</v>
      </c>
      <c r="I17" s="143">
        <v>0.14419593068925815</v>
      </c>
      <c r="J17" s="586">
        <v>0.19968630601582033</v>
      </c>
      <c r="K17" s="143">
        <v>0.20970323630858814</v>
      </c>
      <c r="L17" s="586">
        <v>0.24263587991692168</v>
      </c>
      <c r="M17" s="143">
        <v>0.25089449181595114</v>
      </c>
    </row>
    <row r="18" spans="1:13" ht="20" customHeight="1" thickBot="1">
      <c r="A18" s="656" t="s">
        <v>1819</v>
      </c>
      <c r="B18" s="416">
        <v>0.25000700978055562</v>
      </c>
      <c r="C18" s="145">
        <v>0.25850359594318745</v>
      </c>
      <c r="D18" s="416">
        <v>0.29908799152432414</v>
      </c>
      <c r="E18" s="145">
        <v>0.28105456645559984</v>
      </c>
      <c r="F18" s="416">
        <v>0.30060147957546718</v>
      </c>
      <c r="G18" s="145">
        <v>0.18945221109334132</v>
      </c>
      <c r="H18" s="416">
        <v>0.14061835365267317</v>
      </c>
      <c r="I18" s="143">
        <v>0.15422142950185103</v>
      </c>
      <c r="J18" s="586">
        <v>0.19548959141524538</v>
      </c>
      <c r="K18" s="143">
        <v>0.20435780890959937</v>
      </c>
      <c r="L18" s="586">
        <v>0.21798383825688256</v>
      </c>
      <c r="M18" s="143">
        <v>0.22306932489885264</v>
      </c>
    </row>
    <row r="19" spans="1:13" ht="20" customHeight="1" thickBot="1">
      <c r="A19" s="656" t="s">
        <v>1820</v>
      </c>
      <c r="B19" s="416">
        <v>0.22955060128064969</v>
      </c>
      <c r="C19" s="145">
        <v>0.16944605936294338</v>
      </c>
      <c r="D19" s="416">
        <v>0.1862404360756898</v>
      </c>
      <c r="E19" s="145">
        <v>8.0700269549161652E-2</v>
      </c>
      <c r="F19" s="416">
        <v>2.6169132889845088E-2</v>
      </c>
      <c r="G19" s="145">
        <v>-7.7439122966828464E-2</v>
      </c>
      <c r="H19" s="416">
        <v>-2.9269694727323374E-2</v>
      </c>
      <c r="I19" s="143">
        <v>1.0185021041792782E-2</v>
      </c>
      <c r="J19" s="586">
        <v>3.9644720978565466E-2</v>
      </c>
      <c r="K19" s="143">
        <v>5.1742377988050738E-2</v>
      </c>
      <c r="L19" s="586">
        <v>9.2605456923340462E-2</v>
      </c>
      <c r="M19" s="143">
        <v>0.1172968096317934</v>
      </c>
    </row>
    <row r="20" spans="1:13" ht="20" customHeight="1" thickBot="1">
      <c r="A20" s="656" t="s">
        <v>1821</v>
      </c>
      <c r="B20" s="416">
        <v>0.22426231750264985</v>
      </c>
      <c r="C20" s="145">
        <v>0.19570605306026581</v>
      </c>
      <c r="D20" s="416">
        <v>0.25338629872206647</v>
      </c>
      <c r="E20" s="145">
        <v>0.21605939446616124</v>
      </c>
      <c r="F20" s="416">
        <v>0.16841528947940015</v>
      </c>
      <c r="G20" s="145">
        <v>0.10053848220410065</v>
      </c>
      <c r="H20" s="416">
        <v>8.0443552989450953E-2</v>
      </c>
      <c r="I20" s="143">
        <v>4.4813783274197105E-2</v>
      </c>
      <c r="J20" s="586">
        <v>5.665546986412031E-2</v>
      </c>
      <c r="K20" s="143">
        <v>4.4310445663865126E-2</v>
      </c>
      <c r="L20" s="586">
        <v>4.4294038694566093E-2</v>
      </c>
      <c r="M20" s="143">
        <v>1.6449646801819345E-2</v>
      </c>
    </row>
    <row r="21" spans="1:13" ht="20" customHeight="1" thickBot="1">
      <c r="A21" s="656" t="s">
        <v>1822</v>
      </c>
      <c r="B21" s="416">
        <v>0.24585035750766088</v>
      </c>
      <c r="C21" s="145">
        <v>0.29245320271440189</v>
      </c>
      <c r="D21" s="416">
        <v>0.35677417223862196</v>
      </c>
      <c r="E21" s="145">
        <v>0.28599760573151062</v>
      </c>
      <c r="F21" s="416">
        <v>0.21984437058923176</v>
      </c>
      <c r="G21" s="145">
        <v>0.13469397978881945</v>
      </c>
      <c r="H21" s="416">
        <v>1.6234213573508613E-2</v>
      </c>
      <c r="I21" s="143">
        <v>-3.2112132566234138E-2</v>
      </c>
      <c r="J21" s="586">
        <v>-1.8764788927883705E-2</v>
      </c>
      <c r="K21" s="143">
        <v>-4.1479128907079957E-2</v>
      </c>
      <c r="L21" s="586">
        <v>-8.9670626901258987E-3</v>
      </c>
      <c r="M21" s="143">
        <v>3.3731812089493503E-2</v>
      </c>
    </row>
    <row r="22" spans="1:13" ht="20" customHeight="1" thickBot="1">
      <c r="A22" s="656" t="s">
        <v>1823</v>
      </c>
      <c r="B22" s="416">
        <v>0.24323650251501203</v>
      </c>
      <c r="C22" s="145">
        <v>0.23334111506916808</v>
      </c>
      <c r="D22" s="416">
        <v>0.2511060960542793</v>
      </c>
      <c r="E22" s="145">
        <v>0.22037128205305415</v>
      </c>
      <c r="F22" s="416">
        <v>0.19286721461580075</v>
      </c>
      <c r="G22" s="145">
        <v>0.15685463204023639</v>
      </c>
      <c r="H22" s="416">
        <v>0.10620048675315266</v>
      </c>
      <c r="I22" s="143">
        <v>5.9058151022422525E-2</v>
      </c>
      <c r="J22" s="586">
        <v>4.2347434655218681E-2</v>
      </c>
      <c r="K22" s="143">
        <v>3.4142405158759277E-2</v>
      </c>
      <c r="L22" s="586">
        <v>4.486392675296523E-2</v>
      </c>
      <c r="M22" s="143">
        <v>4.1437418071859515E-2</v>
      </c>
    </row>
    <row r="23" spans="1:13" ht="20" customHeight="1" thickBot="1">
      <c r="A23" s="656" t="s">
        <v>1824</v>
      </c>
      <c r="B23" s="416">
        <v>0.3723075105745946</v>
      </c>
      <c r="C23" s="145">
        <v>0.28723821641214636</v>
      </c>
      <c r="D23" s="416">
        <v>0.23234955606074459</v>
      </c>
      <c r="E23" s="145">
        <v>0.29648815124025041</v>
      </c>
      <c r="F23" s="416">
        <v>0.12231885189747953</v>
      </c>
      <c r="G23" s="145">
        <v>5.2170022542286545E-2</v>
      </c>
      <c r="H23" s="416">
        <v>3.0318734478638004E-2</v>
      </c>
      <c r="I23" s="143">
        <v>7.2786057650912714E-2</v>
      </c>
      <c r="J23" s="586">
        <v>8.4704790905582542E-2</v>
      </c>
      <c r="K23" s="143">
        <v>0.11234099651594993</v>
      </c>
      <c r="L23" s="586">
        <v>0.13658279940156992</v>
      </c>
      <c r="M23" s="143">
        <v>0.11615422839564869</v>
      </c>
    </row>
    <row r="24" spans="1:13" ht="20" customHeight="1" thickBot="1">
      <c r="A24" s="656" t="s">
        <v>1825</v>
      </c>
      <c r="B24" s="416">
        <v>0.25925041593390363</v>
      </c>
      <c r="C24" s="145">
        <v>0.23421046037695684</v>
      </c>
      <c r="D24" s="416">
        <v>0.16728031378369035</v>
      </c>
      <c r="E24" s="145">
        <v>0.11234841846575912</v>
      </c>
      <c r="F24" s="416">
        <v>6.5584819705058847E-2</v>
      </c>
      <c r="G24" s="145">
        <v>1.5320060248661215E-2</v>
      </c>
      <c r="H24" s="416">
        <v>1.1914966384036118E-2</v>
      </c>
      <c r="I24" s="143">
        <v>5.2833455716879883E-2</v>
      </c>
      <c r="J24" s="586">
        <v>8.6999317806569013E-2</v>
      </c>
      <c r="K24" s="143">
        <v>9.6081203419912303E-2</v>
      </c>
      <c r="L24" s="586">
        <v>0.10366722706468806</v>
      </c>
      <c r="M24" s="143">
        <v>0.11118107922354274</v>
      </c>
    </row>
    <row r="25" spans="1:13" ht="20" customHeight="1" thickBot="1">
      <c r="A25" s="656" t="s">
        <v>1826</v>
      </c>
      <c r="B25" s="416">
        <v>0.26229144445396013</v>
      </c>
      <c r="C25" s="145">
        <v>0.13156095808976942</v>
      </c>
      <c r="D25" s="416">
        <v>7.8828564840270232E-2</v>
      </c>
      <c r="E25" s="145">
        <v>5.4139325896166456E-2</v>
      </c>
      <c r="F25" s="416">
        <v>7.4650772123890218E-3</v>
      </c>
      <c r="G25" s="145">
        <v>-3.7367467311746456E-2</v>
      </c>
      <c r="H25" s="416">
        <v>-4.3554901224245185E-2</v>
      </c>
      <c r="I25" s="143">
        <v>-2.637185332271054E-2</v>
      </c>
      <c r="J25" s="586">
        <v>5.796182580914723E-2</v>
      </c>
      <c r="K25" s="143">
        <v>0.11900570523870589</v>
      </c>
      <c r="L25" s="586">
        <v>0.18556920253512177</v>
      </c>
      <c r="M25" s="143">
        <v>0.23546020320648234</v>
      </c>
    </row>
    <row r="26" spans="1:13" ht="20" customHeight="1" thickBot="1">
      <c r="A26" s="656" t="s">
        <v>1827</v>
      </c>
      <c r="B26" s="416">
        <v>0.236874184094269</v>
      </c>
      <c r="C26" s="145">
        <v>0.2369910139731975</v>
      </c>
      <c r="D26" s="416">
        <v>0.26802595010545144</v>
      </c>
      <c r="E26" s="145">
        <v>0.28565666290919861</v>
      </c>
      <c r="F26" s="416">
        <v>0.25623402792667599</v>
      </c>
      <c r="G26" s="145">
        <v>0.16751661505363338</v>
      </c>
      <c r="H26" s="416">
        <v>0.10885342965162399</v>
      </c>
      <c r="I26" s="143">
        <v>7.7450764553762277E-2</v>
      </c>
      <c r="J26" s="586">
        <v>0.12447106354641546</v>
      </c>
      <c r="K26" s="143">
        <v>0.15021208604377001</v>
      </c>
      <c r="L26" s="586">
        <v>0.20497580389289158</v>
      </c>
      <c r="M26" s="143">
        <v>0.23178226307241459</v>
      </c>
    </row>
    <row r="27" spans="1:13" ht="20" customHeight="1" thickBot="1">
      <c r="A27" s="656" t="s">
        <v>1828</v>
      </c>
      <c r="B27" s="416">
        <v>0.22313050052141742</v>
      </c>
      <c r="C27" s="145">
        <v>0.22227805043910842</v>
      </c>
      <c r="D27" s="416">
        <v>0.25856477693637758</v>
      </c>
      <c r="E27" s="145">
        <v>0.28406116114771063</v>
      </c>
      <c r="F27" s="416">
        <v>0.29187319225713276</v>
      </c>
      <c r="G27" s="145">
        <v>0.20900649454496339</v>
      </c>
      <c r="H27" s="416">
        <v>0.22318977853306346</v>
      </c>
      <c r="I27" s="143">
        <v>0.23019462335231186</v>
      </c>
      <c r="J27" s="586">
        <v>0.26514283719011067</v>
      </c>
      <c r="K27" s="143">
        <v>0.28755930579149347</v>
      </c>
      <c r="L27" s="586">
        <v>0.33964081194471551</v>
      </c>
      <c r="M27" s="143">
        <v>0.37227894673461587</v>
      </c>
    </row>
    <row r="28" spans="1:13" ht="20" customHeight="1" thickBot="1">
      <c r="A28" s="656" t="s">
        <v>1829</v>
      </c>
      <c r="B28" s="416">
        <v>0.37839967809753738</v>
      </c>
      <c r="C28" s="145">
        <v>0.41352282390439626</v>
      </c>
      <c r="D28" s="416">
        <v>0.47175855015490631</v>
      </c>
      <c r="E28" s="145">
        <v>0.45897699292043254</v>
      </c>
      <c r="F28" s="416">
        <v>0.41551223901119466</v>
      </c>
      <c r="G28" s="145">
        <v>0.31104021391854852</v>
      </c>
      <c r="H28" s="416">
        <v>0.2200071687604184</v>
      </c>
      <c r="I28" s="143">
        <v>0.1584602677762636</v>
      </c>
      <c r="J28" s="586">
        <v>0.169473663913141</v>
      </c>
      <c r="K28" s="143">
        <v>0.15485042382444214</v>
      </c>
      <c r="L28" s="586">
        <v>0.13060268777900635</v>
      </c>
      <c r="M28" s="143">
        <v>0.11408225463523539</v>
      </c>
    </row>
    <row r="29" spans="1:13" ht="20" customHeight="1" thickBot="1">
      <c r="A29" s="656" t="s">
        <v>1830</v>
      </c>
      <c r="B29" s="416">
        <v>0.25802740566520094</v>
      </c>
      <c r="C29" s="145">
        <v>0.12970184411294444</v>
      </c>
      <c r="D29" s="416">
        <v>7.9713420764876433E-2</v>
      </c>
      <c r="E29" s="145">
        <v>0.15061655115531589</v>
      </c>
      <c r="F29" s="416">
        <v>6.5001314408217395E-2</v>
      </c>
      <c r="G29" s="145">
        <v>-1.2149876224653886E-2</v>
      </c>
      <c r="H29" s="416">
        <v>-3.2861485786554852E-2</v>
      </c>
      <c r="I29" s="143">
        <v>-5.6495518265718268E-2</v>
      </c>
      <c r="J29" s="586">
        <v>-7.0664777641847365E-2</v>
      </c>
      <c r="K29" s="143">
        <v>-9.7130251688859279E-3</v>
      </c>
      <c r="L29" s="586">
        <v>9.692340520616298E-2</v>
      </c>
      <c r="M29" s="143">
        <v>0.18189721022097571</v>
      </c>
    </row>
    <row r="30" spans="1:13" ht="20" customHeight="1" thickBot="1">
      <c r="A30" s="656" t="s">
        <v>1831</v>
      </c>
      <c r="B30" s="416">
        <v>0.23654414098950466</v>
      </c>
      <c r="C30" s="145">
        <v>0.25704871072153829</v>
      </c>
      <c r="D30" s="416">
        <v>0.19364675610998625</v>
      </c>
      <c r="E30" s="145">
        <v>0.19443428041117658</v>
      </c>
      <c r="F30" s="416">
        <v>0.20235197130171162</v>
      </c>
      <c r="G30" s="145">
        <v>0.14297495150362821</v>
      </c>
      <c r="H30" s="416">
        <v>0.14116459632232728</v>
      </c>
      <c r="I30" s="143">
        <v>0.19628026050886554</v>
      </c>
      <c r="J30" s="586">
        <v>0.25385020159773114</v>
      </c>
      <c r="K30" s="143">
        <v>0.29481247813075095</v>
      </c>
      <c r="L30" s="586">
        <v>0.35333709648940276</v>
      </c>
      <c r="M30" s="143">
        <v>0.42123843262055904</v>
      </c>
    </row>
    <row r="31" spans="1:13" ht="20" customHeight="1" thickBot="1">
      <c r="A31" s="656" t="s">
        <v>1832</v>
      </c>
      <c r="B31" s="416">
        <v>0.27809499423889389</v>
      </c>
      <c r="C31" s="145">
        <v>0.18905048348040993</v>
      </c>
      <c r="D31" s="416">
        <v>0.16152511133804917</v>
      </c>
      <c r="E31" s="145">
        <v>0.10137396549879286</v>
      </c>
      <c r="F31" s="416">
        <v>5.1863703849464746E-2</v>
      </c>
      <c r="G31" s="145">
        <v>8.8997688321701685E-3</v>
      </c>
      <c r="H31" s="416">
        <v>-1.2732810015009728E-2</v>
      </c>
      <c r="I31" s="143">
        <v>6.2366693541832441E-2</v>
      </c>
      <c r="J31" s="586">
        <v>0.11169863052251632</v>
      </c>
      <c r="K31" s="143">
        <v>0.13340921951954637</v>
      </c>
      <c r="L31" s="586">
        <v>0.20264393926117077</v>
      </c>
      <c r="M31" s="143">
        <v>0.22594457989600364</v>
      </c>
    </row>
    <row r="32" spans="1:13" ht="29.25" customHeight="1" thickBot="1">
      <c r="A32" s="1101" t="s">
        <v>2324</v>
      </c>
      <c r="B32" s="1725">
        <v>0.25659604681954279</v>
      </c>
      <c r="C32" s="1726">
        <v>0.24848089470618492</v>
      </c>
      <c r="D32" s="1725">
        <v>0.23492819433570639</v>
      </c>
      <c r="E32" s="1726">
        <v>0.23610935014307161</v>
      </c>
      <c r="F32" s="1725">
        <v>0.21069626661151625</v>
      </c>
      <c r="G32" s="1726">
        <v>0.15</v>
      </c>
      <c r="H32" s="1725">
        <v>0.12800562009999999</v>
      </c>
      <c r="I32" s="1727">
        <v>0.1423121436</v>
      </c>
      <c r="J32" s="1728">
        <v>0.1646439053</v>
      </c>
      <c r="K32" s="1103">
        <v>0.17216782469748099</v>
      </c>
      <c r="L32" s="1104">
        <v>0.19410142906268091</v>
      </c>
      <c r="M32" s="1103">
        <v>0.20165652481550608</v>
      </c>
    </row>
    <row r="33" spans="1:13" s="232" customFormat="1" ht="30" customHeight="1" thickBot="1">
      <c r="A33" s="1105" t="s">
        <v>2329</v>
      </c>
      <c r="B33" s="1106">
        <v>0.16889043725722225</v>
      </c>
      <c r="C33" s="1107">
        <v>0.17196051689003333</v>
      </c>
      <c r="D33" s="1106">
        <v>0.16909401257090675</v>
      </c>
      <c r="E33" s="1107">
        <v>0.17151239307717711</v>
      </c>
      <c r="F33" s="1106">
        <v>0.16991133453450352</v>
      </c>
      <c r="G33" s="1107">
        <v>0.16939255966928513</v>
      </c>
      <c r="H33" s="1106">
        <v>0.16961724397646502</v>
      </c>
      <c r="I33" s="1108">
        <v>0.170648522304884</v>
      </c>
      <c r="J33" s="1109">
        <v>0.16498531532934302</v>
      </c>
      <c r="K33" s="1110">
        <v>0.16198747607257327</v>
      </c>
      <c r="L33" s="1109">
        <v>0.16226794774511255</v>
      </c>
      <c r="M33" s="1110">
        <v>0.14404868700935056</v>
      </c>
    </row>
    <row r="34" spans="1:13" ht="20" customHeight="1">
      <c r="A34" s="1111" t="s">
        <v>956</v>
      </c>
      <c r="B34" s="133"/>
      <c r="C34" s="335"/>
      <c r="D34" s="335"/>
      <c r="E34" s="335"/>
      <c r="F34" s="335"/>
      <c r="G34" s="335"/>
      <c r="H34" s="335"/>
      <c r="I34" s="559"/>
    </row>
    <row r="35" spans="1:13" ht="15.75" customHeight="1">
      <c r="A35" s="3"/>
      <c r="B35" s="3"/>
      <c r="C35" s="337"/>
      <c r="D35" s="337"/>
      <c r="E35" s="337"/>
      <c r="F35" s="337"/>
      <c r="G35" s="337"/>
      <c r="H35" s="337"/>
      <c r="I35" s="560"/>
    </row>
    <row r="36" spans="1:13" ht="14.25" customHeight="1">
      <c r="A36" s="3" t="s">
        <v>2325</v>
      </c>
      <c r="B36" s="3"/>
      <c r="C36" s="337"/>
      <c r="D36" s="337"/>
      <c r="E36" s="337"/>
      <c r="F36" s="337"/>
      <c r="G36" s="337"/>
      <c r="H36" s="337"/>
      <c r="I36" s="560"/>
    </row>
    <row r="37" spans="1:13" ht="13.5" customHeight="1">
      <c r="A37" s="3"/>
      <c r="B37" s="3"/>
      <c r="C37" s="337"/>
      <c r="D37" s="337"/>
      <c r="E37" s="337"/>
      <c r="F37" s="337"/>
      <c r="G37" s="337"/>
      <c r="H37" s="337"/>
      <c r="I37" s="560"/>
    </row>
    <row r="38" spans="1:13" ht="12.75" customHeight="1">
      <c r="A38" s="3" t="s">
        <v>2326</v>
      </c>
      <c r="B38" s="3"/>
      <c r="C38" s="337"/>
      <c r="D38" s="337"/>
      <c r="E38" s="337"/>
      <c r="F38" s="337"/>
      <c r="G38" s="337"/>
      <c r="H38" s="337"/>
      <c r="I38" s="560"/>
    </row>
    <row r="39" spans="1:13" ht="12.75" customHeight="1">
      <c r="A39" s="3" t="s">
        <v>2327</v>
      </c>
      <c r="B39" s="3"/>
      <c r="C39" s="337"/>
      <c r="D39" s="337"/>
      <c r="E39" s="337"/>
      <c r="F39" s="337"/>
      <c r="G39" s="337"/>
      <c r="H39" s="337"/>
      <c r="I39" s="560"/>
    </row>
    <row r="41" spans="1:13">
      <c r="A41" s="3"/>
      <c r="B41" s="3"/>
    </row>
    <row r="42" spans="1:13">
      <c r="A42" s="3" t="s">
        <v>634</v>
      </c>
      <c r="B42" s="3"/>
    </row>
  </sheetData>
  <mergeCells count="1">
    <mergeCell ref="A2:K2"/>
  </mergeCells>
  <phoneticPr fontId="0" type="noConversion"/>
  <pageMargins left="0.45" right="0.49" top="0.76" bottom="0.49" header="0.56000000000000005" footer="0.4921259845"/>
  <pageSetup paperSize="9" scale="71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442A-93B0-514E-B498-28604D4B4632}">
  <sheetPr>
    <pageSetUpPr fitToPage="1"/>
  </sheetPr>
  <dimension ref="A1:H45"/>
  <sheetViews>
    <sheetView topLeftCell="A24" zoomScale="75" workbookViewId="0">
      <selection activeCell="F13" sqref="F13"/>
    </sheetView>
  </sheetViews>
  <sheetFormatPr baseColWidth="10" defaultColWidth="11.3984375" defaultRowHeight="13"/>
  <cols>
    <col min="1" max="1" width="20.796875" style="2" customWidth="1"/>
    <col min="2" max="2" width="23" style="2" customWidth="1"/>
    <col min="3" max="3" width="24.19921875" style="2" customWidth="1"/>
    <col min="4" max="4" width="23.796875" style="2" customWidth="1"/>
    <col min="5" max="5" width="22.796875" style="2" customWidth="1"/>
    <col min="6" max="16384" width="11.3984375" style="2"/>
  </cols>
  <sheetData>
    <row r="1" spans="1:8" s="1" customFormat="1" ht="14" customHeight="1"/>
    <row r="2" spans="1:8" s="1" customFormat="1" ht="26.25" customHeight="1">
      <c r="A2" s="1800" t="s">
        <v>2330</v>
      </c>
      <c r="B2" s="1804"/>
      <c r="C2" s="1804"/>
      <c r="D2" s="1804"/>
      <c r="E2" s="275">
        <v>2007</v>
      </c>
      <c r="H2" s="275"/>
    </row>
    <row r="3" spans="1:8" ht="59.25" customHeight="1">
      <c r="A3" s="349" t="s">
        <v>1797</v>
      </c>
      <c r="B3" s="1112" t="s">
        <v>2331</v>
      </c>
      <c r="C3" s="1067" t="s">
        <v>955</v>
      </c>
      <c r="D3" s="1112" t="s">
        <v>2332</v>
      </c>
      <c r="E3" s="1067" t="s">
        <v>2333</v>
      </c>
    </row>
    <row r="4" spans="1:8" ht="15" customHeight="1">
      <c r="A4" s="653"/>
      <c r="B4" s="113"/>
      <c r="C4" s="116"/>
      <c r="D4" s="113" t="s">
        <v>870</v>
      </c>
      <c r="E4" s="116" t="s">
        <v>2334</v>
      </c>
    </row>
    <row r="5" spans="1:8" ht="16" customHeight="1">
      <c r="A5" s="654"/>
      <c r="B5" s="117"/>
      <c r="C5" s="118"/>
      <c r="D5" s="117"/>
      <c r="E5" s="118"/>
    </row>
    <row r="6" spans="1:8" ht="30" customHeight="1" thickBot="1">
      <c r="A6" s="655" t="s">
        <v>1807</v>
      </c>
      <c r="B6" s="168">
        <v>0.34128800135164433</v>
      </c>
      <c r="C6" s="125">
        <v>0.1411252063498066</v>
      </c>
      <c r="D6" s="168">
        <f t="shared" ref="D6:D32" si="0">B6-C6</f>
        <v>0.20016279500183773</v>
      </c>
      <c r="E6" s="949">
        <v>519.47831025428195</v>
      </c>
    </row>
    <row r="7" spans="1:8" ht="20" customHeight="1" thickBot="1">
      <c r="A7" s="656" t="s">
        <v>1808</v>
      </c>
      <c r="B7" s="667">
        <v>-1.7309077806537707E-2</v>
      </c>
      <c r="C7" s="828">
        <v>0.14353482803099554</v>
      </c>
      <c r="D7" s="168">
        <f t="shared" si="0"/>
        <v>-0.16084390583753325</v>
      </c>
      <c r="E7" s="949">
        <v>-436.97958472195842</v>
      </c>
    </row>
    <row r="8" spans="1:8" ht="20" customHeight="1" thickBot="1">
      <c r="A8" s="656" t="s">
        <v>1809</v>
      </c>
      <c r="B8" s="667">
        <v>9.6152634933930572E-2</v>
      </c>
      <c r="C8" s="828">
        <v>0.1407193908079841</v>
      </c>
      <c r="D8" s="168">
        <f t="shared" si="0"/>
        <v>-4.4566755874053524E-2</v>
      </c>
      <c r="E8" s="949">
        <v>-94.942708901454679</v>
      </c>
    </row>
    <row r="9" spans="1:8" ht="20" customHeight="1" thickBot="1">
      <c r="A9" s="656" t="s">
        <v>1810</v>
      </c>
      <c r="B9" s="667">
        <v>-2.1576060091339479E-2</v>
      </c>
      <c r="C9" s="828">
        <v>0.13823741413366056</v>
      </c>
      <c r="D9" s="168">
        <f t="shared" si="0"/>
        <v>-0.15981347422500003</v>
      </c>
      <c r="E9" s="949">
        <v>-307.74363500823506</v>
      </c>
    </row>
    <row r="10" spans="1:8" ht="20" customHeight="1" thickBot="1">
      <c r="A10" s="656" t="s">
        <v>1811</v>
      </c>
      <c r="B10" s="667">
        <v>0.11596122167087022</v>
      </c>
      <c r="C10" s="828">
        <v>0.1391917785437061</v>
      </c>
      <c r="D10" s="168">
        <f t="shared" si="0"/>
        <v>-2.3230556872835872E-2</v>
      </c>
      <c r="E10" s="949">
        <v>-48.879581489067917</v>
      </c>
    </row>
    <row r="11" spans="1:8" ht="20" customHeight="1" thickBot="1">
      <c r="A11" s="656" t="s">
        <v>1812</v>
      </c>
      <c r="B11" s="667">
        <v>-9.0001408448058262E-2</v>
      </c>
      <c r="C11" s="828">
        <v>0.13658025138487026</v>
      </c>
      <c r="D11" s="168">
        <f t="shared" si="0"/>
        <v>-0.22658165983292852</v>
      </c>
      <c r="E11" s="949">
        <v>-428.45984178212808</v>
      </c>
    </row>
    <row r="12" spans="1:8" ht="20" customHeight="1" thickBot="1">
      <c r="A12" s="656" t="s">
        <v>1813</v>
      </c>
      <c r="B12" s="667">
        <v>9.920097005358211E-2</v>
      </c>
      <c r="C12" s="828">
        <v>0.13643998706281435</v>
      </c>
      <c r="D12" s="168">
        <f t="shared" si="0"/>
        <v>-3.7239017009232239E-2</v>
      </c>
      <c r="E12" s="949">
        <v>-67.680587021550991</v>
      </c>
    </row>
    <row r="13" spans="1:8" ht="20" customHeight="1" thickBot="1">
      <c r="A13" s="656" t="s">
        <v>1814</v>
      </c>
      <c r="B13" s="667">
        <v>5.0028179819713754E-3</v>
      </c>
      <c r="C13" s="828">
        <v>0.14719853004666322</v>
      </c>
      <c r="D13" s="168">
        <f t="shared" si="0"/>
        <v>-0.14219571206469184</v>
      </c>
      <c r="E13" s="949">
        <v>-309.8924213031404</v>
      </c>
    </row>
    <row r="14" spans="1:8" ht="20" customHeight="1" thickBot="1">
      <c r="A14" s="656" t="s">
        <v>1815</v>
      </c>
      <c r="B14" s="667">
        <v>6.6776738065622898E-2</v>
      </c>
      <c r="C14" s="828">
        <v>0.14093839533159716</v>
      </c>
      <c r="D14" s="168">
        <f t="shared" si="0"/>
        <v>-7.4161657265974262E-2</v>
      </c>
      <c r="E14" s="949">
        <v>-156.14080454274367</v>
      </c>
    </row>
    <row r="15" spans="1:8" ht="20" customHeight="1" thickBot="1">
      <c r="A15" s="656" t="s">
        <v>1816</v>
      </c>
      <c r="B15" s="667">
        <v>0.20376302954724085</v>
      </c>
      <c r="C15" s="828">
        <v>0.14459013476821611</v>
      </c>
      <c r="D15" s="168">
        <f t="shared" si="0"/>
        <v>5.9172894779024737E-2</v>
      </c>
      <c r="E15" s="949">
        <v>140.51389660775351</v>
      </c>
    </row>
    <row r="16" spans="1:8" ht="20" customHeight="1" thickBot="1">
      <c r="A16" s="656" t="s">
        <v>1817</v>
      </c>
      <c r="B16" s="667">
        <v>0.12170271563874681</v>
      </c>
      <c r="C16" s="828">
        <v>0.13959536311831888</v>
      </c>
      <c r="D16" s="168">
        <f t="shared" si="0"/>
        <v>-1.7892647479572074E-2</v>
      </c>
      <c r="E16" s="949">
        <v>-42.285394656388398</v>
      </c>
    </row>
    <row r="17" spans="1:5" ht="20" customHeight="1" thickBot="1">
      <c r="A17" s="656" t="s">
        <v>1818</v>
      </c>
      <c r="B17" s="667">
        <v>0.25089449181595114</v>
      </c>
      <c r="C17" s="828">
        <v>0.15633333587480663</v>
      </c>
      <c r="D17" s="168">
        <f t="shared" si="0"/>
        <v>9.4561155941144504E-2</v>
      </c>
      <c r="E17" s="949">
        <v>341.26031997209805</v>
      </c>
    </row>
    <row r="18" spans="1:5" ht="20" customHeight="1" thickBot="1">
      <c r="A18" s="656" t="s">
        <v>1819</v>
      </c>
      <c r="B18" s="667">
        <v>0.22306932489885264</v>
      </c>
      <c r="C18" s="828">
        <v>0.14308156693259466</v>
      </c>
      <c r="D18" s="168">
        <f t="shared" si="0"/>
        <v>7.9987757966257983E-2</v>
      </c>
      <c r="E18" s="949">
        <v>213.56727557508353</v>
      </c>
    </row>
    <row r="19" spans="1:5" ht="20" customHeight="1" thickBot="1">
      <c r="A19" s="656" t="s">
        <v>1820</v>
      </c>
      <c r="B19" s="667">
        <v>0.1172968096317934</v>
      </c>
      <c r="C19" s="828">
        <v>0.14342510437217912</v>
      </c>
      <c r="D19" s="168">
        <f t="shared" si="0"/>
        <v>-2.6128294740385721E-2</v>
      </c>
      <c r="E19" s="949">
        <v>-65.046133632211465</v>
      </c>
    </row>
    <row r="20" spans="1:5" ht="20" customHeight="1" thickBot="1">
      <c r="A20" s="656" t="s">
        <v>1821</v>
      </c>
      <c r="B20" s="667">
        <v>1.6449646801819345E-2</v>
      </c>
      <c r="C20" s="828">
        <v>0.13851855080431261</v>
      </c>
      <c r="D20" s="168">
        <f t="shared" si="0"/>
        <v>-0.12206890400249326</v>
      </c>
      <c r="E20" s="949">
        <v>-235.43400783898591</v>
      </c>
    </row>
    <row r="21" spans="1:5" ht="20" customHeight="1" thickBot="1">
      <c r="A21" s="656" t="s">
        <v>1822</v>
      </c>
      <c r="B21" s="667">
        <v>3.3731812089493503E-2</v>
      </c>
      <c r="C21" s="828">
        <v>0.13384709674682807</v>
      </c>
      <c r="D21" s="168">
        <f t="shared" si="0"/>
        <v>-0.10011528465733457</v>
      </c>
      <c r="E21" s="949">
        <v>-175.49281850733865</v>
      </c>
    </row>
    <row r="22" spans="1:5" ht="20" customHeight="1" thickBot="1">
      <c r="A22" s="656" t="s">
        <v>1823</v>
      </c>
      <c r="B22" s="667">
        <v>4.1437418071859515E-2</v>
      </c>
      <c r="C22" s="828">
        <v>0.13826204752795451</v>
      </c>
      <c r="D22" s="168">
        <f t="shared" si="0"/>
        <v>-9.682462945609499E-2</v>
      </c>
      <c r="E22" s="949">
        <v>-203.07042990031724</v>
      </c>
    </row>
    <row r="23" spans="1:5" ht="20" customHeight="1" thickBot="1">
      <c r="A23" s="656" t="s">
        <v>1824</v>
      </c>
      <c r="B23" s="667">
        <v>0.11615422839564869</v>
      </c>
      <c r="C23" s="828">
        <v>0.15941486209952957</v>
      </c>
      <c r="D23" s="168">
        <f t="shared" si="0"/>
        <v>-4.3260633703880877E-2</v>
      </c>
      <c r="E23" s="949">
        <v>-95.200723420563094</v>
      </c>
    </row>
    <row r="24" spans="1:5" ht="20" customHeight="1" thickBot="1">
      <c r="A24" s="656" t="s">
        <v>1825</v>
      </c>
      <c r="B24" s="667">
        <v>0.11118107922354274</v>
      </c>
      <c r="C24" s="828">
        <v>0.14105270849629337</v>
      </c>
      <c r="D24" s="168">
        <f t="shared" si="0"/>
        <v>-2.9871629272750624E-2</v>
      </c>
      <c r="E24" s="949">
        <v>-69.082617916791008</v>
      </c>
    </row>
    <row r="25" spans="1:5" ht="20" customHeight="1" thickBot="1">
      <c r="A25" s="656" t="s">
        <v>1826</v>
      </c>
      <c r="B25" s="667">
        <v>0.23546020320648234</v>
      </c>
      <c r="C25" s="828">
        <v>0.14582735444211153</v>
      </c>
      <c r="D25" s="168">
        <f t="shared" si="0"/>
        <v>8.9632848764370804E-2</v>
      </c>
      <c r="E25" s="949">
        <v>205.69597603945869</v>
      </c>
    </row>
    <row r="26" spans="1:5" ht="20" customHeight="1" thickBot="1">
      <c r="A26" s="656" t="s">
        <v>1827</v>
      </c>
      <c r="B26" s="667">
        <v>0.23178226307241459</v>
      </c>
      <c r="C26" s="828">
        <v>0.14168310182360103</v>
      </c>
      <c r="D26" s="168">
        <f t="shared" si="0"/>
        <v>9.0099161248813564E-2</v>
      </c>
      <c r="E26" s="949">
        <v>285.54948470633491</v>
      </c>
    </row>
    <row r="27" spans="1:5" ht="20" customHeight="1" thickBot="1">
      <c r="A27" s="656" t="s">
        <v>1828</v>
      </c>
      <c r="B27" s="667">
        <v>0.37227894673461587</v>
      </c>
      <c r="C27" s="828">
        <v>0.15102101861163636</v>
      </c>
      <c r="D27" s="168">
        <f t="shared" si="0"/>
        <v>0.22125792812297951</v>
      </c>
      <c r="E27" s="949">
        <v>680.00650329268728</v>
      </c>
    </row>
    <row r="28" spans="1:5" ht="20" customHeight="1" thickBot="1">
      <c r="A28" s="656" t="s">
        <v>1829</v>
      </c>
      <c r="B28" s="667">
        <v>0.11408225463523539</v>
      </c>
      <c r="C28" s="828">
        <v>0.15318458672351135</v>
      </c>
      <c r="D28" s="168">
        <f t="shared" si="0"/>
        <v>-3.910233208827596E-2</v>
      </c>
      <c r="E28" s="949">
        <v>-89.932726129233956</v>
      </c>
    </row>
    <row r="29" spans="1:5" ht="20" customHeight="1" thickBot="1">
      <c r="A29" s="656" t="s">
        <v>1830</v>
      </c>
      <c r="B29" s="667">
        <v>0.18189721022097571</v>
      </c>
      <c r="C29" s="828">
        <v>0.14507744828300975</v>
      </c>
      <c r="D29" s="168">
        <f t="shared" si="0"/>
        <v>3.6819761937965961E-2</v>
      </c>
      <c r="E29" s="949">
        <v>111.78941393168795</v>
      </c>
    </row>
    <row r="30" spans="1:5" ht="20" customHeight="1" thickBot="1">
      <c r="A30" s="656" t="s">
        <v>1831</v>
      </c>
      <c r="B30" s="667">
        <v>0.42123843262055904</v>
      </c>
      <c r="C30" s="828">
        <v>0.13837814198409687</v>
      </c>
      <c r="D30" s="168">
        <f t="shared" si="0"/>
        <v>0.28286029063646217</v>
      </c>
      <c r="E30" s="949">
        <v>1024.5893969340423</v>
      </c>
    </row>
    <row r="31" spans="1:5" ht="20" customHeight="1" thickBot="1">
      <c r="A31" s="656" t="s">
        <v>1832</v>
      </c>
      <c r="B31" s="667">
        <v>0.22594457989600364</v>
      </c>
      <c r="C31" s="828">
        <v>0.14977818929491396</v>
      </c>
      <c r="D31" s="168">
        <f t="shared" si="0"/>
        <v>7.6166390601089679E-2</v>
      </c>
      <c r="E31" s="949">
        <v>207.56721641485549</v>
      </c>
    </row>
    <row r="32" spans="1:5" ht="30" customHeight="1" thickBot="1">
      <c r="A32" s="657" t="s">
        <v>628</v>
      </c>
      <c r="B32" s="993">
        <v>0.20165652481243354</v>
      </c>
      <c r="C32" s="951">
        <v>0.14404868700935056</v>
      </c>
      <c r="D32" s="936">
        <f t="shared" si="0"/>
        <v>5.7607837803082984E-2</v>
      </c>
      <c r="E32" s="867">
        <v>150.47903421315959</v>
      </c>
    </row>
    <row r="33" spans="1:5" ht="20" customHeight="1">
      <c r="A33" s="133" t="s">
        <v>956</v>
      </c>
      <c r="B33" s="335"/>
      <c r="C33" s="335"/>
      <c r="D33" s="335"/>
      <c r="E33" s="335"/>
    </row>
    <row r="34" spans="1:5" ht="12" customHeight="1">
      <c r="A34" s="3"/>
      <c r="B34" s="337"/>
      <c r="C34" s="337"/>
      <c r="D34" s="337"/>
      <c r="E34" s="337"/>
    </row>
    <row r="35" spans="1:5" ht="14.25" customHeight="1">
      <c r="A35" s="3" t="s">
        <v>2335</v>
      </c>
      <c r="B35" s="337"/>
      <c r="C35" s="337"/>
      <c r="D35" s="337"/>
      <c r="E35" s="337"/>
    </row>
    <row r="36" spans="1:5" ht="13.5" customHeight="1">
      <c r="A36" s="3"/>
      <c r="B36" s="337"/>
      <c r="C36" s="337"/>
      <c r="D36" s="337"/>
      <c r="E36" s="337"/>
    </row>
    <row r="37" spans="1:5" ht="12.75" customHeight="1">
      <c r="A37" s="3" t="s">
        <v>2336</v>
      </c>
      <c r="B37" s="337"/>
      <c r="C37" s="337"/>
      <c r="D37" s="337"/>
      <c r="E37" s="337"/>
    </row>
    <row r="38" spans="1:5">
      <c r="A38" s="2" t="s">
        <v>2337</v>
      </c>
    </row>
    <row r="39" spans="1:5">
      <c r="A39" s="3" t="s">
        <v>951</v>
      </c>
    </row>
    <row r="40" spans="1:5">
      <c r="A40" s="2" t="s">
        <v>952</v>
      </c>
    </row>
    <row r="41" spans="1:5">
      <c r="A41" s="2" t="s">
        <v>953</v>
      </c>
    </row>
    <row r="42" spans="1:5">
      <c r="A42" s="3" t="s">
        <v>954</v>
      </c>
    </row>
    <row r="44" spans="1:5">
      <c r="A44" s="3"/>
    </row>
    <row r="45" spans="1:5">
      <c r="A45" s="3" t="s">
        <v>634</v>
      </c>
    </row>
  </sheetData>
  <mergeCells count="1">
    <mergeCell ref="A2:D2"/>
  </mergeCells>
  <phoneticPr fontId="0" type="noConversion"/>
  <pageMargins left="0.45" right="0.49" top="0.76" bottom="0.49" header="0.56000000000000005" footer="0.4921259845"/>
  <pageSetup paperSize="9" scale="75" orientation="portrait" horizontalDpi="4294967292" verticalDpi="429496729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FE26-206E-F64F-95A4-70BF00BAC4EA}">
  <dimension ref="A1:B28"/>
  <sheetViews>
    <sheetView topLeftCell="A7" workbookViewId="0">
      <selection activeCell="B25" sqref="B3:B25"/>
    </sheetView>
  </sheetViews>
  <sheetFormatPr baseColWidth="10" defaultColWidth="11.3984375" defaultRowHeight="13"/>
  <cols>
    <col min="1" max="1" width="5.59765625" style="159" customWidth="1"/>
    <col min="2" max="16384" width="11.3984375" style="159"/>
  </cols>
  <sheetData>
    <row r="1" spans="1:2" ht="16">
      <c r="A1" s="158" t="s">
        <v>2255</v>
      </c>
    </row>
    <row r="2" spans="1:2" ht="16">
      <c r="A2" s="158"/>
    </row>
    <row r="3" spans="1:2" s="162" customFormat="1">
      <c r="A3" s="160">
        <v>2.0099999999999998</v>
      </c>
      <c r="B3" s="161" t="s">
        <v>1700</v>
      </c>
    </row>
    <row r="4" spans="1:2" s="162" customFormat="1">
      <c r="A4" s="160">
        <v>2.02</v>
      </c>
      <c r="B4" s="161" t="s">
        <v>1701</v>
      </c>
    </row>
    <row r="5" spans="1:2" s="162" customFormat="1">
      <c r="A5" s="160">
        <v>2.0299999999999998</v>
      </c>
      <c r="B5" s="160" t="s">
        <v>1702</v>
      </c>
    </row>
    <row r="6" spans="1:2" s="162" customFormat="1">
      <c r="A6" s="160">
        <v>2.04</v>
      </c>
      <c r="B6" s="160" t="s">
        <v>35</v>
      </c>
    </row>
    <row r="7" spans="1:2" s="162" customFormat="1">
      <c r="A7" s="160">
        <v>2.0499999999999998</v>
      </c>
      <c r="B7" s="160" t="s">
        <v>36</v>
      </c>
    </row>
    <row r="8" spans="1:2" s="162" customFormat="1">
      <c r="A8" s="160">
        <v>2.06</v>
      </c>
      <c r="B8" s="160" t="s">
        <v>37</v>
      </c>
    </row>
    <row r="9" spans="1:2" s="162" customFormat="1">
      <c r="A9" s="160">
        <v>2.0699999999999998</v>
      </c>
      <c r="B9" s="160" t="s">
        <v>38</v>
      </c>
    </row>
    <row r="10" spans="1:2" s="162" customFormat="1">
      <c r="A10" s="160">
        <v>2.08</v>
      </c>
      <c r="B10" s="160" t="s">
        <v>39</v>
      </c>
    </row>
    <row r="11" spans="1:2" s="162" customFormat="1">
      <c r="A11" s="160">
        <v>2.09</v>
      </c>
      <c r="B11" s="160" t="s">
        <v>40</v>
      </c>
    </row>
    <row r="12" spans="1:2">
      <c r="A12" s="163">
        <v>2.1</v>
      </c>
      <c r="B12" s="161" t="s">
        <v>41</v>
      </c>
    </row>
    <row r="13" spans="1:2">
      <c r="A13" s="163">
        <v>2.11</v>
      </c>
      <c r="B13" s="161" t="s">
        <v>42</v>
      </c>
    </row>
    <row r="14" spans="1:2">
      <c r="A14" s="160">
        <v>2.12</v>
      </c>
      <c r="B14" s="160" t="s">
        <v>43</v>
      </c>
    </row>
    <row r="15" spans="1:2">
      <c r="A15" s="160">
        <v>2.13</v>
      </c>
      <c r="B15" s="161" t="s">
        <v>44</v>
      </c>
    </row>
    <row r="16" spans="1:2">
      <c r="A16" s="160">
        <v>2.14</v>
      </c>
      <c r="B16" s="161" t="s">
        <v>1703</v>
      </c>
    </row>
    <row r="17" spans="1:2">
      <c r="A17" s="160">
        <v>2.15</v>
      </c>
      <c r="B17" s="161" t="s">
        <v>1704</v>
      </c>
    </row>
    <row r="18" spans="1:2">
      <c r="A18" s="160">
        <v>2.16</v>
      </c>
      <c r="B18" s="161" t="s">
        <v>1705</v>
      </c>
    </row>
    <row r="19" spans="1:2">
      <c r="A19" s="160">
        <v>2.17</v>
      </c>
      <c r="B19" s="161" t="s">
        <v>45</v>
      </c>
    </row>
    <row r="20" spans="1:2">
      <c r="A20" s="160">
        <v>2.1800000000000002</v>
      </c>
      <c r="B20" s="161" t="s">
        <v>1706</v>
      </c>
    </row>
    <row r="21" spans="1:2">
      <c r="A21" s="160">
        <v>2.19</v>
      </c>
      <c r="B21" s="161" t="s">
        <v>46</v>
      </c>
    </row>
    <row r="22" spans="1:2">
      <c r="A22" s="164" t="s">
        <v>72</v>
      </c>
      <c r="B22" s="161" t="s">
        <v>1707</v>
      </c>
    </row>
    <row r="23" spans="1:2">
      <c r="A23" s="160">
        <v>2.21</v>
      </c>
      <c r="B23" s="161" t="s">
        <v>1708</v>
      </c>
    </row>
    <row r="24" spans="1:2">
      <c r="A24" s="160">
        <v>2.2200000000000002</v>
      </c>
      <c r="B24" s="161" t="s">
        <v>47</v>
      </c>
    </row>
    <row r="25" spans="1:2">
      <c r="A25" s="160">
        <v>2.23</v>
      </c>
      <c r="B25" s="161" t="s">
        <v>149</v>
      </c>
    </row>
    <row r="28" spans="1:2">
      <c r="A28" s="165" t="s">
        <v>634</v>
      </c>
    </row>
  </sheetData>
  <phoneticPr fontId="30" type="noConversion"/>
  <pageMargins left="0.46" right="0.35" top="0.88" bottom="0.984251969" header="0.4921259845" footer="0.4921259845"/>
  <pageSetup paperSize="9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0990-DC34-4D40-BDB6-6485D48B7922}">
  <sheetPr>
    <pageSetUpPr fitToPage="1"/>
  </sheetPr>
  <dimension ref="A1:J24"/>
  <sheetViews>
    <sheetView zoomScale="75" workbookViewId="0">
      <selection activeCell="A3" sqref="A3"/>
    </sheetView>
  </sheetViews>
  <sheetFormatPr baseColWidth="10" defaultColWidth="11.3984375" defaultRowHeight="13"/>
  <cols>
    <col min="1" max="1" width="12.796875" style="2" customWidth="1"/>
    <col min="2" max="6" width="15.3984375" style="2" customWidth="1"/>
    <col min="7" max="7" width="14.796875" style="2" customWidth="1"/>
    <col min="8" max="16384" width="11.3984375" style="2"/>
  </cols>
  <sheetData>
    <row r="1" spans="1:10" s="1" customFormat="1" ht="14" customHeight="1">
      <c r="A1" s="381"/>
      <c r="B1" s="381"/>
      <c r="C1" s="381"/>
      <c r="D1" s="381"/>
      <c r="E1" s="381"/>
      <c r="F1" s="381"/>
      <c r="G1" s="381"/>
    </row>
    <row r="2" spans="1:10" s="1" customFormat="1" ht="39" customHeight="1">
      <c r="A2" s="1806" t="s">
        <v>2481</v>
      </c>
      <c r="B2" s="1804"/>
      <c r="C2" s="1804"/>
      <c r="D2" s="1804"/>
      <c r="E2" s="1804"/>
      <c r="F2" s="1804"/>
      <c r="G2" s="384">
        <v>2007</v>
      </c>
    </row>
    <row r="3" spans="1:10" ht="24" customHeight="1">
      <c r="A3" s="110" t="s">
        <v>533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12" t="s">
        <v>1801</v>
      </c>
    </row>
    <row r="4" spans="1:10" ht="15" customHeight="1">
      <c r="A4" s="308"/>
      <c r="B4" s="114" t="s">
        <v>836</v>
      </c>
      <c r="C4" s="115" t="s">
        <v>837</v>
      </c>
      <c r="D4" s="114" t="s">
        <v>1334</v>
      </c>
      <c r="E4" s="279" t="s">
        <v>1335</v>
      </c>
      <c r="F4" s="114"/>
      <c r="G4" s="115" t="s">
        <v>1802</v>
      </c>
    </row>
    <row r="5" spans="1:10" ht="15" customHeight="1">
      <c r="A5" s="308"/>
      <c r="B5" s="114" t="s">
        <v>840</v>
      </c>
      <c r="C5" s="115" t="s">
        <v>841</v>
      </c>
      <c r="D5" s="114" t="s">
        <v>1336</v>
      </c>
      <c r="E5" s="279" t="s">
        <v>1337</v>
      </c>
      <c r="F5" s="114"/>
      <c r="G5" s="115" t="s">
        <v>1806</v>
      </c>
    </row>
    <row r="6" spans="1:10" ht="24" customHeight="1">
      <c r="A6" s="309"/>
      <c r="B6" s="120"/>
      <c r="C6" s="119"/>
      <c r="D6" s="120"/>
      <c r="E6" s="282" t="s">
        <v>843</v>
      </c>
      <c r="F6" s="120"/>
      <c r="G6" s="119"/>
    </row>
    <row r="7" spans="1:10" ht="2.25" customHeight="1" thickBot="1">
      <c r="A7" s="310">
        <v>1996</v>
      </c>
      <c r="B7" s="819">
        <v>1089.2648005000001</v>
      </c>
      <c r="C7" s="311">
        <v>580.10166180000022</v>
      </c>
      <c r="D7" s="819">
        <v>4.3753463500000001</v>
      </c>
      <c r="E7" s="311">
        <v>4.7899289500000002</v>
      </c>
      <c r="F7" s="819">
        <v>1678.5317376000003</v>
      </c>
      <c r="G7" s="143" t="s">
        <v>59</v>
      </c>
    </row>
    <row r="8" spans="1:10" ht="20" customHeight="1" thickBot="1">
      <c r="A8" s="312">
        <v>1997</v>
      </c>
      <c r="B8" s="820">
        <v>879.95045900000002</v>
      </c>
      <c r="C8" s="821">
        <v>850.70337900000004</v>
      </c>
      <c r="D8" s="820">
        <v>1.7040200000000001</v>
      </c>
      <c r="E8" s="821">
        <v>45.624484000000002</v>
      </c>
      <c r="F8" s="820">
        <v>1777.9823429999999</v>
      </c>
      <c r="G8" s="145">
        <v>5.9248570147500512E-2</v>
      </c>
      <c r="H8" s="9"/>
      <c r="I8" s="9"/>
      <c r="J8" s="9"/>
    </row>
    <row r="9" spans="1:10" ht="20" customHeight="1" thickBot="1">
      <c r="A9" s="312">
        <v>1998</v>
      </c>
      <c r="B9" s="820">
        <v>1013.8999679999999</v>
      </c>
      <c r="C9" s="821">
        <v>981.74108000000001</v>
      </c>
      <c r="D9" s="820">
        <v>1.2942830000000001</v>
      </c>
      <c r="E9" s="821">
        <v>100.29746900000001</v>
      </c>
      <c r="F9" s="820">
        <v>2097.2328000000002</v>
      </c>
      <c r="G9" s="145">
        <v>0.17955772072591403</v>
      </c>
    </row>
    <row r="10" spans="1:10" ht="20" customHeight="1" thickBot="1">
      <c r="A10" s="312">
        <v>1999</v>
      </c>
      <c r="B10" s="820">
        <v>1011.36115</v>
      </c>
      <c r="C10" s="821">
        <v>1055.56864</v>
      </c>
      <c r="D10" s="820">
        <v>0.79245500000000002</v>
      </c>
      <c r="E10" s="821">
        <v>122.17894</v>
      </c>
      <c r="F10" s="820">
        <v>2189.9011839999998</v>
      </c>
      <c r="G10" s="145">
        <v>4.4186026463061134E-2</v>
      </c>
    </row>
    <row r="11" spans="1:10" ht="20" customHeight="1" thickBot="1">
      <c r="A11" s="312">
        <v>2000</v>
      </c>
      <c r="B11" s="820">
        <v>1054.450601</v>
      </c>
      <c r="C11" s="821">
        <v>1090.7209829999999</v>
      </c>
      <c r="D11" s="820">
        <v>1.2512209999999999</v>
      </c>
      <c r="E11" s="821">
        <v>141.59474</v>
      </c>
      <c r="F11" s="820">
        <v>2288.0175450000002</v>
      </c>
      <c r="G11" s="145">
        <v>4.4804012946732197E-2</v>
      </c>
    </row>
    <row r="12" spans="1:10" ht="20" customHeight="1" thickBot="1">
      <c r="A12" s="312">
        <v>2001</v>
      </c>
      <c r="B12" s="820">
        <v>1083.514122</v>
      </c>
      <c r="C12" s="821">
        <v>1158.4133609999999</v>
      </c>
      <c r="D12" s="820">
        <v>1.2681009299999999</v>
      </c>
      <c r="E12" s="821">
        <v>156.9939449</v>
      </c>
      <c r="F12" s="820">
        <v>2400.1895288299997</v>
      </c>
      <c r="G12" s="145">
        <v>4.9025840765569706E-2</v>
      </c>
    </row>
    <row r="13" spans="1:10" ht="20" customHeight="1" thickBot="1">
      <c r="A13" s="312">
        <v>2002</v>
      </c>
      <c r="B13" s="820">
        <v>1089.8289460000001</v>
      </c>
      <c r="C13" s="821">
        <v>1244.155033</v>
      </c>
      <c r="D13" s="820">
        <v>1.2603006499999998</v>
      </c>
      <c r="E13" s="821">
        <v>167.5860868</v>
      </c>
      <c r="F13" s="820">
        <v>2502.8303664500004</v>
      </c>
      <c r="G13" s="145">
        <v>4.2763638615669786E-2</v>
      </c>
    </row>
    <row r="14" spans="1:10" ht="20" customHeight="1" thickBot="1">
      <c r="A14" s="312">
        <v>2003</v>
      </c>
      <c r="B14" s="820">
        <v>1079.925866</v>
      </c>
      <c r="C14" s="821">
        <v>1341.49136</v>
      </c>
      <c r="D14" s="820">
        <v>1.2206523200000001</v>
      </c>
      <c r="E14" s="821">
        <v>165.86177330000001</v>
      </c>
      <c r="F14" s="820">
        <v>2588.4996516200003</v>
      </c>
      <c r="G14" s="145">
        <v>3.4228961865886642E-2</v>
      </c>
    </row>
    <row r="15" spans="1:10" ht="20" customHeight="1" thickBot="1">
      <c r="A15" s="312">
        <v>2004</v>
      </c>
      <c r="B15" s="820">
        <v>1255.4702629999999</v>
      </c>
      <c r="C15" s="821">
        <v>1341.301393</v>
      </c>
      <c r="D15" s="820">
        <v>1.3776067599999999</v>
      </c>
      <c r="E15" s="821">
        <v>234.16313299999999</v>
      </c>
      <c r="F15" s="820">
        <v>2832.3123957600001</v>
      </c>
      <c r="G15" s="145">
        <v>9.4190757950232129E-2</v>
      </c>
    </row>
    <row r="16" spans="1:10" ht="20" customHeight="1" thickBot="1">
      <c r="A16" s="312">
        <v>2005</v>
      </c>
      <c r="B16" s="820">
        <v>1328.0246323900001</v>
      </c>
      <c r="C16" s="821">
        <v>1371.8229592</v>
      </c>
      <c r="D16" s="820">
        <v>1.4003180399999999</v>
      </c>
      <c r="E16" s="821">
        <v>293.73870004000003</v>
      </c>
      <c r="F16" s="820">
        <v>2994.9866096700002</v>
      </c>
      <c r="G16" s="145">
        <v>5.7435124089251222E-2</v>
      </c>
    </row>
    <row r="17" spans="1:7" ht="20" customHeight="1" thickBot="1">
      <c r="A17" s="312">
        <v>2006</v>
      </c>
      <c r="B17" s="820">
        <v>1275.3436029700001</v>
      </c>
      <c r="C17" s="821">
        <v>1332.0194115899999</v>
      </c>
      <c r="D17" s="820">
        <v>1.24792378</v>
      </c>
      <c r="E17" s="821">
        <v>430.10038037999999</v>
      </c>
      <c r="F17" s="820">
        <v>3038.7113187199998</v>
      </c>
      <c r="G17" s="145">
        <v>1.4599300347061472E-2</v>
      </c>
    </row>
    <row r="18" spans="1:7" ht="30" customHeight="1" thickBot="1">
      <c r="A18" s="396">
        <v>2007</v>
      </c>
      <c r="B18" s="872">
        <v>1254.93473436</v>
      </c>
      <c r="C18" s="873">
        <v>1283.5501741300002</v>
      </c>
      <c r="D18" s="872">
        <v>1.3477021599999999</v>
      </c>
      <c r="E18" s="873">
        <v>615.23426004999999</v>
      </c>
      <c r="F18" s="872">
        <v>3155.0668707000004</v>
      </c>
      <c r="G18" s="147">
        <v>3.8291084534154862E-2</v>
      </c>
    </row>
    <row r="19" spans="1:7" ht="20" customHeight="1">
      <c r="A19" s="948" t="s">
        <v>1256</v>
      </c>
      <c r="B19" s="948"/>
      <c r="C19" s="948"/>
      <c r="D19" s="948"/>
      <c r="E19" s="948"/>
      <c r="F19" s="948"/>
      <c r="G19" s="948"/>
    </row>
    <row r="21" spans="1:7">
      <c r="A21" s="2" t="s">
        <v>2482</v>
      </c>
    </row>
    <row r="24" spans="1:7">
      <c r="A24" s="2" t="s">
        <v>634</v>
      </c>
    </row>
  </sheetData>
  <mergeCells count="1">
    <mergeCell ref="A2:F2"/>
  </mergeCells>
  <phoneticPr fontId="0" type="noConversion"/>
  <pageMargins left="0.53" right="0.6" top="1.1200000000000001" bottom="0.49" header="0.63" footer="0.4921259845"/>
  <pageSetup paperSize="9" scale="88" orientation="portrait" horizontalDpi="4294967292" verticalDpi="4294967292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64DB-09AE-0B4C-9D0F-03C2A9050D93}">
  <sheetPr>
    <pageSetUpPr fitToPage="1"/>
  </sheetPr>
  <dimension ref="A1:J86"/>
  <sheetViews>
    <sheetView topLeftCell="A64" zoomScale="75" workbookViewId="0">
      <selection activeCell="A25" sqref="A25"/>
    </sheetView>
  </sheetViews>
  <sheetFormatPr baseColWidth="10" defaultColWidth="11.3984375" defaultRowHeight="13"/>
  <cols>
    <col min="1" max="1" width="21.796875" style="2" customWidth="1"/>
    <col min="2" max="3" width="15.796875" style="2" customWidth="1"/>
    <col min="4" max="6" width="14.19921875" style="2" customWidth="1"/>
    <col min="7" max="7" width="16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.75" customHeight="1">
      <c r="A2" s="1800" t="s">
        <v>2486</v>
      </c>
      <c r="B2" s="1804"/>
      <c r="C2" s="1804"/>
      <c r="D2" s="1804"/>
      <c r="E2" s="1804"/>
      <c r="F2" s="109"/>
      <c r="G2" s="109">
        <v>2007</v>
      </c>
    </row>
    <row r="3" spans="1:10" ht="24" customHeight="1">
      <c r="A3" s="519" t="s">
        <v>2487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67" t="s">
        <v>1801</v>
      </c>
    </row>
    <row r="4" spans="1:10" ht="15" customHeight="1">
      <c r="A4" s="308"/>
      <c r="B4" s="114" t="s">
        <v>836</v>
      </c>
      <c r="C4" s="115" t="s">
        <v>837</v>
      </c>
      <c r="D4" s="114" t="s">
        <v>1334</v>
      </c>
      <c r="E4" s="279" t="s">
        <v>1335</v>
      </c>
      <c r="F4" s="114"/>
      <c r="G4" s="113" t="s">
        <v>1802</v>
      </c>
    </row>
    <row r="5" spans="1:10" ht="15" customHeight="1">
      <c r="A5" s="308"/>
      <c r="B5" s="114" t="s">
        <v>840</v>
      </c>
      <c r="C5" s="115" t="s">
        <v>841</v>
      </c>
      <c r="D5" s="114" t="s">
        <v>1336</v>
      </c>
      <c r="E5" s="279" t="s">
        <v>1337</v>
      </c>
      <c r="F5" s="114"/>
      <c r="G5" s="113" t="s">
        <v>1806</v>
      </c>
    </row>
    <row r="6" spans="1:10" ht="24" customHeight="1">
      <c r="A6" s="505" t="s">
        <v>517</v>
      </c>
      <c r="B6" s="120"/>
      <c r="C6" s="119"/>
      <c r="D6" s="120"/>
      <c r="E6" s="282" t="s">
        <v>843</v>
      </c>
      <c r="F6" s="120"/>
      <c r="G6" s="281"/>
    </row>
    <row r="7" spans="1:10" ht="1.5" customHeight="1" thickBot="1">
      <c r="A7" s="310">
        <v>1996</v>
      </c>
      <c r="B7" s="142">
        <v>228.61851592074831</v>
      </c>
      <c r="C7" s="291">
        <v>250.28080917066114</v>
      </c>
      <c r="D7" s="142">
        <v>156.40767594799246</v>
      </c>
      <c r="E7" s="291">
        <v>39.181749983856008</v>
      </c>
      <c r="F7" s="142">
        <v>232.07567799264095</v>
      </c>
      <c r="G7" s="680" t="s">
        <v>59</v>
      </c>
    </row>
    <row r="8" spans="1:10" ht="20" customHeight="1" thickBot="1">
      <c r="A8" s="312">
        <v>1997</v>
      </c>
      <c r="B8" s="144">
        <v>214.82091350284739</v>
      </c>
      <c r="C8" s="297">
        <v>309.95377266694288</v>
      </c>
      <c r="D8" s="144">
        <v>147.80819168288531</v>
      </c>
      <c r="E8" s="297">
        <v>118.73527169724866</v>
      </c>
      <c r="F8" s="144">
        <v>245.69341951346181</v>
      </c>
      <c r="G8" s="667">
        <v>5.8678021060236452E-2</v>
      </c>
      <c r="H8" s="9"/>
      <c r="I8" s="9"/>
      <c r="J8" s="9"/>
    </row>
    <row r="9" spans="1:10" ht="20" customHeight="1" thickBot="1">
      <c r="A9" s="312">
        <v>1998</v>
      </c>
      <c r="B9" s="144">
        <v>252.5128510168046</v>
      </c>
      <c r="C9" s="297">
        <v>360.17625657491357</v>
      </c>
      <c r="D9" s="144">
        <v>109.45734992662796</v>
      </c>
      <c r="E9" s="297">
        <v>203.07165413877752</v>
      </c>
      <c r="F9" s="144">
        <v>289.40816378154983</v>
      </c>
      <c r="G9" s="667">
        <v>0.17792395235759595</v>
      </c>
    </row>
    <row r="10" spans="1:10" ht="20" customHeight="1" thickBot="1">
      <c r="A10" s="312">
        <v>1999</v>
      </c>
      <c r="B10" s="144">
        <v>252.78194503280005</v>
      </c>
      <c r="C10" s="297">
        <v>388.48632413108436</v>
      </c>
      <c r="D10" s="144">
        <v>77.211639339766236</v>
      </c>
      <c r="E10" s="297">
        <v>225.34003908380205</v>
      </c>
      <c r="F10" s="144">
        <v>301.19915324099151</v>
      </c>
      <c r="G10" s="667">
        <v>4.0741730659476838E-2</v>
      </c>
    </row>
    <row r="11" spans="1:10" ht="20" customHeight="1" thickBot="1">
      <c r="A11" s="312">
        <v>2000</v>
      </c>
      <c r="B11" s="144">
        <v>268.97415894253976</v>
      </c>
      <c r="C11" s="297">
        <v>395.55641048968283</v>
      </c>
      <c r="D11" s="144">
        <v>127.58078154223918</v>
      </c>
      <c r="E11" s="297">
        <v>245.13884972744927</v>
      </c>
      <c r="F11" s="144">
        <v>314.93035979343995</v>
      </c>
      <c r="G11" s="667">
        <v>4.5588463329649498E-2</v>
      </c>
    </row>
    <row r="12" spans="1:10" ht="20" customHeight="1" thickBot="1">
      <c r="A12" s="312">
        <v>2001</v>
      </c>
      <c r="B12" s="144">
        <v>279.87221622151498</v>
      </c>
      <c r="C12" s="297">
        <v>409.91519673787701</v>
      </c>
      <c r="D12" s="144">
        <v>136.13273133558098</v>
      </c>
      <c r="E12" s="297">
        <v>264.16982213438177</v>
      </c>
      <c r="F12" s="144">
        <v>328.74580078618828</v>
      </c>
      <c r="G12" s="667">
        <v>4.3868241225805571E-2</v>
      </c>
    </row>
    <row r="13" spans="1:10" ht="20" customHeight="1" thickBot="1">
      <c r="A13" s="312">
        <v>2002</v>
      </c>
      <c r="B13" s="144">
        <v>286.4170414821387</v>
      </c>
      <c r="C13" s="297">
        <v>418.22409665521263</v>
      </c>
      <c r="D13" s="144">
        <v>142.93477715564441</v>
      </c>
      <c r="E13" s="297">
        <v>301.45728171382285</v>
      </c>
      <c r="F13" s="144">
        <v>340.77001631259407</v>
      </c>
      <c r="G13" s="667">
        <v>3.6576027732217797E-2</v>
      </c>
    </row>
    <row r="14" spans="1:10" ht="20" customHeight="1" thickBot="1">
      <c r="A14" s="312">
        <v>2003</v>
      </c>
      <c r="B14" s="144">
        <v>294.74032000405879</v>
      </c>
      <c r="C14" s="297">
        <v>432.96196147343414</v>
      </c>
      <c r="D14" s="144">
        <v>147.17768028203764</v>
      </c>
      <c r="E14" s="297">
        <v>275.60229235265177</v>
      </c>
      <c r="F14" s="144">
        <v>351.10178312798706</v>
      </c>
      <c r="G14" s="667">
        <v>3.0318884645988087E-2</v>
      </c>
    </row>
    <row r="15" spans="1:10" ht="20" customHeight="1" thickBot="1">
      <c r="A15" s="312">
        <v>2004</v>
      </c>
      <c r="B15" s="144">
        <v>346.67767559714537</v>
      </c>
      <c r="C15" s="297">
        <v>445.61742079017637</v>
      </c>
      <c r="D15" s="144">
        <v>170.9555657016069</v>
      </c>
      <c r="E15" s="297">
        <v>314.69406860308436</v>
      </c>
      <c r="F15" s="144">
        <v>383.59639867630506</v>
      </c>
      <c r="G15" s="667">
        <v>9.2550414466202602E-2</v>
      </c>
    </row>
    <row r="16" spans="1:10" ht="20" customHeight="1" thickBot="1">
      <c r="A16" s="312">
        <v>2005</v>
      </c>
      <c r="B16" s="144">
        <v>369.44498634392721</v>
      </c>
      <c r="C16" s="297">
        <v>468.17286197785694</v>
      </c>
      <c r="D16" s="144">
        <v>182.15224262282666</v>
      </c>
      <c r="E16" s="297">
        <v>325.16017542364909</v>
      </c>
      <c r="F16" s="144">
        <v>402.77581823634506</v>
      </c>
      <c r="G16" s="667">
        <v>4.9998956262945482E-2</v>
      </c>
    </row>
    <row r="17" spans="1:7" ht="20" customHeight="1" thickBot="1">
      <c r="A17" s="312">
        <v>2006</v>
      </c>
      <c r="B17" s="144">
        <v>381.48826099648591</v>
      </c>
      <c r="C17" s="297">
        <v>479.72716225398437</v>
      </c>
      <c r="D17" s="144">
        <v>173.51556238627722</v>
      </c>
      <c r="E17" s="297">
        <v>318.22891670236891</v>
      </c>
      <c r="F17" s="144">
        <v>406.33016890579557</v>
      </c>
      <c r="G17" s="667">
        <v>8.8246376979981278E-3</v>
      </c>
    </row>
    <row r="18" spans="1:7" ht="21.75" customHeight="1" thickBot="1">
      <c r="A18" s="396">
        <v>2007</v>
      </c>
      <c r="B18" s="338">
        <v>400.55455286147281</v>
      </c>
      <c r="C18" s="339">
        <v>500.15854269388518</v>
      </c>
      <c r="D18" s="338">
        <v>196.2585932147031</v>
      </c>
      <c r="E18" s="339">
        <v>335.92959502889681</v>
      </c>
      <c r="F18" s="338">
        <v>418.57794913092192</v>
      </c>
      <c r="G18" s="936">
        <v>3.014243381954218E-2</v>
      </c>
    </row>
    <row r="19" spans="1:7" ht="17.25" customHeight="1">
      <c r="A19" s="133" t="s">
        <v>1256</v>
      </c>
      <c r="B19" s="133"/>
      <c r="C19" s="133"/>
      <c r="D19" s="133"/>
      <c r="E19" s="133"/>
      <c r="F19" s="133"/>
      <c r="G19" s="675"/>
    </row>
    <row r="20" spans="1:7">
      <c r="G20" s="676"/>
    </row>
    <row r="21" spans="1:7">
      <c r="A21" s="2" t="s">
        <v>2483</v>
      </c>
      <c r="G21" s="676"/>
    </row>
    <row r="22" spans="1:7">
      <c r="G22" s="676"/>
    </row>
    <row r="23" spans="1:7">
      <c r="G23" s="676"/>
    </row>
    <row r="24" spans="1:7" ht="16">
      <c r="A24" s="946" t="s">
        <v>2484</v>
      </c>
      <c r="G24" s="676"/>
    </row>
    <row r="25" spans="1:7">
      <c r="G25" s="676"/>
    </row>
    <row r="26" spans="1:7" ht="18" customHeight="1">
      <c r="A26" s="519" t="s">
        <v>1798</v>
      </c>
      <c r="B26" s="111" t="s">
        <v>832</v>
      </c>
      <c r="C26" s="112" t="s">
        <v>833</v>
      </c>
      <c r="D26" s="111" t="s">
        <v>834</v>
      </c>
      <c r="E26" s="112" t="s">
        <v>835</v>
      </c>
      <c r="F26" s="111" t="s">
        <v>629</v>
      </c>
      <c r="G26" s="660" t="s">
        <v>1801</v>
      </c>
    </row>
    <row r="27" spans="1:7" ht="18" customHeight="1">
      <c r="A27" s="620" t="s">
        <v>1803</v>
      </c>
      <c r="B27" s="114" t="s">
        <v>836</v>
      </c>
      <c r="C27" s="115" t="s">
        <v>837</v>
      </c>
      <c r="D27" s="114" t="s">
        <v>1334</v>
      </c>
      <c r="E27" s="279" t="s">
        <v>1335</v>
      </c>
      <c r="F27" s="114"/>
      <c r="G27" s="661" t="s">
        <v>1802</v>
      </c>
    </row>
    <row r="28" spans="1:7" ht="18" customHeight="1">
      <c r="A28" s="308"/>
      <c r="B28" s="114" t="s">
        <v>840</v>
      </c>
      <c r="C28" s="115" t="s">
        <v>841</v>
      </c>
      <c r="D28" s="114" t="s">
        <v>1336</v>
      </c>
      <c r="E28" s="279" t="s">
        <v>1337</v>
      </c>
      <c r="F28" s="114"/>
      <c r="G28" s="661" t="s">
        <v>1806</v>
      </c>
    </row>
    <row r="29" spans="1:7" ht="18" customHeight="1">
      <c r="A29" s="309" t="s">
        <v>533</v>
      </c>
      <c r="B29" s="120"/>
      <c r="C29" s="119"/>
      <c r="D29" s="120"/>
      <c r="E29" s="282" t="s">
        <v>843</v>
      </c>
      <c r="F29" s="120"/>
      <c r="G29" s="662"/>
    </row>
    <row r="30" spans="1:7" ht="3" customHeight="1" thickBot="1">
      <c r="A30" s="310">
        <v>1996</v>
      </c>
      <c r="B30" s="142" t="s">
        <v>59</v>
      </c>
      <c r="C30" s="291" t="s">
        <v>59</v>
      </c>
      <c r="D30" s="142" t="s">
        <v>59</v>
      </c>
      <c r="E30" s="291" t="s">
        <v>59</v>
      </c>
      <c r="F30" s="142" t="s">
        <v>59</v>
      </c>
      <c r="G30" s="680" t="s">
        <v>59</v>
      </c>
    </row>
    <row r="31" spans="1:7" ht="18" customHeight="1" thickBot="1">
      <c r="A31" s="312">
        <v>1997</v>
      </c>
      <c r="B31" s="144">
        <v>51.63</v>
      </c>
      <c r="C31" s="297">
        <v>148.74</v>
      </c>
      <c r="D31" s="144" t="s">
        <v>59</v>
      </c>
      <c r="E31" s="297">
        <v>35.81</v>
      </c>
      <c r="F31" s="144">
        <v>63.73</v>
      </c>
      <c r="G31" s="667" t="s">
        <v>59</v>
      </c>
    </row>
    <row r="32" spans="1:7" ht="18" customHeight="1" thickBot="1">
      <c r="A32" s="312">
        <v>1998</v>
      </c>
      <c r="B32" s="144">
        <v>54.92</v>
      </c>
      <c r="C32" s="297">
        <v>162.55000000000001</v>
      </c>
      <c r="D32" s="144">
        <v>31.98</v>
      </c>
      <c r="E32" s="297">
        <v>44.35</v>
      </c>
      <c r="F32" s="144">
        <v>67.75</v>
      </c>
      <c r="G32" s="667">
        <v>6.3078612898164188E-2</v>
      </c>
    </row>
    <row r="33" spans="1:7" ht="18" customHeight="1" thickBot="1">
      <c r="A33" s="312">
        <v>1999</v>
      </c>
      <c r="B33" s="144">
        <v>55.76</v>
      </c>
      <c r="C33" s="297">
        <v>166.26</v>
      </c>
      <c r="D33" s="144">
        <v>37.880000000000003</v>
      </c>
      <c r="E33" s="297">
        <v>46.78</v>
      </c>
      <c r="F33" s="144">
        <v>68.52</v>
      </c>
      <c r="G33" s="667">
        <v>1.1365313653136422E-2</v>
      </c>
    </row>
    <row r="34" spans="1:7" ht="18" customHeight="1" thickBot="1">
      <c r="A34" s="312">
        <v>2000</v>
      </c>
      <c r="B34" s="144">
        <v>58.29</v>
      </c>
      <c r="C34" s="297">
        <v>178</v>
      </c>
      <c r="D34" s="144">
        <v>32.72</v>
      </c>
      <c r="E34" s="297">
        <v>49.53</v>
      </c>
      <c r="F34" s="144">
        <v>71.95</v>
      </c>
      <c r="G34" s="667">
        <v>5.0058377116170671E-2</v>
      </c>
    </row>
    <row r="35" spans="1:7" ht="18" customHeight="1" thickBot="1">
      <c r="A35" s="312">
        <v>2001</v>
      </c>
      <c r="B35" s="144">
        <v>62.02</v>
      </c>
      <c r="C35" s="297">
        <v>181.8</v>
      </c>
      <c r="D35" s="144">
        <v>40.770000000000003</v>
      </c>
      <c r="E35" s="297">
        <v>52.32</v>
      </c>
      <c r="F35" s="144">
        <v>75.150000000000006</v>
      </c>
      <c r="G35" s="667">
        <v>4.4475330090340659E-2</v>
      </c>
    </row>
    <row r="36" spans="1:7" ht="18" customHeight="1" thickBot="1">
      <c r="A36" s="312">
        <v>2002</v>
      </c>
      <c r="B36" s="144">
        <v>62.42</v>
      </c>
      <c r="C36" s="297">
        <v>181.75</v>
      </c>
      <c r="D36" s="144">
        <v>41.36</v>
      </c>
      <c r="E36" s="297">
        <v>55.65</v>
      </c>
      <c r="F36" s="144">
        <v>75.16</v>
      </c>
      <c r="G36" s="667">
        <v>1.3306719893524388E-4</v>
      </c>
    </row>
    <row r="37" spans="1:7" ht="18" customHeight="1" thickBot="1">
      <c r="A37" s="312">
        <v>2003</v>
      </c>
      <c r="B37" s="144">
        <v>64.510000000000005</v>
      </c>
      <c r="C37" s="297">
        <v>182.29</v>
      </c>
      <c r="D37" s="144">
        <v>41.28</v>
      </c>
      <c r="E37" s="297">
        <v>58.02</v>
      </c>
      <c r="F37" s="144">
        <v>77.430000000000007</v>
      </c>
      <c r="G37" s="667">
        <v>3.0202235231506336E-2</v>
      </c>
    </row>
    <row r="38" spans="1:7" ht="18" customHeight="1" thickBot="1">
      <c r="A38" s="312">
        <v>2004</v>
      </c>
      <c r="B38" s="144">
        <v>68.11</v>
      </c>
      <c r="C38" s="297">
        <v>184</v>
      </c>
      <c r="D38" s="144">
        <v>40.950000000000003</v>
      </c>
      <c r="E38" s="297">
        <v>64.13</v>
      </c>
      <c r="F38" s="144">
        <v>80.83</v>
      </c>
      <c r="G38" s="667">
        <v>4.391062895518516E-2</v>
      </c>
    </row>
    <row r="39" spans="1:7" ht="18" customHeight="1" thickBot="1">
      <c r="A39" s="312">
        <v>2005</v>
      </c>
      <c r="B39" s="144">
        <v>73.78</v>
      </c>
      <c r="C39" s="297">
        <v>202.48</v>
      </c>
      <c r="D39" s="144">
        <v>42.34</v>
      </c>
      <c r="E39" s="297">
        <v>69.78</v>
      </c>
      <c r="F39" s="144">
        <v>88.02</v>
      </c>
      <c r="G39" s="667">
        <v>8.8952121736978862E-2</v>
      </c>
    </row>
    <row r="40" spans="1:7" ht="18" customHeight="1" thickBot="1">
      <c r="A40" s="312">
        <v>2006</v>
      </c>
      <c r="B40" s="144">
        <v>75.63</v>
      </c>
      <c r="C40" s="297">
        <v>208.56</v>
      </c>
      <c r="D40" s="144">
        <v>39.409999999999997</v>
      </c>
      <c r="E40" s="297">
        <v>72.010000000000005</v>
      </c>
      <c r="F40" s="144">
        <v>89.58</v>
      </c>
      <c r="G40" s="667">
        <v>1.7723244717109843E-2</v>
      </c>
    </row>
    <row r="41" spans="1:7" ht="18" customHeight="1" thickBot="1">
      <c r="A41" s="947">
        <v>2007</v>
      </c>
      <c r="B41" s="333">
        <v>76.98</v>
      </c>
      <c r="C41" s="362">
        <v>202.18</v>
      </c>
      <c r="D41" s="333">
        <v>55.9</v>
      </c>
      <c r="E41" s="362">
        <v>98.1</v>
      </c>
      <c r="F41" s="333">
        <v>92.79</v>
      </c>
      <c r="G41" s="936">
        <v>3.5833891493637138E-2</v>
      </c>
    </row>
    <row r="42" spans="1:7">
      <c r="A42" s="133"/>
      <c r="G42" s="676"/>
    </row>
    <row r="43" spans="1:7">
      <c r="G43" s="676"/>
    </row>
    <row r="44" spans="1:7" ht="18" customHeight="1">
      <c r="A44" s="519" t="s">
        <v>1135</v>
      </c>
      <c r="B44" s="111" t="s">
        <v>832</v>
      </c>
      <c r="C44" s="112" t="s">
        <v>833</v>
      </c>
      <c r="D44" s="111" t="s">
        <v>834</v>
      </c>
      <c r="E44" s="112" t="s">
        <v>835</v>
      </c>
      <c r="F44" s="111" t="s">
        <v>629</v>
      </c>
      <c r="G44" s="660" t="s">
        <v>1801</v>
      </c>
    </row>
    <row r="45" spans="1:7" ht="18" customHeight="1">
      <c r="A45" s="620" t="s">
        <v>1804</v>
      </c>
      <c r="B45" s="114" t="s">
        <v>836</v>
      </c>
      <c r="C45" s="115" t="s">
        <v>837</v>
      </c>
      <c r="D45" s="114" t="s">
        <v>1334</v>
      </c>
      <c r="E45" s="279" t="s">
        <v>1335</v>
      </c>
      <c r="F45" s="114"/>
      <c r="G45" s="661" t="s">
        <v>1802</v>
      </c>
    </row>
    <row r="46" spans="1:7" ht="18" customHeight="1">
      <c r="A46" s="308"/>
      <c r="B46" s="114" t="s">
        <v>840</v>
      </c>
      <c r="C46" s="115" t="s">
        <v>841</v>
      </c>
      <c r="D46" s="114" t="s">
        <v>1336</v>
      </c>
      <c r="E46" s="279" t="s">
        <v>1337</v>
      </c>
      <c r="F46" s="114"/>
      <c r="G46" s="661" t="s">
        <v>1806</v>
      </c>
    </row>
    <row r="47" spans="1:7" ht="18" customHeight="1">
      <c r="A47" s="309" t="s">
        <v>533</v>
      </c>
      <c r="B47" s="120"/>
      <c r="C47" s="119"/>
      <c r="D47" s="120"/>
      <c r="E47" s="282" t="s">
        <v>843</v>
      </c>
      <c r="F47" s="120"/>
      <c r="G47" s="662"/>
    </row>
    <row r="48" spans="1:7" ht="2.25" customHeight="1" thickBot="1">
      <c r="A48" s="310">
        <v>1996</v>
      </c>
      <c r="B48" s="142" t="s">
        <v>59</v>
      </c>
      <c r="C48" s="291" t="s">
        <v>59</v>
      </c>
      <c r="D48" s="142" t="s">
        <v>59</v>
      </c>
      <c r="E48" s="291" t="s">
        <v>59</v>
      </c>
      <c r="F48" s="142" t="s">
        <v>59</v>
      </c>
      <c r="G48" s="680" t="s">
        <v>59</v>
      </c>
    </row>
    <row r="49" spans="1:7" ht="18" customHeight="1" thickBot="1">
      <c r="A49" s="312">
        <v>1997</v>
      </c>
      <c r="B49" s="144">
        <v>169.25</v>
      </c>
      <c r="C49" s="297">
        <v>204.77</v>
      </c>
      <c r="D49" s="144">
        <v>139.54</v>
      </c>
      <c r="E49" s="297">
        <v>123.68</v>
      </c>
      <c r="F49" s="144">
        <v>181.03</v>
      </c>
      <c r="G49" s="667" t="s">
        <v>59</v>
      </c>
    </row>
    <row r="50" spans="1:7" ht="18" customHeight="1" thickBot="1">
      <c r="A50" s="312">
        <v>1998</v>
      </c>
      <c r="B50" s="144">
        <v>207.47</v>
      </c>
      <c r="C50" s="297">
        <v>240.93</v>
      </c>
      <c r="D50" s="144">
        <v>126.04</v>
      </c>
      <c r="E50" s="297">
        <v>172.49</v>
      </c>
      <c r="F50" s="144">
        <v>220.5</v>
      </c>
      <c r="G50" s="667">
        <v>0.21803016074683756</v>
      </c>
    </row>
    <row r="51" spans="1:7" ht="18" customHeight="1" thickBot="1">
      <c r="A51" s="312">
        <v>1999</v>
      </c>
      <c r="B51" s="144">
        <v>214.13</v>
      </c>
      <c r="C51" s="297">
        <v>264.01</v>
      </c>
      <c r="D51" s="144">
        <v>129.1</v>
      </c>
      <c r="E51" s="297">
        <v>191.92</v>
      </c>
      <c r="F51" s="144">
        <v>233.83</v>
      </c>
      <c r="G51" s="667">
        <v>6.0453514739229108E-2</v>
      </c>
    </row>
    <row r="52" spans="1:7" ht="18" customHeight="1" thickBot="1">
      <c r="A52" s="312">
        <v>2000</v>
      </c>
      <c r="B52" s="144">
        <v>220.74</v>
      </c>
      <c r="C52" s="297">
        <v>273.89</v>
      </c>
      <c r="D52" s="144">
        <v>119.04</v>
      </c>
      <c r="E52" s="297">
        <v>199.02</v>
      </c>
      <c r="F52" s="144">
        <v>241.33</v>
      </c>
      <c r="G52" s="667">
        <v>3.2074584099559544E-2</v>
      </c>
    </row>
    <row r="53" spans="1:7" ht="18" customHeight="1" thickBot="1">
      <c r="A53" s="312">
        <v>2001</v>
      </c>
      <c r="B53" s="144">
        <v>230.24</v>
      </c>
      <c r="C53" s="297">
        <v>287.45999999999998</v>
      </c>
      <c r="D53" s="144" t="s">
        <v>59</v>
      </c>
      <c r="E53" s="297">
        <v>211.59</v>
      </c>
      <c r="F53" s="144">
        <v>252.17</v>
      </c>
      <c r="G53" s="667">
        <v>4.4917747482699832E-2</v>
      </c>
    </row>
    <row r="54" spans="1:7" ht="18" customHeight="1" thickBot="1">
      <c r="A54" s="312">
        <v>2002</v>
      </c>
      <c r="B54" s="144">
        <v>237.21</v>
      </c>
      <c r="C54" s="297">
        <v>287.24</v>
      </c>
      <c r="D54" s="144" t="s">
        <v>59</v>
      </c>
      <c r="E54" s="297">
        <v>230.84</v>
      </c>
      <c r="F54" s="144">
        <v>258.77</v>
      </c>
      <c r="G54" s="667">
        <v>2.6172819923067747E-2</v>
      </c>
    </row>
    <row r="55" spans="1:7" ht="18" customHeight="1" thickBot="1">
      <c r="A55" s="312">
        <v>2003</v>
      </c>
      <c r="B55" s="144">
        <v>243.83</v>
      </c>
      <c r="C55" s="297">
        <v>296.85000000000002</v>
      </c>
      <c r="D55" s="144" t="s">
        <v>59</v>
      </c>
      <c r="E55" s="297">
        <v>231.38</v>
      </c>
      <c r="F55" s="144">
        <v>267.27999999999997</v>
      </c>
      <c r="G55" s="667">
        <v>3.2886346949028145E-2</v>
      </c>
    </row>
    <row r="56" spans="1:7" ht="18" customHeight="1" thickBot="1">
      <c r="A56" s="312">
        <v>2004</v>
      </c>
      <c r="B56" s="144">
        <v>275.08999999999997</v>
      </c>
      <c r="C56" s="297">
        <v>311.98</v>
      </c>
      <c r="D56" s="144" t="s">
        <v>59</v>
      </c>
      <c r="E56" s="297">
        <v>258.14999999999998</v>
      </c>
      <c r="F56" s="144">
        <v>289.83</v>
      </c>
      <c r="G56" s="667">
        <v>8.4368452559114182E-2</v>
      </c>
    </row>
    <row r="57" spans="1:7" ht="18" customHeight="1" thickBot="1">
      <c r="A57" s="312">
        <v>2005</v>
      </c>
      <c r="B57" s="144">
        <v>298.60000000000002</v>
      </c>
      <c r="C57" s="297">
        <v>319.54000000000002</v>
      </c>
      <c r="D57" s="144">
        <v>184.86</v>
      </c>
      <c r="E57" s="297">
        <v>254.69</v>
      </c>
      <c r="F57" s="144">
        <v>302.69</v>
      </c>
      <c r="G57" s="667">
        <v>4.4370838077493646E-2</v>
      </c>
    </row>
    <row r="58" spans="1:7" ht="18" customHeight="1" thickBot="1">
      <c r="A58" s="312">
        <v>2006</v>
      </c>
      <c r="B58" s="144">
        <v>300.02999999999997</v>
      </c>
      <c r="C58" s="297">
        <v>323.97000000000003</v>
      </c>
      <c r="D58" s="144">
        <v>169.61</v>
      </c>
      <c r="E58" s="297">
        <v>265.02</v>
      </c>
      <c r="F58" s="144">
        <v>304.13</v>
      </c>
      <c r="G58" s="667">
        <v>4.7573424956226518E-3</v>
      </c>
    </row>
    <row r="59" spans="1:7" ht="18" customHeight="1" thickBot="1">
      <c r="A59" s="947">
        <v>2007</v>
      </c>
      <c r="B59" s="333">
        <v>294.11</v>
      </c>
      <c r="C59" s="362">
        <v>317.99</v>
      </c>
      <c r="D59" s="333">
        <v>191.07</v>
      </c>
      <c r="E59" s="362">
        <v>326.24</v>
      </c>
      <c r="F59" s="333">
        <v>309.54000000000002</v>
      </c>
      <c r="G59" s="936">
        <v>1.7788445730444247E-2</v>
      </c>
    </row>
    <row r="60" spans="1:7">
      <c r="D60" s="4"/>
      <c r="E60" s="4"/>
      <c r="F60" s="4"/>
      <c r="G60" s="676"/>
    </row>
    <row r="61" spans="1:7">
      <c r="D61" s="4"/>
      <c r="E61" s="4"/>
      <c r="F61" s="4"/>
      <c r="G61" s="676"/>
    </row>
    <row r="62" spans="1:7" ht="18.75" customHeight="1">
      <c r="A62" s="519" t="s">
        <v>1973</v>
      </c>
      <c r="B62" s="111" t="s">
        <v>832</v>
      </c>
      <c r="C62" s="112" t="s">
        <v>833</v>
      </c>
      <c r="D62" s="111" t="s">
        <v>834</v>
      </c>
      <c r="E62" s="112" t="s">
        <v>835</v>
      </c>
      <c r="F62" s="111" t="s">
        <v>629</v>
      </c>
      <c r="G62" s="660" t="s">
        <v>1801</v>
      </c>
    </row>
    <row r="63" spans="1:7" ht="18.75" customHeight="1">
      <c r="A63" s="620" t="s">
        <v>1974</v>
      </c>
      <c r="B63" s="114" t="s">
        <v>836</v>
      </c>
      <c r="C63" s="115" t="s">
        <v>837</v>
      </c>
      <c r="D63" s="114" t="s">
        <v>1334</v>
      </c>
      <c r="E63" s="279" t="s">
        <v>1335</v>
      </c>
      <c r="F63" s="114"/>
      <c r="G63" s="661" t="s">
        <v>1802</v>
      </c>
    </row>
    <row r="64" spans="1:7" ht="18.75" customHeight="1">
      <c r="A64" s="308"/>
      <c r="B64" s="114" t="s">
        <v>840</v>
      </c>
      <c r="C64" s="115" t="s">
        <v>841</v>
      </c>
      <c r="D64" s="114" t="s">
        <v>1336</v>
      </c>
      <c r="E64" s="279" t="s">
        <v>1337</v>
      </c>
      <c r="F64" s="114"/>
      <c r="G64" s="661" t="s">
        <v>1806</v>
      </c>
    </row>
    <row r="65" spans="1:7" ht="18.75" customHeight="1">
      <c r="A65" s="309" t="s">
        <v>533</v>
      </c>
      <c r="B65" s="120"/>
      <c r="C65" s="119"/>
      <c r="D65" s="120"/>
      <c r="E65" s="282" t="s">
        <v>843</v>
      </c>
      <c r="F65" s="120"/>
      <c r="G65" s="662"/>
    </row>
    <row r="66" spans="1:7" ht="3" customHeight="1" thickBot="1">
      <c r="A66" s="310">
        <v>1996</v>
      </c>
      <c r="B66" s="142" t="s">
        <v>59</v>
      </c>
      <c r="C66" s="291" t="s">
        <v>59</v>
      </c>
      <c r="D66" s="142" t="s">
        <v>59</v>
      </c>
      <c r="E66" s="291" t="s">
        <v>59</v>
      </c>
      <c r="F66" s="142" t="s">
        <v>59</v>
      </c>
      <c r="G66" s="680" t="s">
        <v>59</v>
      </c>
    </row>
    <row r="67" spans="1:7" ht="18.75" customHeight="1" thickBot="1">
      <c r="A67" s="312">
        <v>1997</v>
      </c>
      <c r="B67" s="144">
        <v>310.10000000000002</v>
      </c>
      <c r="C67" s="297">
        <v>333.59</v>
      </c>
      <c r="D67" s="144">
        <v>142.05000000000001</v>
      </c>
      <c r="E67" s="297">
        <v>189.89</v>
      </c>
      <c r="F67" s="144">
        <v>315.33</v>
      </c>
      <c r="G67" s="667" t="s">
        <v>59</v>
      </c>
    </row>
    <row r="68" spans="1:7" ht="18.75" customHeight="1" thickBot="1">
      <c r="A68" s="312">
        <v>1998</v>
      </c>
      <c r="B68" s="144">
        <v>355.16</v>
      </c>
      <c r="C68" s="297">
        <v>400.22</v>
      </c>
      <c r="D68" s="144">
        <v>115.26</v>
      </c>
      <c r="E68" s="297">
        <v>275</v>
      </c>
      <c r="F68" s="144">
        <v>369.64</v>
      </c>
      <c r="G68" s="667">
        <v>0.17223226461167673</v>
      </c>
    </row>
    <row r="69" spans="1:7" ht="18.75" customHeight="1" thickBot="1">
      <c r="A69" s="312">
        <v>1999</v>
      </c>
      <c r="B69" s="144">
        <v>372.47</v>
      </c>
      <c r="C69" s="297">
        <v>413.21</v>
      </c>
      <c r="D69" s="144">
        <v>127.76</v>
      </c>
      <c r="E69" s="297">
        <v>302.17</v>
      </c>
      <c r="F69" s="144">
        <v>384.99</v>
      </c>
      <c r="G69" s="667">
        <v>4.1526891029109558E-2</v>
      </c>
    </row>
    <row r="70" spans="1:7" ht="18.75" customHeight="1" thickBot="1">
      <c r="A70" s="312">
        <v>2000</v>
      </c>
      <c r="B70" s="144">
        <v>392.52</v>
      </c>
      <c r="C70" s="297">
        <v>434.32</v>
      </c>
      <c r="D70" s="144">
        <v>105.26</v>
      </c>
      <c r="E70" s="297">
        <v>321.52</v>
      </c>
      <c r="F70" s="144">
        <v>405.65</v>
      </c>
      <c r="G70" s="667">
        <v>5.3663731525493974E-2</v>
      </c>
    </row>
    <row r="71" spans="1:7" ht="18.75" customHeight="1" thickBot="1">
      <c r="A71" s="312">
        <v>2001</v>
      </c>
      <c r="B71" s="144">
        <v>410.07</v>
      </c>
      <c r="C71" s="297">
        <v>451.53</v>
      </c>
      <c r="D71" s="144">
        <v>133.74</v>
      </c>
      <c r="E71" s="297">
        <v>333.68</v>
      </c>
      <c r="F71" s="144">
        <v>422.68</v>
      </c>
      <c r="G71" s="667">
        <v>4.1982004190805E-2</v>
      </c>
    </row>
    <row r="72" spans="1:7" ht="18.75" customHeight="1" thickBot="1">
      <c r="A72" s="312">
        <v>2002</v>
      </c>
      <c r="B72" s="144">
        <v>421.47</v>
      </c>
      <c r="C72" s="297">
        <v>460.31</v>
      </c>
      <c r="D72" s="144">
        <v>149.01</v>
      </c>
      <c r="E72" s="297">
        <v>357.87</v>
      </c>
      <c r="F72" s="144">
        <v>434.56</v>
      </c>
      <c r="G72" s="667">
        <v>2.8106368884262212E-2</v>
      </c>
    </row>
    <row r="73" spans="1:7" ht="18.75" customHeight="1" thickBot="1">
      <c r="A73" s="312">
        <v>2003</v>
      </c>
      <c r="B73" s="144">
        <v>437.89</v>
      </c>
      <c r="C73" s="297">
        <v>468.48</v>
      </c>
      <c r="D73" s="144">
        <v>148.11000000000001</v>
      </c>
      <c r="E73" s="297">
        <v>343.32</v>
      </c>
      <c r="F73" s="144">
        <v>445.21</v>
      </c>
      <c r="G73" s="667">
        <v>2.4507547864506485E-2</v>
      </c>
    </row>
    <row r="74" spans="1:7" ht="18.75" customHeight="1" thickBot="1">
      <c r="A74" s="312">
        <v>2004</v>
      </c>
      <c r="B74" s="144">
        <v>503.44</v>
      </c>
      <c r="C74" s="297">
        <v>487.48</v>
      </c>
      <c r="D74" s="144">
        <v>187.52</v>
      </c>
      <c r="E74" s="297">
        <v>395</v>
      </c>
      <c r="F74" s="144">
        <v>485.65</v>
      </c>
      <c r="G74" s="667">
        <v>9.0833539228678539E-2</v>
      </c>
    </row>
    <row r="75" spans="1:7" ht="18.75" customHeight="1" thickBot="1">
      <c r="A75" s="312">
        <v>2005</v>
      </c>
      <c r="B75" s="144">
        <v>530.58000000000004</v>
      </c>
      <c r="C75" s="297">
        <v>503.35</v>
      </c>
      <c r="D75" s="144">
        <v>192.02</v>
      </c>
      <c r="E75" s="297">
        <v>404.54</v>
      </c>
      <c r="F75" s="144">
        <v>505.01</v>
      </c>
      <c r="G75" s="667">
        <v>3.9864099660249286E-2</v>
      </c>
    </row>
    <row r="76" spans="1:7" ht="18.75" customHeight="1" thickBot="1">
      <c r="A76" s="312">
        <v>2006</v>
      </c>
      <c r="B76" s="144">
        <v>540.11</v>
      </c>
      <c r="C76" s="297">
        <v>509.8</v>
      </c>
      <c r="D76" s="144">
        <v>186.6</v>
      </c>
      <c r="E76" s="297">
        <v>419.01</v>
      </c>
      <c r="F76" s="144">
        <v>510.09</v>
      </c>
      <c r="G76" s="667">
        <v>1.0059206748381122E-2</v>
      </c>
    </row>
    <row r="77" spans="1:7" ht="18.75" customHeight="1" thickBot="1">
      <c r="A77" s="947">
        <v>2007</v>
      </c>
      <c r="B77" s="333">
        <v>536.54999999999995</v>
      </c>
      <c r="C77" s="362">
        <v>514.88</v>
      </c>
      <c r="D77" s="333">
        <v>213.56</v>
      </c>
      <c r="E77" s="362">
        <v>509.14</v>
      </c>
      <c r="F77" s="333">
        <v>522.22</v>
      </c>
      <c r="G77" s="936">
        <v>2.3780117234213582E-2</v>
      </c>
    </row>
    <row r="78" spans="1:7" ht="15" customHeight="1">
      <c r="A78" s="380" t="s">
        <v>1069</v>
      </c>
    </row>
    <row r="80" spans="1:7">
      <c r="A80" s="3" t="s">
        <v>1975</v>
      </c>
    </row>
    <row r="82" spans="1:1">
      <c r="A82" s="300" t="s">
        <v>2265</v>
      </c>
    </row>
    <row r="83" spans="1:1">
      <c r="A83" s="2" t="s">
        <v>2485</v>
      </c>
    </row>
    <row r="86" spans="1:1">
      <c r="A86" s="2" t="s">
        <v>634</v>
      </c>
    </row>
  </sheetData>
  <mergeCells count="1">
    <mergeCell ref="A2:E2"/>
  </mergeCells>
  <phoneticPr fontId="0" type="noConversion"/>
  <pageMargins left="0.39370078740157483" right="0.39370078740157483" top="0.39370078740157483" bottom="0.33" header="0.23622047244094491" footer="0.21"/>
  <pageSetup paperSize="9" scale="56" orientation="portrait" horizontalDpi="1200" verticalDpi="12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5E14-F47E-2740-98AD-1F3B45EC0298}">
  <sheetPr>
    <pageSetUpPr fitToPage="1"/>
  </sheetPr>
  <dimension ref="A1:L41"/>
  <sheetViews>
    <sheetView topLeftCell="A21" zoomScale="75" workbookViewId="0">
      <selection activeCell="I39" sqref="I39"/>
    </sheetView>
  </sheetViews>
  <sheetFormatPr baseColWidth="10" defaultColWidth="11.3984375" defaultRowHeight="13"/>
  <cols>
    <col min="1" max="1" width="14" style="2" customWidth="1"/>
    <col min="2" max="11" width="10.3984375" style="2" customWidth="1"/>
    <col min="12" max="16384" width="11.3984375" style="2"/>
  </cols>
  <sheetData>
    <row r="1" spans="1:12" s="1" customFormat="1" ht="14" customHeight="1"/>
    <row r="2" spans="1:12" s="1" customFormat="1" ht="39.75" customHeight="1">
      <c r="A2" s="1800" t="s">
        <v>1017</v>
      </c>
      <c r="B2" s="1804"/>
      <c r="C2" s="1804"/>
      <c r="D2" s="1804"/>
      <c r="E2" s="1804"/>
      <c r="F2" s="1804"/>
      <c r="G2" s="1804"/>
      <c r="H2" s="1804"/>
      <c r="I2" s="354"/>
      <c r="J2" s="354"/>
      <c r="K2" s="354"/>
      <c r="L2" s="354">
        <v>2007</v>
      </c>
    </row>
    <row r="3" spans="1:12" ht="24" customHeight="1">
      <c r="A3" s="349" t="s">
        <v>1797</v>
      </c>
      <c r="B3" s="115">
        <v>1997</v>
      </c>
      <c r="C3" s="114">
        <v>1998</v>
      </c>
      <c r="D3" s="115">
        <v>1999</v>
      </c>
      <c r="E3" s="658">
        <v>2000</v>
      </c>
      <c r="F3" s="659">
        <v>2001</v>
      </c>
      <c r="G3" s="114">
        <v>2002</v>
      </c>
      <c r="H3" s="115">
        <v>2003</v>
      </c>
      <c r="I3" s="114">
        <v>2004</v>
      </c>
      <c r="J3" s="115">
        <v>2005</v>
      </c>
      <c r="K3" s="114">
        <v>2006</v>
      </c>
      <c r="L3" s="115">
        <v>2007</v>
      </c>
    </row>
    <row r="4" spans="1:12" ht="15" customHeight="1">
      <c r="A4" s="653"/>
      <c r="B4" s="115"/>
      <c r="C4" s="114"/>
      <c r="D4" s="115"/>
      <c r="E4" s="140"/>
      <c r="F4" s="279"/>
      <c r="G4" s="114"/>
      <c r="H4" s="115"/>
      <c r="I4" s="114"/>
      <c r="J4" s="115"/>
      <c r="K4" s="114"/>
      <c r="L4" s="115"/>
    </row>
    <row r="5" spans="1:12" ht="16" customHeight="1">
      <c r="A5" s="654"/>
      <c r="B5" s="119"/>
      <c r="C5" s="120"/>
      <c r="D5" s="119"/>
      <c r="E5" s="141"/>
      <c r="F5" s="282"/>
      <c r="G5" s="120"/>
      <c r="H5" s="119"/>
      <c r="I5" s="120"/>
      <c r="J5" s="119"/>
      <c r="K5" s="120"/>
      <c r="L5" s="119"/>
    </row>
    <row r="6" spans="1:12" ht="30" customHeight="1" thickBot="1">
      <c r="A6" s="655" t="s">
        <v>1807</v>
      </c>
      <c r="B6" s="327">
        <v>1574.74</v>
      </c>
      <c r="C6" s="326">
        <v>1712.02</v>
      </c>
      <c r="D6" s="327">
        <v>1767.1</v>
      </c>
      <c r="E6" s="326">
        <v>1853.81</v>
      </c>
      <c r="F6" s="327">
        <v>1945.7</v>
      </c>
      <c r="G6" s="326">
        <v>1997.6</v>
      </c>
      <c r="H6" s="291">
        <v>2040.72</v>
      </c>
      <c r="I6" s="142">
        <v>2204.77</v>
      </c>
      <c r="J6" s="291">
        <v>2262.65</v>
      </c>
      <c r="K6" s="142">
        <v>2279.52</v>
      </c>
      <c r="L6" s="291">
        <v>2380.5</v>
      </c>
    </row>
    <row r="7" spans="1:12" ht="20" customHeight="1" thickBot="1">
      <c r="A7" s="656" t="s">
        <v>1808</v>
      </c>
      <c r="B7" s="297">
        <v>1405.21</v>
      </c>
      <c r="C7" s="144">
        <v>1555.67</v>
      </c>
      <c r="D7" s="297">
        <v>1637.63</v>
      </c>
      <c r="E7" s="144">
        <v>1832.02</v>
      </c>
      <c r="F7" s="297">
        <v>1887.26</v>
      </c>
      <c r="G7" s="144">
        <v>1965.91</v>
      </c>
      <c r="H7" s="291">
        <v>2126.35</v>
      </c>
      <c r="I7" s="142">
        <v>2366.1</v>
      </c>
      <c r="J7" s="291">
        <v>2494.56</v>
      </c>
      <c r="K7" s="142">
        <v>2565.0300000000002</v>
      </c>
      <c r="L7" s="291">
        <v>2662.74</v>
      </c>
    </row>
    <row r="8" spans="1:12" ht="20" customHeight="1" thickBot="1">
      <c r="A8" s="656" t="s">
        <v>1809</v>
      </c>
      <c r="B8" s="297">
        <v>1184.71</v>
      </c>
      <c r="C8" s="144">
        <v>1246.68</v>
      </c>
      <c r="D8" s="297">
        <v>1319.84</v>
      </c>
      <c r="E8" s="144">
        <v>1425.18</v>
      </c>
      <c r="F8" s="297">
        <v>1529.85</v>
      </c>
      <c r="G8" s="144">
        <v>1579.99</v>
      </c>
      <c r="H8" s="291">
        <v>1686.93</v>
      </c>
      <c r="I8" s="142">
        <v>1800.15</v>
      </c>
      <c r="J8" s="291">
        <v>1960.76</v>
      </c>
      <c r="K8" s="142">
        <v>1926.27</v>
      </c>
      <c r="L8" s="291">
        <v>2026.47</v>
      </c>
    </row>
    <row r="9" spans="1:12" ht="20" customHeight="1" thickBot="1">
      <c r="A9" s="656" t="s">
        <v>1810</v>
      </c>
      <c r="B9" s="297">
        <v>1223.1600000000001</v>
      </c>
      <c r="C9" s="144">
        <v>1225.93</v>
      </c>
      <c r="D9" s="297">
        <v>1305.03</v>
      </c>
      <c r="E9" s="144">
        <v>1419.01</v>
      </c>
      <c r="F9" s="297">
        <v>1569.55</v>
      </c>
      <c r="G9" s="144">
        <v>1489.15</v>
      </c>
      <c r="H9" s="291">
        <v>1621.62</v>
      </c>
      <c r="I9" s="142">
        <v>1668.24</v>
      </c>
      <c r="J9" s="291">
        <v>1854.56</v>
      </c>
      <c r="K9" s="142">
        <v>1860.39</v>
      </c>
      <c r="L9" s="291">
        <v>1991.41</v>
      </c>
    </row>
    <row r="10" spans="1:12" ht="20" customHeight="1" thickBot="1">
      <c r="A10" s="656" t="s">
        <v>1811</v>
      </c>
      <c r="B10" s="297">
        <v>1225.3599999999999</v>
      </c>
      <c r="C10" s="144">
        <v>1219.58</v>
      </c>
      <c r="D10" s="297">
        <v>1329.14</v>
      </c>
      <c r="E10" s="144">
        <v>1433.5</v>
      </c>
      <c r="F10" s="297">
        <v>1590.79</v>
      </c>
      <c r="G10" s="144">
        <v>1578.63</v>
      </c>
      <c r="H10" s="291">
        <v>1700.18</v>
      </c>
      <c r="I10" s="142">
        <v>1790.74</v>
      </c>
      <c r="J10" s="291">
        <v>1891.09</v>
      </c>
      <c r="K10" s="142">
        <v>1938.8</v>
      </c>
      <c r="L10" s="291">
        <v>2026.57</v>
      </c>
    </row>
    <row r="11" spans="1:12" ht="20" customHeight="1" thickBot="1">
      <c r="A11" s="656" t="s">
        <v>1812</v>
      </c>
      <c r="B11" s="297">
        <v>1181.44</v>
      </c>
      <c r="C11" s="144">
        <v>1263.81</v>
      </c>
      <c r="D11" s="297">
        <v>1289.94</v>
      </c>
      <c r="E11" s="144">
        <v>1396.65</v>
      </c>
      <c r="F11" s="297">
        <v>1431.96</v>
      </c>
      <c r="G11" s="144">
        <v>1455.13</v>
      </c>
      <c r="H11" s="291">
        <v>1567.61</v>
      </c>
      <c r="I11" s="142">
        <v>1619.38</v>
      </c>
      <c r="J11" s="291">
        <v>1745.05</v>
      </c>
      <c r="K11" s="142">
        <v>1793.54</v>
      </c>
      <c r="L11" s="291">
        <v>1937.03</v>
      </c>
    </row>
    <row r="12" spans="1:12" ht="20" customHeight="1" thickBot="1">
      <c r="A12" s="656" t="s">
        <v>1813</v>
      </c>
      <c r="B12" s="297">
        <v>1090.96</v>
      </c>
      <c r="C12" s="144">
        <v>1128.8900000000001</v>
      </c>
      <c r="D12" s="297">
        <v>1207.8499999999999</v>
      </c>
      <c r="E12" s="144">
        <v>1351.49</v>
      </c>
      <c r="F12" s="297">
        <v>1381.42</v>
      </c>
      <c r="G12" s="144">
        <v>1410.12</v>
      </c>
      <c r="H12" s="291">
        <v>1526.73</v>
      </c>
      <c r="I12" s="142">
        <v>1555.61</v>
      </c>
      <c r="J12" s="291">
        <v>1650.2</v>
      </c>
      <c r="K12" s="142">
        <v>1705.83</v>
      </c>
      <c r="L12" s="291">
        <v>1862.27</v>
      </c>
    </row>
    <row r="13" spans="1:12" ht="20" customHeight="1" thickBot="1">
      <c r="A13" s="656" t="s">
        <v>1814</v>
      </c>
      <c r="B13" s="297">
        <v>1304</v>
      </c>
      <c r="C13" s="144">
        <v>1339.52</v>
      </c>
      <c r="D13" s="297">
        <v>1481.14</v>
      </c>
      <c r="E13" s="144">
        <v>1589.34</v>
      </c>
      <c r="F13" s="297">
        <v>1656.5</v>
      </c>
      <c r="G13" s="144">
        <v>1719.94</v>
      </c>
      <c r="H13" s="291">
        <v>1747.83</v>
      </c>
      <c r="I13" s="142">
        <v>1865.56</v>
      </c>
      <c r="J13" s="291">
        <v>1970.12</v>
      </c>
      <c r="K13" s="142">
        <v>1960.34</v>
      </c>
      <c r="L13" s="291">
        <v>2031.72</v>
      </c>
    </row>
    <row r="14" spans="1:12" ht="20" customHeight="1" thickBot="1">
      <c r="A14" s="656" t="s">
        <v>1815</v>
      </c>
      <c r="B14" s="297">
        <v>1159.56</v>
      </c>
      <c r="C14" s="144">
        <v>1229.81</v>
      </c>
      <c r="D14" s="297">
        <v>1290.81</v>
      </c>
      <c r="E14" s="144">
        <v>1395.64</v>
      </c>
      <c r="F14" s="297">
        <v>1563.95</v>
      </c>
      <c r="G14" s="144">
        <v>1651.83</v>
      </c>
      <c r="H14" s="291">
        <v>1695.75</v>
      </c>
      <c r="I14" s="142">
        <v>1773.25</v>
      </c>
      <c r="J14" s="291">
        <v>1866.95</v>
      </c>
      <c r="K14" s="142">
        <v>1885.95</v>
      </c>
      <c r="L14" s="291">
        <v>2018.81</v>
      </c>
    </row>
    <row r="15" spans="1:12" ht="20" customHeight="1" thickBot="1">
      <c r="A15" s="656" t="s">
        <v>1816</v>
      </c>
      <c r="B15" s="297">
        <v>1675.91</v>
      </c>
      <c r="C15" s="144">
        <v>1574.84</v>
      </c>
      <c r="D15" s="297">
        <v>1642.48</v>
      </c>
      <c r="E15" s="144">
        <v>1704.33</v>
      </c>
      <c r="F15" s="297">
        <v>1823.19</v>
      </c>
      <c r="G15" s="144">
        <v>1920.23</v>
      </c>
      <c r="H15" s="291">
        <v>1947.27</v>
      </c>
      <c r="I15" s="142">
        <v>2008.7</v>
      </c>
      <c r="J15" s="291">
        <v>2140.27</v>
      </c>
      <c r="K15" s="142">
        <v>2205.13</v>
      </c>
      <c r="L15" s="291">
        <v>2285.81</v>
      </c>
    </row>
    <row r="16" spans="1:12" ht="20" customHeight="1" thickBot="1">
      <c r="A16" s="656" t="s">
        <v>1817</v>
      </c>
      <c r="B16" s="297">
        <v>1324.05</v>
      </c>
      <c r="C16" s="144">
        <v>1482.28</v>
      </c>
      <c r="D16" s="297">
        <v>1547.69</v>
      </c>
      <c r="E16" s="144">
        <v>1646.33</v>
      </c>
      <c r="F16" s="297">
        <v>1724.47</v>
      </c>
      <c r="G16" s="144">
        <v>1839.3</v>
      </c>
      <c r="H16" s="291">
        <v>2005.14</v>
      </c>
      <c r="I16" s="142">
        <v>2081.4</v>
      </c>
      <c r="J16" s="291">
        <v>2189.8200000000002</v>
      </c>
      <c r="K16" s="142">
        <v>2259.56</v>
      </c>
      <c r="L16" s="291">
        <v>2380.6</v>
      </c>
    </row>
    <row r="17" spans="1:12" ht="20" customHeight="1" thickBot="1">
      <c r="A17" s="656" t="s">
        <v>1818</v>
      </c>
      <c r="B17" s="297">
        <v>2231.2399999999998</v>
      </c>
      <c r="C17" s="144">
        <v>2342.92</v>
      </c>
      <c r="D17" s="297">
        <v>2423.2199999999998</v>
      </c>
      <c r="E17" s="144">
        <v>2585.5100000000002</v>
      </c>
      <c r="F17" s="297">
        <v>2736.33</v>
      </c>
      <c r="G17" s="144">
        <v>2755.5</v>
      </c>
      <c r="H17" s="291">
        <v>2805.3</v>
      </c>
      <c r="I17" s="142">
        <v>2883.22</v>
      </c>
      <c r="J17" s="291">
        <v>3141.52</v>
      </c>
      <c r="K17" s="142">
        <v>3162.18</v>
      </c>
      <c r="L17" s="291">
        <v>3290.8</v>
      </c>
    </row>
    <row r="18" spans="1:12" ht="20" customHeight="1" thickBot="1">
      <c r="A18" s="656" t="s">
        <v>1819</v>
      </c>
      <c r="B18" s="297">
        <v>1605.13</v>
      </c>
      <c r="C18" s="144">
        <v>1649.3</v>
      </c>
      <c r="D18" s="297">
        <v>1769.72</v>
      </c>
      <c r="E18" s="144">
        <v>1894.49</v>
      </c>
      <c r="F18" s="297">
        <v>2012</v>
      </c>
      <c r="G18" s="144">
        <v>2085.25</v>
      </c>
      <c r="H18" s="291">
        <v>2167.37</v>
      </c>
      <c r="I18" s="142">
        <v>2197.11</v>
      </c>
      <c r="J18" s="291">
        <v>2359.2199999999998</v>
      </c>
      <c r="K18" s="142">
        <v>2386.52</v>
      </c>
      <c r="L18" s="291">
        <v>2508.2199999999998</v>
      </c>
    </row>
    <row r="19" spans="1:12" ht="20" customHeight="1" thickBot="1">
      <c r="A19" s="656" t="s">
        <v>1820</v>
      </c>
      <c r="B19" s="297">
        <v>1457.88</v>
      </c>
      <c r="C19" s="144">
        <v>1533.8</v>
      </c>
      <c r="D19" s="297">
        <v>1735.7</v>
      </c>
      <c r="E19" s="144">
        <v>1831.18</v>
      </c>
      <c r="F19" s="297">
        <v>1926.28</v>
      </c>
      <c r="G19" s="144">
        <v>1971.15</v>
      </c>
      <c r="H19" s="291">
        <v>2049.35</v>
      </c>
      <c r="I19" s="142">
        <v>2120.3000000000002</v>
      </c>
      <c r="J19" s="291">
        <v>2204.77</v>
      </c>
      <c r="K19" s="142">
        <v>2202.85</v>
      </c>
      <c r="L19" s="291">
        <v>2301.19</v>
      </c>
    </row>
    <row r="20" spans="1:12" ht="20" customHeight="1" thickBot="1">
      <c r="A20" s="656" t="s">
        <v>1821</v>
      </c>
      <c r="B20" s="297">
        <v>1156.06</v>
      </c>
      <c r="C20" s="144">
        <v>1200.6099999999999</v>
      </c>
      <c r="D20" s="297">
        <v>1317.39</v>
      </c>
      <c r="E20" s="144">
        <v>1421.13</v>
      </c>
      <c r="F20" s="297">
        <v>1480.04</v>
      </c>
      <c r="G20" s="144">
        <v>1518.84</v>
      </c>
      <c r="H20" s="291">
        <v>1649</v>
      </c>
      <c r="I20" s="142">
        <v>1698.48</v>
      </c>
      <c r="J20" s="291">
        <v>1773.7</v>
      </c>
      <c r="K20" s="142">
        <v>1775.69</v>
      </c>
      <c r="L20" s="291">
        <v>1869.43</v>
      </c>
    </row>
    <row r="21" spans="1:12" ht="20" customHeight="1" thickBot="1">
      <c r="A21" s="656" t="s">
        <v>1822</v>
      </c>
      <c r="B21" s="297">
        <v>977.88</v>
      </c>
      <c r="C21" s="144">
        <v>980.34</v>
      </c>
      <c r="D21" s="297">
        <v>1110.8599999999999</v>
      </c>
      <c r="E21" s="144">
        <v>1222.43</v>
      </c>
      <c r="F21" s="297">
        <v>1303.8599999999999</v>
      </c>
      <c r="G21" s="144">
        <v>1422.39</v>
      </c>
      <c r="H21" s="291">
        <v>1474.35</v>
      </c>
      <c r="I21" s="142">
        <v>1464.82</v>
      </c>
      <c r="J21" s="291">
        <v>1571.68</v>
      </c>
      <c r="K21" s="142">
        <v>1525.3</v>
      </c>
      <c r="L21" s="291">
        <v>1560.62</v>
      </c>
    </row>
    <row r="22" spans="1:12" ht="20" customHeight="1" thickBot="1">
      <c r="A22" s="656" t="s">
        <v>1823</v>
      </c>
      <c r="B22" s="297">
        <v>1220.83</v>
      </c>
      <c r="C22" s="144">
        <v>1268.57</v>
      </c>
      <c r="D22" s="297">
        <v>1372.38</v>
      </c>
      <c r="E22" s="144">
        <v>1447.46</v>
      </c>
      <c r="F22" s="297">
        <v>1518.72</v>
      </c>
      <c r="G22" s="144">
        <v>1603.49</v>
      </c>
      <c r="H22" s="291">
        <v>1748.34</v>
      </c>
      <c r="I22" s="142">
        <v>1828.82</v>
      </c>
      <c r="J22" s="291">
        <v>1892.44</v>
      </c>
      <c r="K22" s="142">
        <v>1898.79</v>
      </c>
      <c r="L22" s="291">
        <v>1992.59</v>
      </c>
    </row>
    <row r="23" spans="1:12" ht="20" customHeight="1" thickBot="1">
      <c r="A23" s="656" t="s">
        <v>1824</v>
      </c>
      <c r="B23" s="297">
        <v>1241.78</v>
      </c>
      <c r="C23" s="144">
        <v>1273.6199999999999</v>
      </c>
      <c r="D23" s="297">
        <v>1397.39</v>
      </c>
      <c r="E23" s="144">
        <v>1553.84</v>
      </c>
      <c r="F23" s="297">
        <v>1573.39</v>
      </c>
      <c r="G23" s="144">
        <v>1596.96</v>
      </c>
      <c r="H23" s="291">
        <v>1798.77</v>
      </c>
      <c r="I23" s="142">
        <v>1865.58</v>
      </c>
      <c r="J23" s="291">
        <v>1943.18</v>
      </c>
      <c r="K23" s="142">
        <v>1998.89</v>
      </c>
      <c r="L23" s="291">
        <v>2140.9</v>
      </c>
    </row>
    <row r="24" spans="1:12" ht="20" customHeight="1" thickBot="1">
      <c r="A24" s="656" t="s">
        <v>1825</v>
      </c>
      <c r="B24" s="297">
        <v>1261.31</v>
      </c>
      <c r="C24" s="144">
        <v>1367.78</v>
      </c>
      <c r="D24" s="297">
        <v>1484.07</v>
      </c>
      <c r="E24" s="144">
        <v>1600.06</v>
      </c>
      <c r="F24" s="297">
        <v>1688.86</v>
      </c>
      <c r="G24" s="144">
        <v>1759.97</v>
      </c>
      <c r="H24" s="291">
        <v>1853.89</v>
      </c>
      <c r="I24" s="142">
        <v>1912.21</v>
      </c>
      <c r="J24" s="291">
        <v>2044</v>
      </c>
      <c r="K24" s="142">
        <v>2096.9699999999998</v>
      </c>
      <c r="L24" s="291">
        <v>2167</v>
      </c>
    </row>
    <row r="25" spans="1:12" ht="20" customHeight="1" thickBot="1">
      <c r="A25" s="656" t="s">
        <v>1826</v>
      </c>
      <c r="B25" s="297">
        <v>1446.55</v>
      </c>
      <c r="C25" s="144">
        <v>1489.6</v>
      </c>
      <c r="D25" s="297">
        <v>1562.52</v>
      </c>
      <c r="E25" s="144">
        <v>1631.21</v>
      </c>
      <c r="F25" s="297">
        <v>1694.01</v>
      </c>
      <c r="G25" s="144">
        <v>1826.69</v>
      </c>
      <c r="H25" s="291">
        <v>1914.58</v>
      </c>
      <c r="I25" s="142">
        <v>1906.85</v>
      </c>
      <c r="J25" s="291">
        <v>1972.24</v>
      </c>
      <c r="K25" s="142">
        <v>1962.29</v>
      </c>
      <c r="L25" s="291">
        <v>2070</v>
      </c>
    </row>
    <row r="26" spans="1:12" ht="20" customHeight="1" thickBot="1">
      <c r="A26" s="656" t="s">
        <v>1827</v>
      </c>
      <c r="B26" s="297">
        <v>1954.92</v>
      </c>
      <c r="C26" s="144">
        <v>1985.34</v>
      </c>
      <c r="D26" s="297">
        <v>2047.88</v>
      </c>
      <c r="E26" s="144">
        <v>2244.37</v>
      </c>
      <c r="F26" s="297">
        <v>2358.9899999999998</v>
      </c>
      <c r="G26" s="144">
        <v>2511</v>
      </c>
      <c r="H26" s="291">
        <v>2651.52</v>
      </c>
      <c r="I26" s="142">
        <v>2632.57</v>
      </c>
      <c r="J26" s="291">
        <v>2809.82</v>
      </c>
      <c r="K26" s="142">
        <v>2816.03</v>
      </c>
      <c r="L26" s="291">
        <v>2892.4</v>
      </c>
    </row>
    <row r="27" spans="1:12" ht="20" customHeight="1" thickBot="1">
      <c r="A27" s="656" t="s">
        <v>1828</v>
      </c>
      <c r="B27" s="297">
        <v>2044.73</v>
      </c>
      <c r="C27" s="144">
        <v>2059.25</v>
      </c>
      <c r="D27" s="297">
        <v>2097.46</v>
      </c>
      <c r="E27" s="144">
        <v>2268.5100000000002</v>
      </c>
      <c r="F27" s="297">
        <v>2422.64</v>
      </c>
      <c r="G27" s="144">
        <v>2479.8000000000002</v>
      </c>
      <c r="H27" s="291">
        <v>2575.5300000000002</v>
      </c>
      <c r="I27" s="142">
        <v>2616.02</v>
      </c>
      <c r="J27" s="291">
        <v>2740.2</v>
      </c>
      <c r="K27" s="142">
        <v>2732.29</v>
      </c>
      <c r="L27" s="291">
        <v>2777.04</v>
      </c>
    </row>
    <row r="28" spans="1:12" ht="20" customHeight="1" thickBot="1">
      <c r="A28" s="656" t="s">
        <v>1829</v>
      </c>
      <c r="B28" s="297">
        <v>1415.95</v>
      </c>
      <c r="C28" s="144">
        <v>1391.67</v>
      </c>
      <c r="D28" s="297">
        <v>1477.29</v>
      </c>
      <c r="E28" s="144">
        <v>1625.44</v>
      </c>
      <c r="F28" s="297">
        <v>1716.24</v>
      </c>
      <c r="G28" s="144">
        <v>1795.24</v>
      </c>
      <c r="H28" s="291">
        <v>1906.24</v>
      </c>
      <c r="I28" s="142">
        <v>1912.21</v>
      </c>
      <c r="J28" s="291">
        <v>2033.28</v>
      </c>
      <c r="K28" s="142">
        <v>2086.69</v>
      </c>
      <c r="L28" s="291">
        <v>2215.88</v>
      </c>
    </row>
    <row r="29" spans="1:12" ht="20" customHeight="1" thickBot="1">
      <c r="A29" s="656" t="s">
        <v>1830</v>
      </c>
      <c r="B29" s="297">
        <v>1793.44</v>
      </c>
      <c r="C29" s="144">
        <v>2003.05</v>
      </c>
      <c r="D29" s="297">
        <v>1859.86</v>
      </c>
      <c r="E29" s="144">
        <v>2231.21</v>
      </c>
      <c r="F29" s="297">
        <v>2345.88</v>
      </c>
      <c r="G29" s="144">
        <v>2370.9899999999998</v>
      </c>
      <c r="H29" s="291">
        <v>2463.52</v>
      </c>
      <c r="I29" s="142">
        <v>2659.11</v>
      </c>
      <c r="J29" s="291">
        <v>2678.97</v>
      </c>
      <c r="K29" s="142">
        <v>2569.15</v>
      </c>
      <c r="L29" s="291">
        <v>2576.5100000000002</v>
      </c>
    </row>
    <row r="30" spans="1:12" ht="20" customHeight="1" thickBot="1">
      <c r="A30" s="656" t="s">
        <v>1831</v>
      </c>
      <c r="B30" s="297">
        <v>2354.1799999999998</v>
      </c>
      <c r="C30" s="144">
        <v>2570.25</v>
      </c>
      <c r="D30" s="297">
        <v>2550.08</v>
      </c>
      <c r="E30" s="144">
        <v>2671.53</v>
      </c>
      <c r="F30" s="297">
        <v>2915.74</v>
      </c>
      <c r="G30" s="144">
        <v>3015.51</v>
      </c>
      <c r="H30" s="291">
        <v>2871.83</v>
      </c>
      <c r="I30" s="142">
        <v>2997.66</v>
      </c>
      <c r="J30" s="291">
        <v>3226.97</v>
      </c>
      <c r="K30" s="142">
        <v>3180.86</v>
      </c>
      <c r="L30" s="291">
        <v>3238.02</v>
      </c>
    </row>
    <row r="31" spans="1:12" ht="20" customHeight="1" thickBot="1">
      <c r="A31" s="656" t="s">
        <v>1832</v>
      </c>
      <c r="B31" s="297">
        <v>1743.78</v>
      </c>
      <c r="C31" s="144">
        <v>1825.7</v>
      </c>
      <c r="D31" s="297">
        <v>2010.66</v>
      </c>
      <c r="E31" s="144">
        <v>2029.99</v>
      </c>
      <c r="F31" s="297">
        <v>2178.44</v>
      </c>
      <c r="G31" s="144">
        <v>2254.27</v>
      </c>
      <c r="H31" s="291">
        <v>2091.5700000000002</v>
      </c>
      <c r="I31" s="142">
        <v>2253.96</v>
      </c>
      <c r="J31" s="291">
        <v>2461.69</v>
      </c>
      <c r="K31" s="142">
        <v>2362.73</v>
      </c>
      <c r="L31" s="291">
        <v>2449.73</v>
      </c>
    </row>
    <row r="32" spans="1:12" ht="30" customHeight="1" thickBot="1">
      <c r="A32" s="657" t="s">
        <v>628</v>
      </c>
      <c r="B32" s="339">
        <v>1557.27</v>
      </c>
      <c r="C32" s="338">
        <v>1647.56</v>
      </c>
      <c r="D32" s="339">
        <v>1717.23</v>
      </c>
      <c r="E32" s="338">
        <v>1846.79</v>
      </c>
      <c r="F32" s="339">
        <v>1946.82</v>
      </c>
      <c r="G32" s="338">
        <v>2014.31</v>
      </c>
      <c r="H32" s="293">
        <v>2108.92</v>
      </c>
      <c r="I32" s="333">
        <v>2211.54</v>
      </c>
      <c r="J32" s="362">
        <v>2330.34</v>
      </c>
      <c r="K32" s="333">
        <v>2350.5300000000002</v>
      </c>
      <c r="L32" s="362">
        <v>2441.98</v>
      </c>
    </row>
    <row r="33" spans="1:8" ht="20" customHeight="1">
      <c r="A33" s="133" t="s">
        <v>1069</v>
      </c>
      <c r="B33" s="335"/>
      <c r="C33" s="335"/>
      <c r="D33" s="335"/>
      <c r="E33" s="335"/>
      <c r="F33" s="335"/>
      <c r="G33" s="335"/>
      <c r="H33" s="559"/>
    </row>
    <row r="34" spans="1:8" ht="15.75" customHeight="1">
      <c r="A34" s="3"/>
      <c r="B34" s="337"/>
      <c r="C34" s="337"/>
      <c r="D34" s="337"/>
      <c r="E34" s="337"/>
      <c r="F34" s="337"/>
      <c r="G34" s="337"/>
      <c r="H34" s="560"/>
    </row>
    <row r="35" spans="1:8" ht="14.25" customHeight="1">
      <c r="A35" s="3" t="s">
        <v>1014</v>
      </c>
      <c r="B35" s="337"/>
      <c r="C35" s="337"/>
      <c r="D35" s="337"/>
      <c r="E35" s="337"/>
      <c r="F35" s="337"/>
      <c r="G35" s="337"/>
      <c r="H35" s="560"/>
    </row>
    <row r="36" spans="1:8" ht="13.5" customHeight="1">
      <c r="A36" s="3"/>
      <c r="B36" s="337"/>
      <c r="C36" s="337"/>
      <c r="D36" s="337"/>
      <c r="E36" s="337"/>
      <c r="F36" s="337"/>
      <c r="G36" s="337"/>
      <c r="H36" s="560"/>
    </row>
    <row r="37" spans="1:8" ht="12.75" customHeight="1">
      <c r="A37" s="3" t="s">
        <v>1015</v>
      </c>
      <c r="B37" s="337"/>
      <c r="C37" s="337"/>
      <c r="D37" s="337"/>
      <c r="E37" s="337"/>
      <c r="F37" s="337"/>
      <c r="G37" s="337"/>
      <c r="H37" s="560"/>
    </row>
    <row r="38" spans="1:8" ht="12.75" customHeight="1">
      <c r="A38" s="3" t="s">
        <v>1018</v>
      </c>
      <c r="B38" s="337"/>
      <c r="C38" s="337"/>
      <c r="D38" s="337"/>
      <c r="E38" s="337"/>
      <c r="F38" s="337"/>
      <c r="G38" s="337"/>
      <c r="H38" s="560"/>
    </row>
    <row r="40" spans="1:8">
      <c r="A40" s="3"/>
    </row>
    <row r="41" spans="1:8">
      <c r="A41" s="3" t="s">
        <v>634</v>
      </c>
    </row>
  </sheetData>
  <mergeCells count="1">
    <mergeCell ref="A2:H2"/>
  </mergeCells>
  <phoneticPr fontId="0" type="noConversion"/>
  <pageMargins left="0.45" right="0.49" top="0.76" bottom="0.49" header="0.56000000000000005" footer="0.4921259845"/>
  <pageSetup paperSize="9" scale="73" orientation="portrait" horizontalDpi="4294967292" verticalDpi="4294967292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4EDE-FE71-5148-9CA2-71D485DE1C92}">
  <dimension ref="A1:I42"/>
  <sheetViews>
    <sheetView zoomScale="75" workbookViewId="0">
      <selection activeCell="I29" sqref="I29"/>
    </sheetView>
  </sheetViews>
  <sheetFormatPr baseColWidth="10" defaultColWidth="11.3984375" defaultRowHeight="13"/>
  <cols>
    <col min="1" max="3" width="14.796875" style="2" customWidth="1"/>
    <col min="4" max="4" width="16" style="2" customWidth="1"/>
    <col min="5" max="5" width="17" style="2" customWidth="1"/>
    <col min="6" max="6" width="16.3984375" style="2" customWidth="1"/>
    <col min="7" max="7" width="14.796875" style="95" customWidth="1"/>
    <col min="8" max="8" width="11.3984375" style="2"/>
    <col min="9" max="9" width="14.59765625" style="2" customWidth="1"/>
    <col min="10" max="16384" width="11.3984375" style="2"/>
  </cols>
  <sheetData>
    <row r="1" spans="1:9" s="1" customFormat="1" ht="14" customHeight="1">
      <c r="G1" s="166"/>
    </row>
    <row r="2" spans="1:9" s="1" customFormat="1" ht="28" customHeight="1">
      <c r="A2" s="109" t="s">
        <v>151</v>
      </c>
      <c r="G2" s="109">
        <v>2007</v>
      </c>
    </row>
    <row r="3" spans="1:9" ht="27" customHeight="1">
      <c r="A3" s="110" t="s">
        <v>1797</v>
      </c>
      <c r="B3" s="111" t="s">
        <v>1798</v>
      </c>
      <c r="C3" s="112" t="s">
        <v>891</v>
      </c>
      <c r="D3" s="111" t="s">
        <v>892</v>
      </c>
      <c r="E3" s="112" t="s">
        <v>629</v>
      </c>
      <c r="F3" s="111" t="s">
        <v>629</v>
      </c>
      <c r="G3" s="167" t="s">
        <v>1801</v>
      </c>
    </row>
    <row r="4" spans="1:9" ht="15" customHeight="1">
      <c r="A4" s="113"/>
      <c r="B4" s="114"/>
      <c r="C4" s="113"/>
      <c r="D4" s="116"/>
      <c r="E4" s="115" t="s">
        <v>893</v>
      </c>
      <c r="F4" s="114" t="s">
        <v>894</v>
      </c>
      <c r="G4" s="113" t="s">
        <v>1802</v>
      </c>
    </row>
    <row r="5" spans="1:9" ht="15" customHeight="1">
      <c r="A5" s="113"/>
      <c r="B5" s="114"/>
      <c r="C5" s="113"/>
      <c r="D5" s="116"/>
      <c r="E5" s="115" t="s">
        <v>895</v>
      </c>
      <c r="F5" s="114" t="s">
        <v>1800</v>
      </c>
      <c r="G5" s="113" t="s">
        <v>1806</v>
      </c>
    </row>
    <row r="6" spans="1:9" ht="24" customHeight="1">
      <c r="A6" s="117"/>
      <c r="B6" s="118"/>
      <c r="C6" s="117"/>
      <c r="D6" s="118"/>
      <c r="E6" s="119"/>
      <c r="F6" s="120"/>
      <c r="G6" s="117"/>
    </row>
    <row r="7" spans="1:9" ht="30" customHeight="1" thickBot="1">
      <c r="A7" s="122" t="s">
        <v>1807</v>
      </c>
      <c r="B7" s="123">
        <v>226648572</v>
      </c>
      <c r="C7" s="124">
        <v>1377985542</v>
      </c>
      <c r="D7" s="123">
        <v>2029177697</v>
      </c>
      <c r="E7" s="124">
        <v>3407163239</v>
      </c>
      <c r="F7" s="123">
        <v>3633811811</v>
      </c>
      <c r="G7" s="168">
        <v>5.3268785544249485E-2</v>
      </c>
      <c r="I7" s="126"/>
    </row>
    <row r="8" spans="1:9" ht="20" customHeight="1" thickBot="1">
      <c r="A8" s="127" t="s">
        <v>1808</v>
      </c>
      <c r="B8" s="123">
        <v>144166653</v>
      </c>
      <c r="C8" s="124">
        <v>1164952511</v>
      </c>
      <c r="D8" s="123">
        <v>1664097015</v>
      </c>
      <c r="E8" s="124">
        <v>2829049526</v>
      </c>
      <c r="F8" s="123">
        <v>2973216179</v>
      </c>
      <c r="G8" s="168">
        <v>4.9468922480851343E-2</v>
      </c>
      <c r="I8" s="126"/>
    </row>
    <row r="9" spans="1:9" ht="20" customHeight="1" thickBot="1">
      <c r="A9" s="127" t="s">
        <v>1809</v>
      </c>
      <c r="B9" s="123">
        <v>51140787</v>
      </c>
      <c r="C9" s="124">
        <v>335460865</v>
      </c>
      <c r="D9" s="123">
        <v>477470963</v>
      </c>
      <c r="E9" s="124">
        <v>812931828</v>
      </c>
      <c r="F9" s="123">
        <v>864072615</v>
      </c>
      <c r="G9" s="168">
        <v>6.0006881957955532E-2</v>
      </c>
      <c r="I9" s="126"/>
    </row>
    <row r="10" spans="1:9" ht="20" customHeight="1" thickBot="1">
      <c r="A10" s="127" t="s">
        <v>1810</v>
      </c>
      <c r="B10" s="123">
        <v>5312404</v>
      </c>
      <c r="C10" s="124">
        <v>33929628</v>
      </c>
      <c r="D10" s="123">
        <v>43995656</v>
      </c>
      <c r="E10" s="124">
        <v>77925284</v>
      </c>
      <c r="F10" s="123">
        <v>83237688</v>
      </c>
      <c r="G10" s="168">
        <v>7.3070900049809456E-2</v>
      </c>
      <c r="I10" s="126"/>
    </row>
    <row r="11" spans="1:9" ht="20" customHeight="1" thickBot="1">
      <c r="A11" s="127" t="s">
        <v>1811</v>
      </c>
      <c r="B11" s="123">
        <v>24926347</v>
      </c>
      <c r="C11" s="124">
        <v>132679325</v>
      </c>
      <c r="D11" s="123">
        <v>178380641</v>
      </c>
      <c r="E11" s="124">
        <v>311059966</v>
      </c>
      <c r="F11" s="123">
        <v>335986313</v>
      </c>
      <c r="G11" s="168">
        <v>5.7023200298367022E-2</v>
      </c>
      <c r="I11" s="126"/>
    </row>
    <row r="12" spans="1:9" ht="20" customHeight="1" thickBot="1">
      <c r="A12" s="127" t="s">
        <v>1812</v>
      </c>
      <c r="B12" s="123">
        <v>5420814</v>
      </c>
      <c r="C12" s="124">
        <v>30371171</v>
      </c>
      <c r="D12" s="123">
        <v>43289363</v>
      </c>
      <c r="E12" s="124">
        <v>73660534</v>
      </c>
      <c r="F12" s="123">
        <v>79081348</v>
      </c>
      <c r="G12" s="168">
        <v>9.0729733199476179E-2</v>
      </c>
      <c r="I12" s="126"/>
    </row>
    <row r="13" spans="1:9" ht="20" customHeight="1" thickBot="1">
      <c r="A13" s="127" t="s">
        <v>1813</v>
      </c>
      <c r="B13" s="123">
        <v>5363162</v>
      </c>
      <c r="C13" s="124">
        <v>34878452</v>
      </c>
      <c r="D13" s="123">
        <v>47181008</v>
      </c>
      <c r="E13" s="124">
        <v>82059460</v>
      </c>
      <c r="F13" s="123">
        <v>87422622</v>
      </c>
      <c r="G13" s="168">
        <v>8.6974215772930311E-2</v>
      </c>
      <c r="I13" s="126"/>
    </row>
    <row r="14" spans="1:9" ht="20" customHeight="1" thickBot="1">
      <c r="A14" s="127" t="s">
        <v>1814</v>
      </c>
      <c r="B14" s="123">
        <v>6772038</v>
      </c>
      <c r="C14" s="124">
        <v>35794281</v>
      </c>
      <c r="D14" s="123">
        <v>49235518</v>
      </c>
      <c r="E14" s="124">
        <v>85029799</v>
      </c>
      <c r="F14" s="123">
        <v>91801837</v>
      </c>
      <c r="G14" s="168">
        <v>2.2892522833139427E-2</v>
      </c>
      <c r="I14" s="126"/>
    </row>
    <row r="15" spans="1:9" ht="20" customHeight="1" thickBot="1">
      <c r="A15" s="127" t="s">
        <v>1815</v>
      </c>
      <c r="B15" s="123">
        <v>16443873</v>
      </c>
      <c r="C15" s="124">
        <v>96546873</v>
      </c>
      <c r="D15" s="123">
        <v>142560092</v>
      </c>
      <c r="E15" s="124">
        <v>239106965</v>
      </c>
      <c r="F15" s="123">
        <v>255550838</v>
      </c>
      <c r="G15" s="168">
        <v>8.0151213573065899E-2</v>
      </c>
      <c r="I15" s="126"/>
    </row>
    <row r="16" spans="1:9" ht="20" customHeight="1" thickBot="1">
      <c r="A16" s="127" t="s">
        <v>1816</v>
      </c>
      <c r="B16" s="123">
        <v>50637187</v>
      </c>
      <c r="C16" s="124">
        <v>268299909</v>
      </c>
      <c r="D16" s="123">
        <v>382089934</v>
      </c>
      <c r="E16" s="124">
        <v>650389843</v>
      </c>
      <c r="F16" s="123">
        <v>701027030</v>
      </c>
      <c r="G16" s="168">
        <v>5.1651426919848718E-2</v>
      </c>
      <c r="I16" s="126"/>
    </row>
    <row r="17" spans="1:9" ht="20" customHeight="1" thickBot="1">
      <c r="A17" s="127" t="s">
        <v>1817</v>
      </c>
      <c r="B17" s="123">
        <v>41881166</v>
      </c>
      <c r="C17" s="124">
        <v>278938077</v>
      </c>
      <c r="D17" s="123">
        <v>374915852</v>
      </c>
      <c r="E17" s="124">
        <v>653853929</v>
      </c>
      <c r="F17" s="123">
        <v>695735095</v>
      </c>
      <c r="G17" s="168">
        <v>5.3551376080919734E-2</v>
      </c>
      <c r="I17" s="126"/>
    </row>
    <row r="18" spans="1:9" ht="20" customHeight="1" thickBot="1">
      <c r="A18" s="127" t="s">
        <v>1818</v>
      </c>
      <c r="B18" s="123">
        <v>34948644</v>
      </c>
      <c r="C18" s="124">
        <v>263167117</v>
      </c>
      <c r="D18" s="123">
        <v>414512640</v>
      </c>
      <c r="E18" s="124">
        <v>677679757</v>
      </c>
      <c r="F18" s="123">
        <v>712628401</v>
      </c>
      <c r="G18" s="168">
        <v>3.7502191628751749E-2</v>
      </c>
      <c r="I18" s="126"/>
    </row>
    <row r="19" spans="1:9" ht="20" customHeight="1" thickBot="1">
      <c r="A19" s="127" t="s">
        <v>1819</v>
      </c>
      <c r="B19" s="123">
        <v>50873583</v>
      </c>
      <c r="C19" s="124">
        <v>312260066</v>
      </c>
      <c r="D19" s="123">
        <v>444031917</v>
      </c>
      <c r="E19" s="124">
        <v>756291983</v>
      </c>
      <c r="F19" s="123">
        <v>807165566</v>
      </c>
      <c r="G19" s="168">
        <v>5.535582543422609E-2</v>
      </c>
      <c r="I19" s="126"/>
    </row>
    <row r="20" spans="1:9" ht="20" customHeight="1" thickBot="1">
      <c r="A20" s="127" t="s">
        <v>1820</v>
      </c>
      <c r="B20" s="123">
        <v>10933502</v>
      </c>
      <c r="C20" s="124">
        <v>76170780</v>
      </c>
      <c r="D20" s="123">
        <v>116783649</v>
      </c>
      <c r="E20" s="124">
        <v>192954429</v>
      </c>
      <c r="F20" s="123">
        <v>203887931</v>
      </c>
      <c r="G20" s="168">
        <v>4.2667076475959596E-2</v>
      </c>
      <c r="I20" s="126"/>
    </row>
    <row r="21" spans="1:9" ht="20" customHeight="1" thickBot="1">
      <c r="A21" s="127" t="s">
        <v>1821</v>
      </c>
      <c r="B21" s="123">
        <v>7524687</v>
      </c>
      <c r="C21" s="124">
        <v>45662187</v>
      </c>
      <c r="D21" s="123">
        <v>63429705</v>
      </c>
      <c r="E21" s="124">
        <v>109091892</v>
      </c>
      <c r="F21" s="123">
        <v>116616579</v>
      </c>
      <c r="G21" s="168">
        <v>5.177745096340617E-2</v>
      </c>
      <c r="I21" s="126"/>
    </row>
    <row r="22" spans="1:9" ht="20" customHeight="1" thickBot="1">
      <c r="A22" s="127" t="s">
        <v>1822</v>
      </c>
      <c r="B22" s="123">
        <v>2370544</v>
      </c>
      <c r="C22" s="124">
        <v>11734371</v>
      </c>
      <c r="D22" s="123">
        <v>14466364</v>
      </c>
      <c r="E22" s="124">
        <v>26200735</v>
      </c>
      <c r="F22" s="123">
        <v>28571279</v>
      </c>
      <c r="G22" s="168">
        <v>2.1627972287624066E-2</v>
      </c>
      <c r="I22" s="126"/>
    </row>
    <row r="23" spans="1:9" ht="20" customHeight="1" thickBot="1">
      <c r="A23" s="127" t="s">
        <v>1823</v>
      </c>
      <c r="B23" s="123">
        <v>77221361</v>
      </c>
      <c r="C23" s="124">
        <v>422304856</v>
      </c>
      <c r="D23" s="123">
        <v>593798118</v>
      </c>
      <c r="E23" s="124">
        <v>1016102974</v>
      </c>
      <c r="F23" s="123">
        <v>1093324335</v>
      </c>
      <c r="G23" s="168">
        <v>4.3073747167159719E-2</v>
      </c>
      <c r="I23" s="126"/>
    </row>
    <row r="24" spans="1:9" ht="20" customHeight="1" thickBot="1">
      <c r="A24" s="127" t="s">
        <v>1824</v>
      </c>
      <c r="B24" s="123">
        <v>30667658</v>
      </c>
      <c r="C24" s="124">
        <v>185314535</v>
      </c>
      <c r="D24" s="123">
        <v>266324123</v>
      </c>
      <c r="E24" s="124">
        <v>451638658</v>
      </c>
      <c r="F24" s="123">
        <v>482306316</v>
      </c>
      <c r="G24" s="168">
        <v>7.1498146645728636E-2</v>
      </c>
      <c r="I24" s="126"/>
    </row>
    <row r="25" spans="1:9" ht="20" customHeight="1" thickBot="1">
      <c r="A25" s="127" t="s">
        <v>1825</v>
      </c>
      <c r="B25" s="123">
        <v>99758321</v>
      </c>
      <c r="C25" s="124">
        <v>583145562</v>
      </c>
      <c r="D25" s="123">
        <v>798539632</v>
      </c>
      <c r="E25" s="124">
        <v>1381685194</v>
      </c>
      <c r="F25" s="123">
        <v>1481443515</v>
      </c>
      <c r="G25" s="168">
        <v>4.2241254550667233E-2</v>
      </c>
      <c r="I25" s="126"/>
    </row>
    <row r="26" spans="1:9" ht="20" customHeight="1" thickBot="1">
      <c r="A26" s="127" t="s">
        <v>1826</v>
      </c>
      <c r="B26" s="123">
        <v>41104621</v>
      </c>
      <c r="C26" s="124">
        <v>227566150</v>
      </c>
      <c r="D26" s="123">
        <v>311155345</v>
      </c>
      <c r="E26" s="124">
        <v>538721495</v>
      </c>
      <c r="F26" s="123">
        <v>579826116</v>
      </c>
      <c r="G26" s="168">
        <v>5.945059797902328E-2</v>
      </c>
      <c r="I26" s="126"/>
    </row>
    <row r="27" spans="1:9" ht="20" customHeight="1" thickBot="1">
      <c r="A27" s="127" t="s">
        <v>1827</v>
      </c>
      <c r="B27" s="123">
        <v>54336843</v>
      </c>
      <c r="C27" s="124">
        <v>421746505</v>
      </c>
      <c r="D27" s="123">
        <v>595272330</v>
      </c>
      <c r="E27" s="124">
        <v>1017018835</v>
      </c>
      <c r="F27" s="123">
        <v>1071355678</v>
      </c>
      <c r="G27" s="168">
        <v>3.1147230146961326E-2</v>
      </c>
      <c r="I27" s="126"/>
    </row>
    <row r="28" spans="1:9" ht="20" customHeight="1" thickBot="1">
      <c r="A28" s="127" t="s">
        <v>1828</v>
      </c>
      <c r="B28" s="123">
        <v>153649713</v>
      </c>
      <c r="C28" s="124">
        <v>784495001</v>
      </c>
      <c r="D28" s="123">
        <v>1194649524</v>
      </c>
      <c r="E28" s="124">
        <v>1979144525</v>
      </c>
      <c r="F28" s="123">
        <v>2132794238</v>
      </c>
      <c r="G28" s="168">
        <v>2.8281529399591634E-2</v>
      </c>
      <c r="I28" s="126"/>
    </row>
    <row r="29" spans="1:9" ht="20" customHeight="1" thickBot="1">
      <c r="A29" s="127" t="s">
        <v>1829</v>
      </c>
      <c r="B29" s="123">
        <v>48386390</v>
      </c>
      <c r="C29" s="124">
        <v>309357294</v>
      </c>
      <c r="D29" s="123">
        <v>422227345</v>
      </c>
      <c r="E29" s="124">
        <v>731584639</v>
      </c>
      <c r="F29" s="123">
        <v>779971029</v>
      </c>
      <c r="G29" s="168">
        <v>4.7516040926908205E-2</v>
      </c>
      <c r="I29" s="126"/>
    </row>
    <row r="30" spans="1:9" ht="20" customHeight="1" thickBot="1">
      <c r="A30" s="127" t="s">
        <v>1830</v>
      </c>
      <c r="B30" s="123">
        <v>29994248</v>
      </c>
      <c r="C30" s="124">
        <v>187324111</v>
      </c>
      <c r="D30" s="123">
        <v>286501809</v>
      </c>
      <c r="E30" s="124">
        <v>473825920</v>
      </c>
      <c r="F30" s="123">
        <v>503820168</v>
      </c>
      <c r="G30" s="168">
        <v>-2.4806252536947303E-3</v>
      </c>
      <c r="I30" s="126"/>
    </row>
    <row r="31" spans="1:9" ht="20" customHeight="1" thickBot="1">
      <c r="A31" s="127" t="s">
        <v>1831</v>
      </c>
      <c r="B31" s="123">
        <v>110026395</v>
      </c>
      <c r="C31" s="124">
        <v>543728369</v>
      </c>
      <c r="D31" s="123">
        <v>854687752</v>
      </c>
      <c r="E31" s="124">
        <v>1398416121</v>
      </c>
      <c r="F31" s="123">
        <v>1508442516</v>
      </c>
      <c r="G31" s="168">
        <v>1.7216813622334126E-2</v>
      </c>
      <c r="I31" s="126"/>
    </row>
    <row r="32" spans="1:9" ht="20" customHeight="1" thickBot="1">
      <c r="A32" s="128" t="s">
        <v>1832</v>
      </c>
      <c r="B32" s="123">
        <v>13516204</v>
      </c>
      <c r="C32" s="124">
        <v>81005266</v>
      </c>
      <c r="D32" s="123">
        <v>112257586</v>
      </c>
      <c r="E32" s="124">
        <v>193262852</v>
      </c>
      <c r="F32" s="123">
        <v>206779056</v>
      </c>
      <c r="G32" s="168">
        <v>5.2852167546764736E-2</v>
      </c>
      <c r="I32" s="126"/>
    </row>
    <row r="33" spans="1:9" ht="30" customHeight="1" thickBot="1">
      <c r="A33" s="129" t="s">
        <v>628</v>
      </c>
      <c r="B33" s="130">
        <v>1344025717</v>
      </c>
      <c r="C33" s="131">
        <v>8244818804</v>
      </c>
      <c r="D33" s="130">
        <v>11921031578</v>
      </c>
      <c r="E33" s="131">
        <v>20165850382</v>
      </c>
      <c r="F33" s="130">
        <v>21509876099</v>
      </c>
      <c r="G33" s="169">
        <v>4.4417237719881916E-2</v>
      </c>
      <c r="I33" s="126"/>
    </row>
    <row r="34" spans="1:9" ht="20" customHeight="1">
      <c r="A34" s="133" t="s">
        <v>1709</v>
      </c>
      <c r="B34" s="133"/>
      <c r="C34" s="133"/>
      <c r="D34" s="133"/>
      <c r="E34" s="133"/>
      <c r="F34" s="133"/>
      <c r="G34" s="170"/>
    </row>
    <row r="35" spans="1:9" ht="13.5" customHeight="1">
      <c r="A35" s="3"/>
      <c r="B35" s="3"/>
      <c r="C35" s="3"/>
      <c r="D35" s="3"/>
      <c r="E35" s="3"/>
      <c r="F35" s="3"/>
      <c r="G35" s="171"/>
    </row>
    <row r="36" spans="1:9" ht="13.5" customHeight="1">
      <c r="A36" s="3" t="s">
        <v>1833</v>
      </c>
      <c r="B36" s="3"/>
      <c r="C36" s="3"/>
      <c r="D36" s="3"/>
      <c r="E36" s="3"/>
      <c r="F36" s="3"/>
      <c r="G36" s="171"/>
    </row>
    <row r="37" spans="1:9" ht="12.75" customHeight="1">
      <c r="A37" s="3"/>
      <c r="B37" s="3"/>
      <c r="C37" s="3"/>
      <c r="D37" s="3"/>
      <c r="E37" s="3"/>
      <c r="F37" s="3"/>
      <c r="G37" s="171"/>
    </row>
    <row r="38" spans="1:9" ht="12" customHeight="1">
      <c r="A38" s="3" t="s">
        <v>152</v>
      </c>
    </row>
    <row r="39" spans="1:9" ht="12" customHeight="1">
      <c r="A39" s="2" t="s">
        <v>150</v>
      </c>
    </row>
    <row r="40" spans="1:9" ht="12" customHeight="1"/>
    <row r="41" spans="1:9" ht="12" customHeight="1"/>
    <row r="42" spans="1:9">
      <c r="A42" s="3" t="s">
        <v>634</v>
      </c>
    </row>
  </sheetData>
  <phoneticPr fontId="0" type="noConversion"/>
  <pageMargins left="0.56000000000000005" right="0.64" top="0.81" bottom="0.49" header="0.44" footer="0.4921259845"/>
  <pageSetup paperSize="9" scale="80" orientation="portrait" horizontalDpi="1200" verticalDpi="12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1FE-26EA-BD45-B6F0-5DAB34C08585}">
  <dimension ref="A1:I41"/>
  <sheetViews>
    <sheetView zoomScale="75" workbookViewId="0">
      <selection activeCell="A37" sqref="A37"/>
    </sheetView>
  </sheetViews>
  <sheetFormatPr baseColWidth="10" defaultColWidth="11.3984375" defaultRowHeight="13"/>
  <cols>
    <col min="1" max="1" width="14.796875" style="2" customWidth="1"/>
    <col min="2" max="6" width="14.796875" style="8" customWidth="1"/>
    <col min="7" max="7" width="14.796875" style="156" customWidth="1"/>
    <col min="8" max="8" width="11.3984375" style="2"/>
    <col min="9" max="9" width="0" style="2" hidden="1" customWidth="1"/>
    <col min="10" max="16384" width="11.3984375" style="2"/>
  </cols>
  <sheetData>
    <row r="1" spans="1:9" s="1" customFormat="1" ht="14" customHeight="1">
      <c r="B1" s="274"/>
      <c r="C1" s="274"/>
      <c r="D1" s="274"/>
      <c r="E1" s="274"/>
      <c r="F1" s="274"/>
      <c r="G1" s="136"/>
    </row>
    <row r="2" spans="1:9" s="1" customFormat="1" ht="39.75" customHeight="1">
      <c r="A2" s="1800" t="s">
        <v>2257</v>
      </c>
      <c r="B2" s="1804"/>
      <c r="C2" s="1804"/>
      <c r="D2" s="1804"/>
      <c r="E2" s="1804"/>
      <c r="F2" s="1804"/>
      <c r="G2" s="275">
        <v>2007</v>
      </c>
      <c r="H2" s="275"/>
    </row>
    <row r="3" spans="1:9" ht="27" customHeight="1">
      <c r="A3" s="110" t="s">
        <v>1797</v>
      </c>
      <c r="B3" s="139" t="s">
        <v>1798</v>
      </c>
      <c r="C3" s="276" t="s">
        <v>891</v>
      </c>
      <c r="D3" s="139" t="s">
        <v>892</v>
      </c>
      <c r="E3" s="276" t="s">
        <v>629</v>
      </c>
      <c r="F3" s="139" t="s">
        <v>629</v>
      </c>
      <c r="G3" s="112" t="s">
        <v>1801</v>
      </c>
    </row>
    <row r="4" spans="1:9" ht="15" customHeight="1">
      <c r="A4" s="113"/>
      <c r="B4" s="140"/>
      <c r="C4" s="277"/>
      <c r="D4" s="278"/>
      <c r="E4" s="279" t="s">
        <v>893</v>
      </c>
      <c r="F4" s="140" t="s">
        <v>894</v>
      </c>
      <c r="G4" s="115" t="s">
        <v>1802</v>
      </c>
    </row>
    <row r="5" spans="1:9" ht="15" customHeight="1">
      <c r="A5" s="113"/>
      <c r="B5" s="140"/>
      <c r="C5" s="277"/>
      <c r="D5" s="278"/>
      <c r="E5" s="279" t="s">
        <v>895</v>
      </c>
      <c r="F5" s="140" t="s">
        <v>1800</v>
      </c>
      <c r="G5" s="115" t="s">
        <v>1806</v>
      </c>
    </row>
    <row r="6" spans="1:9" ht="24" customHeight="1">
      <c r="A6" s="117"/>
      <c r="B6" s="280"/>
      <c r="C6" s="281"/>
      <c r="D6" s="280"/>
      <c r="E6" s="282"/>
      <c r="F6" s="141"/>
      <c r="G6" s="119"/>
    </row>
    <row r="7" spans="1:9" ht="30" customHeight="1" thickBot="1">
      <c r="A7" s="122" t="s">
        <v>1807</v>
      </c>
      <c r="B7" s="172">
        <v>78.406988280909459</v>
      </c>
      <c r="C7" s="173">
        <v>224.47221467457703</v>
      </c>
      <c r="D7" s="172">
        <v>312.13719681964818</v>
      </c>
      <c r="E7" s="173">
        <v>269.56028090205882</v>
      </c>
      <c r="F7" s="172">
        <v>233.98092943789641</v>
      </c>
      <c r="G7" s="143">
        <v>4.563334819542323E-2</v>
      </c>
      <c r="I7" s="126">
        <v>172.8785586534616</v>
      </c>
    </row>
    <row r="8" spans="1:9" ht="20" customHeight="1" thickBot="1">
      <c r="A8" s="127" t="s">
        <v>1808</v>
      </c>
      <c r="B8" s="172">
        <v>66.235646236375359</v>
      </c>
      <c r="C8" s="173">
        <v>261.10433728793652</v>
      </c>
      <c r="D8" s="172">
        <v>342.62590459083708</v>
      </c>
      <c r="E8" s="173">
        <v>303.59442705254781</v>
      </c>
      <c r="F8" s="172">
        <v>258.65101502485237</v>
      </c>
      <c r="G8" s="145">
        <v>5.1698399200558333E-2</v>
      </c>
      <c r="I8" s="126">
        <v>161.49387493756916</v>
      </c>
    </row>
    <row r="9" spans="1:9" ht="20" customHeight="1" thickBot="1">
      <c r="A9" s="127" t="s">
        <v>1809</v>
      </c>
      <c r="B9" s="172">
        <v>55.582495370008083</v>
      </c>
      <c r="C9" s="173">
        <v>200.70843384883426</v>
      </c>
      <c r="D9" s="172">
        <v>271.13257002743859</v>
      </c>
      <c r="E9" s="173">
        <v>236.84092045323442</v>
      </c>
      <c r="F9" s="172">
        <v>198.52401869828816</v>
      </c>
      <c r="G9" s="145">
        <v>5.374983499092157E-2</v>
      </c>
      <c r="I9" s="126">
        <v>129.41591119853354</v>
      </c>
    </row>
    <row r="10" spans="1:9" ht="20" customHeight="1" thickBot="1">
      <c r="A10" s="127" t="s">
        <v>1810</v>
      </c>
      <c r="B10" s="172">
        <v>60.313396911898273</v>
      </c>
      <c r="C10" s="173">
        <v>205.58925325383552</v>
      </c>
      <c r="D10" s="172">
        <v>263.64912028381036</v>
      </c>
      <c r="E10" s="173">
        <v>234.79674826144074</v>
      </c>
      <c r="F10" s="172">
        <v>198.20196016801438</v>
      </c>
      <c r="G10" s="145">
        <v>7.9233921191907558E-2</v>
      </c>
      <c r="I10" s="126">
        <v>126.90557061409594</v>
      </c>
    </row>
    <row r="11" spans="1:9" ht="20" customHeight="1" thickBot="1">
      <c r="A11" s="127" t="s">
        <v>1811</v>
      </c>
      <c r="B11" s="172">
        <v>70.14235102766709</v>
      </c>
      <c r="C11" s="173">
        <v>198.24661867364748</v>
      </c>
      <c r="D11" s="172">
        <v>272.41837404780671</v>
      </c>
      <c r="E11" s="173">
        <v>234.9232273890334</v>
      </c>
      <c r="F11" s="172">
        <v>200.05472731906218</v>
      </c>
      <c r="G11" s="145">
        <v>4.6895245000987129E-2</v>
      </c>
      <c r="I11" s="126">
        <v>131.64111605385247</v>
      </c>
    </row>
    <row r="12" spans="1:9" ht="20" customHeight="1" thickBot="1">
      <c r="A12" s="127" t="s">
        <v>1812</v>
      </c>
      <c r="B12" s="172">
        <v>60.456972698072803</v>
      </c>
      <c r="C12" s="173">
        <v>188.14532535434634</v>
      </c>
      <c r="D12" s="172">
        <v>268.1717898205967</v>
      </c>
      <c r="E12" s="173">
        <v>228.15855758747151</v>
      </c>
      <c r="F12" s="172">
        <v>191.71235878787877</v>
      </c>
      <c r="G12" s="145">
        <v>8.3019265558240532E-2</v>
      </c>
      <c r="I12" s="126">
        <v>125.19129183854066</v>
      </c>
    </row>
    <row r="13" spans="1:9" ht="20" customHeight="1" thickBot="1">
      <c r="A13" s="127" t="s">
        <v>1813</v>
      </c>
      <c r="B13" s="172">
        <v>56.695441667723792</v>
      </c>
      <c r="C13" s="173">
        <v>181.60185358742061</v>
      </c>
      <c r="D13" s="172">
        <v>247.8566895711194</v>
      </c>
      <c r="E13" s="173">
        <v>214.59512751312789</v>
      </c>
      <c r="F13" s="172">
        <v>183.28054793831291</v>
      </c>
      <c r="G13" s="145">
        <v>8.3255166404515399E-2</v>
      </c>
      <c r="I13" s="126">
        <v>117.8833340734285</v>
      </c>
    </row>
    <row r="14" spans="1:9" ht="20" customHeight="1" thickBot="1">
      <c r="A14" s="127" t="s">
        <v>1814</v>
      </c>
      <c r="B14" s="172">
        <v>73.242894224529522</v>
      </c>
      <c r="C14" s="173">
        <v>199.4154800106966</v>
      </c>
      <c r="D14" s="172">
        <v>264.75832956916389</v>
      </c>
      <c r="E14" s="173">
        <v>232.66513161495104</v>
      </c>
      <c r="F14" s="172">
        <v>200.47570973095739</v>
      </c>
      <c r="G14" s="145">
        <v>2.8199984036519004E-2</v>
      </c>
      <c r="I14" s="126">
        <v>140.25371771237261</v>
      </c>
    </row>
    <row r="15" spans="1:9" ht="20" customHeight="1" thickBot="1">
      <c r="A15" s="127" t="s">
        <v>1815</v>
      </c>
      <c r="B15" s="172">
        <v>64.084681756535574</v>
      </c>
      <c r="C15" s="173">
        <v>186.05491640265475</v>
      </c>
      <c r="D15" s="172">
        <v>275.0256428064327</v>
      </c>
      <c r="E15" s="173">
        <v>230.51609130909273</v>
      </c>
      <c r="F15" s="172">
        <v>197.50981401445594</v>
      </c>
      <c r="G15" s="145">
        <v>6.9181600888618425E-2</v>
      </c>
      <c r="I15" s="126">
        <v>131.3336445580656</v>
      </c>
    </row>
    <row r="16" spans="1:9" ht="20" customHeight="1" thickBot="1">
      <c r="A16" s="127" t="s">
        <v>1816</v>
      </c>
      <c r="B16" s="172">
        <v>70.025980473503708</v>
      </c>
      <c r="C16" s="173">
        <v>224.67066351139513</v>
      </c>
      <c r="D16" s="172">
        <v>310.66646990334203</v>
      </c>
      <c r="E16" s="173">
        <v>268.30334386102135</v>
      </c>
      <c r="F16" s="172">
        <v>222.74597706408611</v>
      </c>
      <c r="G16" s="145">
        <v>4.0680476308248073E-2</v>
      </c>
      <c r="I16" s="126">
        <v>163.19734143075968</v>
      </c>
    </row>
    <row r="17" spans="1:9" ht="20" customHeight="1" thickBot="1">
      <c r="A17" s="127" t="s">
        <v>1817</v>
      </c>
      <c r="B17" s="172">
        <v>71.010542771300877</v>
      </c>
      <c r="C17" s="173">
        <v>236.92871958739769</v>
      </c>
      <c r="D17" s="172">
        <v>302.33198825882204</v>
      </c>
      <c r="E17" s="173">
        <v>270.47951301156456</v>
      </c>
      <c r="F17" s="172">
        <v>231.35828930531503</v>
      </c>
      <c r="G17" s="145">
        <v>5.289132465974046E-2</v>
      </c>
      <c r="I17" s="126">
        <v>156.59253023292777</v>
      </c>
    </row>
    <row r="18" spans="1:9" ht="20" customHeight="1" thickBot="1">
      <c r="A18" s="127" t="s">
        <v>1818</v>
      </c>
      <c r="B18" s="172">
        <v>103.63260150161904</v>
      </c>
      <c r="C18" s="173">
        <v>312.526265224496</v>
      </c>
      <c r="D18" s="172">
        <v>430.92753153108197</v>
      </c>
      <c r="E18" s="173">
        <v>375.65729906695401</v>
      </c>
      <c r="F18" s="172">
        <v>332.81605570313582</v>
      </c>
      <c r="G18" s="145">
        <v>4.2002604646005609E-2</v>
      </c>
      <c r="I18" s="126">
        <v>239.48436004651805</v>
      </c>
    </row>
    <row r="19" spans="1:9" ht="20" customHeight="1" thickBot="1">
      <c r="A19" s="127" t="s">
        <v>1819</v>
      </c>
      <c r="B19" s="172">
        <v>85.126405566041527</v>
      </c>
      <c r="C19" s="173">
        <v>247.12878140353541</v>
      </c>
      <c r="D19" s="172">
        <v>329.04707480391983</v>
      </c>
      <c r="E19" s="173">
        <v>289.43436012246462</v>
      </c>
      <c r="F19" s="172">
        <v>251.40551583311841</v>
      </c>
      <c r="G19" s="145">
        <v>5.3395407251371957E-2</v>
      </c>
      <c r="I19" s="126">
        <v>177.06647582891381</v>
      </c>
    </row>
    <row r="20" spans="1:9" ht="20" customHeight="1" thickBot="1">
      <c r="A20" s="127" t="s">
        <v>1820</v>
      </c>
      <c r="B20" s="172">
        <v>64.354087206290913</v>
      </c>
      <c r="C20" s="173">
        <v>213.7155314635871</v>
      </c>
      <c r="D20" s="172">
        <v>307.54552995828595</v>
      </c>
      <c r="E20" s="173">
        <v>262.12930373968896</v>
      </c>
      <c r="F20" s="172">
        <v>225.0418664459161</v>
      </c>
      <c r="G20" s="145">
        <v>4.0540311843147589E-2</v>
      </c>
      <c r="I20" s="126">
        <v>165.60622548393192</v>
      </c>
    </row>
    <row r="21" spans="1:9" ht="20" customHeight="1" thickBot="1">
      <c r="A21" s="127" t="s">
        <v>1821</v>
      </c>
      <c r="B21" s="172">
        <v>55.743377189083475</v>
      </c>
      <c r="C21" s="173">
        <v>185.11297188168905</v>
      </c>
      <c r="D21" s="172">
        <v>246.87351127924899</v>
      </c>
      <c r="E21" s="173">
        <v>216.61720834921846</v>
      </c>
      <c r="F21" s="172">
        <v>182.61172651596294</v>
      </c>
      <c r="G21" s="145">
        <v>5.1935562461756547E-2</v>
      </c>
      <c r="I21" s="126">
        <v>125.02923450612184</v>
      </c>
    </row>
    <row r="22" spans="1:9" ht="20" customHeight="1" thickBot="1">
      <c r="A22" s="127" t="s">
        <v>1822</v>
      </c>
      <c r="B22" s="172">
        <v>54.033187454412833</v>
      </c>
      <c r="C22" s="173">
        <v>164.51282806191116</v>
      </c>
      <c r="D22" s="172">
        <v>209.83991876994489</v>
      </c>
      <c r="E22" s="173">
        <v>186.77455802680353</v>
      </c>
      <c r="F22" s="172">
        <v>155.15052239454363</v>
      </c>
      <c r="G22" s="145">
        <v>1.8232753560485454E-2</v>
      </c>
      <c r="I22" s="126">
        <v>109.87124540182084</v>
      </c>
    </row>
    <row r="23" spans="1:9" ht="20" customHeight="1" thickBot="1">
      <c r="A23" s="127" t="s">
        <v>1823</v>
      </c>
      <c r="B23" s="172">
        <v>64.518236398939919</v>
      </c>
      <c r="C23" s="173">
        <v>196.46216599954968</v>
      </c>
      <c r="D23" s="172">
        <v>264.73625177219589</v>
      </c>
      <c r="E23" s="173">
        <v>231.32595851671343</v>
      </c>
      <c r="F23" s="172">
        <v>195.60604409759867</v>
      </c>
      <c r="G23" s="145">
        <v>4.0684319237476792E-2</v>
      </c>
      <c r="I23" s="126">
        <v>134.24530167185685</v>
      </c>
    </row>
    <row r="24" spans="1:9" ht="20" customHeight="1" thickBot="1">
      <c r="A24" s="127" t="s">
        <v>1824</v>
      </c>
      <c r="B24" s="172">
        <v>70.765857192963026</v>
      </c>
      <c r="C24" s="173">
        <v>198.57369796019836</v>
      </c>
      <c r="D24" s="172">
        <v>279.08851533747475</v>
      </c>
      <c r="E24" s="173">
        <v>239.27520969225358</v>
      </c>
      <c r="F24" s="172">
        <v>207.81039564030445</v>
      </c>
      <c r="G24" s="145">
        <v>7.2556304250426251E-2</v>
      </c>
      <c r="I24" s="126">
        <v>132.91701511018809</v>
      </c>
    </row>
    <row r="25" spans="1:9" ht="20" customHeight="1" thickBot="1">
      <c r="A25" s="127" t="s">
        <v>1825</v>
      </c>
      <c r="B25" s="172">
        <v>69.821217300499455</v>
      </c>
      <c r="C25" s="173">
        <v>212.25268070460493</v>
      </c>
      <c r="D25" s="172">
        <v>283.03639273931606</v>
      </c>
      <c r="E25" s="173">
        <v>248.11326203569624</v>
      </c>
      <c r="F25" s="172">
        <v>211.70894647668013</v>
      </c>
      <c r="G25" s="145">
        <v>3.4925731819203304E-2</v>
      </c>
      <c r="I25" s="126">
        <v>145.05617363699608</v>
      </c>
    </row>
    <row r="26" spans="1:9" ht="20" customHeight="1" thickBot="1">
      <c r="A26" s="127" t="s">
        <v>1826</v>
      </c>
      <c r="B26" s="172">
        <v>66.037884776042674</v>
      </c>
      <c r="C26" s="173">
        <v>204.73566637157316</v>
      </c>
      <c r="D26" s="172">
        <v>274.13505115220204</v>
      </c>
      <c r="E26" s="173">
        <v>239.7924233602894</v>
      </c>
      <c r="F26" s="172">
        <v>202.0964791206585</v>
      </c>
      <c r="G26" s="145">
        <v>5.123512330587749E-2</v>
      </c>
      <c r="I26" s="126">
        <v>145.7338374894791</v>
      </c>
    </row>
    <row r="27" spans="1:9" ht="20" customHeight="1" thickBot="1">
      <c r="A27" s="127" t="s">
        <v>1827</v>
      </c>
      <c r="B27" s="172">
        <v>78.764115743881447</v>
      </c>
      <c r="C27" s="173">
        <v>282.93437411110574</v>
      </c>
      <c r="D27" s="172">
        <v>357.37668040286439</v>
      </c>
      <c r="E27" s="173">
        <v>322.21990990682724</v>
      </c>
      <c r="F27" s="172">
        <v>278.55232029070061</v>
      </c>
      <c r="G27" s="145">
        <v>2.7412087003935402E-2</v>
      </c>
      <c r="I27" s="126">
        <v>199.67764846714121</v>
      </c>
    </row>
    <row r="28" spans="1:9" ht="20" customHeight="1" thickBot="1">
      <c r="A28" s="127" t="s">
        <v>1828</v>
      </c>
      <c r="B28" s="172">
        <v>90.224026706126907</v>
      </c>
      <c r="C28" s="173">
        <v>267.19274545786465</v>
      </c>
      <c r="D28" s="172">
        <v>369.62662760779244</v>
      </c>
      <c r="E28" s="173">
        <v>320.86860765839117</v>
      </c>
      <c r="F28" s="172">
        <v>270.96644595952972</v>
      </c>
      <c r="G28" s="145">
        <v>2.3688201410683035E-2</v>
      </c>
      <c r="I28" s="126">
        <v>203.24357993536964</v>
      </c>
    </row>
    <row r="29" spans="1:9" ht="20" customHeight="1" thickBot="1">
      <c r="A29" s="127" t="s">
        <v>1829</v>
      </c>
      <c r="B29" s="172">
        <v>66.224303491166694</v>
      </c>
      <c r="C29" s="173">
        <v>219.30341633135694</v>
      </c>
      <c r="D29" s="172">
        <v>286.62114763223633</v>
      </c>
      <c r="E29" s="173">
        <v>253.69264366046363</v>
      </c>
      <c r="F29" s="172">
        <v>215.79543741699868</v>
      </c>
      <c r="G29" s="145">
        <v>3.9350145627783509E-2</v>
      </c>
      <c r="I29" s="126">
        <v>144.85185631308477</v>
      </c>
    </row>
    <row r="30" spans="1:9" ht="20" customHeight="1" thickBot="1">
      <c r="A30" s="127" t="s">
        <v>1830</v>
      </c>
      <c r="B30" s="172">
        <v>70.227036038060987</v>
      </c>
      <c r="C30" s="173">
        <v>246.17720243070337</v>
      </c>
      <c r="D30" s="172">
        <v>342.35005879063368</v>
      </c>
      <c r="E30" s="173">
        <v>296.55340923884199</v>
      </c>
      <c r="F30" s="172">
        <v>248.81335300845674</v>
      </c>
      <c r="G30" s="145">
        <v>2.6742386784780613E-3</v>
      </c>
      <c r="I30" s="126">
        <v>184.5803903521614</v>
      </c>
    </row>
    <row r="31" spans="1:9" ht="20" customHeight="1" thickBot="1">
      <c r="A31" s="127" t="s">
        <v>1831</v>
      </c>
      <c r="B31" s="172">
        <v>105.43289464606045</v>
      </c>
      <c r="C31" s="173">
        <v>300.14637734440896</v>
      </c>
      <c r="D31" s="172">
        <v>421.27914147926452</v>
      </c>
      <c r="E31" s="173">
        <v>364.13786484974798</v>
      </c>
      <c r="F31" s="172">
        <v>308.85922608005541</v>
      </c>
      <c r="G31" s="145">
        <v>1.3917675322703714E-2</v>
      </c>
      <c r="I31" s="126">
        <v>244.01642882305748</v>
      </c>
    </row>
    <row r="32" spans="1:9" ht="20" customHeight="1" thickBot="1">
      <c r="A32" s="128" t="s">
        <v>1832</v>
      </c>
      <c r="B32" s="172">
        <v>73.38743375901312</v>
      </c>
      <c r="C32" s="173">
        <v>258.10349595982768</v>
      </c>
      <c r="D32" s="172">
        <v>334.25514822357997</v>
      </c>
      <c r="E32" s="173">
        <v>297.47940794374972</v>
      </c>
      <c r="F32" s="172">
        <v>247.98290327687195</v>
      </c>
      <c r="G32" s="145">
        <v>5.421582830459306E-2</v>
      </c>
      <c r="I32" s="126">
        <v>200.58331332206401</v>
      </c>
    </row>
    <row r="33" spans="1:9" s="285" customFormat="1" ht="30" customHeight="1" thickBot="1">
      <c r="A33" s="129" t="s">
        <v>628</v>
      </c>
      <c r="B33" s="283">
        <v>74.583468013849171</v>
      </c>
      <c r="C33" s="284">
        <v>235.73555007962293</v>
      </c>
      <c r="D33" s="283">
        <v>320.37598722089928</v>
      </c>
      <c r="E33" s="284">
        <v>279.36593881920896</v>
      </c>
      <c r="F33" s="283">
        <v>238.45599286485893</v>
      </c>
      <c r="G33" s="147">
        <v>4.0480110211869855E-2</v>
      </c>
      <c r="I33" s="286">
        <v>167.9825427102873</v>
      </c>
    </row>
    <row r="34" spans="1:9" ht="20" customHeight="1">
      <c r="A34" s="133" t="s">
        <v>1709</v>
      </c>
      <c r="B34" s="287"/>
      <c r="C34" s="287"/>
      <c r="D34" s="287"/>
      <c r="E34" s="287"/>
      <c r="F34" s="287"/>
      <c r="G34" s="151"/>
    </row>
    <row r="35" spans="1:9" ht="14.25" customHeight="1">
      <c r="A35" s="3"/>
      <c r="B35" s="288"/>
      <c r="C35" s="288"/>
      <c r="D35" s="288"/>
      <c r="E35" s="288"/>
      <c r="F35" s="288"/>
      <c r="G35" s="153"/>
    </row>
    <row r="36" spans="1:9" ht="20" customHeight="1">
      <c r="A36" s="3" t="s">
        <v>2256</v>
      </c>
      <c r="B36" s="288"/>
      <c r="C36" s="288"/>
      <c r="D36" s="288"/>
      <c r="E36" s="288"/>
      <c r="F36" s="288"/>
      <c r="G36" s="153"/>
    </row>
    <row r="37" spans="1:9" ht="9.75" customHeight="1">
      <c r="A37" s="3"/>
      <c r="B37" s="288"/>
      <c r="C37" s="288"/>
      <c r="D37" s="288"/>
      <c r="E37" s="288"/>
      <c r="F37" s="288"/>
      <c r="G37" s="153"/>
    </row>
    <row r="38" spans="1:9" ht="12" customHeight="1">
      <c r="A38" s="3" t="s">
        <v>2258</v>
      </c>
    </row>
    <row r="39" spans="1:9" ht="12" customHeight="1"/>
    <row r="40" spans="1:9" ht="12" customHeight="1"/>
    <row r="41" spans="1:9">
      <c r="A41" s="3" t="s">
        <v>634</v>
      </c>
    </row>
  </sheetData>
  <mergeCells count="1">
    <mergeCell ref="A2:F2"/>
  </mergeCells>
  <phoneticPr fontId="0" type="noConversion"/>
  <pageMargins left="0.78740157480314965" right="0.78740157480314965" top="1.48" bottom="0.49" header="0.92" footer="0.4921259845"/>
  <pageSetup paperSize="9" scale="80" orientation="portrait" horizontalDpi="4294967292" verticalDpi="4294967292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C0F4-AD9C-2E48-BFEA-B8134620F21A}">
  <dimension ref="A1:K31"/>
  <sheetViews>
    <sheetView zoomScale="75" workbookViewId="0">
      <selection activeCell="B41" sqref="B41"/>
    </sheetView>
  </sheetViews>
  <sheetFormatPr baseColWidth="10" defaultColWidth="11.3984375" defaultRowHeight="13"/>
  <cols>
    <col min="1" max="1" width="13.796875" style="2" customWidth="1"/>
    <col min="2" max="2" width="14.796875" style="155" customWidth="1"/>
    <col min="3" max="3" width="14.796875" style="156" customWidth="1"/>
    <col min="4" max="4" width="14.796875" style="155" customWidth="1"/>
    <col min="5" max="5" width="14.796875" style="156" customWidth="1"/>
    <col min="6" max="6" width="14.796875" style="155" customWidth="1"/>
    <col min="7" max="7" width="14.796875" style="156" customWidth="1"/>
    <col min="8" max="8" width="7.3984375" style="2" customWidth="1"/>
    <col min="9" max="9" width="8" style="2" customWidth="1"/>
    <col min="10" max="10" width="7.796875" style="2" customWidth="1"/>
    <col min="11" max="11" width="9" style="2" customWidth="1"/>
    <col min="12" max="16384" width="11.3984375" style="2"/>
  </cols>
  <sheetData>
    <row r="1" spans="1:11" s="1" customFormat="1" ht="14.25" customHeight="1">
      <c r="A1" s="134"/>
      <c r="B1" s="135"/>
      <c r="C1" s="136"/>
      <c r="D1" s="137"/>
      <c r="E1" s="136"/>
      <c r="F1" s="137"/>
      <c r="G1" s="136"/>
    </row>
    <row r="2" spans="1:11" s="1" customFormat="1" ht="43.5" customHeight="1">
      <c r="A2" s="1807" t="s">
        <v>2259</v>
      </c>
      <c r="B2" s="1804"/>
      <c r="C2" s="1804"/>
      <c r="D2" s="1804"/>
      <c r="E2" s="1804"/>
      <c r="F2" s="1804"/>
      <c r="G2" s="275">
        <v>2007</v>
      </c>
    </row>
    <row r="3" spans="1:11" ht="27" customHeight="1">
      <c r="A3" s="110" t="s">
        <v>868</v>
      </c>
      <c r="B3" s="139" t="s">
        <v>869</v>
      </c>
      <c r="C3" s="112" t="s">
        <v>1801</v>
      </c>
      <c r="D3" s="139" t="s">
        <v>871</v>
      </c>
      <c r="E3" s="112" t="s">
        <v>1801</v>
      </c>
      <c r="F3" s="139" t="s">
        <v>629</v>
      </c>
      <c r="G3" s="112" t="s">
        <v>1801</v>
      </c>
    </row>
    <row r="4" spans="1:11" ht="15" customHeight="1">
      <c r="A4" s="113"/>
      <c r="B4" s="140"/>
      <c r="C4" s="115" t="s">
        <v>1802</v>
      </c>
      <c r="D4" s="140"/>
      <c r="E4" s="115" t="s">
        <v>1802</v>
      </c>
      <c r="F4" s="140"/>
      <c r="G4" s="115" t="s">
        <v>1802</v>
      </c>
    </row>
    <row r="5" spans="1:11" ht="15" customHeight="1">
      <c r="A5" s="113"/>
      <c r="B5" s="140"/>
      <c r="C5" s="115" t="s">
        <v>1806</v>
      </c>
      <c r="D5" s="140"/>
      <c r="E5" s="115" t="s">
        <v>1806</v>
      </c>
      <c r="F5" s="140"/>
      <c r="G5" s="115" t="s">
        <v>1806</v>
      </c>
    </row>
    <row r="6" spans="1:11" ht="19.5" customHeight="1">
      <c r="A6" s="117"/>
      <c r="B6" s="141"/>
      <c r="C6" s="119"/>
      <c r="D6" s="141"/>
      <c r="E6" s="119"/>
      <c r="F6" s="141"/>
      <c r="G6" s="119"/>
    </row>
    <row r="7" spans="1:11" ht="30" customHeight="1" thickBot="1">
      <c r="A7" s="122" t="s">
        <v>873</v>
      </c>
      <c r="B7" s="142">
        <v>76.198356857838192</v>
      </c>
      <c r="C7" s="143">
        <v>5.8798836794039494E-2</v>
      </c>
      <c r="D7" s="142">
        <v>72.885860636890243</v>
      </c>
      <c r="E7" s="143">
        <v>6.1009122488364785E-2</v>
      </c>
      <c r="F7" s="142">
        <v>74.583517679839957</v>
      </c>
      <c r="G7" s="143">
        <v>5.9840634498349365E-2</v>
      </c>
      <c r="I7" s="98"/>
      <c r="J7" s="98"/>
      <c r="K7" s="98"/>
    </row>
    <row r="8" spans="1:11" ht="20" customHeight="1" thickBot="1">
      <c r="A8" s="127" t="s">
        <v>874</v>
      </c>
      <c r="B8" s="144">
        <v>72.579775807533068</v>
      </c>
      <c r="C8" s="145">
        <v>2.3992335696197703E-4</v>
      </c>
      <c r="D8" s="144">
        <v>124.12743923845242</v>
      </c>
      <c r="E8" s="145">
        <v>1.4915316392846288E-2</v>
      </c>
      <c r="F8" s="144">
        <v>98.42485168758202</v>
      </c>
      <c r="G8" s="145">
        <v>1.0959279484561105E-2</v>
      </c>
      <c r="I8" s="98"/>
      <c r="J8" s="98"/>
      <c r="K8" s="98"/>
    </row>
    <row r="9" spans="1:11" ht="20" customHeight="1" thickBot="1">
      <c r="A9" s="127" t="s">
        <v>875</v>
      </c>
      <c r="B9" s="144">
        <v>78.679397131685462</v>
      </c>
      <c r="C9" s="145">
        <v>-5.684136270294282E-3</v>
      </c>
      <c r="D9" s="144">
        <v>173.78670192790912</v>
      </c>
      <c r="E9" s="145">
        <v>1.2627405811439289E-2</v>
      </c>
      <c r="F9" s="144">
        <v>126.1250648282645</v>
      </c>
      <c r="G9" s="145">
        <v>6.2266134858546618E-3</v>
      </c>
      <c r="I9" s="98"/>
      <c r="J9" s="98"/>
      <c r="K9" s="98"/>
    </row>
    <row r="10" spans="1:11" ht="20" customHeight="1" thickBot="1">
      <c r="A10" s="127" t="s">
        <v>876</v>
      </c>
      <c r="B10" s="144">
        <v>93.984094322073091</v>
      </c>
      <c r="C10" s="145">
        <v>6.6342910829144614E-3</v>
      </c>
      <c r="D10" s="144">
        <v>204.43629090419424</v>
      </c>
      <c r="E10" s="145">
        <v>2.7005383799457855E-2</v>
      </c>
      <c r="F10" s="144">
        <v>149.30097606462832</v>
      </c>
      <c r="G10" s="145">
        <v>2.0528690882501293E-2</v>
      </c>
      <c r="I10" s="98"/>
      <c r="J10" s="98"/>
      <c r="K10" s="98"/>
    </row>
    <row r="11" spans="1:11" ht="20" customHeight="1" thickBot="1">
      <c r="A11" s="127" t="s">
        <v>877</v>
      </c>
      <c r="B11" s="144">
        <v>111.77544579846688</v>
      </c>
      <c r="C11" s="145">
        <v>1.3893375061815361E-2</v>
      </c>
      <c r="D11" s="144">
        <v>193.7516571930048</v>
      </c>
      <c r="E11" s="145">
        <v>3.7889177399960158E-2</v>
      </c>
      <c r="F11" s="144">
        <v>152.79824706232711</v>
      </c>
      <c r="G11" s="145">
        <v>2.9240004238261643E-2</v>
      </c>
      <c r="I11" s="98"/>
      <c r="J11" s="98"/>
      <c r="K11" s="98"/>
    </row>
    <row r="12" spans="1:11" ht="20" customHeight="1" thickBot="1">
      <c r="A12" s="127" t="s">
        <v>878</v>
      </c>
      <c r="B12" s="144">
        <v>134.17584010690598</v>
      </c>
      <c r="C12" s="145">
        <v>1.7307129813454322E-2</v>
      </c>
      <c r="D12" s="144">
        <v>192.66518298869494</v>
      </c>
      <c r="E12" s="145">
        <v>3.5538666798168562E-2</v>
      </c>
      <c r="F12" s="144">
        <v>163.06142989446511</v>
      </c>
      <c r="G12" s="145">
        <v>2.7774719808115068E-2</v>
      </c>
      <c r="I12" s="98"/>
      <c r="J12" s="98"/>
      <c r="K12" s="98"/>
    </row>
    <row r="13" spans="1:11" ht="20" customHeight="1" thickBot="1">
      <c r="A13" s="127" t="s">
        <v>879</v>
      </c>
      <c r="B13" s="144">
        <v>165.17091903306667</v>
      </c>
      <c r="C13" s="145">
        <v>1.714753524507092E-2</v>
      </c>
      <c r="D13" s="144">
        <v>218.00338323153491</v>
      </c>
      <c r="E13" s="145">
        <v>1.7356339027201659E-2</v>
      </c>
      <c r="F13" s="144">
        <v>191.28824206562109</v>
      </c>
      <c r="G13" s="145">
        <v>1.7586309398443405E-2</v>
      </c>
      <c r="I13" s="98"/>
      <c r="J13" s="98"/>
      <c r="K13" s="98"/>
    </row>
    <row r="14" spans="1:11" ht="20" customHeight="1" thickBot="1">
      <c r="A14" s="127" t="s">
        <v>880</v>
      </c>
      <c r="B14" s="144">
        <v>212.55248870204525</v>
      </c>
      <c r="C14" s="145">
        <v>2.328291302304283E-2</v>
      </c>
      <c r="D14" s="144">
        <v>261.98580851888403</v>
      </c>
      <c r="E14" s="145">
        <v>4.1867359824447975E-2</v>
      </c>
      <c r="F14" s="144">
        <v>237.09675400418172</v>
      </c>
      <c r="G14" s="145">
        <v>3.3103911268541286E-2</v>
      </c>
      <c r="I14" s="98"/>
      <c r="J14" s="98"/>
      <c r="K14" s="98"/>
    </row>
    <row r="15" spans="1:11" ht="20" customHeight="1" thickBot="1">
      <c r="A15" s="127" t="s">
        <v>881</v>
      </c>
      <c r="B15" s="144">
        <v>275.1200398262643</v>
      </c>
      <c r="C15" s="145">
        <v>2.0345279541092873E-2</v>
      </c>
      <c r="D15" s="144">
        <v>298.69671971953733</v>
      </c>
      <c r="E15" s="145">
        <v>1.701670519270693E-2</v>
      </c>
      <c r="F15" s="144">
        <v>286.94106414802508</v>
      </c>
      <c r="G15" s="145">
        <v>1.8602760399114012E-2</v>
      </c>
      <c r="I15" s="98"/>
      <c r="J15" s="98"/>
      <c r="K15" s="98"/>
    </row>
    <row r="16" spans="1:11" ht="20" customHeight="1" thickBot="1">
      <c r="A16" s="127" t="s">
        <v>882</v>
      </c>
      <c r="B16" s="144">
        <v>358.68340899198785</v>
      </c>
      <c r="C16" s="145">
        <v>4.9377884469500324E-2</v>
      </c>
      <c r="D16" s="144">
        <v>360.50031334354372</v>
      </c>
      <c r="E16" s="145">
        <v>3.4767957806123746E-2</v>
      </c>
      <c r="F16" s="144">
        <v>359.60440632396978</v>
      </c>
      <c r="G16" s="145">
        <v>4.1884527089527467E-2</v>
      </c>
      <c r="I16" s="98"/>
      <c r="J16" s="98"/>
      <c r="K16" s="98"/>
    </row>
    <row r="17" spans="1:11" ht="20" customHeight="1" thickBot="1">
      <c r="A17" s="127" t="s">
        <v>883</v>
      </c>
      <c r="B17" s="144">
        <v>446.05334891466487</v>
      </c>
      <c r="C17" s="145">
        <v>4.0599396392685276E-2</v>
      </c>
      <c r="D17" s="144">
        <v>427.91193474074367</v>
      </c>
      <c r="E17" s="145">
        <v>3.7682382039550225E-2</v>
      </c>
      <c r="F17" s="144">
        <v>436.45739658262028</v>
      </c>
      <c r="G17" s="145">
        <v>3.9185518301833012E-2</v>
      </c>
      <c r="I17" s="98"/>
      <c r="J17" s="98"/>
      <c r="K17" s="98"/>
    </row>
    <row r="18" spans="1:11" ht="20" customHeight="1" thickBot="1">
      <c r="A18" s="127" t="s">
        <v>884</v>
      </c>
      <c r="B18" s="144">
        <v>558.06311353173828</v>
      </c>
      <c r="C18" s="145">
        <v>3.9451289489583576E-2</v>
      </c>
      <c r="D18" s="144">
        <v>527.88814707626966</v>
      </c>
      <c r="E18" s="145">
        <v>4.2738477008379315E-2</v>
      </c>
      <c r="F18" s="144">
        <v>541.42787198214353</v>
      </c>
      <c r="G18" s="145">
        <v>4.1337373881433541E-2</v>
      </c>
      <c r="I18" s="98"/>
      <c r="J18" s="98"/>
      <c r="K18" s="98"/>
    </row>
    <row r="19" spans="1:11" ht="20" customHeight="1" thickBot="1">
      <c r="A19" s="127" t="s">
        <v>885</v>
      </c>
      <c r="B19" s="144">
        <v>672.34169944817791</v>
      </c>
      <c r="C19" s="145">
        <v>3.9397156938591749E-2</v>
      </c>
      <c r="D19" s="144">
        <v>647.35885012688141</v>
      </c>
      <c r="E19" s="145">
        <v>3.7814156772600402E-2</v>
      </c>
      <c r="F19" s="144">
        <v>657.64948379292639</v>
      </c>
      <c r="G19" s="145">
        <v>3.8644020558600646E-2</v>
      </c>
      <c r="I19" s="98"/>
      <c r="J19" s="98"/>
      <c r="K19" s="98"/>
    </row>
    <row r="20" spans="1:11" ht="20" customHeight="1" thickBot="1">
      <c r="A20" s="127" t="s">
        <v>886</v>
      </c>
      <c r="B20" s="144">
        <v>789.00440686532374</v>
      </c>
      <c r="C20" s="145">
        <v>4.2771871325069689E-2</v>
      </c>
      <c r="D20" s="144">
        <v>822.51081371951943</v>
      </c>
      <c r="E20" s="145">
        <v>3.2568192836804254E-2</v>
      </c>
      <c r="F20" s="144">
        <v>810.22620823642865</v>
      </c>
      <c r="G20" s="145">
        <v>3.6088670462424095E-2</v>
      </c>
      <c r="I20" s="98"/>
      <c r="J20" s="98"/>
      <c r="K20" s="98"/>
    </row>
    <row r="21" spans="1:11" ht="20" customHeight="1" thickBot="1">
      <c r="A21" s="127" t="s">
        <v>887</v>
      </c>
      <c r="B21" s="144">
        <v>940.40394687915011</v>
      </c>
      <c r="C21" s="145">
        <v>2.8758347973389102E-2</v>
      </c>
      <c r="D21" s="144">
        <v>1080.5763353828784</v>
      </c>
      <c r="E21" s="145">
        <v>2.4729693960132502E-2</v>
      </c>
      <c r="F21" s="144">
        <v>1035.1987100779354</v>
      </c>
      <c r="G21" s="145">
        <v>2.5707295277536221E-2</v>
      </c>
      <c r="I21" s="98"/>
      <c r="J21" s="98"/>
      <c r="K21" s="98"/>
    </row>
    <row r="22" spans="1:11" ht="20" customHeight="1" thickBot="1">
      <c r="A22" s="127" t="s">
        <v>888</v>
      </c>
      <c r="B22" s="144">
        <v>1209.42127758127</v>
      </c>
      <c r="C22" s="145">
        <v>2.6427809237994128E-2</v>
      </c>
      <c r="D22" s="144">
        <v>1505.5481789233697</v>
      </c>
      <c r="E22" s="145">
        <v>2.9125568495668035E-2</v>
      </c>
      <c r="F22" s="144">
        <v>1431.1404671717169</v>
      </c>
      <c r="G22" s="145">
        <v>2.7625858196518555E-2</v>
      </c>
      <c r="I22" s="98"/>
      <c r="J22" s="98"/>
      <c r="K22" s="98"/>
    </row>
    <row r="23" spans="1:11" s="148" customFormat="1" ht="21" customHeight="1" thickBot="1">
      <c r="A23" s="129" t="s">
        <v>629</v>
      </c>
      <c r="B23" s="146">
        <v>202.40846145946853</v>
      </c>
      <c r="C23" s="147">
        <v>4.2380456441438424E-2</v>
      </c>
      <c r="D23" s="146">
        <v>273.10538402032938</v>
      </c>
      <c r="E23" s="147">
        <v>3.9111274997160959E-2</v>
      </c>
      <c r="F23" s="146">
        <v>238.45605630876764</v>
      </c>
      <c r="G23" s="147">
        <v>4.0479970224854514E-2</v>
      </c>
      <c r="I23" s="149"/>
      <c r="J23" s="149"/>
      <c r="K23" s="149"/>
    </row>
    <row r="24" spans="1:11" ht="20" customHeight="1">
      <c r="A24" s="133" t="s">
        <v>1709</v>
      </c>
      <c r="B24" s="150"/>
      <c r="C24" s="151"/>
      <c r="D24" s="150"/>
      <c r="E24" s="151"/>
      <c r="F24" s="150"/>
      <c r="G24" s="151"/>
    </row>
    <row r="25" spans="1:11" ht="12.75" customHeight="1">
      <c r="A25" s="3"/>
      <c r="B25" s="152"/>
      <c r="C25" s="153"/>
      <c r="D25" s="152"/>
      <c r="E25" s="153"/>
      <c r="F25" s="152"/>
      <c r="G25" s="153"/>
    </row>
    <row r="26" spans="1:11" ht="13.5" customHeight="1">
      <c r="A26" s="3" t="s">
        <v>1833</v>
      </c>
      <c r="B26" s="152"/>
      <c r="C26" s="153"/>
      <c r="D26" s="152"/>
      <c r="E26" s="153"/>
      <c r="F26" s="152"/>
      <c r="G26" s="153"/>
    </row>
    <row r="28" spans="1:11" ht="15.75" customHeight="1">
      <c r="A28" s="289" t="s">
        <v>2258</v>
      </c>
      <c r="B28" s="152"/>
      <c r="C28" s="153"/>
      <c r="D28" s="152"/>
      <c r="E28" s="153"/>
      <c r="F28" s="152"/>
      <c r="G28" s="153"/>
    </row>
    <row r="29" spans="1:11" ht="12" customHeight="1">
      <c r="B29" s="148"/>
      <c r="C29" s="2"/>
      <c r="D29" s="2"/>
      <c r="E29" s="2"/>
      <c r="F29" s="148"/>
      <c r="G29" s="290"/>
    </row>
    <row r="30" spans="1:11" ht="13.5" customHeight="1">
      <c r="A30" s="289"/>
      <c r="B30" s="152"/>
      <c r="C30" s="153"/>
      <c r="D30" s="152"/>
      <c r="E30" s="153"/>
      <c r="F30" s="152"/>
      <c r="G30" s="153"/>
    </row>
    <row r="31" spans="1:11" ht="18" customHeight="1">
      <c r="A31" s="3" t="s">
        <v>634</v>
      </c>
    </row>
  </sheetData>
  <mergeCells count="1">
    <mergeCell ref="A2:F2"/>
  </mergeCells>
  <phoneticPr fontId="0" type="noConversion"/>
  <pageMargins left="0.6" right="0.56999999999999995" top="0.78" bottom="0.49" header="0.38" footer="0.4921259845"/>
  <pageSetup paperSize="9" scale="80" orientation="portrait" horizontalDpi="1200" verticalDpi="12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7511-8E5E-1044-98B7-A32FA5163908}">
  <dimension ref="A1:I42"/>
  <sheetViews>
    <sheetView zoomScale="75" workbookViewId="0">
      <selection activeCell="A40" sqref="A40"/>
    </sheetView>
  </sheetViews>
  <sheetFormatPr baseColWidth="10" defaultColWidth="11.3984375" defaultRowHeight="13"/>
  <cols>
    <col min="1" max="3" width="14.796875" style="2" customWidth="1"/>
    <col min="4" max="4" width="15.796875" style="2" customWidth="1"/>
    <col min="5" max="5" width="15.59765625" style="2" customWidth="1"/>
    <col min="6" max="6" width="16.19921875" style="2" customWidth="1"/>
    <col min="7" max="7" width="14.796875" style="156" customWidth="1"/>
    <col min="8" max="8" width="11.3984375" style="2"/>
    <col min="9" max="9" width="15.19921875" style="2" hidden="1" customWidth="1"/>
    <col min="10" max="16384" width="11.3984375" style="2"/>
  </cols>
  <sheetData>
    <row r="1" spans="1:9" s="1" customFormat="1" ht="14" customHeight="1">
      <c r="G1" s="136"/>
    </row>
    <row r="2" spans="1:9" s="1" customFormat="1" ht="28" customHeight="1">
      <c r="A2" s="109" t="s">
        <v>154</v>
      </c>
      <c r="G2" s="109">
        <v>2007</v>
      </c>
    </row>
    <row r="3" spans="1:9" ht="27" customHeight="1">
      <c r="A3" s="110" t="s">
        <v>1797</v>
      </c>
      <c r="B3" s="111" t="s">
        <v>1798</v>
      </c>
      <c r="C3" s="112" t="s">
        <v>891</v>
      </c>
      <c r="D3" s="111" t="s">
        <v>892</v>
      </c>
      <c r="E3" s="112" t="s">
        <v>629</v>
      </c>
      <c r="F3" s="111" t="s">
        <v>629</v>
      </c>
      <c r="G3" s="112" t="s">
        <v>1801</v>
      </c>
    </row>
    <row r="4" spans="1:9" ht="15" customHeight="1">
      <c r="A4" s="113"/>
      <c r="B4" s="114"/>
      <c r="C4" s="113"/>
      <c r="D4" s="116"/>
      <c r="E4" s="115" t="s">
        <v>893</v>
      </c>
      <c r="F4" s="114" t="s">
        <v>894</v>
      </c>
      <c r="G4" s="115" t="s">
        <v>1802</v>
      </c>
    </row>
    <row r="5" spans="1:9" ht="15" customHeight="1">
      <c r="A5" s="113"/>
      <c r="B5" s="114"/>
      <c r="C5" s="113"/>
      <c r="D5" s="116"/>
      <c r="E5" s="115" t="s">
        <v>895</v>
      </c>
      <c r="F5" s="114" t="s">
        <v>1800</v>
      </c>
      <c r="G5" s="115" t="s">
        <v>1806</v>
      </c>
    </row>
    <row r="6" spans="1:9" ht="24" customHeight="1">
      <c r="A6" s="117"/>
      <c r="B6" s="118"/>
      <c r="C6" s="117"/>
      <c r="D6" s="118"/>
      <c r="E6" s="119"/>
      <c r="F6" s="120"/>
      <c r="G6" s="119"/>
    </row>
    <row r="7" spans="1:9" ht="30" customHeight="1" thickBot="1">
      <c r="A7" s="122" t="s">
        <v>1807</v>
      </c>
      <c r="B7" s="172">
        <v>204304187</v>
      </c>
      <c r="C7" s="173">
        <v>1152431654</v>
      </c>
      <c r="D7" s="172">
        <v>1723333872</v>
      </c>
      <c r="E7" s="173">
        <v>2875765526</v>
      </c>
      <c r="F7" s="172">
        <v>3080069713</v>
      </c>
      <c r="G7" s="143">
        <v>5.4366352260447288E-2</v>
      </c>
      <c r="I7" s="8">
        <v>2156035045</v>
      </c>
    </row>
    <row r="8" spans="1:9" ht="20" customHeight="1" thickBot="1">
      <c r="A8" s="127" t="s">
        <v>1808</v>
      </c>
      <c r="B8" s="174">
        <v>129431256</v>
      </c>
      <c r="C8" s="175">
        <v>996587965</v>
      </c>
      <c r="D8" s="174">
        <v>1436161130</v>
      </c>
      <c r="E8" s="175">
        <v>2432749095</v>
      </c>
      <c r="F8" s="174">
        <v>2562180351</v>
      </c>
      <c r="G8" s="145">
        <v>5.1371929079210656E-2</v>
      </c>
      <c r="I8" s="8">
        <v>1563935884</v>
      </c>
    </row>
    <row r="9" spans="1:9" ht="20" customHeight="1" thickBot="1">
      <c r="A9" s="127" t="s">
        <v>1809</v>
      </c>
      <c r="B9" s="174">
        <v>45565037</v>
      </c>
      <c r="C9" s="175">
        <v>282595391</v>
      </c>
      <c r="D9" s="174">
        <v>407973436</v>
      </c>
      <c r="E9" s="175">
        <v>690568827</v>
      </c>
      <c r="F9" s="174">
        <v>736133864</v>
      </c>
      <c r="G9" s="145">
        <v>6.0994911353117513E-2</v>
      </c>
      <c r="I9" s="8">
        <v>464604355</v>
      </c>
    </row>
    <row r="10" spans="1:9" ht="20" customHeight="1" thickBot="1">
      <c r="A10" s="127" t="s">
        <v>1810</v>
      </c>
      <c r="B10" s="174">
        <v>4693891</v>
      </c>
      <c r="C10" s="175">
        <v>28226174</v>
      </c>
      <c r="D10" s="174">
        <v>37115748</v>
      </c>
      <c r="E10" s="175">
        <v>65341922</v>
      </c>
      <c r="F10" s="174">
        <v>70035813</v>
      </c>
      <c r="G10" s="145">
        <v>7.1439124078278168E-2</v>
      </c>
      <c r="I10" s="8">
        <v>45901795</v>
      </c>
    </row>
    <row r="11" spans="1:9" ht="20" customHeight="1" thickBot="1">
      <c r="A11" s="127" t="s">
        <v>1811</v>
      </c>
      <c r="B11" s="174">
        <v>22380243</v>
      </c>
      <c r="C11" s="175">
        <v>109289110</v>
      </c>
      <c r="D11" s="174">
        <v>150209485</v>
      </c>
      <c r="E11" s="175">
        <v>259498595</v>
      </c>
      <c r="F11" s="174">
        <v>281878838</v>
      </c>
      <c r="G11" s="145">
        <v>5.7884453629193824E-2</v>
      </c>
      <c r="I11" s="8">
        <v>171549320</v>
      </c>
    </row>
    <row r="12" spans="1:9" ht="20" customHeight="1" thickBot="1">
      <c r="A12" s="127" t="s">
        <v>1812</v>
      </c>
      <c r="B12" s="174">
        <v>4874357</v>
      </c>
      <c r="C12" s="175">
        <v>25177388</v>
      </c>
      <c r="D12" s="174">
        <v>36834096</v>
      </c>
      <c r="E12" s="175">
        <v>62011484</v>
      </c>
      <c r="F12" s="174">
        <v>66885841</v>
      </c>
      <c r="G12" s="145">
        <v>9.4557661320445255E-2</v>
      </c>
      <c r="I12" s="8">
        <v>41764939</v>
      </c>
    </row>
    <row r="13" spans="1:9" ht="20" customHeight="1" thickBot="1">
      <c r="A13" s="127" t="s">
        <v>1813</v>
      </c>
      <c r="B13" s="174">
        <v>4794032</v>
      </c>
      <c r="C13" s="175">
        <v>28923732</v>
      </c>
      <c r="D13" s="174">
        <v>39700586</v>
      </c>
      <c r="E13" s="175">
        <v>68624318</v>
      </c>
      <c r="F13" s="174">
        <v>73418350</v>
      </c>
      <c r="G13" s="145">
        <v>9.2404922033091294E-2</v>
      </c>
      <c r="I13" s="8">
        <v>44323506</v>
      </c>
    </row>
    <row r="14" spans="1:9" ht="20" customHeight="1" thickBot="1">
      <c r="A14" s="127" t="s">
        <v>1814</v>
      </c>
      <c r="B14" s="174">
        <v>6106052</v>
      </c>
      <c r="C14" s="175">
        <v>29782962</v>
      </c>
      <c r="D14" s="174">
        <v>41416022</v>
      </c>
      <c r="E14" s="175">
        <v>71198984</v>
      </c>
      <c r="F14" s="174">
        <v>77305036</v>
      </c>
      <c r="G14" s="145">
        <v>3.0080055857882197E-2</v>
      </c>
      <c r="I14" s="8">
        <v>55927154</v>
      </c>
    </row>
    <row r="15" spans="1:9" ht="20" customHeight="1" thickBot="1">
      <c r="A15" s="127" t="s">
        <v>1815</v>
      </c>
      <c r="B15" s="174">
        <v>14798510</v>
      </c>
      <c r="C15" s="175">
        <v>79657157</v>
      </c>
      <c r="D15" s="174">
        <v>120834138</v>
      </c>
      <c r="E15" s="175">
        <v>200491295</v>
      </c>
      <c r="F15" s="174">
        <v>215289805</v>
      </c>
      <c r="G15" s="145">
        <v>8.5322425795265444E-2</v>
      </c>
      <c r="I15" s="8">
        <v>128772453</v>
      </c>
    </row>
    <row r="16" spans="1:9" ht="20" customHeight="1" thickBot="1">
      <c r="A16" s="127" t="s">
        <v>1816</v>
      </c>
      <c r="B16" s="174">
        <v>45348173</v>
      </c>
      <c r="C16" s="175">
        <v>225054678</v>
      </c>
      <c r="D16" s="174">
        <v>324969892</v>
      </c>
      <c r="E16" s="175">
        <v>550024570</v>
      </c>
      <c r="F16" s="174">
        <v>595372743</v>
      </c>
      <c r="G16" s="145">
        <v>5.2621141863910773E-2</v>
      </c>
      <c r="I16" s="8">
        <v>391250033</v>
      </c>
    </row>
    <row r="17" spans="1:9" ht="20" customHeight="1" thickBot="1">
      <c r="A17" s="127" t="s">
        <v>1817</v>
      </c>
      <c r="B17" s="174">
        <v>37773452</v>
      </c>
      <c r="C17" s="175">
        <v>235893576</v>
      </c>
      <c r="D17" s="174">
        <v>318665909</v>
      </c>
      <c r="E17" s="175">
        <v>554559485</v>
      </c>
      <c r="F17" s="174">
        <v>592332937</v>
      </c>
      <c r="G17" s="145">
        <v>5.5868099357164316E-2</v>
      </c>
      <c r="I17" s="8">
        <v>393696828</v>
      </c>
    </row>
    <row r="18" spans="1:9" ht="20" customHeight="1" thickBot="1">
      <c r="A18" s="127" t="s">
        <v>1818</v>
      </c>
      <c r="B18" s="174">
        <v>31617391</v>
      </c>
      <c r="C18" s="175">
        <v>227629151</v>
      </c>
      <c r="D18" s="174">
        <v>362515405</v>
      </c>
      <c r="E18" s="175">
        <v>590144556</v>
      </c>
      <c r="F18" s="174">
        <v>621761947</v>
      </c>
      <c r="G18" s="145">
        <v>4.0154700511640384E-2</v>
      </c>
      <c r="I18" s="8">
        <v>473520714</v>
      </c>
    </row>
    <row r="19" spans="1:9" ht="20" customHeight="1" thickBot="1">
      <c r="A19" s="127" t="s">
        <v>1819</v>
      </c>
      <c r="B19" s="174">
        <v>45551048</v>
      </c>
      <c r="C19" s="175">
        <v>259880211</v>
      </c>
      <c r="D19" s="174">
        <v>375163120</v>
      </c>
      <c r="E19" s="175">
        <v>635043331</v>
      </c>
      <c r="F19" s="174">
        <v>680594379</v>
      </c>
      <c r="G19" s="145">
        <v>5.6316942883386303E-2</v>
      </c>
      <c r="I19" s="8">
        <v>469771093</v>
      </c>
    </row>
    <row r="20" spans="1:9" ht="20" customHeight="1" thickBot="1">
      <c r="A20" s="127" t="s">
        <v>1820</v>
      </c>
      <c r="B20" s="174">
        <v>9847289</v>
      </c>
      <c r="C20" s="175">
        <v>63566477</v>
      </c>
      <c r="D20" s="174">
        <v>99256810</v>
      </c>
      <c r="E20" s="175">
        <v>162823287</v>
      </c>
      <c r="F20" s="174">
        <v>172670576</v>
      </c>
      <c r="G20" s="145">
        <v>4.473240382328552E-2</v>
      </c>
      <c r="I20" s="8">
        <v>127694959</v>
      </c>
    </row>
    <row r="21" spans="1:9" ht="20" customHeight="1" thickBot="1">
      <c r="A21" s="127" t="s">
        <v>1821</v>
      </c>
      <c r="B21" s="174">
        <v>6775652</v>
      </c>
      <c r="C21" s="175">
        <v>37914172</v>
      </c>
      <c r="D21" s="174">
        <v>53178542</v>
      </c>
      <c r="E21" s="175">
        <v>91092714</v>
      </c>
      <c r="F21" s="174">
        <v>97868366</v>
      </c>
      <c r="G21" s="145">
        <v>5.5461382905911967E-2</v>
      </c>
      <c r="I21" s="8">
        <v>69489100</v>
      </c>
    </row>
    <row r="22" spans="1:9" ht="20" customHeight="1" thickBot="1">
      <c r="A22" s="127" t="s">
        <v>1822</v>
      </c>
      <c r="B22" s="174">
        <v>2150170</v>
      </c>
      <c r="C22" s="175">
        <v>9638449</v>
      </c>
      <c r="D22" s="174">
        <v>12020914</v>
      </c>
      <c r="E22" s="175">
        <v>21659363</v>
      </c>
      <c r="F22" s="174">
        <v>23809533</v>
      </c>
      <c r="G22" s="145">
        <v>1.7252574626616977E-2</v>
      </c>
      <c r="I22" s="8">
        <v>16712649</v>
      </c>
    </row>
    <row r="23" spans="1:9" ht="20" customHeight="1" thickBot="1">
      <c r="A23" s="127" t="s">
        <v>1823</v>
      </c>
      <c r="B23" s="174">
        <v>69381578</v>
      </c>
      <c r="C23" s="175">
        <v>350264741</v>
      </c>
      <c r="D23" s="174">
        <v>500642978</v>
      </c>
      <c r="E23" s="175">
        <v>850907719</v>
      </c>
      <c r="F23" s="174">
        <v>920289297</v>
      </c>
      <c r="G23" s="145">
        <v>5.1255451779023291E-2</v>
      </c>
      <c r="I23" s="8">
        <v>615853738</v>
      </c>
    </row>
    <row r="24" spans="1:9" ht="20" customHeight="1" thickBot="1">
      <c r="A24" s="127" t="s">
        <v>1824</v>
      </c>
      <c r="B24" s="174">
        <v>27800051</v>
      </c>
      <c r="C24" s="175">
        <v>155500445</v>
      </c>
      <c r="D24" s="174">
        <v>227627163</v>
      </c>
      <c r="E24" s="175">
        <v>383127608</v>
      </c>
      <c r="F24" s="174">
        <v>410927659</v>
      </c>
      <c r="G24" s="145">
        <v>8.3210796275605209E-2</v>
      </c>
      <c r="I24" s="8">
        <v>264690646</v>
      </c>
    </row>
    <row r="25" spans="1:9" ht="20" customHeight="1" thickBot="1">
      <c r="A25" s="127" t="s">
        <v>1825</v>
      </c>
      <c r="B25" s="174">
        <v>90172307</v>
      </c>
      <c r="C25" s="175">
        <v>489053631</v>
      </c>
      <c r="D25" s="174">
        <v>677042190</v>
      </c>
      <c r="E25" s="175">
        <v>1166095821</v>
      </c>
      <c r="F25" s="174">
        <v>1256268128</v>
      </c>
      <c r="G25" s="145">
        <v>4.2712537104872647E-2</v>
      </c>
      <c r="I25" s="8">
        <v>819222625</v>
      </c>
    </row>
    <row r="26" spans="1:9" ht="20" customHeight="1" thickBot="1">
      <c r="A26" s="127" t="s">
        <v>1826</v>
      </c>
      <c r="B26" s="174">
        <v>36907028</v>
      </c>
      <c r="C26" s="175">
        <v>190339788</v>
      </c>
      <c r="D26" s="174">
        <v>262661335</v>
      </c>
      <c r="E26" s="175">
        <v>453001123</v>
      </c>
      <c r="F26" s="174">
        <v>489908151</v>
      </c>
      <c r="G26" s="145">
        <v>6.1374882537392761E-2</v>
      </c>
      <c r="I26" s="8">
        <v>344655658</v>
      </c>
    </row>
    <row r="27" spans="1:9" ht="20" customHeight="1" thickBot="1">
      <c r="A27" s="127" t="s">
        <v>1827</v>
      </c>
      <c r="B27" s="174">
        <v>48114937</v>
      </c>
      <c r="C27" s="175">
        <v>360220897</v>
      </c>
      <c r="D27" s="174">
        <v>510779647</v>
      </c>
      <c r="E27" s="175">
        <v>871000544</v>
      </c>
      <c r="F27" s="174">
        <v>919115481</v>
      </c>
      <c r="G27" s="145">
        <v>3.3995208719481737E-2</v>
      </c>
      <c r="I27" s="8">
        <v>627641817</v>
      </c>
    </row>
    <row r="28" spans="1:9" ht="20" customHeight="1" thickBot="1">
      <c r="A28" s="127" t="s">
        <v>1828</v>
      </c>
      <c r="B28" s="174">
        <v>134936668</v>
      </c>
      <c r="C28" s="175">
        <v>666034764</v>
      </c>
      <c r="D28" s="174">
        <v>1025676801</v>
      </c>
      <c r="E28" s="175">
        <v>1691711565</v>
      </c>
      <c r="F28" s="174">
        <v>1826648233</v>
      </c>
      <c r="G28" s="145">
        <v>2.8188745558093954E-2</v>
      </c>
      <c r="I28" s="8">
        <v>1280335377</v>
      </c>
    </row>
    <row r="29" spans="1:9" ht="20" customHeight="1" thickBot="1">
      <c r="A29" s="127" t="s">
        <v>1829</v>
      </c>
      <c r="B29" s="174">
        <v>43250200</v>
      </c>
      <c r="C29" s="175">
        <v>262195166</v>
      </c>
      <c r="D29" s="174">
        <v>359545502</v>
      </c>
      <c r="E29" s="175">
        <v>621740668</v>
      </c>
      <c r="F29" s="174">
        <v>664990868</v>
      </c>
      <c r="G29" s="145">
        <v>5.0230985763309137E-2</v>
      </c>
      <c r="I29" s="8">
        <v>410743307</v>
      </c>
    </row>
    <row r="30" spans="1:9" ht="20" customHeight="1" thickBot="1">
      <c r="A30" s="127" t="s">
        <v>1830</v>
      </c>
      <c r="B30" s="174">
        <v>26614732</v>
      </c>
      <c r="C30" s="175">
        <v>160563739</v>
      </c>
      <c r="D30" s="174">
        <v>247976130</v>
      </c>
      <c r="E30" s="175">
        <v>408539869</v>
      </c>
      <c r="F30" s="174">
        <v>435154601</v>
      </c>
      <c r="G30" s="145">
        <v>-2.8639442872394798E-3</v>
      </c>
      <c r="I30" s="8">
        <v>318756043</v>
      </c>
    </row>
    <row r="31" spans="1:9" ht="20" customHeight="1" thickBot="1">
      <c r="A31" s="127" t="s">
        <v>1831</v>
      </c>
      <c r="B31" s="174">
        <v>98653236</v>
      </c>
      <c r="C31" s="175">
        <v>467736989</v>
      </c>
      <c r="D31" s="174">
        <v>742098362</v>
      </c>
      <c r="E31" s="175">
        <v>1209835351</v>
      </c>
      <c r="F31" s="174">
        <v>1308488587</v>
      </c>
      <c r="G31" s="145">
        <v>1.8257245515622123E-2</v>
      </c>
      <c r="I31" s="8">
        <v>966736347</v>
      </c>
    </row>
    <row r="32" spans="1:9" ht="20" customHeight="1" thickBot="1">
      <c r="A32" s="128" t="s">
        <v>1832</v>
      </c>
      <c r="B32" s="174">
        <v>11976102</v>
      </c>
      <c r="C32" s="175">
        <v>68912037</v>
      </c>
      <c r="D32" s="174">
        <v>96382816</v>
      </c>
      <c r="E32" s="175">
        <v>165294853</v>
      </c>
      <c r="F32" s="174">
        <v>177270955</v>
      </c>
      <c r="G32" s="145">
        <v>5.6122576856810859E-2</v>
      </c>
      <c r="I32" s="8">
        <v>146808815</v>
      </c>
    </row>
    <row r="33" spans="1:9" ht="30" customHeight="1" thickBot="1">
      <c r="A33" s="129" t="s">
        <v>628</v>
      </c>
      <c r="B33" s="176">
        <v>1203817579</v>
      </c>
      <c r="C33" s="177">
        <v>6963070444</v>
      </c>
      <c r="D33" s="176">
        <v>10189782029</v>
      </c>
      <c r="E33" s="177">
        <v>17152852473</v>
      </c>
      <c r="F33" s="176">
        <v>18356670052</v>
      </c>
      <c r="G33" s="147">
        <v>4.6275169275423446E-2</v>
      </c>
      <c r="I33" s="8">
        <v>12410394200</v>
      </c>
    </row>
    <row r="34" spans="1:9" ht="20" customHeight="1">
      <c r="A34" s="133" t="s">
        <v>1709</v>
      </c>
      <c r="B34" s="133"/>
      <c r="C34" s="133"/>
      <c r="D34" s="133"/>
      <c r="E34" s="133"/>
      <c r="F34" s="133"/>
      <c r="G34" s="151"/>
    </row>
    <row r="35" spans="1:9" ht="12.75" customHeight="1">
      <c r="A35" s="3"/>
      <c r="B35" s="3"/>
      <c r="C35" s="3"/>
      <c r="D35" s="3"/>
      <c r="E35" s="3"/>
      <c r="F35" s="3"/>
      <c r="G35" s="153"/>
    </row>
    <row r="36" spans="1:9" ht="14.25" customHeight="1">
      <c r="A36" s="3" t="s">
        <v>1833</v>
      </c>
      <c r="B36" s="3"/>
      <c r="C36" s="3"/>
      <c r="D36" s="3"/>
      <c r="E36" s="3"/>
      <c r="F36" s="3"/>
      <c r="G36" s="153"/>
    </row>
    <row r="37" spans="1:9" ht="10.5" customHeight="1">
      <c r="A37" s="3"/>
      <c r="B37" s="3"/>
      <c r="C37" s="3"/>
      <c r="D37" s="3"/>
      <c r="E37" s="3"/>
      <c r="F37" s="3"/>
      <c r="G37" s="153"/>
    </row>
    <row r="38" spans="1:9" ht="15" customHeight="1">
      <c r="A38" s="3" t="s">
        <v>155</v>
      </c>
      <c r="B38" s="3"/>
      <c r="C38" s="3"/>
      <c r="D38" s="3"/>
      <c r="E38" s="3"/>
      <c r="F38" s="3"/>
      <c r="G38" s="153"/>
    </row>
    <row r="39" spans="1:9" ht="13.5" customHeight="1">
      <c r="A39" s="2" t="s">
        <v>153</v>
      </c>
    </row>
    <row r="40" spans="1:9" ht="12" customHeight="1"/>
    <row r="41" spans="1:9" ht="12" customHeight="1"/>
    <row r="42" spans="1:9" ht="12" customHeight="1">
      <c r="A42" s="3" t="s">
        <v>634</v>
      </c>
    </row>
  </sheetData>
  <phoneticPr fontId="0" type="noConversion"/>
  <pageMargins left="0.6" right="0.59" top="0.76" bottom="0.49" header="0.35" footer="0.4921259845"/>
  <pageSetup paperSize="9" scale="80" orientation="portrait" horizontalDpi="4294967292" verticalDpi="4294967292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C4C5-0B60-9B4D-9D20-E9B9186EDFE5}">
  <dimension ref="A1:H41"/>
  <sheetViews>
    <sheetView zoomScale="75" workbookViewId="0"/>
  </sheetViews>
  <sheetFormatPr baseColWidth="10" defaultColWidth="11.3984375" defaultRowHeight="13"/>
  <cols>
    <col min="1" max="1" width="14.796875" style="2" customWidth="1"/>
    <col min="2" max="5" width="14.796875" style="155" customWidth="1"/>
    <col min="6" max="6" width="15.3984375" style="155" customWidth="1"/>
    <col min="7" max="7" width="11.3984375" style="2"/>
    <col min="8" max="8" width="0" style="2" hidden="1" customWidth="1"/>
    <col min="9" max="16384" width="11.3984375" style="2"/>
  </cols>
  <sheetData>
    <row r="1" spans="1:8" s="1" customFormat="1" ht="14" customHeight="1">
      <c r="B1" s="137"/>
      <c r="C1" s="137"/>
      <c r="D1" s="137"/>
      <c r="E1" s="137"/>
      <c r="F1" s="137"/>
    </row>
    <row r="2" spans="1:8" s="1" customFormat="1" ht="42" customHeight="1">
      <c r="A2" s="1800" t="s">
        <v>2261</v>
      </c>
      <c r="B2" s="1804"/>
      <c r="C2" s="1804"/>
      <c r="D2" s="1804"/>
      <c r="E2" s="1804"/>
      <c r="F2" s="275">
        <v>2007</v>
      </c>
    </row>
    <row r="3" spans="1:8" ht="27" customHeight="1">
      <c r="A3" s="110" t="s">
        <v>1797</v>
      </c>
      <c r="B3" s="139" t="s">
        <v>1798</v>
      </c>
      <c r="C3" s="276" t="s">
        <v>891</v>
      </c>
      <c r="D3" s="139" t="s">
        <v>892</v>
      </c>
      <c r="E3" s="276" t="s">
        <v>629</v>
      </c>
      <c r="F3" s="139" t="s">
        <v>629</v>
      </c>
    </row>
    <row r="4" spans="1:8" ht="15" customHeight="1">
      <c r="A4" s="113"/>
      <c r="B4" s="140"/>
      <c r="C4" s="279"/>
      <c r="D4" s="140"/>
      <c r="E4" s="279" t="s">
        <v>893</v>
      </c>
      <c r="F4" s="140" t="s">
        <v>894</v>
      </c>
    </row>
    <row r="5" spans="1:8" ht="15" customHeight="1">
      <c r="A5" s="113"/>
      <c r="B5" s="140"/>
      <c r="C5" s="279"/>
      <c r="D5" s="140"/>
      <c r="E5" s="279" t="s">
        <v>895</v>
      </c>
      <c r="F5" s="140" t="s">
        <v>1800</v>
      </c>
    </row>
    <row r="6" spans="1:8" ht="24" customHeight="1">
      <c r="A6" s="117"/>
      <c r="B6" s="141"/>
      <c r="C6" s="282"/>
      <c r="D6" s="141"/>
      <c r="E6" s="282"/>
      <c r="F6" s="141"/>
    </row>
    <row r="7" spans="1:8" ht="30" customHeight="1" thickBot="1">
      <c r="A7" s="122" t="s">
        <v>1807</v>
      </c>
      <c r="B7" s="142">
        <v>70.677153862013895</v>
      </c>
      <c r="C7" s="291">
        <v>187.72975314313268</v>
      </c>
      <c r="D7" s="142">
        <v>265.09093057039962</v>
      </c>
      <c r="E7" s="291">
        <v>227.51835137330704</v>
      </c>
      <c r="F7" s="142">
        <v>198.32550821692919</v>
      </c>
      <c r="H7" s="126">
        <v>147.6535284720232</v>
      </c>
    </row>
    <row r="8" spans="1:8" ht="20" customHeight="1" thickBot="1">
      <c r="A8" s="127" t="s">
        <v>1808</v>
      </c>
      <c r="B8" s="142">
        <v>59.46564414133784</v>
      </c>
      <c r="C8" s="291">
        <v>223.36828127619557</v>
      </c>
      <c r="D8" s="142">
        <v>295.69550445017103</v>
      </c>
      <c r="E8" s="291">
        <v>261.06614991056517</v>
      </c>
      <c r="F8" s="142">
        <v>222.89349598715557</v>
      </c>
      <c r="H8" s="126">
        <v>136.00843900520724</v>
      </c>
    </row>
    <row r="9" spans="1:8" ht="20" customHeight="1" thickBot="1">
      <c r="A9" s="127" t="s">
        <v>1809</v>
      </c>
      <c r="B9" s="142">
        <v>49.522477197833247</v>
      </c>
      <c r="C9" s="291">
        <v>169.0786743202041</v>
      </c>
      <c r="D9" s="142">
        <v>231.66829980738478</v>
      </c>
      <c r="E9" s="291">
        <v>201.19147878042043</v>
      </c>
      <c r="F9" s="142">
        <v>169.12959680035584</v>
      </c>
      <c r="H9" s="126">
        <v>109.8632844875566</v>
      </c>
    </row>
    <row r="10" spans="1:8" ht="20" customHeight="1" thickBot="1">
      <c r="A10" s="127" t="s">
        <v>1810</v>
      </c>
      <c r="B10" s="142">
        <v>53.291223887375111</v>
      </c>
      <c r="C10" s="291">
        <v>171.0304054872876</v>
      </c>
      <c r="D10" s="142">
        <v>222.42046598590537</v>
      </c>
      <c r="E10" s="291">
        <v>196.88180810162586</v>
      </c>
      <c r="F10" s="142">
        <v>166.76622996256822</v>
      </c>
      <c r="H10" s="126">
        <v>106.3151780359856</v>
      </c>
    </row>
    <row r="11" spans="1:8" ht="20" customHeight="1" thickBot="1">
      <c r="A11" s="127" t="s">
        <v>1811</v>
      </c>
      <c r="B11" s="142">
        <v>62.977654150064154</v>
      </c>
      <c r="C11" s="291">
        <v>163.29745810322981</v>
      </c>
      <c r="D11" s="142">
        <v>229.39610173425942</v>
      </c>
      <c r="E11" s="291">
        <v>195.98229956830792</v>
      </c>
      <c r="F11" s="142">
        <v>167.83777163298942</v>
      </c>
      <c r="H11" s="126">
        <v>110.98351281141051</v>
      </c>
    </row>
    <row r="12" spans="1:8" ht="20" customHeight="1" thickBot="1">
      <c r="A12" s="127" t="s">
        <v>1812</v>
      </c>
      <c r="B12" s="142">
        <v>54.362475463954318</v>
      </c>
      <c r="C12" s="291">
        <v>155.97053721875309</v>
      </c>
      <c r="D12" s="142">
        <v>228.18227772821885</v>
      </c>
      <c r="E12" s="291">
        <v>192.076407473486</v>
      </c>
      <c r="F12" s="142">
        <v>162.14749333333333</v>
      </c>
      <c r="H12" s="126">
        <v>105.19977836100999</v>
      </c>
    </row>
    <row r="13" spans="1:8" ht="20" customHeight="1" thickBot="1">
      <c r="A13" s="127" t="s">
        <v>1813</v>
      </c>
      <c r="B13" s="142">
        <v>50.679013911793312</v>
      </c>
      <c r="C13" s="291">
        <v>150.59737582005621</v>
      </c>
      <c r="D13" s="142">
        <v>208.55967765660134</v>
      </c>
      <c r="E13" s="291">
        <v>179.46065294253017</v>
      </c>
      <c r="F13" s="142">
        <v>153.92074853036135</v>
      </c>
      <c r="H13" s="126">
        <v>98.806061539893719</v>
      </c>
    </row>
    <row r="14" spans="1:8" ht="20" customHeight="1" thickBot="1">
      <c r="A14" s="127" t="s">
        <v>1814</v>
      </c>
      <c r="B14" s="142">
        <v>66.039930780878208</v>
      </c>
      <c r="C14" s="291">
        <v>165.92549137585237</v>
      </c>
      <c r="D14" s="142">
        <v>222.70989008625327</v>
      </c>
      <c r="E14" s="291">
        <v>194.82018278334155</v>
      </c>
      <c r="F14" s="142">
        <v>168.81777603074772</v>
      </c>
      <c r="H14" s="126">
        <v>118.50730828724598</v>
      </c>
    </row>
    <row r="15" spans="1:8" ht="20" customHeight="1" thickBot="1">
      <c r="A15" s="127" t="s">
        <v>1815</v>
      </c>
      <c r="B15" s="142">
        <v>57.672411105395248</v>
      </c>
      <c r="C15" s="291">
        <v>153.50684311140915</v>
      </c>
      <c r="D15" s="142">
        <v>233.11212843781831</v>
      </c>
      <c r="E15" s="291">
        <v>193.28784364310863</v>
      </c>
      <c r="F15" s="142">
        <v>166.39291687534393</v>
      </c>
      <c r="H15" s="126">
        <v>109.7243161119399</v>
      </c>
    </row>
    <row r="16" spans="1:8" ht="20" customHeight="1" thickBot="1">
      <c r="A16" s="127" t="s">
        <v>1816</v>
      </c>
      <c r="B16" s="142">
        <v>62.711822380794338</v>
      </c>
      <c r="C16" s="291">
        <v>188.45770026930344</v>
      </c>
      <c r="D16" s="142">
        <v>264.22378657196009</v>
      </c>
      <c r="E16" s="291">
        <v>226.89996303758451</v>
      </c>
      <c r="F16" s="142">
        <v>189.17513545356451</v>
      </c>
      <c r="H16" s="126">
        <v>137.47395057718248</v>
      </c>
    </row>
    <row r="17" spans="1:8" ht="20" customHeight="1" thickBot="1">
      <c r="A17" s="127" t="s">
        <v>1817</v>
      </c>
      <c r="B17" s="142">
        <v>64.04581307181563</v>
      </c>
      <c r="C17" s="291">
        <v>200.36691842746333</v>
      </c>
      <c r="D17" s="142">
        <v>256.97205744790659</v>
      </c>
      <c r="E17" s="291">
        <v>229.40441708157732</v>
      </c>
      <c r="F17" s="142">
        <v>196.97315255242793</v>
      </c>
      <c r="H17" s="126">
        <v>132.71022733455214</v>
      </c>
    </row>
    <row r="18" spans="1:8" ht="20" customHeight="1" thickBot="1">
      <c r="A18" s="127" t="s">
        <v>1818</v>
      </c>
      <c r="B18" s="142">
        <v>93.754495368228774</v>
      </c>
      <c r="C18" s="291">
        <v>270.32286263276899</v>
      </c>
      <c r="D18" s="142">
        <v>376.87118206730793</v>
      </c>
      <c r="E18" s="291">
        <v>327.13403001357</v>
      </c>
      <c r="F18" s="142">
        <v>290.37905098430417</v>
      </c>
      <c r="H18" s="126">
        <v>208.35408965566106</v>
      </c>
    </row>
    <row r="19" spans="1:8" ht="20" customHeight="1" thickBot="1">
      <c r="A19" s="127" t="s">
        <v>1819</v>
      </c>
      <c r="B19" s="142">
        <v>76.22024550553526</v>
      </c>
      <c r="C19" s="291">
        <v>205.67432998404499</v>
      </c>
      <c r="D19" s="142">
        <v>278.01228354112203</v>
      </c>
      <c r="E19" s="291">
        <v>243.03227363184078</v>
      </c>
      <c r="F19" s="142">
        <v>211.9827556241614</v>
      </c>
      <c r="H19" s="126">
        <v>149.99608447175385</v>
      </c>
    </row>
    <row r="20" spans="1:8" ht="20" customHeight="1" thickBot="1">
      <c r="A20" s="127" t="s">
        <v>1820</v>
      </c>
      <c r="B20" s="142">
        <v>57.960687714837313</v>
      </c>
      <c r="C20" s="291">
        <v>178.35111331829455</v>
      </c>
      <c r="D20" s="142">
        <v>261.38923123920279</v>
      </c>
      <c r="E20" s="291">
        <v>221.19603615793423</v>
      </c>
      <c r="F20" s="142">
        <v>190.58562472406183</v>
      </c>
      <c r="H20" s="126">
        <v>141.06151978810024</v>
      </c>
    </row>
    <row r="21" spans="1:8" ht="20" customHeight="1" thickBot="1">
      <c r="A21" s="127" t="s">
        <v>1821</v>
      </c>
      <c r="B21" s="142">
        <v>50.194476546063356</v>
      </c>
      <c r="C21" s="291">
        <v>153.70277939936435</v>
      </c>
      <c r="D21" s="142">
        <v>206.97516074292028</v>
      </c>
      <c r="E21" s="291">
        <v>180.87732319862752</v>
      </c>
      <c r="F21" s="142">
        <v>153.25360630375005</v>
      </c>
      <c r="H21" s="126">
        <v>105.54236904359847</v>
      </c>
    </row>
    <row r="22" spans="1:8" ht="20" customHeight="1" thickBot="1">
      <c r="A22" s="127" t="s">
        <v>1822</v>
      </c>
      <c r="B22" s="142">
        <v>49.010074762946751</v>
      </c>
      <c r="C22" s="291">
        <v>135.12854699416781</v>
      </c>
      <c r="D22" s="142">
        <v>174.3677690745576</v>
      </c>
      <c r="E22" s="291">
        <v>154.40093384659252</v>
      </c>
      <c r="F22" s="142">
        <v>129.2928287501629</v>
      </c>
      <c r="H22" s="126">
        <v>93.290141615544769</v>
      </c>
    </row>
    <row r="23" spans="1:8" ht="20" customHeight="1" thickBot="1">
      <c r="A23" s="127" t="s">
        <v>1823</v>
      </c>
      <c r="B23" s="142">
        <v>57.968119095123036</v>
      </c>
      <c r="C23" s="291">
        <v>162.94809001706406</v>
      </c>
      <c r="D23" s="142">
        <v>223.20438791250925</v>
      </c>
      <c r="E23" s="291">
        <v>193.71761400527623</v>
      </c>
      <c r="F23" s="142">
        <v>164.64844241441867</v>
      </c>
      <c r="H23" s="126">
        <v>113.07027159885389</v>
      </c>
    </row>
    <row r="24" spans="1:8" ht="20" customHeight="1" thickBot="1">
      <c r="A24" s="127" t="s">
        <v>1824</v>
      </c>
      <c r="B24" s="142">
        <v>64.148831939598679</v>
      </c>
      <c r="C24" s="291">
        <v>166.62642462506483</v>
      </c>
      <c r="D24" s="142">
        <v>238.53688601896329</v>
      </c>
      <c r="E24" s="291">
        <v>202.97850310035133</v>
      </c>
      <c r="F24" s="142">
        <v>177.05561085029228</v>
      </c>
      <c r="H24" s="126">
        <v>112.93207174435962</v>
      </c>
    </row>
    <row r="25" spans="1:8" ht="20" customHeight="1" thickBot="1">
      <c r="A25" s="127" t="s">
        <v>1825</v>
      </c>
      <c r="B25" s="142">
        <v>63.111930698335904</v>
      </c>
      <c r="C25" s="291">
        <v>178.00520307838795</v>
      </c>
      <c r="D25" s="142">
        <v>239.9725342497799</v>
      </c>
      <c r="E25" s="291">
        <v>209.39924611691492</v>
      </c>
      <c r="F25" s="142">
        <v>179.52976213953801</v>
      </c>
      <c r="H25" s="126">
        <v>123.10137008461707</v>
      </c>
    </row>
    <row r="26" spans="1:8" ht="20" customHeight="1" thickBot="1">
      <c r="A26" s="127" t="s">
        <v>1826</v>
      </c>
      <c r="B26" s="142">
        <v>59.294113488850336</v>
      </c>
      <c r="C26" s="291">
        <v>171.24402435601235</v>
      </c>
      <c r="D26" s="142">
        <v>231.41070742632004</v>
      </c>
      <c r="E26" s="291">
        <v>201.63709463477514</v>
      </c>
      <c r="F26" s="142">
        <v>170.75586917787595</v>
      </c>
      <c r="H26" s="126">
        <v>124.89094208425395</v>
      </c>
    </row>
    <row r="27" spans="1:8" ht="20" customHeight="1" thickBot="1">
      <c r="A27" s="127" t="s">
        <v>1827</v>
      </c>
      <c r="B27" s="142">
        <v>69.745135301246037</v>
      </c>
      <c r="C27" s="291">
        <v>241.65908389551703</v>
      </c>
      <c r="D27" s="142">
        <v>306.65079739588583</v>
      </c>
      <c r="E27" s="291">
        <v>275.95724598008798</v>
      </c>
      <c r="F27" s="142">
        <v>238.96989123686092</v>
      </c>
      <c r="H27" s="126">
        <v>168.72622344599318</v>
      </c>
    </row>
    <row r="28" spans="1:8" ht="20" customHeight="1" thickBot="1">
      <c r="A28" s="127" t="s">
        <v>1828</v>
      </c>
      <c r="B28" s="142">
        <v>79.235615215680752</v>
      </c>
      <c r="C28" s="291">
        <v>226.84613278184671</v>
      </c>
      <c r="D28" s="142">
        <v>317.34617505207228</v>
      </c>
      <c r="E28" s="291">
        <v>274.2685678405158</v>
      </c>
      <c r="F28" s="142">
        <v>232.07132263185767</v>
      </c>
      <c r="H28" s="126">
        <v>172.20627180427857</v>
      </c>
    </row>
    <row r="29" spans="1:8" ht="20" customHeight="1" thickBot="1">
      <c r="A29" s="127" t="s">
        <v>1829</v>
      </c>
      <c r="B29" s="142">
        <v>59.194628300512967</v>
      </c>
      <c r="C29" s="291">
        <v>185.87017912487701</v>
      </c>
      <c r="D29" s="142">
        <v>244.07074915824919</v>
      </c>
      <c r="E29" s="291">
        <v>215.60189392678407</v>
      </c>
      <c r="F29" s="142">
        <v>183.98375055334216</v>
      </c>
      <c r="H29" s="126">
        <v>121.13256050394979</v>
      </c>
    </row>
    <row r="30" spans="1:8" ht="20" customHeight="1" thickBot="1">
      <c r="A30" s="127" t="s">
        <v>1830</v>
      </c>
      <c r="B30" s="142">
        <v>62.314405858994526</v>
      </c>
      <c r="C30" s="291">
        <v>211.00931357861148</v>
      </c>
      <c r="D30" s="142">
        <v>296.31450838125011</v>
      </c>
      <c r="E30" s="291">
        <v>255.69283116031283</v>
      </c>
      <c r="F30" s="142">
        <v>214.90262246085226</v>
      </c>
      <c r="H30" s="126">
        <v>157.34667902077535</v>
      </c>
    </row>
    <row r="31" spans="1:8" ht="20" customHeight="1" thickBot="1">
      <c r="A31" s="127" t="s">
        <v>1831</v>
      </c>
      <c r="B31" s="142">
        <v>94.534554528310579</v>
      </c>
      <c r="C31" s="291">
        <v>258.19797311023086</v>
      </c>
      <c r="D31" s="142">
        <v>365.78336369622912</v>
      </c>
      <c r="E31" s="291">
        <v>315.03273948090123</v>
      </c>
      <c r="F31" s="142">
        <v>267.91791402636738</v>
      </c>
      <c r="H31" s="126">
        <v>209.96444334691634</v>
      </c>
    </row>
    <row r="32" spans="1:8" ht="20" customHeight="1" thickBot="1">
      <c r="A32" s="128" t="s">
        <v>1832</v>
      </c>
      <c r="B32" s="142">
        <v>65.025312744331515</v>
      </c>
      <c r="C32" s="291">
        <v>219.57137531543933</v>
      </c>
      <c r="D32" s="142">
        <v>286.9868629482736</v>
      </c>
      <c r="E32" s="291">
        <v>254.42972872297852</v>
      </c>
      <c r="F32" s="142">
        <v>212.59486786497234</v>
      </c>
      <c r="H32" s="126">
        <v>173.66487176423698</v>
      </c>
    </row>
    <row r="33" spans="1:8" ht="30" customHeight="1" thickBot="1">
      <c r="A33" s="129" t="s">
        <v>628</v>
      </c>
      <c r="B33" s="292">
        <v>66.802955302272579</v>
      </c>
      <c r="C33" s="293">
        <v>199.08784903352304</v>
      </c>
      <c r="D33" s="292">
        <v>273.84890776829491</v>
      </c>
      <c r="E33" s="293">
        <v>237.62562172058446</v>
      </c>
      <c r="F33" s="292">
        <v>203.49991616854462</v>
      </c>
      <c r="H33" s="126">
        <v>142.67390401114693</v>
      </c>
    </row>
    <row r="34" spans="1:8" ht="20" customHeight="1">
      <c r="A34" s="133" t="s">
        <v>1709</v>
      </c>
      <c r="B34" s="150"/>
      <c r="C34" s="150"/>
      <c r="D34" s="150"/>
      <c r="E34" s="150"/>
      <c r="F34" s="150"/>
    </row>
    <row r="35" spans="1:8" ht="14.25" customHeight="1">
      <c r="A35" s="3"/>
      <c r="B35" s="152"/>
      <c r="C35" s="152"/>
      <c r="D35" s="152"/>
      <c r="E35" s="152"/>
      <c r="F35" s="152"/>
    </row>
    <row r="36" spans="1:8" ht="16.5" customHeight="1">
      <c r="A36" s="3" t="s">
        <v>2260</v>
      </c>
      <c r="B36" s="152"/>
      <c r="C36" s="152"/>
      <c r="D36" s="152"/>
      <c r="E36" s="152"/>
      <c r="F36" s="152"/>
    </row>
    <row r="37" spans="1:8" ht="12.75" customHeight="1">
      <c r="A37" s="3"/>
      <c r="B37" s="152"/>
      <c r="C37" s="152"/>
      <c r="D37" s="152"/>
      <c r="E37" s="152"/>
      <c r="F37" s="152"/>
    </row>
    <row r="38" spans="1:8" ht="15.75" customHeight="1">
      <c r="A38" s="3" t="s">
        <v>2262</v>
      </c>
    </row>
    <row r="39" spans="1:8" ht="12" customHeight="1"/>
    <row r="40" spans="1:8" ht="12" customHeight="1"/>
    <row r="41" spans="1:8">
      <c r="A41" s="3" t="s">
        <v>634</v>
      </c>
    </row>
  </sheetData>
  <mergeCells count="1">
    <mergeCell ref="A2:E2"/>
  </mergeCells>
  <phoneticPr fontId="0" type="noConversion"/>
  <pageMargins left="0.6" right="0.61" top="0.74" bottom="0.49" header="0.42" footer="0.4921259845"/>
  <pageSetup paperSize="9" scale="80" orientation="portrait" horizontalDpi="4294967292" verticalDpi="429496729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ACFE-D517-B247-8A0D-E91C48585A9A}">
  <sheetPr>
    <pageSetUpPr fitToPage="1"/>
  </sheetPr>
  <dimension ref="A1:J31"/>
  <sheetViews>
    <sheetView zoomScale="75" workbookViewId="0"/>
  </sheetViews>
  <sheetFormatPr baseColWidth="10" defaultColWidth="11.3984375" defaultRowHeight="13"/>
  <cols>
    <col min="1" max="1" width="14.796875" style="2" customWidth="1"/>
    <col min="2" max="2" width="14.796875" style="155" customWidth="1"/>
    <col min="3" max="3" width="14.796875" style="156" customWidth="1"/>
    <col min="4" max="4" width="14.796875" style="155" customWidth="1"/>
    <col min="5" max="5" width="14.796875" style="156" customWidth="1"/>
    <col min="6" max="6" width="14.796875" style="155" customWidth="1"/>
    <col min="7" max="7" width="14.796875" style="156" customWidth="1"/>
    <col min="8" max="8" width="7.59765625" style="2" customWidth="1"/>
    <col min="9" max="9" width="6.3984375" style="2" customWidth="1"/>
    <col min="10" max="10" width="8.796875" style="2" customWidth="1"/>
    <col min="11" max="16384" width="11.3984375" style="2"/>
  </cols>
  <sheetData>
    <row r="1" spans="1:10" s="1" customFormat="1" ht="18.75" customHeight="1">
      <c r="A1" s="134"/>
      <c r="B1" s="135"/>
      <c r="C1" s="294"/>
      <c r="D1" s="295"/>
      <c r="E1" s="294"/>
      <c r="F1" s="295"/>
      <c r="G1" s="294"/>
    </row>
    <row r="2" spans="1:10" s="1" customFormat="1" ht="40.5" customHeight="1">
      <c r="A2" s="1807" t="s">
        <v>2263</v>
      </c>
      <c r="B2" s="1804"/>
      <c r="C2" s="1804"/>
      <c r="D2" s="1804"/>
      <c r="E2" s="1804"/>
      <c r="F2" s="1804"/>
      <c r="G2" s="275">
        <v>2007</v>
      </c>
    </row>
    <row r="3" spans="1:10" ht="27" customHeight="1">
      <c r="A3" s="110" t="s">
        <v>868</v>
      </c>
      <c r="B3" s="139" t="s">
        <v>869</v>
      </c>
      <c r="C3" s="112" t="s">
        <v>1801</v>
      </c>
      <c r="D3" s="139" t="s">
        <v>871</v>
      </c>
      <c r="E3" s="112" t="s">
        <v>1801</v>
      </c>
      <c r="F3" s="139" t="s">
        <v>629</v>
      </c>
      <c r="G3" s="112" t="s">
        <v>1801</v>
      </c>
    </row>
    <row r="4" spans="1:10" ht="15" customHeight="1">
      <c r="A4" s="113"/>
      <c r="B4" s="140"/>
      <c r="C4" s="115" t="s">
        <v>1802</v>
      </c>
      <c r="D4" s="140"/>
      <c r="E4" s="115" t="s">
        <v>1802</v>
      </c>
      <c r="F4" s="140"/>
      <c r="G4" s="115" t="s">
        <v>1802</v>
      </c>
    </row>
    <row r="5" spans="1:10" ht="15" customHeight="1">
      <c r="A5" s="113"/>
      <c r="B5" s="140"/>
      <c r="C5" s="115" t="s">
        <v>1806</v>
      </c>
      <c r="D5" s="140"/>
      <c r="E5" s="115" t="s">
        <v>1806</v>
      </c>
      <c r="F5" s="140"/>
      <c r="G5" s="115" t="s">
        <v>1806</v>
      </c>
    </row>
    <row r="6" spans="1:10" ht="23" customHeight="1">
      <c r="A6" s="117"/>
      <c r="B6" s="141"/>
      <c r="C6" s="119"/>
      <c r="D6" s="141"/>
      <c r="E6" s="119"/>
      <c r="F6" s="141"/>
      <c r="G6" s="119"/>
    </row>
    <row r="7" spans="1:10" ht="30" customHeight="1" thickBot="1">
      <c r="A7" s="122" t="s">
        <v>873</v>
      </c>
      <c r="B7" s="142">
        <v>68.272622548096066</v>
      </c>
      <c r="C7" s="143">
        <v>6.1195332021842908E-2</v>
      </c>
      <c r="D7" s="142">
        <v>65.258006660492455</v>
      </c>
      <c r="E7" s="143">
        <v>6.3897383241130895E-2</v>
      </c>
      <c r="F7" s="142">
        <v>66.802999787130275</v>
      </c>
      <c r="G7" s="143">
        <v>6.2470083983236196E-2</v>
      </c>
      <c r="H7" s="296"/>
      <c r="I7" s="296"/>
      <c r="J7" s="296"/>
    </row>
    <row r="8" spans="1:10" ht="20" customHeight="1" thickBot="1">
      <c r="A8" s="127" t="s">
        <v>874</v>
      </c>
      <c r="B8" s="144">
        <v>51.985670344193714</v>
      </c>
      <c r="C8" s="145">
        <v>-1.4385868616093502E-3</v>
      </c>
      <c r="D8" s="144">
        <v>93.378521857888401</v>
      </c>
      <c r="E8" s="145">
        <v>1.3168559300892913E-2</v>
      </c>
      <c r="F8" s="144">
        <v>72.739305272704343</v>
      </c>
      <c r="G8" s="145">
        <v>9.5349196391279548E-3</v>
      </c>
      <c r="H8" s="296"/>
      <c r="I8" s="296"/>
      <c r="J8" s="296"/>
    </row>
    <row r="9" spans="1:10" ht="20" customHeight="1" thickBot="1">
      <c r="A9" s="127" t="s">
        <v>875</v>
      </c>
      <c r="B9" s="144">
        <v>57.600594415926224</v>
      </c>
      <c r="C9" s="145">
        <v>-5.83234328620553E-3</v>
      </c>
      <c r="D9" s="144">
        <v>138.16273739900706</v>
      </c>
      <c r="E9" s="145">
        <v>1.1610502439565865E-2</v>
      </c>
      <c r="F9" s="144">
        <v>97.790195762418278</v>
      </c>
      <c r="G9" s="145">
        <v>5.7364153257876017E-3</v>
      </c>
      <c r="H9" s="296"/>
      <c r="I9" s="296"/>
      <c r="J9" s="296"/>
    </row>
    <row r="10" spans="1:10" ht="20" customHeight="1" thickBot="1">
      <c r="A10" s="127" t="s">
        <v>876</v>
      </c>
      <c r="B10" s="144">
        <v>69.697098746667919</v>
      </c>
      <c r="C10" s="145">
        <v>3.8898585265383697E-4</v>
      </c>
      <c r="D10" s="144">
        <v>164.80226084164266</v>
      </c>
      <c r="E10" s="145">
        <v>2.6270492281674548E-2</v>
      </c>
      <c r="F10" s="144">
        <v>117.32784913018583</v>
      </c>
      <c r="G10" s="145">
        <v>1.8471162339800555E-2</v>
      </c>
      <c r="H10" s="296"/>
      <c r="I10" s="296"/>
      <c r="J10" s="296"/>
    </row>
    <row r="11" spans="1:10" ht="20" customHeight="1" thickBot="1">
      <c r="A11" s="127" t="s">
        <v>877</v>
      </c>
      <c r="B11" s="144">
        <v>84.79952601758589</v>
      </c>
      <c r="C11" s="145">
        <v>7.8762818881796866E-3</v>
      </c>
      <c r="D11" s="144">
        <v>153.80633758392034</v>
      </c>
      <c r="E11" s="145">
        <v>3.6561882683302155E-2</v>
      </c>
      <c r="F11" s="144">
        <v>119.33213820569939</v>
      </c>
      <c r="G11" s="145">
        <v>2.646154602738782E-2</v>
      </c>
      <c r="H11" s="296"/>
      <c r="I11" s="296"/>
      <c r="J11" s="296"/>
    </row>
    <row r="12" spans="1:10" ht="20" customHeight="1" thickBot="1">
      <c r="A12" s="127" t="s">
        <v>878</v>
      </c>
      <c r="B12" s="144">
        <v>104.76667213252091</v>
      </c>
      <c r="C12" s="145">
        <v>1.4191960548896059E-2</v>
      </c>
      <c r="D12" s="144">
        <v>152.31804972258257</v>
      </c>
      <c r="E12" s="145">
        <v>3.5664108202398306E-2</v>
      </c>
      <c r="F12" s="144">
        <v>128.25043035623514</v>
      </c>
      <c r="G12" s="145">
        <v>2.6582529192823705E-2</v>
      </c>
      <c r="H12" s="296"/>
      <c r="I12" s="296"/>
      <c r="J12" s="296"/>
    </row>
    <row r="13" spans="1:10" ht="20" customHeight="1" thickBot="1">
      <c r="A13" s="127" t="s">
        <v>879</v>
      </c>
      <c r="B13" s="144">
        <v>132.16313623825383</v>
      </c>
      <c r="C13" s="145">
        <v>1.5585563679406557E-2</v>
      </c>
      <c r="D13" s="144">
        <v>175.32279582128902</v>
      </c>
      <c r="E13" s="145">
        <v>1.5443209291895937E-2</v>
      </c>
      <c r="F13" s="144">
        <v>153.49878257628504</v>
      </c>
      <c r="G13" s="145">
        <v>1.5831955763849978E-2</v>
      </c>
      <c r="H13" s="296"/>
      <c r="I13" s="296"/>
      <c r="J13" s="296"/>
    </row>
    <row r="14" spans="1:10" ht="20" customHeight="1" thickBot="1">
      <c r="A14" s="127" t="s">
        <v>880</v>
      </c>
      <c r="B14" s="144">
        <v>174.25783337995668</v>
      </c>
      <c r="C14" s="145">
        <v>2.230732535885243E-2</v>
      </c>
      <c r="D14" s="144">
        <v>215.60350551957524</v>
      </c>
      <c r="E14" s="145">
        <v>4.5408683449557147E-2</v>
      </c>
      <c r="F14" s="144">
        <v>194.78647984452761</v>
      </c>
      <c r="G14" s="145">
        <v>3.4583598840040003E-2</v>
      </c>
      <c r="H14" s="296"/>
      <c r="I14" s="296"/>
      <c r="J14" s="296"/>
    </row>
    <row r="15" spans="1:10" ht="20" customHeight="1" thickBot="1">
      <c r="A15" s="127" t="s">
        <v>881</v>
      </c>
      <c r="B15" s="144">
        <v>230.8939334543461</v>
      </c>
      <c r="C15" s="145">
        <v>1.9144705921459473E-2</v>
      </c>
      <c r="D15" s="144">
        <v>249.99128074093221</v>
      </c>
      <c r="E15" s="145">
        <v>1.7106814006144371E-2</v>
      </c>
      <c r="F15" s="144">
        <v>240.46908176945124</v>
      </c>
      <c r="G15" s="145">
        <v>1.8079045614079272E-2</v>
      </c>
      <c r="H15" s="296"/>
      <c r="I15" s="296"/>
      <c r="J15" s="296"/>
    </row>
    <row r="16" spans="1:10" ht="20" customHeight="1" thickBot="1">
      <c r="A16" s="127" t="s">
        <v>882</v>
      </c>
      <c r="B16" s="144">
        <v>307.79102694642296</v>
      </c>
      <c r="C16" s="145">
        <v>5.2188748736053794E-2</v>
      </c>
      <c r="D16" s="144">
        <v>308.08873163119006</v>
      </c>
      <c r="E16" s="145">
        <v>3.766905352216425E-2</v>
      </c>
      <c r="F16" s="144">
        <v>307.94193484653022</v>
      </c>
      <c r="G16" s="145">
        <v>4.4760744540104189E-2</v>
      </c>
      <c r="H16" s="296"/>
      <c r="I16" s="296"/>
      <c r="J16" s="296"/>
    </row>
    <row r="17" spans="1:10" ht="20" customHeight="1" thickBot="1">
      <c r="A17" s="127" t="s">
        <v>883</v>
      </c>
      <c r="B17" s="144">
        <v>389.97800021003718</v>
      </c>
      <c r="C17" s="145">
        <v>4.2064992392668456E-2</v>
      </c>
      <c r="D17" s="144">
        <v>372.08260281214871</v>
      </c>
      <c r="E17" s="145">
        <v>3.9908207696155891E-2</v>
      </c>
      <c r="F17" s="144">
        <v>380.51217914742182</v>
      </c>
      <c r="G17" s="145">
        <v>4.1065591722807673E-2</v>
      </c>
      <c r="H17" s="296"/>
      <c r="I17" s="296"/>
      <c r="J17" s="296"/>
    </row>
    <row r="18" spans="1:10" ht="20" customHeight="1" thickBot="1">
      <c r="A18" s="127" t="s">
        <v>884</v>
      </c>
      <c r="B18" s="144">
        <v>497.23207093302216</v>
      </c>
      <c r="C18" s="145">
        <v>4.1389592977815359E-2</v>
      </c>
      <c r="D18" s="144">
        <v>468.07296449220757</v>
      </c>
      <c r="E18" s="145">
        <v>4.5730892787413144E-2</v>
      </c>
      <c r="F18" s="144">
        <v>481.15686568866369</v>
      </c>
      <c r="G18" s="145">
        <v>4.3847605739661184E-2</v>
      </c>
      <c r="H18" s="296"/>
      <c r="I18" s="296"/>
      <c r="J18" s="296"/>
    </row>
    <row r="19" spans="1:10" ht="20" customHeight="1" thickBot="1">
      <c r="A19" s="127" t="s">
        <v>885</v>
      </c>
      <c r="B19" s="144">
        <v>606.8360335395837</v>
      </c>
      <c r="C19" s="145">
        <v>4.1455289640381449E-2</v>
      </c>
      <c r="D19" s="144">
        <v>582.52465517200142</v>
      </c>
      <c r="E19" s="145">
        <v>4.0138467510875096E-2</v>
      </c>
      <c r="F19" s="144">
        <v>592.53870462968837</v>
      </c>
      <c r="G19" s="145">
        <v>4.0872611795066092E-2</v>
      </c>
      <c r="H19" s="296"/>
      <c r="I19" s="296"/>
      <c r="J19" s="296"/>
    </row>
    <row r="20" spans="1:10" ht="20" customHeight="1" thickBot="1">
      <c r="A20" s="127" t="s">
        <v>886</v>
      </c>
      <c r="B20" s="144">
        <v>718.36014713618215</v>
      </c>
      <c r="C20" s="145">
        <v>4.556186040534637E-2</v>
      </c>
      <c r="D20" s="144">
        <v>751.63195215662392</v>
      </c>
      <c r="E20" s="145">
        <v>3.460251897014794E-2</v>
      </c>
      <c r="F20" s="144">
        <v>739.433359804867</v>
      </c>
      <c r="G20" s="145">
        <v>3.8371413442010824E-2</v>
      </c>
      <c r="H20" s="296"/>
      <c r="I20" s="296"/>
      <c r="J20" s="296"/>
    </row>
    <row r="21" spans="1:10" ht="20" customHeight="1" thickBot="1">
      <c r="A21" s="127" t="s">
        <v>887</v>
      </c>
      <c r="B21" s="144">
        <v>863.44779282868524</v>
      </c>
      <c r="C21" s="145">
        <v>3.0157194945137498E-2</v>
      </c>
      <c r="D21" s="144">
        <v>1002.1069819304375</v>
      </c>
      <c r="E21" s="145">
        <v>2.5962730010029893E-2</v>
      </c>
      <c r="F21" s="144">
        <v>957.2192205438273</v>
      </c>
      <c r="G21" s="145">
        <v>2.6965850378084081E-2</v>
      </c>
      <c r="H21" s="296"/>
      <c r="I21" s="296"/>
      <c r="J21" s="296"/>
    </row>
    <row r="22" spans="1:10" ht="20" customHeight="1" thickBot="1">
      <c r="A22" s="127" t="s">
        <v>888</v>
      </c>
      <c r="B22" s="144">
        <v>1122.4897254505643</v>
      </c>
      <c r="C22" s="145">
        <v>2.7445036067232659E-2</v>
      </c>
      <c r="D22" s="144">
        <v>1416.6192414221921</v>
      </c>
      <c r="E22" s="145">
        <v>3.0505698237188635E-2</v>
      </c>
      <c r="F22" s="144">
        <v>1342.7134120534959</v>
      </c>
      <c r="G22" s="145">
        <v>2.8880782804589888E-2</v>
      </c>
      <c r="H22" s="296"/>
      <c r="I22" s="296"/>
      <c r="J22" s="296"/>
    </row>
    <row r="23" spans="1:10" ht="30" customHeight="1" thickBot="1">
      <c r="A23" s="129" t="s">
        <v>629</v>
      </c>
      <c r="B23" s="146">
        <v>171.76073766906111</v>
      </c>
      <c r="C23" s="147">
        <v>4.4249888429727942E-2</v>
      </c>
      <c r="D23" s="146">
        <v>234.0080549083759</v>
      </c>
      <c r="E23" s="147">
        <v>4.0961655805137775E-2</v>
      </c>
      <c r="F23" s="146">
        <v>203.49997031199459</v>
      </c>
      <c r="G23" s="147">
        <v>4.2330897708405681E-2</v>
      </c>
      <c r="H23" s="296"/>
      <c r="I23" s="296"/>
      <c r="J23" s="296"/>
    </row>
    <row r="24" spans="1:10" ht="20" customHeight="1">
      <c r="A24" s="133" t="s">
        <v>1709</v>
      </c>
      <c r="B24" s="150"/>
      <c r="C24" s="151"/>
      <c r="D24" s="150"/>
      <c r="E24" s="151"/>
      <c r="F24" s="150"/>
      <c r="G24" s="151"/>
    </row>
    <row r="25" spans="1:10" ht="11.25" customHeight="1">
      <c r="A25" s="3"/>
      <c r="B25" s="152"/>
      <c r="C25" s="153"/>
      <c r="D25" s="152"/>
      <c r="E25" s="153"/>
      <c r="F25" s="152"/>
      <c r="G25" s="153"/>
    </row>
    <row r="26" spans="1:10" ht="16.5" customHeight="1">
      <c r="A26" s="3" t="s">
        <v>1833</v>
      </c>
      <c r="B26" s="152"/>
      <c r="C26" s="153"/>
      <c r="D26" s="152"/>
      <c r="E26" s="153"/>
      <c r="F26" s="152"/>
      <c r="G26" s="153"/>
    </row>
    <row r="27" spans="1:10" ht="14.25" customHeight="1">
      <c r="A27" s="3"/>
      <c r="B27" s="152"/>
      <c r="C27" s="153"/>
      <c r="D27" s="152"/>
      <c r="E27" s="153"/>
      <c r="F27" s="152"/>
      <c r="G27" s="153"/>
    </row>
    <row r="28" spans="1:10">
      <c r="A28" s="289" t="s">
        <v>2262</v>
      </c>
      <c r="B28" s="152"/>
      <c r="C28" s="153"/>
      <c r="D28" s="152"/>
      <c r="E28" s="153"/>
      <c r="F28" s="152"/>
      <c r="G28" s="153"/>
    </row>
    <row r="29" spans="1:10">
      <c r="A29" s="289"/>
      <c r="B29" s="152"/>
      <c r="C29" s="153"/>
      <c r="D29" s="152"/>
      <c r="E29" s="153"/>
      <c r="F29" s="152"/>
      <c r="G29" s="153"/>
    </row>
    <row r="30" spans="1:10">
      <c r="A30" s="289"/>
      <c r="B30" s="152"/>
      <c r="C30" s="153"/>
      <c r="D30" s="152"/>
      <c r="E30" s="153"/>
      <c r="F30" s="152"/>
      <c r="G30" s="153"/>
    </row>
    <row r="31" spans="1:10">
      <c r="A31" s="3" t="s">
        <v>634</v>
      </c>
    </row>
  </sheetData>
  <mergeCells count="1">
    <mergeCell ref="A2:F2"/>
  </mergeCells>
  <phoneticPr fontId="0" type="noConversion"/>
  <pageMargins left="0.62" right="0.54" top="0.74" bottom="0.65" header="0.4" footer="0.38"/>
  <pageSetup paperSize="9" scale="88" orientation="portrait" horizontalDpi="1200" verticalDpi="12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0CBE-A92D-8241-992A-B14B1EA2AC96}">
  <dimension ref="A1:I42"/>
  <sheetViews>
    <sheetView zoomScale="75" workbookViewId="0">
      <selection activeCell="C7" sqref="C7"/>
    </sheetView>
  </sheetViews>
  <sheetFormatPr baseColWidth="10" defaultColWidth="11.3984375" defaultRowHeight="13"/>
  <cols>
    <col min="1" max="1" width="14.796875" style="2" customWidth="1"/>
    <col min="2" max="4" width="14.796875" style="155" customWidth="1"/>
    <col min="5" max="5" width="15.59765625" style="155" customWidth="1"/>
    <col min="6" max="6" width="16.19921875" style="155" customWidth="1"/>
    <col min="7" max="7" width="12.796875" style="156" customWidth="1"/>
    <col min="8" max="8" width="11.3984375" style="2"/>
    <col min="9" max="9" width="15.19921875" style="2" hidden="1" customWidth="1"/>
    <col min="10" max="16384" width="11.3984375" style="2"/>
  </cols>
  <sheetData>
    <row r="1" spans="1:9" s="1" customFormat="1" ht="14" customHeight="1">
      <c r="B1" s="137"/>
      <c r="C1" s="137"/>
      <c r="D1" s="137"/>
      <c r="E1" s="137"/>
      <c r="F1" s="137"/>
      <c r="G1" s="136"/>
    </row>
    <row r="2" spans="1:9" s="1" customFormat="1" ht="40.5" customHeight="1">
      <c r="A2" s="1800" t="s">
        <v>2266</v>
      </c>
      <c r="B2" s="1804"/>
      <c r="C2" s="1804"/>
      <c r="D2" s="1804"/>
      <c r="E2" s="1804"/>
      <c r="F2" s="275">
        <v>2007</v>
      </c>
    </row>
    <row r="3" spans="1:9" ht="27" customHeight="1">
      <c r="A3" s="110" t="s">
        <v>1797</v>
      </c>
      <c r="B3" s="139" t="s">
        <v>1798</v>
      </c>
      <c r="C3" s="276" t="s">
        <v>891</v>
      </c>
      <c r="D3" s="139" t="s">
        <v>892</v>
      </c>
      <c r="E3" s="276" t="s">
        <v>629</v>
      </c>
      <c r="F3" s="139" t="s">
        <v>629</v>
      </c>
      <c r="G3"/>
    </row>
    <row r="4" spans="1:9" ht="15" customHeight="1">
      <c r="A4" s="113"/>
      <c r="B4" s="140"/>
      <c r="C4" s="279"/>
      <c r="D4" s="140"/>
      <c r="E4" s="279" t="s">
        <v>893</v>
      </c>
      <c r="F4" s="140" t="s">
        <v>894</v>
      </c>
      <c r="G4"/>
    </row>
    <row r="5" spans="1:9" ht="15" customHeight="1">
      <c r="A5" s="113"/>
      <c r="B5" s="140"/>
      <c r="C5" s="279"/>
      <c r="D5" s="140"/>
      <c r="E5" s="279" t="s">
        <v>895</v>
      </c>
      <c r="F5" s="140" t="s">
        <v>1800</v>
      </c>
      <c r="G5"/>
    </row>
    <row r="6" spans="1:9" ht="24" customHeight="1">
      <c r="A6" s="117"/>
      <c r="B6" s="141"/>
      <c r="C6" s="282"/>
      <c r="D6" s="141"/>
      <c r="E6" s="282"/>
      <c r="F6" s="141"/>
      <c r="G6"/>
    </row>
    <row r="7" spans="1:9" ht="30" customHeight="1" thickBot="1">
      <c r="A7" s="122" t="s">
        <v>1807</v>
      </c>
      <c r="B7" s="142">
        <v>92.758013026746767</v>
      </c>
      <c r="C7" s="291">
        <v>440.90953837733218</v>
      </c>
      <c r="D7" s="142">
        <v>564.55519499098273</v>
      </c>
      <c r="E7" s="291">
        <v>504.50315434502136</v>
      </c>
      <c r="F7" s="142">
        <v>427.86505465160656</v>
      </c>
      <c r="G7"/>
      <c r="I7" s="8">
        <v>2156035045</v>
      </c>
    </row>
    <row r="8" spans="1:9" ht="20" customHeight="1" thickBot="1">
      <c r="A8" s="127" t="s">
        <v>1808</v>
      </c>
      <c r="B8" s="144">
        <v>81.240025140450228</v>
      </c>
      <c r="C8" s="297">
        <v>452.8326721408913</v>
      </c>
      <c r="D8" s="144">
        <v>563.16480168799262</v>
      </c>
      <c r="E8" s="297">
        <v>510.3393257037917</v>
      </c>
      <c r="F8" s="144">
        <v>429.09022845236154</v>
      </c>
      <c r="G8"/>
      <c r="I8" s="8">
        <v>1563935884</v>
      </c>
    </row>
    <row r="9" spans="1:9" ht="20" customHeight="1" thickBot="1">
      <c r="A9" s="127" t="s">
        <v>1809</v>
      </c>
      <c r="B9" s="144">
        <v>72.720218066098028</v>
      </c>
      <c r="C9" s="297">
        <v>379.55711434356192</v>
      </c>
      <c r="D9" s="144">
        <v>473.57124264064566</v>
      </c>
      <c r="E9" s="297">
        <v>427.79330007376791</v>
      </c>
      <c r="F9" s="144">
        <v>352.73306277518782</v>
      </c>
      <c r="G9"/>
      <c r="I9" s="8">
        <v>464604355</v>
      </c>
    </row>
    <row r="10" spans="1:9" ht="20" customHeight="1" thickBot="1">
      <c r="A10" s="127" t="s">
        <v>1810</v>
      </c>
      <c r="B10" s="144">
        <v>84.266076294277951</v>
      </c>
      <c r="C10" s="297">
        <v>414.70617319857513</v>
      </c>
      <c r="D10" s="144">
        <v>494.74385157485995</v>
      </c>
      <c r="E10" s="297">
        <v>454.97928191777851</v>
      </c>
      <c r="F10" s="144">
        <v>377.22876246535395</v>
      </c>
      <c r="G10"/>
      <c r="I10" s="8">
        <v>45901795</v>
      </c>
    </row>
    <row r="11" spans="1:9" ht="20" customHeight="1" thickBot="1">
      <c r="A11" s="127" t="s">
        <v>1811</v>
      </c>
      <c r="B11" s="144">
        <v>85.976362531235225</v>
      </c>
      <c r="C11" s="297">
        <v>419.38992684501193</v>
      </c>
      <c r="D11" s="144">
        <v>516.26726776256749</v>
      </c>
      <c r="E11" s="297">
        <v>467.29113384870573</v>
      </c>
      <c r="F11" s="144">
        <v>386.60346823287318</v>
      </c>
      <c r="G11"/>
      <c r="I11" s="8">
        <v>171549320</v>
      </c>
    </row>
    <row r="12" spans="1:9" ht="20" customHeight="1" thickBot="1">
      <c r="A12" s="127" t="s">
        <v>1812</v>
      </c>
      <c r="B12" s="144">
        <v>73.133966809421821</v>
      </c>
      <c r="C12" s="297">
        <v>386.09745762711896</v>
      </c>
      <c r="D12" s="144">
        <v>479.87414510853421</v>
      </c>
      <c r="E12" s="297">
        <v>432.98580136782607</v>
      </c>
      <c r="F12" s="144">
        <v>354.77838545454529</v>
      </c>
      <c r="G12"/>
      <c r="I12" s="8">
        <v>41764939</v>
      </c>
    </row>
    <row r="13" spans="1:9" ht="20" customHeight="1" thickBot="1">
      <c r="A13" s="127" t="s">
        <v>1813</v>
      </c>
      <c r="B13" s="144">
        <v>72.197133071165752</v>
      </c>
      <c r="C13" s="297">
        <v>372.05373320837271</v>
      </c>
      <c r="D13" s="144">
        <v>471.56414297421679</v>
      </c>
      <c r="E13" s="297">
        <v>421.61369484717261</v>
      </c>
      <c r="F13" s="144">
        <v>352.31759289541867</v>
      </c>
      <c r="G13"/>
      <c r="I13" s="8">
        <v>44323506</v>
      </c>
    </row>
    <row r="14" spans="1:9" ht="20" customHeight="1" thickBot="1">
      <c r="A14" s="127" t="s">
        <v>1814</v>
      </c>
      <c r="B14" s="144">
        <v>86.435561323815762</v>
      </c>
      <c r="C14" s="297">
        <v>401.87986361813068</v>
      </c>
      <c r="D14" s="144">
        <v>504.58127379492748</v>
      </c>
      <c r="E14" s="297">
        <v>454.13938597931383</v>
      </c>
      <c r="F14" s="144">
        <v>379.89520440251601</v>
      </c>
      <c r="G14"/>
      <c r="I14" s="8">
        <v>55927154</v>
      </c>
    </row>
    <row r="15" spans="1:9" ht="20" customHeight="1" thickBot="1">
      <c r="A15" s="127" t="s">
        <v>1815</v>
      </c>
      <c r="B15" s="144">
        <v>76.947247813683902</v>
      </c>
      <c r="C15" s="297">
        <v>390.57687949494721</v>
      </c>
      <c r="D15" s="144">
        <v>502.96217242337264</v>
      </c>
      <c r="E15" s="297">
        <v>446.73897199180919</v>
      </c>
      <c r="F15" s="144">
        <v>373.40276566934415</v>
      </c>
      <c r="G15"/>
      <c r="I15" s="8">
        <v>128772453</v>
      </c>
    </row>
    <row r="16" spans="1:9" ht="20" customHeight="1" thickBot="1">
      <c r="A16" s="127" t="s">
        <v>1816</v>
      </c>
      <c r="B16" s="144">
        <v>87.769897112512439</v>
      </c>
      <c r="C16" s="297">
        <v>434.55555890510027</v>
      </c>
      <c r="D16" s="144">
        <v>557.31219997658332</v>
      </c>
      <c r="E16" s="297">
        <v>496.840569881242</v>
      </c>
      <c r="F16" s="144">
        <v>402.85009932625917</v>
      </c>
      <c r="G16"/>
      <c r="I16" s="8">
        <v>391250033</v>
      </c>
    </row>
    <row r="17" spans="1:9" ht="20" customHeight="1" thickBot="1">
      <c r="A17" s="127" t="s">
        <v>1817</v>
      </c>
      <c r="B17" s="144">
        <v>83.576756393822961</v>
      </c>
      <c r="C17" s="297">
        <v>438.74161391921234</v>
      </c>
      <c r="D17" s="144">
        <v>544.31916973098532</v>
      </c>
      <c r="E17" s="297">
        <v>492.9011511598469</v>
      </c>
      <c r="F17" s="144">
        <v>412.62164103464511</v>
      </c>
      <c r="G17"/>
      <c r="I17" s="8">
        <v>393696828</v>
      </c>
    </row>
    <row r="18" spans="1:9" ht="20" customHeight="1" thickBot="1">
      <c r="A18" s="127" t="s">
        <v>1818</v>
      </c>
      <c r="B18" s="144">
        <v>118.53727360068314</v>
      </c>
      <c r="C18" s="297">
        <v>506.44083110072415</v>
      </c>
      <c r="D18" s="144">
        <v>648.67619356528849</v>
      </c>
      <c r="E18" s="297">
        <v>582.27922864060815</v>
      </c>
      <c r="F18" s="144">
        <v>509.24405662597974</v>
      </c>
      <c r="G18"/>
      <c r="I18" s="8">
        <v>473520714</v>
      </c>
    </row>
    <row r="19" spans="1:9" ht="20" customHeight="1" thickBot="1">
      <c r="A19" s="127" t="s">
        <v>1819</v>
      </c>
      <c r="B19" s="144">
        <v>106.8739207260752</v>
      </c>
      <c r="C19" s="297">
        <v>497.4534170338851</v>
      </c>
      <c r="D19" s="144">
        <v>612.41749515357355</v>
      </c>
      <c r="E19" s="297">
        <v>556.82503788748613</v>
      </c>
      <c r="F19" s="144">
        <v>473.07312250748419</v>
      </c>
      <c r="G19"/>
      <c r="I19" s="8">
        <v>469771093</v>
      </c>
    </row>
    <row r="20" spans="1:9" ht="20" customHeight="1" thickBot="1">
      <c r="A20" s="127" t="s">
        <v>1820</v>
      </c>
      <c r="B20" s="144">
        <v>76.720793897443201</v>
      </c>
      <c r="C20" s="297">
        <v>424.37301774351056</v>
      </c>
      <c r="D20" s="144">
        <v>553.87558462899801</v>
      </c>
      <c r="E20" s="297">
        <v>491.19921098105681</v>
      </c>
      <c r="F20" s="144">
        <v>413.47490066225123</v>
      </c>
      <c r="G20"/>
      <c r="I20" s="8">
        <v>127694959</v>
      </c>
    </row>
    <row r="21" spans="1:9" ht="20" customHeight="1" thickBot="1">
      <c r="A21" s="127" t="s">
        <v>1821</v>
      </c>
      <c r="B21" s="144">
        <v>66.586807716241424</v>
      </c>
      <c r="C21" s="297">
        <v>376.92230978789644</v>
      </c>
      <c r="D21" s="144">
        <v>478.78020643594448</v>
      </c>
      <c r="E21" s="297">
        <v>428.87862180709124</v>
      </c>
      <c r="F21" s="144">
        <v>352.29744254655475</v>
      </c>
      <c r="G21"/>
      <c r="I21" s="8">
        <v>69489100</v>
      </c>
    </row>
    <row r="22" spans="1:9" ht="20" customHeight="1" thickBot="1">
      <c r="A22" s="127" t="s">
        <v>1822</v>
      </c>
      <c r="B22" s="144">
        <v>60.277352297592984</v>
      </c>
      <c r="C22" s="297">
        <v>352.61137281292031</v>
      </c>
      <c r="D22" s="144">
        <v>425.66579634464745</v>
      </c>
      <c r="E22" s="297">
        <v>388.48349016253212</v>
      </c>
      <c r="F22" s="144">
        <v>310.29232373256878</v>
      </c>
      <c r="G22"/>
      <c r="I22" s="8">
        <v>16712649</v>
      </c>
    </row>
    <row r="23" spans="1:9" ht="20" customHeight="1" thickBot="1">
      <c r="A23" s="127" t="s">
        <v>1823</v>
      </c>
      <c r="B23" s="144">
        <v>78.601407645802595</v>
      </c>
      <c r="C23" s="297">
        <v>402.16891178982746</v>
      </c>
      <c r="D23" s="144">
        <v>498.38236631623965</v>
      </c>
      <c r="E23" s="297">
        <v>451.30013413724635</v>
      </c>
      <c r="F23" s="144">
        <v>371.49122019816002</v>
      </c>
      <c r="G23"/>
      <c r="I23" s="8">
        <v>615853738</v>
      </c>
    </row>
    <row r="24" spans="1:9" ht="20" customHeight="1" thickBot="1">
      <c r="A24" s="127" t="s">
        <v>1824</v>
      </c>
      <c r="B24" s="144">
        <v>79.404303040372156</v>
      </c>
      <c r="C24" s="297">
        <v>383.36728002160237</v>
      </c>
      <c r="D24" s="144">
        <v>486.61955182213751</v>
      </c>
      <c r="E24" s="297">
        <v>435.560479102827</v>
      </c>
      <c r="F24" s="144">
        <v>369.057417480146</v>
      </c>
      <c r="G24"/>
      <c r="I24" s="8">
        <v>264690646</v>
      </c>
    </row>
    <row r="25" spans="1:9" ht="20" customHeight="1" thickBot="1">
      <c r="A25" s="127" t="s">
        <v>1825</v>
      </c>
      <c r="B25" s="144">
        <v>80.511439225962619</v>
      </c>
      <c r="C25" s="297">
        <v>410.96973151460372</v>
      </c>
      <c r="D25" s="144">
        <v>516.76630187443391</v>
      </c>
      <c r="E25" s="297">
        <v>464.56819102537577</v>
      </c>
      <c r="F25" s="144">
        <v>386.15021204570542</v>
      </c>
      <c r="G25"/>
      <c r="I25" s="8">
        <v>819222625</v>
      </c>
    </row>
    <row r="26" spans="1:9" ht="20" customHeight="1" thickBot="1">
      <c r="A26" s="127" t="s">
        <v>1826</v>
      </c>
      <c r="B26" s="144">
        <v>80.925255446308057</v>
      </c>
      <c r="C26" s="297">
        <v>401.89970418672976</v>
      </c>
      <c r="D26" s="144">
        <v>512.69212471058393</v>
      </c>
      <c r="E26" s="297">
        <v>457.8639447061712</v>
      </c>
      <c r="F26" s="144">
        <v>376.08731931339059</v>
      </c>
      <c r="G26"/>
      <c r="I26" s="8">
        <v>344655658</v>
      </c>
    </row>
    <row r="27" spans="1:9" ht="20" customHeight="1" thickBot="1">
      <c r="A27" s="127" t="s">
        <v>1827</v>
      </c>
      <c r="B27" s="144">
        <v>108.22776531162492</v>
      </c>
      <c r="C27" s="297">
        <v>495.30348258706454</v>
      </c>
      <c r="D27" s="144">
        <v>608.71059608374276</v>
      </c>
      <c r="E27" s="297">
        <v>555.15196712087118</v>
      </c>
      <c r="F27" s="144">
        <v>474.98914864607627</v>
      </c>
      <c r="G27"/>
      <c r="I27" s="8">
        <v>627641817</v>
      </c>
    </row>
    <row r="28" spans="1:9" ht="20" customHeight="1" thickBot="1">
      <c r="A28" s="127" t="s">
        <v>1828</v>
      </c>
      <c r="B28" s="144">
        <v>131.86093788535385</v>
      </c>
      <c r="C28" s="297">
        <v>484.15935211221529</v>
      </c>
      <c r="D28" s="144">
        <v>627.36543066864192</v>
      </c>
      <c r="E28" s="297">
        <v>559.20047781450444</v>
      </c>
      <c r="F28" s="144">
        <v>466.74147993206464</v>
      </c>
      <c r="G28"/>
      <c r="I28" s="8">
        <v>1280335377</v>
      </c>
    </row>
    <row r="29" spans="1:9" ht="20" customHeight="1" thickBot="1">
      <c r="A29" s="127" t="s">
        <v>1829</v>
      </c>
      <c r="B29" s="144">
        <v>84.35610228784472</v>
      </c>
      <c r="C29" s="297">
        <v>401.19884647775916</v>
      </c>
      <c r="D29" s="144">
        <v>510.60478168784573</v>
      </c>
      <c r="E29" s="297">
        <v>457.0889968041547</v>
      </c>
      <c r="F29" s="144">
        <v>381.74024236387822</v>
      </c>
      <c r="G29"/>
      <c r="I29" s="8">
        <v>410743307</v>
      </c>
    </row>
    <row r="30" spans="1:9" ht="20" customHeight="1" thickBot="1">
      <c r="A30" s="127" t="s">
        <v>1830</v>
      </c>
      <c r="B30" s="144">
        <v>94.951562148797535</v>
      </c>
      <c r="C30" s="297">
        <v>422.0146662251027</v>
      </c>
      <c r="D30" s="144">
        <v>552.4266049126029</v>
      </c>
      <c r="E30" s="297">
        <v>490.3269369423499</v>
      </c>
      <c r="F30" s="144">
        <v>406.92876657125385</v>
      </c>
      <c r="G30"/>
      <c r="I30" s="8">
        <v>318756043</v>
      </c>
    </row>
    <row r="31" spans="1:9" ht="20" customHeight="1" thickBot="1">
      <c r="A31" s="127" t="s">
        <v>1831</v>
      </c>
      <c r="B31" s="144">
        <v>130.78008141299841</v>
      </c>
      <c r="C31" s="297">
        <v>503.38085081013719</v>
      </c>
      <c r="D31" s="144">
        <v>665.94933339642489</v>
      </c>
      <c r="E31" s="297">
        <v>589.26150442616108</v>
      </c>
      <c r="F31" s="144">
        <v>491.29574464425627</v>
      </c>
      <c r="G31"/>
      <c r="I31" s="8">
        <v>966736347</v>
      </c>
    </row>
    <row r="32" spans="1:9" ht="20" customHeight="1" thickBot="1">
      <c r="A32" s="128" t="s">
        <v>1832</v>
      </c>
      <c r="B32" s="144">
        <v>100.34545217617926</v>
      </c>
      <c r="C32" s="297">
        <v>462.38544773266028</v>
      </c>
      <c r="D32" s="144">
        <v>567.21942330367642</v>
      </c>
      <c r="E32" s="297">
        <v>516.59615064925435</v>
      </c>
      <c r="F32" s="144">
        <v>424.6564249427953</v>
      </c>
      <c r="G32"/>
      <c r="I32" s="8">
        <v>146808815</v>
      </c>
    </row>
    <row r="33" spans="1:9" ht="30" customHeight="1" thickBot="1">
      <c r="A33" s="129" t="s">
        <v>628</v>
      </c>
      <c r="B33" s="146">
        <v>93.366152538919096</v>
      </c>
      <c r="C33" s="298">
        <v>439.77241255319859</v>
      </c>
      <c r="D33" s="146">
        <v>558.32495343125242</v>
      </c>
      <c r="E33" s="298">
        <v>500.88380518349402</v>
      </c>
      <c r="F33" s="146">
        <v>419.47292035577175</v>
      </c>
      <c r="G33" s="299"/>
      <c r="I33" s="8">
        <v>12410394200</v>
      </c>
    </row>
    <row r="34" spans="1:9" ht="20" customHeight="1">
      <c r="A34" s="133" t="s">
        <v>1709</v>
      </c>
      <c r="B34" s="150"/>
      <c r="C34" s="150"/>
      <c r="D34" s="150"/>
      <c r="E34" s="150"/>
      <c r="F34" s="150"/>
      <c r="G34" s="153"/>
    </row>
    <row r="35" spans="1:9" ht="14.25" customHeight="1">
      <c r="A35" s="3"/>
      <c r="B35" s="152"/>
      <c r="C35" s="152"/>
      <c r="D35" s="152"/>
      <c r="E35" s="152"/>
      <c r="F35" s="152"/>
      <c r="G35" s="153"/>
    </row>
    <row r="36" spans="1:9" ht="15.75" customHeight="1">
      <c r="A36" s="3" t="s">
        <v>2264</v>
      </c>
      <c r="B36" s="152"/>
      <c r="C36" s="152"/>
      <c r="D36" s="152"/>
      <c r="E36" s="152"/>
      <c r="F36" s="152"/>
      <c r="G36" s="153"/>
    </row>
    <row r="37" spans="1:9" ht="13.5" customHeight="1">
      <c r="A37" s="3"/>
      <c r="B37" s="152"/>
      <c r="C37" s="152"/>
      <c r="D37" s="152"/>
      <c r="E37" s="152"/>
      <c r="F37" s="152"/>
      <c r="G37" s="153"/>
    </row>
    <row r="38" spans="1:9" ht="11.25" customHeight="1">
      <c r="A38" s="300" t="s">
        <v>2265</v>
      </c>
      <c r="B38" s="301"/>
      <c r="C38" s="152"/>
      <c r="D38" s="152"/>
      <c r="E38" s="152"/>
      <c r="F38" s="152"/>
      <c r="G38" s="153"/>
    </row>
    <row r="39" spans="1:9" ht="12" customHeight="1"/>
    <row r="40" spans="1:9" ht="12" customHeight="1"/>
    <row r="41" spans="1:9" ht="12" customHeight="1">
      <c r="A41" s="3" t="s">
        <v>634</v>
      </c>
    </row>
    <row r="42" spans="1:9" ht="12" customHeight="1"/>
  </sheetData>
  <mergeCells count="1">
    <mergeCell ref="A2:E2"/>
  </mergeCells>
  <phoneticPr fontId="0" type="noConversion"/>
  <pageMargins left="0.62" right="0.56000000000000005" top="0.78" bottom="0.49" header="0.4" footer="0.4921259845"/>
  <pageSetup paperSize="9" scale="80" orientation="portrait" horizontalDpi="4294967292" verticalDpi="4294967292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B9E7-69A0-EB44-8099-217881DF647C}">
  <dimension ref="A1:K31"/>
  <sheetViews>
    <sheetView topLeftCell="A10" zoomScale="75" workbookViewId="0">
      <selection activeCell="C46" sqref="C46"/>
    </sheetView>
  </sheetViews>
  <sheetFormatPr baseColWidth="10" defaultColWidth="11.3984375" defaultRowHeight="13"/>
  <cols>
    <col min="1" max="1" width="14.796875" style="2" customWidth="1"/>
    <col min="2" max="2" width="14.796875" style="155" customWidth="1"/>
    <col min="3" max="3" width="14.796875" style="156" customWidth="1"/>
    <col min="4" max="4" width="14.796875" style="155" customWidth="1"/>
    <col min="5" max="5" width="14.796875" style="156" customWidth="1"/>
    <col min="6" max="6" width="14.796875" style="155" customWidth="1"/>
    <col min="7" max="7" width="14.796875" style="156" customWidth="1"/>
    <col min="8" max="8" width="11.3984375" style="2"/>
    <col min="9" max="9" width="7.59765625" style="2" customWidth="1"/>
    <col min="10" max="10" width="6.3984375" style="2" customWidth="1"/>
    <col min="11" max="11" width="8.796875" style="2" customWidth="1"/>
    <col min="12" max="16384" width="11.3984375" style="2"/>
  </cols>
  <sheetData>
    <row r="1" spans="1:11" s="1" customFormat="1" ht="15" customHeight="1">
      <c r="A1" s="134"/>
      <c r="B1" s="135"/>
      <c r="C1" s="294"/>
      <c r="D1" s="295"/>
      <c r="E1" s="294"/>
      <c r="F1" s="295"/>
      <c r="G1" s="294"/>
      <c r="H1" s="302"/>
    </row>
    <row r="2" spans="1:11" s="1" customFormat="1" ht="43.5" customHeight="1">
      <c r="A2" s="1807" t="s">
        <v>2268</v>
      </c>
      <c r="B2" s="1808"/>
      <c r="C2" s="1808"/>
      <c r="D2" s="1808"/>
      <c r="E2" s="1808"/>
      <c r="F2" s="1808"/>
      <c r="G2" s="275">
        <v>2007</v>
      </c>
      <c r="H2" s="302"/>
    </row>
    <row r="3" spans="1:11" ht="27" customHeight="1">
      <c r="A3" s="110" t="s">
        <v>868</v>
      </c>
      <c r="B3" s="139" t="s">
        <v>869</v>
      </c>
      <c r="C3" s="112" t="s">
        <v>1801</v>
      </c>
      <c r="D3" s="139" t="s">
        <v>871</v>
      </c>
      <c r="E3" s="112" t="s">
        <v>1801</v>
      </c>
      <c r="F3" s="139" t="s">
        <v>629</v>
      </c>
      <c r="G3" s="112" t="s">
        <v>1801</v>
      </c>
    </row>
    <row r="4" spans="1:11" ht="15" customHeight="1">
      <c r="A4" s="113"/>
      <c r="B4" s="140"/>
      <c r="C4" s="115" t="s">
        <v>1802</v>
      </c>
      <c r="D4" s="140"/>
      <c r="E4" s="115" t="s">
        <v>1802</v>
      </c>
      <c r="F4" s="140"/>
      <c r="G4" s="115" t="s">
        <v>1802</v>
      </c>
    </row>
    <row r="5" spans="1:11" ht="15" customHeight="1">
      <c r="A5" s="113"/>
      <c r="B5" s="140"/>
      <c r="C5" s="115" t="s">
        <v>1806</v>
      </c>
      <c r="D5" s="140"/>
      <c r="E5" s="115" t="s">
        <v>1806</v>
      </c>
      <c r="F5" s="140"/>
      <c r="G5" s="115" t="s">
        <v>1806</v>
      </c>
    </row>
    <row r="6" spans="1:11" ht="23" customHeight="1">
      <c r="A6" s="117"/>
      <c r="B6" s="141"/>
      <c r="C6" s="119"/>
      <c r="D6" s="141"/>
      <c r="E6" s="119"/>
      <c r="F6" s="141"/>
      <c r="G6" s="119"/>
    </row>
    <row r="7" spans="1:11" ht="30" customHeight="1" thickBot="1">
      <c r="A7" s="122" t="s">
        <v>873</v>
      </c>
      <c r="B7" s="142">
        <v>95.108811716905507</v>
      </c>
      <c r="C7" s="143">
        <v>3.8594968537050751E-2</v>
      </c>
      <c r="D7" s="142">
        <v>91.53424771677345</v>
      </c>
      <c r="E7" s="143">
        <v>3.6925834101185377E-2</v>
      </c>
      <c r="F7" s="142">
        <v>93.366214712516182</v>
      </c>
      <c r="G7" s="143">
        <v>3.7788808176467251E-2</v>
      </c>
      <c r="I7" s="296"/>
      <c r="J7" s="296"/>
      <c r="K7" s="296"/>
    </row>
    <row r="8" spans="1:11" ht="20" customHeight="1" thickBot="1">
      <c r="A8" s="127" t="s">
        <v>874</v>
      </c>
      <c r="B8" s="144">
        <v>247.12926556007224</v>
      </c>
      <c r="C8" s="145">
        <v>4.5021919553755044E-3</v>
      </c>
      <c r="D8" s="144">
        <v>368.98700856676828</v>
      </c>
      <c r="E8" s="145">
        <v>2.0256992564847108E-2</v>
      </c>
      <c r="F8" s="144">
        <v>308.22655697853213</v>
      </c>
      <c r="G8" s="145">
        <v>1.5014842078465125E-2</v>
      </c>
      <c r="I8" s="296"/>
      <c r="J8" s="296"/>
      <c r="K8" s="296"/>
    </row>
    <row r="9" spans="1:11" ht="20" customHeight="1" thickBot="1">
      <c r="A9" s="127" t="s">
        <v>875</v>
      </c>
      <c r="B9" s="144">
        <v>252.94563258911086</v>
      </c>
      <c r="C9" s="145">
        <v>-5.2789157009740526E-3</v>
      </c>
      <c r="D9" s="144">
        <v>427.48757434682477</v>
      </c>
      <c r="E9" s="145">
        <v>1.659074451932294E-2</v>
      </c>
      <c r="F9" s="144">
        <v>340.01842879015464</v>
      </c>
      <c r="G9" s="145">
        <v>7.9220774558461469E-3</v>
      </c>
      <c r="I9" s="296"/>
      <c r="J9" s="296"/>
      <c r="K9" s="296"/>
    </row>
    <row r="10" spans="1:11" ht="20" customHeight="1" thickBot="1">
      <c r="A10" s="127" t="s">
        <v>876</v>
      </c>
      <c r="B10" s="144">
        <v>291.44394690486206</v>
      </c>
      <c r="C10" s="145">
        <v>2.4997495897110866E-2</v>
      </c>
      <c r="D10" s="144">
        <v>475.60836075061889</v>
      </c>
      <c r="E10" s="145">
        <v>3.0072456695413339E-2</v>
      </c>
      <c r="F10" s="144">
        <v>383.67752321330988</v>
      </c>
      <c r="G10" s="145">
        <v>2.8150707796452918E-2</v>
      </c>
      <c r="I10" s="296"/>
      <c r="J10" s="296"/>
      <c r="K10" s="296"/>
    </row>
    <row r="11" spans="1:11" ht="20" customHeight="1" thickBot="1">
      <c r="A11" s="127" t="s">
        <v>877</v>
      </c>
      <c r="B11" s="144">
        <v>323.71103737057183</v>
      </c>
      <c r="C11" s="145">
        <v>3.3285118169432276E-2</v>
      </c>
      <c r="D11" s="144">
        <v>479.34383530901357</v>
      </c>
      <c r="E11" s="145">
        <v>4.3031720949146791E-2</v>
      </c>
      <c r="F11" s="144">
        <v>401.59330627953256</v>
      </c>
      <c r="G11" s="145">
        <v>3.9270956853529548E-2</v>
      </c>
      <c r="I11" s="296"/>
      <c r="J11" s="296"/>
      <c r="K11" s="296"/>
    </row>
    <row r="12" spans="1:11" ht="20" customHeight="1" thickBot="1">
      <c r="A12" s="127" t="s">
        <v>878</v>
      </c>
      <c r="B12" s="144">
        <v>352.91001569262085</v>
      </c>
      <c r="C12" s="145">
        <v>2.8561787291358106E-2</v>
      </c>
      <c r="D12" s="144">
        <v>484.16559919334838</v>
      </c>
      <c r="E12" s="145">
        <v>3.5065375575981439E-2</v>
      </c>
      <c r="F12" s="144">
        <v>417.73199445875957</v>
      </c>
      <c r="G12" s="145">
        <v>3.2190975652774137E-2</v>
      </c>
      <c r="I12" s="296"/>
      <c r="J12" s="296"/>
      <c r="K12" s="296"/>
    </row>
    <row r="13" spans="1:11" ht="20" customHeight="1" thickBot="1">
      <c r="A13" s="127" t="s">
        <v>879</v>
      </c>
      <c r="B13" s="144">
        <v>396.09339353775408</v>
      </c>
      <c r="C13" s="145">
        <v>2.3450099185761492E-2</v>
      </c>
      <c r="D13" s="144">
        <v>512.1670489229507</v>
      </c>
      <c r="E13" s="145">
        <v>2.5291286356964343E-2</v>
      </c>
      <c r="F13" s="144">
        <v>453.47351387203264</v>
      </c>
      <c r="G13" s="145">
        <v>2.47751376144934E-2</v>
      </c>
      <c r="I13" s="296"/>
      <c r="J13" s="296"/>
      <c r="K13" s="296"/>
    </row>
    <row r="14" spans="1:11" ht="20" customHeight="1" thickBot="1">
      <c r="A14" s="127" t="s">
        <v>880</v>
      </c>
      <c r="B14" s="144">
        <v>459.53586386506288</v>
      </c>
      <c r="C14" s="145">
        <v>2.7745890771621221E-2</v>
      </c>
      <c r="D14" s="144">
        <v>556.5876359917055</v>
      </c>
      <c r="E14" s="145">
        <v>2.5715961181640084E-2</v>
      </c>
      <c r="F14" s="144">
        <v>507.72328991584936</v>
      </c>
      <c r="G14" s="145">
        <v>2.6346019860186587E-2</v>
      </c>
      <c r="I14" s="296"/>
      <c r="J14" s="296"/>
      <c r="K14" s="296"/>
    </row>
    <row r="15" spans="1:11" ht="20" customHeight="1" thickBot="1">
      <c r="A15" s="127" t="s">
        <v>881</v>
      </c>
      <c r="B15" s="144">
        <v>530.71327646301847</v>
      </c>
      <c r="C15" s="145">
        <v>2.6659404163104968E-2</v>
      </c>
      <c r="D15" s="144">
        <v>584.46526774326139</v>
      </c>
      <c r="E15" s="145">
        <v>1.6554453240662435E-2</v>
      </c>
      <c r="F15" s="144">
        <v>557.6637885428861</v>
      </c>
      <c r="G15" s="145">
        <v>2.1321350887905544E-2</v>
      </c>
      <c r="I15" s="296"/>
      <c r="J15" s="296"/>
      <c r="K15" s="296"/>
    </row>
    <row r="16" spans="1:11" ht="20" customHeight="1" thickBot="1">
      <c r="A16" s="127" t="s">
        <v>882</v>
      </c>
      <c r="B16" s="144">
        <v>610.70858454677864</v>
      </c>
      <c r="C16" s="145">
        <v>3.269309730340117E-2</v>
      </c>
      <c r="D16" s="144">
        <v>628.93898054824399</v>
      </c>
      <c r="E16" s="145">
        <v>1.8037208485620741E-2</v>
      </c>
      <c r="F16" s="144">
        <v>619.9496577292748</v>
      </c>
      <c r="G16" s="145">
        <v>2.506362248322298E-2</v>
      </c>
      <c r="I16" s="296"/>
      <c r="J16" s="296"/>
      <c r="K16" s="296"/>
    </row>
    <row r="17" spans="1:11" ht="20" customHeight="1" thickBot="1">
      <c r="A17" s="127" t="s">
        <v>883</v>
      </c>
      <c r="B17" s="144">
        <v>672.90418445553223</v>
      </c>
      <c r="C17" s="145">
        <v>3.0519781891375216E-2</v>
      </c>
      <c r="D17" s="144">
        <v>669.95198314313961</v>
      </c>
      <c r="E17" s="145">
        <v>2.3087988344561074E-2</v>
      </c>
      <c r="F17" s="144">
        <v>671.3426092223815</v>
      </c>
      <c r="G17" s="145">
        <v>2.6576145613813815E-2</v>
      </c>
      <c r="I17" s="296"/>
      <c r="J17" s="296"/>
      <c r="K17" s="296"/>
    </row>
    <row r="18" spans="1:11" ht="20" customHeight="1" thickBot="1">
      <c r="A18" s="127" t="s">
        <v>884</v>
      </c>
      <c r="B18" s="144">
        <v>729.97251118459349</v>
      </c>
      <c r="C18" s="145">
        <v>2.387410456848504E-2</v>
      </c>
      <c r="D18" s="144">
        <v>717.78219100874503</v>
      </c>
      <c r="E18" s="145">
        <v>1.9900279037326839E-2</v>
      </c>
      <c r="F18" s="144">
        <v>723.25207552175812</v>
      </c>
      <c r="G18" s="145">
        <v>2.1722392779998476E-2</v>
      </c>
      <c r="I18" s="296"/>
      <c r="J18" s="296"/>
      <c r="K18" s="296"/>
    </row>
    <row r="19" spans="1:11" ht="20" customHeight="1" thickBot="1">
      <c r="A19" s="127" t="s">
        <v>885</v>
      </c>
      <c r="B19" s="144">
        <v>786.06799090313052</v>
      </c>
      <c r="C19" s="145">
        <v>2.0710660227871033E-2</v>
      </c>
      <c r="D19" s="144">
        <v>778.01033945855988</v>
      </c>
      <c r="E19" s="145">
        <v>1.7387392789044429E-2</v>
      </c>
      <c r="F19" s="144">
        <v>781.32934995885626</v>
      </c>
      <c r="G19" s="145">
        <v>1.8793009790550288E-2</v>
      </c>
      <c r="I19" s="296"/>
      <c r="J19" s="296"/>
      <c r="K19" s="296"/>
    </row>
    <row r="20" spans="1:11" ht="20" customHeight="1" thickBot="1">
      <c r="A20" s="127" t="s">
        <v>886</v>
      </c>
      <c r="B20" s="144">
        <v>847.73111674969914</v>
      </c>
      <c r="C20" s="145">
        <v>1.5224496940739726E-2</v>
      </c>
      <c r="D20" s="144">
        <v>850.5463387547461</v>
      </c>
      <c r="E20" s="145">
        <v>1.1477455906387088E-2</v>
      </c>
      <c r="F20" s="144">
        <v>849.51418117873982</v>
      </c>
      <c r="G20" s="145">
        <v>1.283180000119296E-2</v>
      </c>
      <c r="I20" s="296"/>
      <c r="J20" s="296"/>
      <c r="K20" s="296"/>
    </row>
    <row r="21" spans="1:11" ht="20" customHeight="1" thickBot="1">
      <c r="A21" s="127" t="s">
        <v>887</v>
      </c>
      <c r="B21" s="144">
        <v>923.4738486055785</v>
      </c>
      <c r="C21" s="145">
        <v>1.3319817076140749E-2</v>
      </c>
      <c r="D21" s="144">
        <v>941.63224142928993</v>
      </c>
      <c r="E21" s="145">
        <v>9.239655010597236E-3</v>
      </c>
      <c r="F21" s="144">
        <v>935.75387440929717</v>
      </c>
      <c r="G21" s="145">
        <v>1.0505808413618475E-2</v>
      </c>
      <c r="I21" s="296"/>
      <c r="J21" s="296"/>
      <c r="K21" s="296"/>
    </row>
    <row r="22" spans="1:11" ht="20" customHeight="1" thickBot="1">
      <c r="A22" s="127" t="s">
        <v>888</v>
      </c>
      <c r="B22" s="144">
        <v>1043.1786255684692</v>
      </c>
      <c r="C22" s="145">
        <v>1.3471665435887127E-2</v>
      </c>
      <c r="D22" s="144">
        <v>1067.1472500141317</v>
      </c>
      <c r="E22" s="145">
        <v>7.6284635226766028E-3</v>
      </c>
      <c r="F22" s="144">
        <v>1061.1246614186521</v>
      </c>
      <c r="G22" s="145">
        <v>8.9398717305962157E-3</v>
      </c>
      <c r="I22" s="296"/>
      <c r="J22" s="296"/>
      <c r="K22" s="296"/>
    </row>
    <row r="23" spans="1:11" ht="30" customHeight="1" thickBot="1">
      <c r="A23" s="129" t="s">
        <v>629</v>
      </c>
      <c r="B23" s="146">
        <v>367.77268548488894</v>
      </c>
      <c r="C23" s="147">
        <v>3.2026136034449135E-2</v>
      </c>
      <c r="D23" s="146">
        <v>469.16794934344182</v>
      </c>
      <c r="E23" s="147">
        <v>2.8172315720814897E-2</v>
      </c>
      <c r="F23" s="146">
        <v>419.47303196127666</v>
      </c>
      <c r="G23" s="147">
        <v>2.9833822341815211E-2</v>
      </c>
      <c r="I23" s="296"/>
      <c r="J23" s="296"/>
      <c r="K23" s="296"/>
    </row>
    <row r="24" spans="1:11" ht="20" customHeight="1">
      <c r="A24" s="133" t="s">
        <v>1709</v>
      </c>
      <c r="B24" s="150"/>
      <c r="C24" s="151"/>
      <c r="D24" s="150"/>
      <c r="E24" s="151"/>
      <c r="F24" s="150"/>
      <c r="G24" s="151"/>
    </row>
    <row r="25" spans="1:11" ht="14.25" customHeight="1">
      <c r="A25" s="3"/>
      <c r="B25" s="152"/>
      <c r="C25" s="153"/>
      <c r="D25" s="152"/>
      <c r="E25" s="153"/>
      <c r="F25" s="152"/>
      <c r="G25" s="153"/>
    </row>
    <row r="26" spans="1:11" ht="12.75" customHeight="1">
      <c r="A26" s="3" t="s">
        <v>2267</v>
      </c>
      <c r="B26" s="152"/>
      <c r="C26" s="153"/>
      <c r="D26" s="152"/>
      <c r="E26" s="153"/>
      <c r="F26" s="152"/>
      <c r="G26" s="153"/>
    </row>
    <row r="28" spans="1:11">
      <c r="A28" s="178" t="s">
        <v>53</v>
      </c>
      <c r="B28" s="152"/>
      <c r="C28" s="153"/>
      <c r="D28" s="152"/>
      <c r="E28" s="153"/>
      <c r="F28" s="152"/>
      <c r="G28" s="153"/>
    </row>
    <row r="29" spans="1:11">
      <c r="A29" s="178"/>
      <c r="B29" s="152"/>
      <c r="C29" s="153"/>
      <c r="D29" s="152"/>
      <c r="E29" s="153"/>
      <c r="F29" s="152"/>
      <c r="G29" s="153"/>
    </row>
    <row r="30" spans="1:11">
      <c r="A30" s="178"/>
      <c r="B30" s="152"/>
      <c r="C30" s="153"/>
      <c r="D30" s="152"/>
      <c r="E30" s="153"/>
      <c r="F30" s="152"/>
      <c r="G30" s="153"/>
    </row>
    <row r="31" spans="1:11">
      <c r="A31" s="3" t="s">
        <v>634</v>
      </c>
    </row>
  </sheetData>
  <mergeCells count="1">
    <mergeCell ref="A2:F2"/>
  </mergeCells>
  <phoneticPr fontId="0" type="noConversion"/>
  <pageMargins left="0.62" right="0.66" top="0.83" bottom="0.86614173228346458" header="0.44" footer="0.51181102362204722"/>
  <pageSetup paperSize="9" scale="80" orientation="portrait" horizontalDpi="1200" verticalDpi="12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2A5F-7309-6B4B-9E80-B696C55E8700}">
  <sheetPr>
    <pageSetUpPr fitToPage="1"/>
  </sheetPr>
  <dimension ref="A1:H39"/>
  <sheetViews>
    <sheetView zoomScale="75" workbookViewId="0">
      <selection activeCell="A3" sqref="A3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5" width="16" style="2" customWidth="1"/>
    <col min="6" max="6" width="16.5976562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1800" t="s">
        <v>2269</v>
      </c>
      <c r="B2" s="1804"/>
      <c r="C2" s="1804"/>
      <c r="D2" s="1804"/>
      <c r="E2" s="1804"/>
      <c r="F2" s="109">
        <v>2007</v>
      </c>
    </row>
    <row r="3" spans="1:8" ht="27" customHeight="1">
      <c r="A3" s="110" t="s">
        <v>1797</v>
      </c>
      <c r="B3" s="111" t="s">
        <v>1798</v>
      </c>
      <c r="C3" s="112" t="s">
        <v>1799</v>
      </c>
      <c r="D3" s="111" t="s">
        <v>1800</v>
      </c>
      <c r="E3" s="112" t="s">
        <v>629</v>
      </c>
      <c r="F3" s="111" t="s">
        <v>1801</v>
      </c>
    </row>
    <row r="4" spans="1:8" ht="15" customHeight="1">
      <c r="A4" s="113"/>
      <c r="B4" s="114"/>
      <c r="C4" s="115" t="s">
        <v>1800</v>
      </c>
      <c r="D4" s="116"/>
      <c r="E4" s="115"/>
      <c r="F4" s="114" t="s">
        <v>1802</v>
      </c>
    </row>
    <row r="5" spans="1:8" ht="15" customHeight="1">
      <c r="A5" s="113"/>
      <c r="B5" s="114" t="s">
        <v>1803</v>
      </c>
      <c r="C5" s="115" t="s">
        <v>1804</v>
      </c>
      <c r="D5" s="114" t="s">
        <v>1805</v>
      </c>
      <c r="E5" s="115"/>
      <c r="F5" s="114" t="s">
        <v>1806</v>
      </c>
    </row>
    <row r="6" spans="1:8" ht="24" customHeight="1">
      <c r="A6" s="117"/>
      <c r="B6" s="118"/>
      <c r="C6" s="117"/>
      <c r="D6" s="118"/>
      <c r="E6" s="119"/>
      <c r="F6" s="120"/>
      <c r="H6" s="121"/>
    </row>
    <row r="7" spans="1:8" ht="30" customHeight="1" thickBot="1">
      <c r="A7" s="122" t="s">
        <v>1807</v>
      </c>
      <c r="B7" s="123">
        <v>70.677153862013895</v>
      </c>
      <c r="C7" s="124">
        <v>76.225167967435809</v>
      </c>
      <c r="D7" s="123">
        <v>243.40077087966654</v>
      </c>
      <c r="E7" s="124">
        <v>198.32550821692919</v>
      </c>
      <c r="F7" s="125">
        <v>4.6722958346295217E-2</v>
      </c>
      <c r="H7" s="126"/>
    </row>
    <row r="8" spans="1:8" ht="20" customHeight="1" thickBot="1">
      <c r="A8" s="127" t="s">
        <v>1808</v>
      </c>
      <c r="B8" s="123">
        <v>59.46564414133784</v>
      </c>
      <c r="C8" s="124">
        <v>76.6584248146916</v>
      </c>
      <c r="D8" s="123">
        <v>281.70367645830498</v>
      </c>
      <c r="E8" s="124">
        <v>222.89349598715557</v>
      </c>
      <c r="F8" s="125">
        <v>5.3605448518828321E-2</v>
      </c>
      <c r="H8" s="126"/>
    </row>
    <row r="9" spans="1:8" ht="20" customHeight="1" thickBot="1">
      <c r="A9" s="127" t="s">
        <v>1809</v>
      </c>
      <c r="B9" s="123">
        <v>49.522477197833247</v>
      </c>
      <c r="C9" s="124">
        <v>59.086135967809746</v>
      </c>
      <c r="D9" s="123">
        <v>219.91649520636565</v>
      </c>
      <c r="E9" s="124">
        <v>169.12959680035587</v>
      </c>
      <c r="F9" s="125">
        <v>5.4732032210429271E-2</v>
      </c>
      <c r="H9" s="126"/>
    </row>
    <row r="10" spans="1:8" ht="20" customHeight="1" thickBot="1">
      <c r="A10" s="127" t="s">
        <v>1810</v>
      </c>
      <c r="B10" s="123">
        <v>53.291223887375111</v>
      </c>
      <c r="C10" s="124">
        <v>53.842515481528928</v>
      </c>
      <c r="D10" s="123">
        <v>215.08309897425445</v>
      </c>
      <c r="E10" s="124">
        <v>166.76622996256822</v>
      </c>
      <c r="F10" s="125">
        <v>7.7592773360780437E-2</v>
      </c>
      <c r="H10" s="126"/>
    </row>
    <row r="11" spans="1:8" ht="20" customHeight="1" thickBot="1">
      <c r="A11" s="127" t="s">
        <v>1811</v>
      </c>
      <c r="B11" s="123">
        <v>62.977654150064154</v>
      </c>
      <c r="C11" s="124">
        <v>67.364405027701977</v>
      </c>
      <c r="D11" s="123">
        <v>211.81126695097828</v>
      </c>
      <c r="E11" s="124">
        <v>167.83777163298942</v>
      </c>
      <c r="F11" s="125">
        <v>4.7748246161727396E-2</v>
      </c>
      <c r="H11" s="126"/>
    </row>
    <row r="12" spans="1:8" ht="20" customHeight="1" thickBot="1">
      <c r="A12" s="127" t="s">
        <v>1812</v>
      </c>
      <c r="B12" s="123">
        <v>54.362475463954318</v>
      </c>
      <c r="C12" s="124">
        <v>56.380706354102408</v>
      </c>
      <c r="D12" s="123">
        <v>210.67737697758616</v>
      </c>
      <c r="E12" s="124">
        <v>162.1474933333333</v>
      </c>
      <c r="F12" s="125">
        <v>8.6820133707329036E-2</v>
      </c>
      <c r="H12" s="126"/>
    </row>
    <row r="13" spans="1:8" ht="20" customHeight="1" thickBot="1">
      <c r="A13" s="127" t="s">
        <v>1813</v>
      </c>
      <c r="B13" s="123">
        <v>50.679013911793305</v>
      </c>
      <c r="C13" s="124">
        <v>55.271560886729425</v>
      </c>
      <c r="D13" s="123">
        <v>193.77327955295792</v>
      </c>
      <c r="E13" s="124">
        <v>153.92074853036135</v>
      </c>
      <c r="F13" s="125">
        <v>8.8667291667635539E-2</v>
      </c>
      <c r="H13" s="126"/>
    </row>
    <row r="14" spans="1:8" ht="20" customHeight="1" thickBot="1">
      <c r="A14" s="127" t="s">
        <v>1814</v>
      </c>
      <c r="B14" s="123">
        <v>66.039930780878208</v>
      </c>
      <c r="C14" s="124">
        <v>76.782386990077171</v>
      </c>
      <c r="D14" s="123">
        <v>210.78324697754749</v>
      </c>
      <c r="E14" s="124">
        <v>168.81777603074775</v>
      </c>
      <c r="F14" s="125">
        <v>3.5424810864692249E-2</v>
      </c>
      <c r="H14" s="126"/>
    </row>
    <row r="15" spans="1:8" ht="20" customHeight="1" thickBot="1">
      <c r="A15" s="127" t="s">
        <v>1815</v>
      </c>
      <c r="B15" s="123">
        <v>57.672411105395248</v>
      </c>
      <c r="C15" s="124">
        <v>71.227701920389663</v>
      </c>
      <c r="D15" s="123">
        <v>206.33791565287916</v>
      </c>
      <c r="E15" s="124">
        <v>166.39291687534396</v>
      </c>
      <c r="F15" s="125">
        <v>7.4300296209041855E-2</v>
      </c>
      <c r="H15" s="126"/>
    </row>
    <row r="16" spans="1:8" ht="20" customHeight="1" thickBot="1">
      <c r="A16" s="127" t="s">
        <v>1816</v>
      </c>
      <c r="B16" s="123">
        <v>62.711822380794331</v>
      </c>
      <c r="C16" s="124">
        <v>78.011927530430398</v>
      </c>
      <c r="D16" s="123">
        <v>245.54621480507714</v>
      </c>
      <c r="E16" s="124">
        <v>189.17513545356451</v>
      </c>
      <c r="F16" s="125">
        <v>4.164007507266515E-2</v>
      </c>
      <c r="H16" s="126"/>
    </row>
    <row r="17" spans="1:8" ht="20" customHeight="1" thickBot="1">
      <c r="A17" s="127" t="s">
        <v>1817</v>
      </c>
      <c r="B17" s="123">
        <v>64.04581307181563</v>
      </c>
      <c r="C17" s="124">
        <v>68.353759039116824</v>
      </c>
      <c r="D17" s="123">
        <v>248.76578157148415</v>
      </c>
      <c r="E17" s="124">
        <v>196.97315255242793</v>
      </c>
      <c r="F17" s="125">
        <v>5.520659650558904E-2</v>
      </c>
      <c r="H17" s="126"/>
    </row>
    <row r="18" spans="1:8" ht="20" customHeight="1" thickBot="1">
      <c r="A18" s="127" t="s">
        <v>1818</v>
      </c>
      <c r="B18" s="123">
        <v>93.754495368228774</v>
      </c>
      <c r="C18" s="124">
        <v>94.375270459462897</v>
      </c>
      <c r="D18" s="123">
        <v>349.34615431325113</v>
      </c>
      <c r="E18" s="124">
        <v>290.37905098430423</v>
      </c>
      <c r="F18" s="125">
        <v>4.46666194183288E-2</v>
      </c>
      <c r="H18" s="126"/>
    </row>
    <row r="19" spans="1:8" ht="20" customHeight="1" thickBot="1">
      <c r="A19" s="127" t="s">
        <v>1819</v>
      </c>
      <c r="B19" s="123">
        <v>76.22024550553526</v>
      </c>
      <c r="C19" s="124">
        <v>79.263684202158956</v>
      </c>
      <c r="D19" s="123">
        <v>260.48295025290253</v>
      </c>
      <c r="E19" s="124">
        <v>211.98275562416134</v>
      </c>
      <c r="F19" s="125">
        <v>5.4354739338592646E-2</v>
      </c>
      <c r="H19" s="126"/>
    </row>
    <row r="20" spans="1:8" ht="20" customHeight="1" thickBot="1">
      <c r="A20" s="127" t="s">
        <v>1820</v>
      </c>
      <c r="B20" s="123">
        <v>57.960687714837313</v>
      </c>
      <c r="C20" s="124">
        <v>64.849576163646518</v>
      </c>
      <c r="D20" s="123">
        <v>239.94048531872815</v>
      </c>
      <c r="E20" s="124">
        <v>190.58562472406183</v>
      </c>
      <c r="F20" s="125">
        <v>4.2601426469791689E-2</v>
      </c>
      <c r="H20" s="126"/>
    </row>
    <row r="21" spans="1:8" ht="20" customHeight="1" thickBot="1">
      <c r="A21" s="127" t="s">
        <v>1821</v>
      </c>
      <c r="B21" s="123">
        <v>50.194476546063356</v>
      </c>
      <c r="C21" s="124">
        <v>49.109568886052614</v>
      </c>
      <c r="D21" s="123">
        <v>197.49900492839959</v>
      </c>
      <c r="E21" s="124">
        <v>153.25360630375005</v>
      </c>
      <c r="F21" s="125">
        <v>5.56200482020252E-2</v>
      </c>
      <c r="H21" s="126"/>
    </row>
    <row r="22" spans="1:8" ht="20" customHeight="1" thickBot="1">
      <c r="A22" s="127" t="s">
        <v>1822</v>
      </c>
      <c r="B22" s="123">
        <v>49.010074762946751</v>
      </c>
      <c r="C22" s="124">
        <v>40.528412802090138</v>
      </c>
      <c r="D22" s="123">
        <v>171.56195655740396</v>
      </c>
      <c r="E22" s="124">
        <v>129.2928287501629</v>
      </c>
      <c r="F22" s="125">
        <v>1.3871896840486552E-2</v>
      </c>
      <c r="H22" s="126"/>
    </row>
    <row r="23" spans="1:8" ht="20" customHeight="1" thickBot="1">
      <c r="A23" s="127" t="s">
        <v>1823</v>
      </c>
      <c r="B23" s="123">
        <v>57.968119095123036</v>
      </c>
      <c r="C23" s="124">
        <v>59.509295255746672</v>
      </c>
      <c r="D23" s="123">
        <v>212.16872176697191</v>
      </c>
      <c r="E23" s="124">
        <v>164.64844241441867</v>
      </c>
      <c r="F23" s="125">
        <v>4.8847281556606899E-2</v>
      </c>
      <c r="H23" s="126"/>
    </row>
    <row r="24" spans="1:8" ht="20" customHeight="1" thickBot="1">
      <c r="A24" s="127" t="s">
        <v>1824</v>
      </c>
      <c r="B24" s="123">
        <v>64.148831939598679</v>
      </c>
      <c r="C24" s="124">
        <v>60.329319203596661</v>
      </c>
      <c r="D24" s="123">
        <v>221.60310634974257</v>
      </c>
      <c r="E24" s="124">
        <v>177.05561085029231</v>
      </c>
      <c r="F24" s="125">
        <v>8.4280520703181552E-2</v>
      </c>
      <c r="H24" s="126"/>
    </row>
    <row r="25" spans="1:8" ht="20" customHeight="1" thickBot="1">
      <c r="A25" s="127" t="s">
        <v>1825</v>
      </c>
      <c r="B25" s="123">
        <v>63.111930698335918</v>
      </c>
      <c r="C25" s="124">
        <v>71.175386640342211</v>
      </c>
      <c r="D25" s="123">
        <v>226.33338997536779</v>
      </c>
      <c r="E25" s="124">
        <v>179.52976213953801</v>
      </c>
      <c r="F25" s="125">
        <v>3.5393706426977367E-2</v>
      </c>
      <c r="H25" s="126"/>
    </row>
    <row r="26" spans="1:8" ht="20" customHeight="1" thickBot="1">
      <c r="A26" s="127" t="s">
        <v>1826</v>
      </c>
      <c r="B26" s="123">
        <v>59.294113488850336</v>
      </c>
      <c r="C26" s="124">
        <v>64.615548225659694</v>
      </c>
      <c r="D26" s="123">
        <v>219.8637349358703</v>
      </c>
      <c r="E26" s="124">
        <v>170.75586917787595</v>
      </c>
      <c r="F26" s="125">
        <v>5.3144486063189784E-2</v>
      </c>
      <c r="H26" s="126"/>
    </row>
    <row r="27" spans="1:8" ht="20" customHeight="1" thickBot="1">
      <c r="A27" s="127" t="s">
        <v>1827</v>
      </c>
      <c r="B27" s="123">
        <v>69.745135301246037</v>
      </c>
      <c r="C27" s="124">
        <v>68.062613965862553</v>
      </c>
      <c r="D27" s="123">
        <v>295.21791215593089</v>
      </c>
      <c r="E27" s="124">
        <v>238.96989123686089</v>
      </c>
      <c r="F27" s="125">
        <v>3.0249749292490202E-2</v>
      </c>
      <c r="H27" s="126"/>
    </row>
    <row r="28" spans="1:8" ht="20" customHeight="1" thickBot="1">
      <c r="A28" s="127" t="s">
        <v>1828</v>
      </c>
      <c r="B28" s="123">
        <v>79.235615215680752</v>
      </c>
      <c r="C28" s="124">
        <v>81.85487358292103</v>
      </c>
      <c r="D28" s="123">
        <v>295.61889439318389</v>
      </c>
      <c r="E28" s="124">
        <v>232.07132263185767</v>
      </c>
      <c r="F28" s="125">
        <v>2.3595832034100019E-2</v>
      </c>
      <c r="H28" s="126"/>
    </row>
    <row r="29" spans="1:8" ht="20" customHeight="1" thickBot="1">
      <c r="A29" s="127" t="s">
        <v>1829</v>
      </c>
      <c r="B29" s="123">
        <v>59.194628300512967</v>
      </c>
      <c r="C29" s="124">
        <v>62.913572134820214</v>
      </c>
      <c r="D29" s="123">
        <v>234.63190362535877</v>
      </c>
      <c r="E29" s="124">
        <v>183.98375055334222</v>
      </c>
      <c r="F29" s="125">
        <v>4.2043926153175648E-2</v>
      </c>
      <c r="H29" s="126"/>
    </row>
    <row r="30" spans="1:8" ht="20" customHeight="1" thickBot="1">
      <c r="A30" s="127" t="s">
        <v>1830</v>
      </c>
      <c r="B30" s="123">
        <v>62.314405858994526</v>
      </c>
      <c r="C30" s="124">
        <v>68.059248982611919</v>
      </c>
      <c r="D30" s="123">
        <v>276.88757655293085</v>
      </c>
      <c r="E30" s="124">
        <v>214.90262246085226</v>
      </c>
      <c r="F30" s="125">
        <v>2.2889387736736958E-3</v>
      </c>
      <c r="H30" s="126"/>
    </row>
    <row r="31" spans="1:8" ht="20" customHeight="1" thickBot="1">
      <c r="A31" s="127" t="s">
        <v>1831</v>
      </c>
      <c r="B31" s="123">
        <v>94.534554528310579</v>
      </c>
      <c r="C31" s="124">
        <v>101.90972751261414</v>
      </c>
      <c r="D31" s="123">
        <v>337.23271620698461</v>
      </c>
      <c r="E31" s="124">
        <v>267.91791402636733</v>
      </c>
      <c r="F31" s="125">
        <v>1.4954732784246711E-2</v>
      </c>
      <c r="H31" s="126"/>
    </row>
    <row r="32" spans="1:8" ht="20" customHeight="1" thickBot="1">
      <c r="A32" s="128" t="s">
        <v>1832</v>
      </c>
      <c r="B32" s="123">
        <v>65.025312744331515</v>
      </c>
      <c r="C32" s="124">
        <v>64.210086163203243</v>
      </c>
      <c r="D32" s="123">
        <v>277.77917012304715</v>
      </c>
      <c r="E32" s="124">
        <v>212.59486786497234</v>
      </c>
      <c r="F32" s="125">
        <v>5.7490473469373117E-2</v>
      </c>
      <c r="H32" s="126"/>
    </row>
    <row r="33" spans="1:8" ht="30" customHeight="1" thickBot="1">
      <c r="A33" s="129" t="s">
        <v>628</v>
      </c>
      <c r="B33" s="130">
        <v>66.802955302272565</v>
      </c>
      <c r="C33" s="131">
        <v>72.739305272704343</v>
      </c>
      <c r="D33" s="130">
        <v>256.6125511582481</v>
      </c>
      <c r="E33" s="131">
        <v>203.49991616854462</v>
      </c>
      <c r="F33" s="132">
        <v>4.2331037944445656E-2</v>
      </c>
      <c r="H33" s="126"/>
    </row>
    <row r="34" spans="1:8" ht="20" customHeight="1">
      <c r="A34" s="133" t="s">
        <v>1709</v>
      </c>
      <c r="B34" s="133"/>
      <c r="C34" s="133"/>
      <c r="D34" s="133"/>
      <c r="E34" s="133"/>
      <c r="F34" s="133"/>
      <c r="H34" s="121"/>
    </row>
    <row r="35" spans="1:8" ht="11.25" customHeight="1">
      <c r="A35" s="3"/>
      <c r="B35" s="3"/>
      <c r="C35" s="3"/>
      <c r="D35" s="3"/>
      <c r="E35" s="3"/>
      <c r="F35" s="3"/>
      <c r="H35" s="121"/>
    </row>
    <row r="36" spans="1:8" ht="14.25" customHeight="1">
      <c r="A36" s="3" t="s">
        <v>1833</v>
      </c>
      <c r="B36" s="3"/>
      <c r="C36" s="3"/>
      <c r="D36" s="3"/>
      <c r="E36" s="3"/>
      <c r="F36" s="3"/>
      <c r="H36" s="121"/>
    </row>
    <row r="37" spans="1:8" ht="13.5" customHeight="1">
      <c r="A37" s="3"/>
      <c r="B37" s="3"/>
      <c r="C37" s="3"/>
      <c r="D37" s="3"/>
      <c r="E37" s="3"/>
      <c r="F37" s="3"/>
      <c r="H37" s="121"/>
    </row>
    <row r="38" spans="1:8" ht="12" customHeight="1"/>
    <row r="39" spans="1:8" ht="12" customHeight="1">
      <c r="A39" s="3" t="s">
        <v>634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3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1F57-A445-9747-B73C-90CA39D924CF}">
  <sheetPr>
    <pageSetUpPr fitToPage="1"/>
  </sheetPr>
  <dimension ref="A1:H41"/>
  <sheetViews>
    <sheetView topLeftCell="A22" zoomScale="75" workbookViewId="0">
      <selection activeCell="G30" sqref="G30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4" width="16" style="2" customWidth="1"/>
    <col min="5" max="5" width="15.3984375" style="2" customWidth="1"/>
    <col min="6" max="6" width="17.5976562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1800" t="s">
        <v>56</v>
      </c>
      <c r="B2" s="1804"/>
      <c r="C2" s="1804"/>
      <c r="D2" s="1804"/>
      <c r="E2" s="1804"/>
      <c r="F2" s="109">
        <v>2007</v>
      </c>
    </row>
    <row r="3" spans="1:8" ht="27" customHeight="1">
      <c r="A3" s="110" t="s">
        <v>1797</v>
      </c>
      <c r="B3" s="111" t="s">
        <v>1798</v>
      </c>
      <c r="C3" s="112" t="s">
        <v>1799</v>
      </c>
      <c r="D3" s="111" t="s">
        <v>1800</v>
      </c>
      <c r="E3" s="112" t="s">
        <v>629</v>
      </c>
      <c r="F3" s="111" t="s">
        <v>1801</v>
      </c>
    </row>
    <row r="4" spans="1:8" ht="15" customHeight="1">
      <c r="A4" s="113"/>
      <c r="B4" s="114"/>
      <c r="C4" s="115" t="s">
        <v>1800</v>
      </c>
      <c r="D4" s="116"/>
      <c r="E4" s="115"/>
      <c r="F4" s="114" t="s">
        <v>1802</v>
      </c>
    </row>
    <row r="5" spans="1:8" ht="15" customHeight="1">
      <c r="A5" s="113"/>
      <c r="B5" s="114" t="s">
        <v>1803</v>
      </c>
      <c r="C5" s="115" t="s">
        <v>1804</v>
      </c>
      <c r="D5" s="114" t="s">
        <v>1805</v>
      </c>
      <c r="E5" s="115"/>
      <c r="F5" s="114" t="s">
        <v>1806</v>
      </c>
    </row>
    <row r="6" spans="1:8" ht="24" customHeight="1">
      <c r="A6" s="117"/>
      <c r="B6" s="118"/>
      <c r="C6" s="117"/>
      <c r="D6" s="118"/>
      <c r="E6" s="119"/>
      <c r="F6" s="120"/>
      <c r="H6" s="121"/>
    </row>
    <row r="7" spans="1:8" ht="30" customHeight="1" thickBot="1">
      <c r="A7" s="122" t="s">
        <v>1807</v>
      </c>
      <c r="B7" s="123">
        <v>92.758013026746752</v>
      </c>
      <c r="C7" s="124">
        <v>313.5761224754919</v>
      </c>
      <c r="D7" s="123">
        <v>524.54624648566994</v>
      </c>
      <c r="E7" s="124">
        <v>427.86505465160661</v>
      </c>
      <c r="F7" s="125">
        <v>3.9613792629625749E-2</v>
      </c>
      <c r="H7" s="126"/>
    </row>
    <row r="8" spans="1:8" ht="20" customHeight="1" thickBot="1">
      <c r="A8" s="127" t="s">
        <v>1808</v>
      </c>
      <c r="B8" s="123">
        <v>81.240025140450214</v>
      </c>
      <c r="C8" s="124">
        <v>300.33241638731801</v>
      </c>
      <c r="D8" s="123">
        <v>533.84172054096234</v>
      </c>
      <c r="E8" s="124">
        <v>429.09022845236154</v>
      </c>
      <c r="F8" s="125">
        <v>3.9964764612038899E-2</v>
      </c>
      <c r="H8" s="126"/>
    </row>
    <row r="9" spans="1:8" ht="20" customHeight="1" thickBot="1">
      <c r="A9" s="127" t="s">
        <v>1809</v>
      </c>
      <c r="B9" s="123">
        <v>72.720218066098028</v>
      </c>
      <c r="C9" s="124">
        <v>264.33901867755691</v>
      </c>
      <c r="D9" s="123">
        <v>449.33143539969376</v>
      </c>
      <c r="E9" s="124">
        <v>352.7330627751877</v>
      </c>
      <c r="F9" s="125">
        <v>4.8133823460245383E-2</v>
      </c>
      <c r="H9" s="126"/>
    </row>
    <row r="10" spans="1:8" ht="20" customHeight="1" thickBot="1">
      <c r="A10" s="127" t="s">
        <v>1810</v>
      </c>
      <c r="B10" s="123">
        <v>84.266076294277923</v>
      </c>
      <c r="C10" s="124">
        <v>293.49583600256244</v>
      </c>
      <c r="D10" s="123">
        <v>475.52753209700427</v>
      </c>
      <c r="E10" s="124">
        <v>377.22876246535418</v>
      </c>
      <c r="F10" s="125">
        <v>8.802447539241523E-2</v>
      </c>
      <c r="H10" s="126"/>
    </row>
    <row r="11" spans="1:8" ht="20" customHeight="1" thickBot="1">
      <c r="A11" s="127" t="s">
        <v>1811</v>
      </c>
      <c r="B11" s="123">
        <v>85.976362531235225</v>
      </c>
      <c r="C11" s="124">
        <v>309.59712230215825</v>
      </c>
      <c r="D11" s="123">
        <v>486.69618011379248</v>
      </c>
      <c r="E11" s="124">
        <v>386.60346823287318</v>
      </c>
      <c r="F11" s="125">
        <v>4.2473812100322896E-2</v>
      </c>
      <c r="H11" s="126"/>
    </row>
    <row r="12" spans="1:8" ht="20" customHeight="1" thickBot="1">
      <c r="A12" s="127" t="s">
        <v>1812</v>
      </c>
      <c r="B12" s="123">
        <v>73.133966809421835</v>
      </c>
      <c r="C12" s="124">
        <v>262.96637877853175</v>
      </c>
      <c r="D12" s="123">
        <v>456.29994505726722</v>
      </c>
      <c r="E12" s="124">
        <v>354.77838545454546</v>
      </c>
      <c r="F12" s="125">
        <v>6.2637371183665733E-2</v>
      </c>
      <c r="H12" s="126"/>
    </row>
    <row r="13" spans="1:8" ht="20" customHeight="1" thickBot="1">
      <c r="A13" s="127" t="s">
        <v>1813</v>
      </c>
      <c r="B13" s="123">
        <v>72.197133071165794</v>
      </c>
      <c r="C13" s="124">
        <v>258.99514120862437</v>
      </c>
      <c r="D13" s="123">
        <v>440.35526546039966</v>
      </c>
      <c r="E13" s="124">
        <v>352.31759289541873</v>
      </c>
      <c r="F13" s="125">
        <v>5.5739902427967336E-2</v>
      </c>
      <c r="H13" s="126"/>
    </row>
    <row r="14" spans="1:8" ht="20" customHeight="1" thickBot="1">
      <c r="A14" s="127" t="s">
        <v>1814</v>
      </c>
      <c r="B14" s="123">
        <v>86.435561323815705</v>
      </c>
      <c r="C14" s="124">
        <v>286.43991179713339</v>
      </c>
      <c r="D14" s="123">
        <v>476.81854102210457</v>
      </c>
      <c r="E14" s="124">
        <v>379.89520440251573</v>
      </c>
      <c r="F14" s="125">
        <v>-8.6855373208968335E-3</v>
      </c>
      <c r="H14" s="126"/>
    </row>
    <row r="15" spans="1:8" ht="20" customHeight="1" thickBot="1">
      <c r="A15" s="127" t="s">
        <v>1815</v>
      </c>
      <c r="B15" s="123">
        <v>76.947247813683774</v>
      </c>
      <c r="C15" s="124">
        <v>294.56258234519106</v>
      </c>
      <c r="D15" s="123">
        <v>463.00892559866821</v>
      </c>
      <c r="E15" s="124">
        <v>373.40276566934392</v>
      </c>
      <c r="F15" s="125">
        <v>4.261737925795734E-2</v>
      </c>
      <c r="H15" s="126"/>
    </row>
    <row r="16" spans="1:8" ht="20" customHeight="1" thickBot="1">
      <c r="A16" s="127" t="s">
        <v>1816</v>
      </c>
      <c r="B16" s="123">
        <v>87.769897112512453</v>
      </c>
      <c r="C16" s="124">
        <v>319.41542498776852</v>
      </c>
      <c r="D16" s="123">
        <v>519.0607161159511</v>
      </c>
      <c r="E16" s="124">
        <v>402.85009932625911</v>
      </c>
      <c r="F16" s="125">
        <v>3.5305921174455294E-2</v>
      </c>
      <c r="H16" s="126"/>
    </row>
    <row r="17" spans="1:8" ht="20" customHeight="1" thickBot="1">
      <c r="A17" s="127" t="s">
        <v>1817</v>
      </c>
      <c r="B17" s="123">
        <v>83.576756393822862</v>
      </c>
      <c r="C17" s="124">
        <v>295.63777232989497</v>
      </c>
      <c r="D17" s="123">
        <v>516.61597619974418</v>
      </c>
      <c r="E17" s="124">
        <v>412.62164103464511</v>
      </c>
      <c r="F17" s="125">
        <v>3.982180300619724E-2</v>
      </c>
      <c r="H17" s="126"/>
    </row>
    <row r="18" spans="1:8" ht="20" customHeight="1" thickBot="1">
      <c r="A18" s="127" t="s">
        <v>1818</v>
      </c>
      <c r="B18" s="123">
        <v>118.53727360068321</v>
      </c>
      <c r="C18" s="124">
        <v>358.6882016036655</v>
      </c>
      <c r="D18" s="123">
        <v>603.61843102392959</v>
      </c>
      <c r="E18" s="124">
        <v>509.24405662597934</v>
      </c>
      <c r="F18" s="125">
        <v>2.4132155347136114E-2</v>
      </c>
      <c r="H18" s="126"/>
    </row>
    <row r="19" spans="1:8" ht="20" customHeight="1" thickBot="1">
      <c r="A19" s="127" t="s">
        <v>1819</v>
      </c>
      <c r="B19" s="123">
        <v>106.87392072607526</v>
      </c>
      <c r="C19" s="124">
        <v>346.71216673820766</v>
      </c>
      <c r="D19" s="123">
        <v>579.21526359118207</v>
      </c>
      <c r="E19" s="124">
        <v>473.07312250748453</v>
      </c>
      <c r="F19" s="125">
        <v>4.8266704688720519E-2</v>
      </c>
      <c r="H19" s="126"/>
    </row>
    <row r="20" spans="1:8" ht="20" customHeight="1" thickBot="1">
      <c r="A20" s="127" t="s">
        <v>1820</v>
      </c>
      <c r="B20" s="123">
        <v>76.720793897443144</v>
      </c>
      <c r="C20" s="124">
        <v>296.15121059844677</v>
      </c>
      <c r="D20" s="123">
        <v>514.58360565951625</v>
      </c>
      <c r="E20" s="124">
        <v>413.47490066225163</v>
      </c>
      <c r="F20" s="125">
        <v>2.9285405640809319E-2</v>
      </c>
      <c r="H20" s="126"/>
    </row>
    <row r="21" spans="1:8" ht="20" customHeight="1" thickBot="1">
      <c r="A21" s="127" t="s">
        <v>1821</v>
      </c>
      <c r="B21" s="123">
        <v>66.586807716241438</v>
      </c>
      <c r="C21" s="124">
        <v>257.02425015954054</v>
      </c>
      <c r="D21" s="123">
        <v>450.55698070679153</v>
      </c>
      <c r="E21" s="124">
        <v>352.29744254655469</v>
      </c>
      <c r="F21" s="125">
        <v>3.3112115123702095E-2</v>
      </c>
      <c r="H21" s="126"/>
    </row>
    <row r="22" spans="1:8" ht="20" customHeight="1" thickBot="1">
      <c r="A22" s="127" t="s">
        <v>1822</v>
      </c>
      <c r="B22" s="123">
        <v>60.277352297592998</v>
      </c>
      <c r="C22" s="124">
        <v>230.98824297844547</v>
      </c>
      <c r="D22" s="123">
        <v>412.2186238803032</v>
      </c>
      <c r="E22" s="124">
        <v>310.29232373256878</v>
      </c>
      <c r="F22" s="125">
        <v>4.0612882389853333E-2</v>
      </c>
      <c r="H22" s="126"/>
    </row>
    <row r="23" spans="1:8" ht="20" customHeight="1" thickBot="1">
      <c r="A23" s="127" t="s">
        <v>1823</v>
      </c>
      <c r="B23" s="123">
        <v>78.601407645802624</v>
      </c>
      <c r="C23" s="124">
        <v>285.61555500305133</v>
      </c>
      <c r="D23" s="123">
        <v>474.07797365452564</v>
      </c>
      <c r="E23" s="124">
        <v>371.49122019816008</v>
      </c>
      <c r="F23" s="125">
        <v>-6.8041627397563611E-4</v>
      </c>
      <c r="H23" s="126"/>
    </row>
    <row r="24" spans="1:8" ht="20" customHeight="1" thickBot="1">
      <c r="A24" s="127" t="s">
        <v>1824</v>
      </c>
      <c r="B24" s="123">
        <v>79.404303040372156</v>
      </c>
      <c r="C24" s="124">
        <v>259.84360033030555</v>
      </c>
      <c r="D24" s="123">
        <v>458.50247611928501</v>
      </c>
      <c r="E24" s="124">
        <v>369.0574174801456</v>
      </c>
      <c r="F24" s="125">
        <v>9.7023587555969265E-3</v>
      </c>
      <c r="H24" s="126"/>
    </row>
    <row r="25" spans="1:8" ht="20" customHeight="1" thickBot="1">
      <c r="A25" s="127" t="s">
        <v>1825</v>
      </c>
      <c r="B25" s="123">
        <v>80.511439225962505</v>
      </c>
      <c r="C25" s="124">
        <v>295.357374136229</v>
      </c>
      <c r="D25" s="123">
        <v>485.29811932319825</v>
      </c>
      <c r="E25" s="124">
        <v>386.15021204570513</v>
      </c>
      <c r="F25" s="125">
        <v>3.2322615147802269E-2</v>
      </c>
      <c r="H25" s="126"/>
    </row>
    <row r="26" spans="1:8" ht="20" customHeight="1" thickBot="1">
      <c r="A26" s="127" t="s">
        <v>1826</v>
      </c>
      <c r="B26" s="123">
        <v>80.925255446308071</v>
      </c>
      <c r="C26" s="124">
        <v>289.18694267515923</v>
      </c>
      <c r="D26" s="123">
        <v>480.30140161464072</v>
      </c>
      <c r="E26" s="124">
        <v>376.08731931339088</v>
      </c>
      <c r="F26" s="125">
        <v>4.095260148949291E-2</v>
      </c>
      <c r="H26" s="126"/>
    </row>
    <row r="27" spans="1:8" ht="20" customHeight="1" thickBot="1">
      <c r="A27" s="127" t="s">
        <v>1827</v>
      </c>
      <c r="B27" s="123">
        <v>108.22776531162484</v>
      </c>
      <c r="C27" s="124">
        <v>346.95870325531342</v>
      </c>
      <c r="D27" s="123">
        <v>574.44030042954114</v>
      </c>
      <c r="E27" s="124">
        <v>474.98914864607679</v>
      </c>
      <c r="F27" s="125">
        <v>1.0606982042158321E-2</v>
      </c>
      <c r="H27" s="126"/>
    </row>
    <row r="28" spans="1:8" ht="20" customHeight="1" thickBot="1">
      <c r="A28" s="127" t="s">
        <v>1828</v>
      </c>
      <c r="B28" s="123">
        <v>131.86093788535391</v>
      </c>
      <c r="C28" s="124">
        <v>351.56165023958863</v>
      </c>
      <c r="D28" s="123">
        <v>582.24019331314616</v>
      </c>
      <c r="E28" s="124">
        <v>466.74147993206509</v>
      </c>
      <c r="F28" s="125">
        <v>2.4239678436035129E-2</v>
      </c>
      <c r="H28" s="126"/>
    </row>
    <row r="29" spans="1:8" ht="20" customHeight="1" thickBot="1">
      <c r="A29" s="127" t="s">
        <v>1829</v>
      </c>
      <c r="B29" s="123">
        <v>84.356102287844692</v>
      </c>
      <c r="C29" s="124">
        <v>273.27995344121956</v>
      </c>
      <c r="D29" s="123">
        <v>479.99675215275175</v>
      </c>
      <c r="E29" s="124">
        <v>381.74024236387783</v>
      </c>
      <c r="F29" s="125">
        <v>2.4039772473063124E-2</v>
      </c>
      <c r="H29" s="126"/>
    </row>
    <row r="30" spans="1:8" ht="20" customHeight="1" thickBot="1">
      <c r="A30" s="127" t="s">
        <v>1830</v>
      </c>
      <c r="B30" s="123">
        <v>94.951562148797478</v>
      </c>
      <c r="C30" s="124">
        <v>286.84054753977063</v>
      </c>
      <c r="D30" s="123">
        <v>513.31060568065936</v>
      </c>
      <c r="E30" s="124">
        <v>406.92876657125419</v>
      </c>
      <c r="F30" s="125">
        <v>5.1229055384060494E-3</v>
      </c>
      <c r="H30" s="126"/>
    </row>
    <row r="31" spans="1:8" ht="20" customHeight="1" thickBot="1">
      <c r="A31" s="127" t="s">
        <v>1831</v>
      </c>
      <c r="B31" s="123">
        <v>130.78008141299847</v>
      </c>
      <c r="C31" s="124">
        <v>378.19403133384122</v>
      </c>
      <c r="D31" s="123">
        <v>611.2473657698439</v>
      </c>
      <c r="E31" s="124">
        <v>491.29574464425679</v>
      </c>
      <c r="F31" s="125">
        <v>7.1831868849939196E-3</v>
      </c>
      <c r="H31" s="126"/>
    </row>
    <row r="32" spans="1:8" ht="20" customHeight="1" thickBot="1">
      <c r="A32" s="128" t="s">
        <v>1832</v>
      </c>
      <c r="B32" s="123">
        <v>100.34545217617931</v>
      </c>
      <c r="C32" s="124">
        <v>313.99273525933432</v>
      </c>
      <c r="D32" s="123">
        <v>541.46569888013278</v>
      </c>
      <c r="E32" s="124">
        <v>424.65642494279507</v>
      </c>
      <c r="F32" s="125">
        <v>3.4962373582510919E-2</v>
      </c>
      <c r="H32" s="126"/>
    </row>
    <row r="33" spans="1:8" ht="30" customHeight="1" thickBot="1">
      <c r="A33" s="129" t="s">
        <v>628</v>
      </c>
      <c r="B33" s="130">
        <v>93.366152538919167</v>
      </c>
      <c r="C33" s="131">
        <v>308.2265569785319</v>
      </c>
      <c r="D33" s="130">
        <v>523.06852013547859</v>
      </c>
      <c r="E33" s="131">
        <v>419.47292035577175</v>
      </c>
      <c r="F33" s="132">
        <v>2.9833960896493043E-2</v>
      </c>
      <c r="H33" s="126"/>
    </row>
    <row r="34" spans="1:8" ht="20" customHeight="1">
      <c r="A34" s="133" t="s">
        <v>1709</v>
      </c>
      <c r="B34" s="133"/>
      <c r="C34" s="133"/>
      <c r="D34" s="133"/>
      <c r="E34" s="133"/>
      <c r="F34" s="133"/>
      <c r="H34" s="121"/>
    </row>
    <row r="35" spans="1:8" ht="11.25" customHeight="1">
      <c r="A35" s="3"/>
      <c r="B35" s="3"/>
      <c r="C35" s="3"/>
      <c r="D35" s="3"/>
      <c r="E35" s="3"/>
      <c r="F35" s="3"/>
      <c r="H35" s="121"/>
    </row>
    <row r="36" spans="1:8" ht="14.25" customHeight="1">
      <c r="A36" s="3" t="s">
        <v>1833</v>
      </c>
      <c r="B36" s="3"/>
      <c r="C36" s="3"/>
      <c r="D36" s="3"/>
      <c r="E36" s="3"/>
      <c r="F36" s="3"/>
      <c r="H36" s="121"/>
    </row>
    <row r="37" spans="1:8" ht="13.5" customHeight="1">
      <c r="A37" s="3"/>
      <c r="B37" s="3"/>
      <c r="C37" s="3"/>
      <c r="D37" s="3"/>
      <c r="E37" s="3"/>
      <c r="F37" s="3"/>
      <c r="H37" s="121"/>
    </row>
    <row r="38" spans="1:8" ht="13.5" customHeight="1">
      <c r="A38" s="178" t="s">
        <v>53</v>
      </c>
      <c r="B38" s="3"/>
      <c r="C38" s="3"/>
      <c r="D38" s="3"/>
      <c r="E38" s="3"/>
      <c r="F38" s="3"/>
      <c r="H38" s="121"/>
    </row>
    <row r="39" spans="1:8" ht="13.5" customHeight="1">
      <c r="A39" s="3"/>
      <c r="B39" s="3"/>
      <c r="C39" s="3"/>
      <c r="D39" s="3"/>
      <c r="E39" s="3"/>
      <c r="F39" s="3"/>
      <c r="H39" s="121"/>
    </row>
    <row r="40" spans="1:8" ht="12" customHeight="1"/>
    <row r="41" spans="1:8" ht="12" customHeight="1">
      <c r="A41" s="3" t="s">
        <v>634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3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9A9E-5380-E04E-AFB2-A3BA2A70438E}">
  <sheetPr>
    <pageSetUpPr fitToPage="1"/>
  </sheetPr>
  <dimension ref="A1:K26"/>
  <sheetViews>
    <sheetView zoomScale="75" workbookViewId="0">
      <selection activeCell="A17" sqref="A17:IV17"/>
    </sheetView>
  </sheetViews>
  <sheetFormatPr baseColWidth="10" defaultColWidth="11.3984375" defaultRowHeight="13"/>
  <cols>
    <col min="1" max="1" width="15.796875" style="2" customWidth="1"/>
    <col min="2" max="2" width="17.19921875" style="2" customWidth="1"/>
    <col min="3" max="4" width="16.19921875" style="2" customWidth="1"/>
    <col min="5" max="5" width="16.796875" style="2" customWidth="1"/>
    <col min="6" max="6" width="17.796875" style="2" customWidth="1"/>
    <col min="7" max="7" width="15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09" t="s">
        <v>2495</v>
      </c>
      <c r="G2" s="321">
        <v>2007</v>
      </c>
    </row>
    <row r="3" spans="1:11" ht="24" customHeight="1">
      <c r="A3" s="110" t="s">
        <v>911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12" t="s">
        <v>1801</v>
      </c>
    </row>
    <row r="4" spans="1:11" ht="15" customHeight="1">
      <c r="A4" s="308"/>
      <c r="B4" s="114" t="s">
        <v>836</v>
      </c>
      <c r="C4" s="115" t="s">
        <v>837</v>
      </c>
      <c r="D4" s="114" t="s">
        <v>1334</v>
      </c>
      <c r="E4" s="279" t="s">
        <v>1335</v>
      </c>
      <c r="F4" s="114"/>
      <c r="G4" s="115" t="s">
        <v>1802</v>
      </c>
    </row>
    <row r="5" spans="1:11" ht="15" customHeight="1">
      <c r="A5" s="308"/>
      <c r="B5" s="114" t="s">
        <v>840</v>
      </c>
      <c r="C5" s="115" t="s">
        <v>841</v>
      </c>
      <c r="D5" s="114" t="s">
        <v>1336</v>
      </c>
      <c r="E5" s="279" t="s">
        <v>1337</v>
      </c>
      <c r="F5" s="114"/>
      <c r="G5" s="115" t="s">
        <v>1806</v>
      </c>
    </row>
    <row r="6" spans="1:11" ht="24" customHeight="1">
      <c r="A6" s="309"/>
      <c r="B6" s="120"/>
      <c r="C6" s="119"/>
      <c r="D6" s="120"/>
      <c r="E6" s="282" t="s">
        <v>843</v>
      </c>
      <c r="F6" s="120"/>
      <c r="G6" s="119"/>
    </row>
    <row r="7" spans="1:11" ht="2.25" customHeight="1" thickBot="1">
      <c r="A7" s="310">
        <v>1996</v>
      </c>
      <c r="B7" s="819">
        <v>9158.0126325000001</v>
      </c>
      <c r="C7" s="311">
        <v>3158.8991608000001</v>
      </c>
      <c r="D7" s="819">
        <v>29.792276350000002</v>
      </c>
      <c r="E7" s="311">
        <v>112.31317695</v>
      </c>
      <c r="F7" s="819">
        <v>12459.0172466</v>
      </c>
      <c r="G7" s="143" t="s">
        <v>59</v>
      </c>
    </row>
    <row r="8" spans="1:11" ht="20" customHeight="1" thickBot="1">
      <c r="A8" s="312">
        <v>1997</v>
      </c>
      <c r="B8" s="820">
        <v>8010.294124</v>
      </c>
      <c r="C8" s="821">
        <v>4715.0935929999996</v>
      </c>
      <c r="D8" s="820">
        <v>15.300134</v>
      </c>
      <c r="E8" s="821">
        <v>397.78968400000002</v>
      </c>
      <c r="F8" s="820">
        <v>13138.477535</v>
      </c>
      <c r="G8" s="145">
        <v>5.453562467661089E-2</v>
      </c>
      <c r="I8" s="9"/>
      <c r="J8" s="9"/>
      <c r="K8" s="9"/>
    </row>
    <row r="9" spans="1:11" ht="20" customHeight="1" thickBot="1">
      <c r="A9" s="312">
        <v>1998</v>
      </c>
      <c r="B9" s="820">
        <v>8034.9225379999998</v>
      </c>
      <c r="C9" s="821">
        <v>5294.4749119999997</v>
      </c>
      <c r="D9" s="820">
        <v>7.7133700000000003</v>
      </c>
      <c r="E9" s="821">
        <v>686.98183200000005</v>
      </c>
      <c r="F9" s="820">
        <v>14024.092651999999</v>
      </c>
      <c r="G9" s="145">
        <v>6.7406220746717538E-2</v>
      </c>
    </row>
    <row r="10" spans="1:11" ht="20" customHeight="1" thickBot="1">
      <c r="A10" s="312">
        <v>1999</v>
      </c>
      <c r="B10" s="820">
        <v>8789.075476</v>
      </c>
      <c r="C10" s="821">
        <v>4984.7508509999998</v>
      </c>
      <c r="D10" s="820">
        <v>7.2724950000000002</v>
      </c>
      <c r="E10" s="821">
        <v>839.41169600000001</v>
      </c>
      <c r="F10" s="820">
        <v>14620.510517999999</v>
      </c>
      <c r="G10" s="145">
        <v>4.2528089395854327E-2</v>
      </c>
    </row>
    <row r="11" spans="1:11" ht="20" customHeight="1" thickBot="1">
      <c r="A11" s="312">
        <v>2000</v>
      </c>
      <c r="B11" s="820">
        <v>9137.1621560000003</v>
      </c>
      <c r="C11" s="821">
        <v>5390.9432980000001</v>
      </c>
      <c r="D11" s="820">
        <v>7.5360680000000002</v>
      </c>
      <c r="E11" s="821">
        <v>942.68592000000001</v>
      </c>
      <c r="F11" s="820">
        <v>15478.327442</v>
      </c>
      <c r="G11" s="145">
        <v>5.8672159425890213E-2</v>
      </c>
    </row>
    <row r="12" spans="1:11" ht="20" customHeight="1" thickBot="1">
      <c r="A12" s="312">
        <v>2001</v>
      </c>
      <c r="B12" s="820">
        <v>9659.7746029999998</v>
      </c>
      <c r="C12" s="821">
        <v>5684.1019910000005</v>
      </c>
      <c r="D12" s="820">
        <v>8.3615560000000002</v>
      </c>
      <c r="E12" s="821">
        <v>1034.2226659999999</v>
      </c>
      <c r="F12" s="820">
        <v>16386.460816999999</v>
      </c>
      <c r="G12" s="145">
        <v>5.867128592562304E-2</v>
      </c>
    </row>
    <row r="13" spans="1:11" ht="20" customHeight="1" thickBot="1">
      <c r="A13" s="312">
        <v>2002</v>
      </c>
      <c r="B13" s="820">
        <v>9980.4930999999997</v>
      </c>
      <c r="C13" s="821">
        <v>6029.9190769999996</v>
      </c>
      <c r="D13" s="820">
        <v>7.9602409999999999</v>
      </c>
      <c r="E13" s="821">
        <v>1077.2149870000001</v>
      </c>
      <c r="F13" s="820">
        <v>17095.58741</v>
      </c>
      <c r="G13" s="145">
        <v>4.3275152634809542E-2</v>
      </c>
    </row>
    <row r="14" spans="1:11" ht="20" customHeight="1" thickBot="1">
      <c r="A14" s="312">
        <v>2003</v>
      </c>
      <c r="B14" s="820">
        <v>10400.406953</v>
      </c>
      <c r="C14" s="821">
        <v>6474.0950759999996</v>
      </c>
      <c r="D14" s="820">
        <v>8.2890060000000005</v>
      </c>
      <c r="E14" s="821">
        <v>1041.3283280000001</v>
      </c>
      <c r="F14" s="820">
        <v>17924.119349000001</v>
      </c>
      <c r="G14" s="145">
        <v>4.8464666298354497E-2</v>
      </c>
    </row>
    <row r="15" spans="1:11" ht="20" customHeight="1" thickBot="1">
      <c r="A15" s="312">
        <v>2004</v>
      </c>
      <c r="B15" s="820">
        <v>11244.13615765</v>
      </c>
      <c r="C15" s="821">
        <v>6631.1356945500002</v>
      </c>
      <c r="D15" s="820">
        <v>8.6720649999999999</v>
      </c>
      <c r="E15" s="821">
        <v>1255.877035</v>
      </c>
      <c r="F15" s="820">
        <v>19139.820942999999</v>
      </c>
      <c r="G15" s="145">
        <v>6.7824899529461302E-2</v>
      </c>
    </row>
    <row r="16" spans="1:11" ht="20" customHeight="1" thickBot="1">
      <c r="A16" s="312">
        <v>2005</v>
      </c>
      <c r="B16" s="820">
        <v>12276.40351</v>
      </c>
      <c r="C16" s="821">
        <v>6478.0200850000001</v>
      </c>
      <c r="D16" s="820">
        <v>9.1072369999999996</v>
      </c>
      <c r="E16" s="821">
        <v>1584.1758170000001</v>
      </c>
      <c r="F16" s="820">
        <v>20347.706649</v>
      </c>
      <c r="G16" s="145">
        <v>6.3108516511057644E-2</v>
      </c>
    </row>
    <row r="17" spans="1:7" ht="20" customHeight="1" thickBot="1">
      <c r="A17" s="312">
        <v>2006</v>
      </c>
      <c r="B17" s="820">
        <v>12157.648692999999</v>
      </c>
      <c r="C17" s="821">
        <v>6151.3591749999996</v>
      </c>
      <c r="D17" s="820">
        <v>8.8529470000000003</v>
      </c>
      <c r="E17" s="821">
        <v>2284.7661029999999</v>
      </c>
      <c r="F17" s="820">
        <v>20602.626918999998</v>
      </c>
      <c r="G17" s="145">
        <v>1.2528206465593383E-2</v>
      </c>
    </row>
    <row r="18" spans="1:7" ht="30" customHeight="1" thickBot="1">
      <c r="A18" s="396">
        <v>2007</v>
      </c>
      <c r="B18" s="872">
        <v>12229.89782127</v>
      </c>
      <c r="C18" s="873">
        <v>6058.52217587</v>
      </c>
      <c r="D18" s="872">
        <v>9.0125824800000007</v>
      </c>
      <c r="E18" s="873">
        <v>3281.2562875499998</v>
      </c>
      <c r="F18" s="872">
        <v>21578.688867239998</v>
      </c>
      <c r="G18" s="147">
        <v>4.737560661936091E-2</v>
      </c>
    </row>
    <row r="19" spans="1:7" ht="19.5" customHeight="1">
      <c r="A19" s="133" t="s">
        <v>1256</v>
      </c>
      <c r="B19" s="133"/>
      <c r="C19" s="133"/>
      <c r="D19" s="133"/>
      <c r="E19" s="133"/>
      <c r="F19" s="133"/>
      <c r="G19" s="133"/>
    </row>
    <row r="20" spans="1:7" ht="14.25" customHeight="1">
      <c r="A20" s="3"/>
      <c r="B20" s="3"/>
      <c r="C20" s="3"/>
      <c r="D20" s="3"/>
      <c r="E20" s="3"/>
      <c r="F20" s="3"/>
      <c r="G20" s="3"/>
    </row>
    <row r="21" spans="1:7" ht="13.5" customHeight="1">
      <c r="A21" s="515" t="s">
        <v>1013</v>
      </c>
      <c r="B21" s="3"/>
      <c r="C21" s="3"/>
      <c r="D21" s="3"/>
      <c r="E21" s="3"/>
      <c r="F21" s="3"/>
      <c r="G21" s="3"/>
    </row>
    <row r="23" spans="1:7">
      <c r="A23" s="2" t="s">
        <v>2496</v>
      </c>
    </row>
    <row r="26" spans="1:7">
      <c r="A26" s="2" t="s">
        <v>634</v>
      </c>
      <c r="G26" s="4"/>
    </row>
  </sheetData>
  <phoneticPr fontId="0" type="noConversion"/>
  <pageMargins left="0.6" right="0.63" top="0.99" bottom="0.49" header="0.59" footer="0.4921259845"/>
  <pageSetup paperSize="9" scale="79" orientation="portrait" horizontalDpi="4294967292" verticalDpi="4294967292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ABE0-BBAA-4641-A5DB-34545881C146}">
  <sheetPr>
    <pageSetUpPr fitToPage="1"/>
  </sheetPr>
  <dimension ref="A1:J85"/>
  <sheetViews>
    <sheetView topLeftCell="A63" zoomScale="75" workbookViewId="0">
      <selection activeCell="A76" sqref="A76:IV76"/>
    </sheetView>
  </sheetViews>
  <sheetFormatPr baseColWidth="10" defaultColWidth="11.3984375" defaultRowHeight="13"/>
  <cols>
    <col min="1" max="1" width="21.796875" style="2" customWidth="1"/>
    <col min="2" max="3" width="15.796875" style="2" customWidth="1"/>
    <col min="4" max="6" width="14.19921875" style="2" customWidth="1"/>
    <col min="7" max="7" width="16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.75" customHeight="1">
      <c r="A2" s="1800" t="s">
        <v>2497</v>
      </c>
      <c r="B2" s="1804"/>
      <c r="C2" s="1804"/>
      <c r="D2" s="1804"/>
      <c r="E2" s="1804"/>
      <c r="F2" s="1804"/>
      <c r="G2" s="109">
        <v>2007</v>
      </c>
    </row>
    <row r="3" spans="1:10" ht="24" customHeight="1">
      <c r="A3" s="519" t="s">
        <v>2500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67" t="s">
        <v>1801</v>
      </c>
    </row>
    <row r="4" spans="1:10" ht="15" customHeight="1">
      <c r="A4" s="308"/>
      <c r="B4" s="114" t="s">
        <v>836</v>
      </c>
      <c r="C4" s="115" t="s">
        <v>837</v>
      </c>
      <c r="D4" s="114" t="s">
        <v>838</v>
      </c>
      <c r="E4" s="279" t="s">
        <v>839</v>
      </c>
      <c r="F4" s="114"/>
      <c r="G4" s="113" t="s">
        <v>1802</v>
      </c>
    </row>
    <row r="5" spans="1:10" ht="15" customHeight="1">
      <c r="A5" s="308"/>
      <c r="B5" s="114" t="s">
        <v>840</v>
      </c>
      <c r="C5" s="115" t="s">
        <v>841</v>
      </c>
      <c r="D5" s="114"/>
      <c r="E5" s="279" t="s">
        <v>842</v>
      </c>
      <c r="F5" s="114"/>
      <c r="G5" s="113" t="s">
        <v>1806</v>
      </c>
    </row>
    <row r="6" spans="1:10" ht="24" customHeight="1">
      <c r="A6" s="505" t="s">
        <v>517</v>
      </c>
      <c r="B6" s="120"/>
      <c r="C6" s="119"/>
      <c r="D6" s="120"/>
      <c r="E6" s="282" t="s">
        <v>843</v>
      </c>
      <c r="F6" s="120"/>
      <c r="G6" s="281"/>
    </row>
    <row r="7" spans="1:10" ht="1.5" customHeight="1" thickBot="1">
      <c r="A7" s="310">
        <v>1996</v>
      </c>
      <c r="B7" s="142">
        <v>1922.0914738477522</v>
      </c>
      <c r="C7" s="291">
        <v>1362.8683192106039</v>
      </c>
      <c r="D7" s="142">
        <v>1064.9780620150216</v>
      </c>
      <c r="E7" s="291">
        <v>918.79836090338449</v>
      </c>
      <c r="F7" s="142">
        <v>1722.6026867710073</v>
      </c>
      <c r="G7" s="680" t="s">
        <v>59</v>
      </c>
    </row>
    <row r="8" spans="1:10" ht="20" customHeight="1" thickBot="1">
      <c r="A8" s="312">
        <v>1997</v>
      </c>
      <c r="B8" s="144">
        <v>1955.5774171208591</v>
      </c>
      <c r="C8" s="297">
        <v>1717.9609773327356</v>
      </c>
      <c r="D8" s="144">
        <v>1327.1545657683146</v>
      </c>
      <c r="E8" s="297">
        <v>1035.2511493240283</v>
      </c>
      <c r="F8" s="144">
        <v>1815.5878047739013</v>
      </c>
      <c r="G8" s="667">
        <v>5.3979433979168621E-2</v>
      </c>
      <c r="H8" s="9"/>
      <c r="I8" s="9"/>
      <c r="J8" s="9"/>
    </row>
    <row r="9" spans="1:10" ht="20" customHeight="1" thickBot="1">
      <c r="A9" s="312">
        <v>1998</v>
      </c>
      <c r="B9" s="144">
        <v>2001.1385556748141</v>
      </c>
      <c r="C9" s="297">
        <v>1942.4124575719206</v>
      </c>
      <c r="D9" s="144">
        <v>652.30881205655157</v>
      </c>
      <c r="E9" s="297">
        <v>1390.9212818258898</v>
      </c>
      <c r="F9" s="144">
        <v>1935.2604970637331</v>
      </c>
      <c r="G9" s="667">
        <v>6.591402077892608E-2</v>
      </c>
    </row>
    <row r="10" spans="1:10" ht="20" customHeight="1" thickBot="1">
      <c r="A10" s="312">
        <v>1999</v>
      </c>
      <c r="B10" s="144">
        <v>2196.7543830608033</v>
      </c>
      <c r="C10" s="297">
        <v>1834.5631598914081</v>
      </c>
      <c r="D10" s="144">
        <v>708.57112386703454</v>
      </c>
      <c r="E10" s="297">
        <v>1548.1903262736841</v>
      </c>
      <c r="F10" s="144">
        <v>2010.9263687008995</v>
      </c>
      <c r="G10" s="667">
        <v>3.909854603655178E-2</v>
      </c>
    </row>
    <row r="11" spans="1:10" ht="20" customHeight="1" thickBot="1">
      <c r="A11" s="312">
        <v>2000</v>
      </c>
      <c r="B11" s="144">
        <v>2330.7313959837929</v>
      </c>
      <c r="C11" s="297">
        <v>1955.0764432666085</v>
      </c>
      <c r="D11" s="144">
        <v>768.43697012283224</v>
      </c>
      <c r="E11" s="297">
        <v>1632.0632045626817</v>
      </c>
      <c r="F11" s="144">
        <v>2130.4988026779488</v>
      </c>
      <c r="G11" s="667">
        <v>5.9461368570295083E-2</v>
      </c>
    </row>
    <row r="12" spans="1:10" ht="20" customHeight="1" thickBot="1">
      <c r="A12" s="312">
        <v>2001</v>
      </c>
      <c r="B12" s="144">
        <v>2495.1244025796968</v>
      </c>
      <c r="C12" s="297">
        <v>2011.3716436312093</v>
      </c>
      <c r="D12" s="144">
        <v>897.62686042302278</v>
      </c>
      <c r="E12" s="297">
        <v>1740.2608610070422</v>
      </c>
      <c r="F12" s="144">
        <v>2244.3978355168092</v>
      </c>
      <c r="G12" s="667">
        <v>5.3461204810673471E-2</v>
      </c>
    </row>
    <row r="13" spans="1:10" ht="20" customHeight="1" thickBot="1">
      <c r="A13" s="312">
        <v>2002</v>
      </c>
      <c r="B13" s="144">
        <v>2622.961008005575</v>
      </c>
      <c r="C13" s="297">
        <v>2026.9678660755228</v>
      </c>
      <c r="D13" s="144">
        <v>902.79734523799152</v>
      </c>
      <c r="E13" s="297">
        <v>1937.719195679239</v>
      </c>
      <c r="F13" s="144">
        <v>2327.6297728803838</v>
      </c>
      <c r="G13" s="667">
        <v>3.7084306554951346E-2</v>
      </c>
    </row>
    <row r="14" spans="1:10" ht="20" customHeight="1" thickBot="1">
      <c r="A14" s="312">
        <v>2003</v>
      </c>
      <c r="B14" s="144">
        <v>2838.5410322271737</v>
      </c>
      <c r="C14" s="297">
        <v>2089.4955210203316</v>
      </c>
      <c r="D14" s="144">
        <v>999.42596938760983</v>
      </c>
      <c r="E14" s="297">
        <v>1730.3106743718724</v>
      </c>
      <c r="F14" s="144">
        <v>2431.2114971885403</v>
      </c>
      <c r="G14" s="667">
        <v>4.4500944916156783E-2</v>
      </c>
    </row>
    <row r="15" spans="1:10" ht="20" customHeight="1" thickBot="1">
      <c r="A15" s="312">
        <v>2004</v>
      </c>
      <c r="B15" s="144">
        <v>3104.8815477572248</v>
      </c>
      <c r="C15" s="297">
        <v>2203.0474404075858</v>
      </c>
      <c r="D15" s="144">
        <v>1076.1693397885631</v>
      </c>
      <c r="E15" s="297">
        <v>1687.7897523259062</v>
      </c>
      <c r="F15" s="144">
        <v>2592.2165787191948</v>
      </c>
      <c r="G15" s="667">
        <v>6.6224218549822259E-2</v>
      </c>
    </row>
    <row r="16" spans="1:10" ht="20" customHeight="1" thickBot="1">
      <c r="A16" s="312">
        <v>2005</v>
      </c>
      <c r="B16" s="144">
        <v>3415.1929895176959</v>
      </c>
      <c r="C16" s="297">
        <v>2210.8019372998301</v>
      </c>
      <c r="D16" s="144">
        <v>1184.6612422697292</v>
      </c>
      <c r="E16" s="297">
        <v>1753.636061440061</v>
      </c>
      <c r="F16" s="144">
        <v>2736.4253387803569</v>
      </c>
      <c r="G16" s="667">
        <v>5.5631447327759709E-2</v>
      </c>
    </row>
    <row r="17" spans="1:7" ht="20" customHeight="1" thickBot="1">
      <c r="A17" s="312">
        <v>2006</v>
      </c>
      <c r="B17" s="144">
        <v>3636.67</v>
      </c>
      <c r="C17" s="297">
        <v>2215.41</v>
      </c>
      <c r="D17" s="144">
        <v>1230.94</v>
      </c>
      <c r="E17" s="297">
        <v>1690.49</v>
      </c>
      <c r="F17" s="144">
        <v>2754.94</v>
      </c>
      <c r="G17" s="667">
        <v>6.7660026960192354E-3</v>
      </c>
    </row>
    <row r="18" spans="1:7" ht="30" customHeight="1" thickBot="1">
      <c r="A18" s="396">
        <v>2007</v>
      </c>
      <c r="B18" s="338">
        <v>3903.58</v>
      </c>
      <c r="C18" s="339">
        <v>2360.81</v>
      </c>
      <c r="D18" s="338">
        <v>1312.45</v>
      </c>
      <c r="E18" s="339">
        <v>1791.63</v>
      </c>
      <c r="F18" s="338">
        <v>2862.81</v>
      </c>
      <c r="G18" s="936">
        <v>3.915511771581226E-2</v>
      </c>
    </row>
    <row r="19" spans="1:7" ht="20" customHeight="1">
      <c r="A19" s="133" t="s">
        <v>1256</v>
      </c>
      <c r="B19" s="133"/>
      <c r="C19" s="133"/>
      <c r="D19" s="133"/>
      <c r="E19" s="133"/>
      <c r="F19" s="133"/>
      <c r="G19" s="675"/>
    </row>
    <row r="20" spans="1:7">
      <c r="G20" s="676"/>
    </row>
    <row r="21" spans="1:7">
      <c r="A21" s="2" t="s">
        <v>2498</v>
      </c>
      <c r="G21" s="676"/>
    </row>
    <row r="22" spans="1:7">
      <c r="G22" s="676"/>
    </row>
    <row r="23" spans="1:7">
      <c r="G23" s="676"/>
    </row>
    <row r="24" spans="1:7" ht="16">
      <c r="A24" s="946" t="s">
        <v>2484</v>
      </c>
      <c r="G24" s="676"/>
    </row>
    <row r="25" spans="1:7">
      <c r="G25" s="676"/>
    </row>
    <row r="26" spans="1:7" ht="18" customHeight="1">
      <c r="A26" s="519" t="s">
        <v>1798</v>
      </c>
      <c r="B26" s="111" t="s">
        <v>832</v>
      </c>
      <c r="C26" s="112" t="s">
        <v>833</v>
      </c>
      <c r="D26" s="111" t="s">
        <v>834</v>
      </c>
      <c r="E26" s="112" t="s">
        <v>835</v>
      </c>
      <c r="F26" s="111" t="s">
        <v>629</v>
      </c>
      <c r="G26" s="660" t="s">
        <v>1801</v>
      </c>
    </row>
    <row r="27" spans="1:7" ht="18" customHeight="1">
      <c r="A27" s="620" t="s">
        <v>1803</v>
      </c>
      <c r="B27" s="114" t="s">
        <v>836</v>
      </c>
      <c r="C27" s="115" t="s">
        <v>837</v>
      </c>
      <c r="D27" s="114" t="s">
        <v>838</v>
      </c>
      <c r="E27" s="279" t="s">
        <v>839</v>
      </c>
      <c r="F27" s="114"/>
      <c r="G27" s="661" t="s">
        <v>1802</v>
      </c>
    </row>
    <row r="28" spans="1:7" ht="18" customHeight="1">
      <c r="A28" s="308"/>
      <c r="B28" s="114" t="s">
        <v>840</v>
      </c>
      <c r="C28" s="115" t="s">
        <v>841</v>
      </c>
      <c r="D28" s="114"/>
      <c r="E28" s="279" t="s">
        <v>842</v>
      </c>
      <c r="F28" s="114"/>
      <c r="G28" s="661" t="s">
        <v>1806</v>
      </c>
    </row>
    <row r="29" spans="1:7" ht="18" customHeight="1">
      <c r="A29" s="309" t="s">
        <v>533</v>
      </c>
      <c r="B29" s="120"/>
      <c r="C29" s="119"/>
      <c r="D29" s="120"/>
      <c r="E29" s="282" t="s">
        <v>843</v>
      </c>
      <c r="F29" s="120"/>
      <c r="G29" s="662"/>
    </row>
    <row r="30" spans="1:7" ht="2.25" customHeight="1" thickBot="1">
      <c r="A30" s="310">
        <v>1996</v>
      </c>
      <c r="B30" s="142" t="s">
        <v>59</v>
      </c>
      <c r="C30" s="291" t="s">
        <v>59</v>
      </c>
      <c r="D30" s="142" t="s">
        <v>59</v>
      </c>
      <c r="E30" s="291" t="s">
        <v>59</v>
      </c>
      <c r="F30" s="142" t="s">
        <v>59</v>
      </c>
      <c r="G30" s="680" t="s">
        <v>59</v>
      </c>
    </row>
    <row r="31" spans="1:7" ht="18" customHeight="1" thickBot="1">
      <c r="A31" s="312">
        <v>1997</v>
      </c>
      <c r="B31" s="144">
        <v>596.74</v>
      </c>
      <c r="C31" s="297">
        <v>527.92999999999995</v>
      </c>
      <c r="D31" s="144" t="s">
        <v>59</v>
      </c>
      <c r="E31" s="297">
        <v>365.95</v>
      </c>
      <c r="F31" s="144">
        <v>578.16999999999996</v>
      </c>
      <c r="G31" s="667" t="s">
        <v>59</v>
      </c>
    </row>
    <row r="32" spans="1:7" ht="18" customHeight="1" thickBot="1">
      <c r="A32" s="312">
        <v>1998</v>
      </c>
      <c r="B32" s="144">
        <v>637.61</v>
      </c>
      <c r="C32" s="297">
        <v>590.34</v>
      </c>
      <c r="D32" s="144">
        <v>395.42</v>
      </c>
      <c r="E32" s="297">
        <v>453.55</v>
      </c>
      <c r="F32" s="144">
        <v>619.65</v>
      </c>
      <c r="G32" s="667">
        <v>7.1743604822110951E-2</v>
      </c>
    </row>
    <row r="33" spans="1:7" ht="18" customHeight="1" thickBot="1">
      <c r="A33" s="312">
        <v>1999</v>
      </c>
      <c r="B33" s="144">
        <v>652.47</v>
      </c>
      <c r="C33" s="297">
        <v>604.53</v>
      </c>
      <c r="D33" s="144">
        <v>399.96</v>
      </c>
      <c r="E33" s="297">
        <v>488.89</v>
      </c>
      <c r="F33" s="144">
        <v>634.95000000000005</v>
      </c>
      <c r="G33" s="667">
        <v>2.4691358024691246E-2</v>
      </c>
    </row>
    <row r="34" spans="1:7" ht="18" customHeight="1" thickBot="1">
      <c r="A34" s="312">
        <v>2000</v>
      </c>
      <c r="B34" s="144">
        <v>688.04</v>
      </c>
      <c r="C34" s="297">
        <v>651.1</v>
      </c>
      <c r="D34" s="144">
        <v>361.07</v>
      </c>
      <c r="E34" s="297">
        <v>506.21</v>
      </c>
      <c r="F34" s="144">
        <v>669.86</v>
      </c>
      <c r="G34" s="667">
        <v>5.4980707142294749E-2</v>
      </c>
    </row>
    <row r="35" spans="1:7" ht="18" customHeight="1" thickBot="1">
      <c r="A35" s="312">
        <v>2001</v>
      </c>
      <c r="B35" s="144">
        <v>722.7</v>
      </c>
      <c r="C35" s="297">
        <v>674.86</v>
      </c>
      <c r="D35" s="144">
        <v>494.25</v>
      </c>
      <c r="E35" s="297">
        <v>533.4</v>
      </c>
      <c r="F35" s="144">
        <v>702.31</v>
      </c>
      <c r="G35" s="667">
        <v>4.8442958230077826E-2</v>
      </c>
    </row>
    <row r="36" spans="1:7" ht="18" customHeight="1" thickBot="1">
      <c r="A36" s="312">
        <v>2002</v>
      </c>
      <c r="B36" s="144">
        <v>735.79</v>
      </c>
      <c r="C36" s="297">
        <v>674.88</v>
      </c>
      <c r="D36" s="144">
        <v>456.36</v>
      </c>
      <c r="E36" s="297">
        <v>568.99</v>
      </c>
      <c r="F36" s="144">
        <v>715.59</v>
      </c>
      <c r="G36" s="667">
        <v>1.8909028776466164E-2</v>
      </c>
    </row>
    <row r="37" spans="1:7" ht="18" customHeight="1" thickBot="1">
      <c r="A37" s="312">
        <v>2003</v>
      </c>
      <c r="B37" s="144">
        <v>769.07</v>
      </c>
      <c r="C37" s="297">
        <v>671.1</v>
      </c>
      <c r="D37" s="144">
        <v>485.31</v>
      </c>
      <c r="E37" s="297">
        <v>575.24</v>
      </c>
      <c r="F37" s="144">
        <v>741.79</v>
      </c>
      <c r="G37" s="667">
        <v>3.6613144398328634E-2</v>
      </c>
    </row>
    <row r="38" spans="1:7" ht="18" customHeight="1" thickBot="1">
      <c r="A38" s="312">
        <v>2004</v>
      </c>
      <c r="B38" s="144">
        <v>816.02</v>
      </c>
      <c r="C38" s="297">
        <v>674.78</v>
      </c>
      <c r="D38" s="144">
        <v>457.35</v>
      </c>
      <c r="E38" s="297">
        <v>615.66999999999996</v>
      </c>
      <c r="F38" s="144">
        <v>782.37</v>
      </c>
      <c r="G38" s="667">
        <v>5.4705509645587069E-2</v>
      </c>
    </row>
    <row r="39" spans="1:7" ht="18" customHeight="1" thickBot="1">
      <c r="A39" s="312">
        <v>2005</v>
      </c>
      <c r="B39" s="144">
        <v>890.43</v>
      </c>
      <c r="C39" s="297">
        <v>685.95</v>
      </c>
      <c r="D39" s="144">
        <v>446.23</v>
      </c>
      <c r="E39" s="297">
        <v>640.28</v>
      </c>
      <c r="F39" s="144">
        <v>842.26</v>
      </c>
      <c r="G39" s="667">
        <v>7.6549458696013373E-2</v>
      </c>
    </row>
    <row r="40" spans="1:7" ht="18" customHeight="1" thickBot="1">
      <c r="A40" s="312">
        <v>2006</v>
      </c>
      <c r="B40" s="144">
        <v>932.61</v>
      </c>
      <c r="C40" s="297">
        <v>696.63</v>
      </c>
      <c r="D40" s="144">
        <v>644.87</v>
      </c>
      <c r="E40" s="297">
        <v>866.49</v>
      </c>
      <c r="F40" s="144">
        <v>899.9</v>
      </c>
      <c r="G40" s="667">
        <v>6.8434925082516251E-2</v>
      </c>
    </row>
    <row r="41" spans="1:7" ht="18" customHeight="1" thickBot="1">
      <c r="A41" s="947">
        <v>2007</v>
      </c>
      <c r="B41" s="333">
        <v>933.96</v>
      </c>
      <c r="C41" s="362">
        <v>690.25</v>
      </c>
      <c r="D41" s="333">
        <v>661.36</v>
      </c>
      <c r="E41" s="362">
        <v>892.58</v>
      </c>
      <c r="F41" s="333">
        <v>903.11</v>
      </c>
      <c r="G41" s="936">
        <v>3.5670630070006037E-3</v>
      </c>
    </row>
    <row r="42" spans="1:7">
      <c r="A42" s="133"/>
      <c r="G42" s="676"/>
    </row>
    <row r="43" spans="1:7">
      <c r="G43" s="676"/>
    </row>
    <row r="44" spans="1:7" ht="18" customHeight="1">
      <c r="A44" s="519" t="s">
        <v>1135</v>
      </c>
      <c r="B44" s="111" t="s">
        <v>832</v>
      </c>
      <c r="C44" s="112" t="s">
        <v>833</v>
      </c>
      <c r="D44" s="111" t="s">
        <v>834</v>
      </c>
      <c r="E44" s="112" t="s">
        <v>835</v>
      </c>
      <c r="F44" s="111" t="s">
        <v>629</v>
      </c>
      <c r="G44" s="660" t="s">
        <v>1801</v>
      </c>
    </row>
    <row r="45" spans="1:7" ht="18" customHeight="1">
      <c r="A45" s="620" t="s">
        <v>1804</v>
      </c>
      <c r="B45" s="114" t="s">
        <v>836</v>
      </c>
      <c r="C45" s="115" t="s">
        <v>837</v>
      </c>
      <c r="D45" s="114" t="s">
        <v>838</v>
      </c>
      <c r="E45" s="279" t="s">
        <v>839</v>
      </c>
      <c r="F45" s="114"/>
      <c r="G45" s="661" t="s">
        <v>1802</v>
      </c>
    </row>
    <row r="46" spans="1:7" ht="18" customHeight="1">
      <c r="A46" s="308"/>
      <c r="B46" s="114" t="s">
        <v>840</v>
      </c>
      <c r="C46" s="115" t="s">
        <v>841</v>
      </c>
      <c r="D46" s="114"/>
      <c r="E46" s="279" t="s">
        <v>842</v>
      </c>
      <c r="F46" s="114"/>
      <c r="G46" s="661" t="s">
        <v>1806</v>
      </c>
    </row>
    <row r="47" spans="1:7" ht="18" customHeight="1">
      <c r="A47" s="309" t="s">
        <v>533</v>
      </c>
      <c r="B47" s="120"/>
      <c r="C47" s="119"/>
      <c r="D47" s="120"/>
      <c r="E47" s="282" t="s">
        <v>843</v>
      </c>
      <c r="F47" s="120"/>
      <c r="G47" s="662"/>
    </row>
    <row r="48" spans="1:7" ht="2.25" customHeight="1" thickBot="1">
      <c r="A48" s="310">
        <v>1996</v>
      </c>
      <c r="B48" s="142" t="s">
        <v>59</v>
      </c>
      <c r="C48" s="291" t="s">
        <v>59</v>
      </c>
      <c r="D48" s="142" t="s">
        <v>59</v>
      </c>
      <c r="E48" s="291" t="s">
        <v>59</v>
      </c>
      <c r="F48" s="142" t="s">
        <v>59</v>
      </c>
      <c r="G48" s="680" t="s">
        <v>59</v>
      </c>
    </row>
    <row r="49" spans="1:7" ht="18" customHeight="1" thickBot="1">
      <c r="A49" s="312">
        <v>1997</v>
      </c>
      <c r="B49" s="144">
        <v>997.56</v>
      </c>
      <c r="C49" s="297">
        <v>764.51</v>
      </c>
      <c r="D49" s="144" t="s">
        <v>59</v>
      </c>
      <c r="E49" s="297">
        <v>526.83000000000004</v>
      </c>
      <c r="F49" s="144">
        <v>891.7</v>
      </c>
      <c r="G49" s="667" t="s">
        <v>59</v>
      </c>
    </row>
    <row r="50" spans="1:7" ht="18" customHeight="1" thickBot="1">
      <c r="A50" s="312">
        <v>1998</v>
      </c>
      <c r="B50" s="144">
        <v>1081</v>
      </c>
      <c r="C50" s="297">
        <v>834.49</v>
      </c>
      <c r="D50" s="144">
        <v>588.84</v>
      </c>
      <c r="E50" s="297">
        <v>612.65</v>
      </c>
      <c r="F50" s="144">
        <v>941.32</v>
      </c>
      <c r="G50" s="667">
        <v>5.564651788718189E-2</v>
      </c>
    </row>
    <row r="51" spans="1:7" ht="18" customHeight="1" thickBot="1">
      <c r="A51" s="312">
        <v>1999</v>
      </c>
      <c r="B51" s="144">
        <v>1070.72</v>
      </c>
      <c r="C51" s="297">
        <v>900.58</v>
      </c>
      <c r="D51" s="144">
        <v>625.08000000000004</v>
      </c>
      <c r="E51" s="297">
        <v>680.45</v>
      </c>
      <c r="F51" s="144">
        <v>971.45</v>
      </c>
      <c r="G51" s="667">
        <v>3.200824374282929E-2</v>
      </c>
    </row>
    <row r="52" spans="1:7" ht="18" customHeight="1" thickBot="1">
      <c r="A52" s="312">
        <v>2000</v>
      </c>
      <c r="B52" s="144">
        <v>1138.03</v>
      </c>
      <c r="C52" s="297">
        <v>947.86</v>
      </c>
      <c r="D52" s="144">
        <v>615.48</v>
      </c>
      <c r="E52" s="297">
        <v>742.68</v>
      </c>
      <c r="F52" s="144">
        <v>1028.6199999999999</v>
      </c>
      <c r="G52" s="667">
        <v>5.885017242266688E-2</v>
      </c>
    </row>
    <row r="53" spans="1:7" ht="18" customHeight="1" thickBot="1">
      <c r="A53" s="312">
        <v>2001</v>
      </c>
      <c r="B53" s="144">
        <v>1215.9000000000001</v>
      </c>
      <c r="C53" s="297">
        <v>948.16</v>
      </c>
      <c r="D53" s="144" t="s">
        <v>59</v>
      </c>
      <c r="E53" s="297">
        <v>787.11</v>
      </c>
      <c r="F53" s="144">
        <v>1072.96</v>
      </c>
      <c r="G53" s="667">
        <v>4.3106297758161549E-2</v>
      </c>
    </row>
    <row r="54" spans="1:7" ht="18" customHeight="1" thickBot="1">
      <c r="A54" s="312">
        <v>2002</v>
      </c>
      <c r="B54" s="144">
        <v>1292.98</v>
      </c>
      <c r="C54" s="297">
        <v>920.85</v>
      </c>
      <c r="D54" s="144" t="s">
        <v>59</v>
      </c>
      <c r="E54" s="297">
        <v>821.58</v>
      </c>
      <c r="F54" s="144">
        <v>1090.74</v>
      </c>
      <c r="G54" s="667">
        <v>1.6570981210855873E-2</v>
      </c>
    </row>
    <row r="55" spans="1:7" ht="18" customHeight="1" thickBot="1">
      <c r="A55" s="312">
        <v>2003</v>
      </c>
      <c r="B55" s="144">
        <v>1392.25</v>
      </c>
      <c r="C55" s="297">
        <v>911.16</v>
      </c>
      <c r="D55" s="144" t="s">
        <v>59</v>
      </c>
      <c r="E55" s="297">
        <v>816.06</v>
      </c>
      <c r="F55" s="144">
        <v>1120.92</v>
      </c>
      <c r="G55" s="667">
        <v>2.7669288739754716E-2</v>
      </c>
    </row>
    <row r="56" spans="1:7" ht="18" customHeight="1" thickBot="1">
      <c r="A56" s="312">
        <v>2004</v>
      </c>
      <c r="B56" s="144">
        <v>1448.83</v>
      </c>
      <c r="C56" s="297">
        <v>940.01</v>
      </c>
      <c r="D56" s="144" t="s">
        <v>59</v>
      </c>
      <c r="E56" s="297">
        <v>863.65</v>
      </c>
      <c r="F56" s="144">
        <v>1166.3800000000001</v>
      </c>
      <c r="G56" s="667">
        <v>4.0555971880241071E-2</v>
      </c>
    </row>
    <row r="57" spans="1:7" ht="18" customHeight="1" thickBot="1">
      <c r="A57" s="312">
        <v>2005</v>
      </c>
      <c r="B57" s="144">
        <v>1561.56</v>
      </c>
      <c r="C57" s="297">
        <v>904.06</v>
      </c>
      <c r="D57" s="144">
        <v>899.82</v>
      </c>
      <c r="E57" s="297">
        <v>834.89</v>
      </c>
      <c r="F57" s="144">
        <v>1192.9100000000001</v>
      </c>
      <c r="G57" s="667">
        <v>2.2745588916133874E-2</v>
      </c>
    </row>
    <row r="58" spans="1:7" ht="18" customHeight="1" thickBot="1">
      <c r="A58" s="312">
        <v>2006</v>
      </c>
      <c r="B58" s="144">
        <v>1584.29</v>
      </c>
      <c r="C58" s="297">
        <v>831.76</v>
      </c>
      <c r="D58" s="144">
        <v>703.36</v>
      </c>
      <c r="E58" s="297">
        <v>979.74</v>
      </c>
      <c r="F58" s="144">
        <v>1185.21</v>
      </c>
      <c r="G58" s="667">
        <v>-6.454803799113118E-3</v>
      </c>
    </row>
    <row r="59" spans="1:7" ht="18" customHeight="1" thickBot="1">
      <c r="A59" s="947">
        <v>2007</v>
      </c>
      <c r="B59" s="333">
        <v>1578.37</v>
      </c>
      <c r="C59" s="362">
        <v>825.78</v>
      </c>
      <c r="D59" s="333">
        <v>724.82</v>
      </c>
      <c r="E59" s="362">
        <v>1040.96</v>
      </c>
      <c r="F59" s="333">
        <v>1190.6199999999999</v>
      </c>
      <c r="G59" s="936">
        <v>4.5645919288566095E-3</v>
      </c>
    </row>
    <row r="60" spans="1:7">
      <c r="D60" s="4"/>
      <c r="E60" s="4"/>
      <c r="F60" s="4"/>
      <c r="G60" s="676"/>
    </row>
    <row r="61" spans="1:7">
      <c r="D61" s="4"/>
      <c r="E61" s="4"/>
      <c r="F61" s="4"/>
      <c r="G61" s="676"/>
    </row>
    <row r="62" spans="1:7" ht="18.75" customHeight="1">
      <c r="A62" s="519" t="s">
        <v>1973</v>
      </c>
      <c r="B62" s="111" t="s">
        <v>832</v>
      </c>
      <c r="C62" s="112" t="s">
        <v>833</v>
      </c>
      <c r="D62" s="111" t="s">
        <v>834</v>
      </c>
      <c r="E62" s="112" t="s">
        <v>835</v>
      </c>
      <c r="F62" s="111" t="s">
        <v>629</v>
      </c>
      <c r="G62" s="660" t="s">
        <v>1801</v>
      </c>
    </row>
    <row r="63" spans="1:7" ht="18.75" customHeight="1">
      <c r="A63" s="620" t="s">
        <v>1974</v>
      </c>
      <c r="B63" s="114" t="s">
        <v>836</v>
      </c>
      <c r="C63" s="115" t="s">
        <v>837</v>
      </c>
      <c r="D63" s="114" t="s">
        <v>838</v>
      </c>
      <c r="E63" s="279" t="s">
        <v>839</v>
      </c>
      <c r="F63" s="114"/>
      <c r="G63" s="661" t="s">
        <v>1802</v>
      </c>
    </row>
    <row r="64" spans="1:7" ht="18.75" customHeight="1">
      <c r="A64" s="308"/>
      <c r="B64" s="114" t="s">
        <v>840</v>
      </c>
      <c r="C64" s="115" t="s">
        <v>841</v>
      </c>
      <c r="D64" s="114"/>
      <c r="E64" s="279" t="s">
        <v>842</v>
      </c>
      <c r="F64" s="114"/>
      <c r="G64" s="661" t="s">
        <v>1806</v>
      </c>
    </row>
    <row r="65" spans="1:7" ht="18.75" customHeight="1">
      <c r="A65" s="309" t="s">
        <v>533</v>
      </c>
      <c r="B65" s="120"/>
      <c r="C65" s="119"/>
      <c r="D65" s="120"/>
      <c r="E65" s="282" t="s">
        <v>843</v>
      </c>
      <c r="F65" s="120"/>
      <c r="G65" s="662"/>
    </row>
    <row r="66" spans="1:7" ht="1.5" customHeight="1" thickBot="1">
      <c r="A66" s="310">
        <v>1996</v>
      </c>
      <c r="B66" s="142" t="s">
        <v>59</v>
      </c>
      <c r="C66" s="291" t="s">
        <v>59</v>
      </c>
      <c r="D66" s="142" t="s">
        <v>59</v>
      </c>
      <c r="E66" s="291" t="s">
        <v>59</v>
      </c>
      <c r="F66" s="142" t="s">
        <v>59</v>
      </c>
      <c r="G66" s="680" t="s">
        <v>59</v>
      </c>
    </row>
    <row r="67" spans="1:7" ht="18.75" customHeight="1" thickBot="1">
      <c r="A67" s="312">
        <v>1997</v>
      </c>
      <c r="B67" s="144">
        <v>2863.7</v>
      </c>
      <c r="C67" s="297">
        <v>1824.46</v>
      </c>
      <c r="D67" s="144" t="s">
        <v>59</v>
      </c>
      <c r="E67" s="297">
        <v>1189.1400000000001</v>
      </c>
      <c r="F67" s="144">
        <v>2289.58</v>
      </c>
      <c r="G67" s="667" t="s">
        <v>59</v>
      </c>
    </row>
    <row r="68" spans="1:7" ht="18.75" customHeight="1" thickBot="1">
      <c r="A68" s="312">
        <v>1998</v>
      </c>
      <c r="B68" s="144">
        <v>2957.09</v>
      </c>
      <c r="C68" s="297">
        <v>2082.79</v>
      </c>
      <c r="D68" s="144">
        <v>696.67</v>
      </c>
      <c r="E68" s="297">
        <v>1575.21</v>
      </c>
      <c r="F68" s="144">
        <v>2462.12</v>
      </c>
      <c r="G68" s="667">
        <v>7.5358799430463197E-2</v>
      </c>
    </row>
    <row r="69" spans="1:7" ht="18.75" customHeight="1" thickBot="1">
      <c r="A69" s="312">
        <v>1999</v>
      </c>
      <c r="B69" s="144">
        <v>3163.19</v>
      </c>
      <c r="C69" s="297">
        <v>2089.84</v>
      </c>
      <c r="D69" s="144">
        <v>756.23</v>
      </c>
      <c r="E69" s="297">
        <v>1768.3</v>
      </c>
      <c r="F69" s="144">
        <v>2570.02</v>
      </c>
      <c r="G69" s="667">
        <v>4.382402157490306E-2</v>
      </c>
    </row>
    <row r="70" spans="1:7" ht="18.75" customHeight="1" thickBot="1">
      <c r="A70" s="312">
        <v>2000</v>
      </c>
      <c r="B70" s="144">
        <v>3444.92</v>
      </c>
      <c r="C70" s="297">
        <v>2223.37</v>
      </c>
      <c r="D70" s="144">
        <v>681.2</v>
      </c>
      <c r="E70" s="297">
        <v>1913.06</v>
      </c>
      <c r="F70" s="144">
        <v>2753.78</v>
      </c>
      <c r="G70" s="667">
        <v>7.1501389094248191E-2</v>
      </c>
    </row>
    <row r="71" spans="1:7" ht="18.75" customHeight="1" thickBot="1">
      <c r="A71" s="312">
        <v>2001</v>
      </c>
      <c r="B71" s="144">
        <v>3702.88</v>
      </c>
      <c r="C71" s="297">
        <v>2297.41</v>
      </c>
      <c r="D71" s="144">
        <v>875.75</v>
      </c>
      <c r="E71" s="297">
        <v>1996.67</v>
      </c>
      <c r="F71" s="144">
        <v>2898.13</v>
      </c>
      <c r="G71" s="667">
        <v>5.2418856989301821E-2</v>
      </c>
    </row>
    <row r="72" spans="1:7" ht="18.75" customHeight="1" thickBot="1">
      <c r="A72" s="312">
        <v>2002</v>
      </c>
      <c r="B72" s="144">
        <v>3932.43</v>
      </c>
      <c r="C72" s="297">
        <v>2322.62</v>
      </c>
      <c r="D72" s="144">
        <v>907.71</v>
      </c>
      <c r="E72" s="297">
        <v>2059.2199999999998</v>
      </c>
      <c r="F72" s="144">
        <v>2994.63</v>
      </c>
      <c r="G72" s="667">
        <v>3.3297333107900728E-2</v>
      </c>
    </row>
    <row r="73" spans="1:7" ht="18.75" customHeight="1" thickBot="1">
      <c r="A73" s="312">
        <v>2003</v>
      </c>
      <c r="B73" s="144">
        <v>4284.59</v>
      </c>
      <c r="C73" s="297">
        <v>2358.33</v>
      </c>
      <c r="D73" s="144">
        <v>997.68</v>
      </c>
      <c r="E73" s="297">
        <v>1931.51</v>
      </c>
      <c r="F73" s="144">
        <v>3118.37</v>
      </c>
      <c r="G73" s="667">
        <v>4.1320630595432339E-2</v>
      </c>
    </row>
    <row r="74" spans="1:7" ht="18.75" customHeight="1" thickBot="1">
      <c r="A74" s="312">
        <v>2004</v>
      </c>
      <c r="B74" s="144">
        <v>4496.54</v>
      </c>
      <c r="C74" s="297">
        <v>2484.79</v>
      </c>
      <c r="D74" s="144">
        <v>1160.92</v>
      </c>
      <c r="E74" s="297">
        <v>2082.36</v>
      </c>
      <c r="F74" s="144">
        <v>3296.18</v>
      </c>
      <c r="G74" s="667">
        <v>5.7020174001160884E-2</v>
      </c>
    </row>
    <row r="75" spans="1:7" ht="18.75" customHeight="1" thickBot="1">
      <c r="A75" s="312">
        <v>2005</v>
      </c>
      <c r="B75" s="144">
        <v>4862.6099999999997</v>
      </c>
      <c r="C75" s="297">
        <v>2462.3200000000002</v>
      </c>
      <c r="D75" s="144">
        <v>1216.48</v>
      </c>
      <c r="E75" s="297">
        <v>2150.5300000000002</v>
      </c>
      <c r="F75" s="144">
        <v>3456.92</v>
      </c>
      <c r="G75" s="667">
        <v>4.8765540716829703E-2</v>
      </c>
    </row>
    <row r="76" spans="1:7" ht="18.75" customHeight="1" thickBot="1">
      <c r="A76" s="312">
        <v>2006</v>
      </c>
      <c r="B76" s="144">
        <v>5210.72</v>
      </c>
      <c r="C76" s="297">
        <v>2483.42</v>
      </c>
      <c r="D76" s="144">
        <v>1347.4</v>
      </c>
      <c r="E76" s="297">
        <v>2578.41</v>
      </c>
      <c r="F76" s="144">
        <v>3588.81</v>
      </c>
      <c r="G76" s="667">
        <v>3.8152459414739104E-2</v>
      </c>
    </row>
    <row r="77" spans="1:7" ht="18.75" customHeight="1" thickBot="1">
      <c r="A77" s="947">
        <v>2007</v>
      </c>
      <c r="B77" s="333">
        <v>5207.16</v>
      </c>
      <c r="C77" s="362">
        <v>2488.5</v>
      </c>
      <c r="D77" s="333">
        <v>1374.36</v>
      </c>
      <c r="E77" s="362">
        <v>2668.54</v>
      </c>
      <c r="F77" s="333">
        <v>3600.94</v>
      </c>
      <c r="G77" s="936">
        <v>3.379950457115255E-3</v>
      </c>
    </row>
    <row r="78" spans="1:7" ht="15" customHeight="1">
      <c r="A78" s="380" t="s">
        <v>1069</v>
      </c>
    </row>
    <row r="80" spans="1:7">
      <c r="A80" s="3" t="s">
        <v>2499</v>
      </c>
    </row>
    <row r="82" spans="1:1">
      <c r="A82" s="2" t="s">
        <v>2478</v>
      </c>
    </row>
    <row r="85" spans="1:1">
      <c r="A85" s="2" t="s">
        <v>634</v>
      </c>
    </row>
  </sheetData>
  <mergeCells count="1">
    <mergeCell ref="A2:F2"/>
  </mergeCells>
  <phoneticPr fontId="0" type="noConversion"/>
  <pageMargins left="0.55118110236220474" right="0.39370078740157483" top="0.47244094488188981" bottom="0.33" header="0.27559055118110237" footer="0.21"/>
  <pageSetup paperSize="9" scale="55" orientation="portrait" horizontalDpi="1200" verticalDpi="12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2070-FCA2-B14F-A985-6F2275CF51BD}">
  <sheetPr>
    <pageSetUpPr fitToPage="1"/>
  </sheetPr>
  <dimension ref="A1:V58"/>
  <sheetViews>
    <sheetView topLeftCell="F1" zoomScale="75" workbookViewId="0">
      <selection activeCell="N2" sqref="N2"/>
    </sheetView>
  </sheetViews>
  <sheetFormatPr baseColWidth="10" defaultColWidth="11.3984375" defaultRowHeight="13"/>
  <cols>
    <col min="1" max="1" width="11.796875" style="2" customWidth="1"/>
    <col min="2" max="2" width="17" style="2" customWidth="1"/>
    <col min="3" max="3" width="13" style="414" customWidth="1"/>
    <col min="4" max="4" width="13" style="2" customWidth="1"/>
    <col min="5" max="5" width="14" style="414" customWidth="1"/>
    <col min="6" max="6" width="13" style="2" customWidth="1"/>
    <col min="7" max="7" width="13" style="414" customWidth="1"/>
    <col min="8" max="8" width="13" style="2" customWidth="1"/>
    <col min="9" max="9" width="15.3984375" style="2" customWidth="1"/>
    <col min="10" max="12" width="13" style="2" customWidth="1"/>
    <col min="13" max="13" width="14.19921875" style="2" customWidth="1"/>
    <col min="14" max="14" width="13" style="2" customWidth="1"/>
    <col min="15" max="15" width="14.796875" style="2" customWidth="1"/>
    <col min="16" max="16" width="13" style="2" customWidth="1"/>
    <col min="17" max="16384" width="11.3984375" style="2"/>
  </cols>
  <sheetData>
    <row r="1" spans="1:22" s="1" customFormat="1" ht="14" customHeight="1">
      <c r="A1" s="381"/>
      <c r="B1" s="381"/>
      <c r="C1" s="382"/>
      <c r="D1" s="381"/>
      <c r="E1" s="382"/>
      <c r="F1" s="381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</row>
    <row r="2" spans="1:22" s="1" customFormat="1" ht="28" customHeight="1">
      <c r="A2" s="109" t="s">
        <v>1208</v>
      </c>
      <c r="B2" s="381"/>
      <c r="C2" s="382"/>
      <c r="D2" s="381"/>
      <c r="E2" s="382"/>
      <c r="F2" s="381"/>
      <c r="G2" s="382"/>
      <c r="N2" s="384"/>
    </row>
    <row r="3" spans="1:22" ht="24" customHeight="1">
      <c r="A3" s="110" t="s">
        <v>1254</v>
      </c>
      <c r="B3" s="385" t="s">
        <v>518</v>
      </c>
      <c r="C3" s="112" t="s">
        <v>1801</v>
      </c>
      <c r="D3" s="111"/>
      <c r="E3" s="386"/>
      <c r="F3" s="111"/>
      <c r="G3" s="386"/>
      <c r="H3" s="111"/>
      <c r="I3" s="386"/>
      <c r="J3" s="111"/>
      <c r="K3" s="386"/>
      <c r="L3" s="111"/>
      <c r="M3" s="386"/>
      <c r="N3" s="111"/>
      <c r="O3"/>
    </row>
    <row r="4" spans="1:22" ht="17.25" customHeight="1">
      <c r="A4" s="308"/>
      <c r="B4" s="387" t="s">
        <v>1255</v>
      </c>
      <c r="C4" s="115" t="s">
        <v>1802</v>
      </c>
      <c r="D4" s="388" t="s">
        <v>457</v>
      </c>
      <c r="E4" s="389" t="s">
        <v>457</v>
      </c>
      <c r="F4" s="388" t="s">
        <v>457</v>
      </c>
      <c r="G4" s="389" t="s">
        <v>457</v>
      </c>
      <c r="H4" s="388" t="s">
        <v>457</v>
      </c>
      <c r="I4" s="389" t="s">
        <v>457</v>
      </c>
      <c r="J4" s="388" t="s">
        <v>457</v>
      </c>
      <c r="K4" s="389" t="s">
        <v>457</v>
      </c>
      <c r="L4" s="388" t="s">
        <v>457</v>
      </c>
      <c r="M4" s="389" t="s">
        <v>457</v>
      </c>
      <c r="N4" s="388" t="s">
        <v>457</v>
      </c>
      <c r="O4"/>
    </row>
    <row r="5" spans="1:22" ht="15" customHeight="1">
      <c r="A5" s="308"/>
      <c r="B5" s="114"/>
      <c r="C5" s="115" t="s">
        <v>1806</v>
      </c>
      <c r="D5" s="388" t="s">
        <v>520</v>
      </c>
      <c r="E5" s="389" t="s">
        <v>521</v>
      </c>
      <c r="F5" s="388" t="s">
        <v>522</v>
      </c>
      <c r="G5" s="389" t="s">
        <v>522</v>
      </c>
      <c r="H5" s="388" t="s">
        <v>499</v>
      </c>
      <c r="I5" s="389" t="s">
        <v>500</v>
      </c>
      <c r="J5" s="388" t="s">
        <v>501</v>
      </c>
      <c r="K5" s="389" t="s">
        <v>502</v>
      </c>
      <c r="L5" s="388" t="s">
        <v>523</v>
      </c>
      <c r="M5" s="389" t="s">
        <v>524</v>
      </c>
      <c r="N5" s="388" t="s">
        <v>525</v>
      </c>
      <c r="O5"/>
    </row>
    <row r="6" spans="1:22" s="3" customFormat="1" ht="19.5" customHeight="1">
      <c r="A6" s="390"/>
      <c r="B6" s="391"/>
      <c r="C6" s="392"/>
      <c r="D6" s="393" t="s">
        <v>526</v>
      </c>
      <c r="E6" s="394" t="s">
        <v>526</v>
      </c>
      <c r="F6" s="393" t="s">
        <v>527</v>
      </c>
      <c r="G6" s="394" t="s">
        <v>528</v>
      </c>
      <c r="H6" s="393"/>
      <c r="I6" s="394"/>
      <c r="J6" s="393"/>
      <c r="K6" s="394"/>
      <c r="L6" s="393" t="s">
        <v>529</v>
      </c>
      <c r="M6" s="394" t="s">
        <v>530</v>
      </c>
      <c r="N6" s="393" t="s">
        <v>531</v>
      </c>
      <c r="O6"/>
    </row>
    <row r="7" spans="1:22" ht="19.5" customHeight="1">
      <c r="A7" s="309"/>
      <c r="B7" s="120"/>
      <c r="C7" s="395"/>
      <c r="D7" s="391"/>
      <c r="E7" s="392"/>
      <c r="F7" s="391"/>
      <c r="G7" s="392"/>
      <c r="H7" s="391"/>
      <c r="I7" s="392"/>
      <c r="J7" s="391"/>
      <c r="K7" s="395"/>
      <c r="L7" s="391"/>
      <c r="M7" s="392"/>
      <c r="N7" s="391"/>
      <c r="O7"/>
    </row>
    <row r="8" spans="1:22" ht="2.25" customHeight="1" thickBot="1">
      <c r="A8" s="310">
        <v>1996</v>
      </c>
      <c r="B8" s="142">
        <v>8214.622179967444</v>
      </c>
      <c r="C8" s="143">
        <v>0.11122052660984157</v>
      </c>
      <c r="D8" s="326" t="s">
        <v>59</v>
      </c>
      <c r="E8" s="327" t="s">
        <v>59</v>
      </c>
      <c r="F8" s="326" t="s">
        <v>59</v>
      </c>
      <c r="G8" s="327" t="s">
        <v>59</v>
      </c>
      <c r="H8" s="326" t="s">
        <v>59</v>
      </c>
      <c r="I8" s="327" t="s">
        <v>59</v>
      </c>
      <c r="J8" s="326" t="s">
        <v>59</v>
      </c>
      <c r="K8" s="291">
        <v>56.88</v>
      </c>
      <c r="L8" s="326" t="s">
        <v>59</v>
      </c>
      <c r="M8" s="327" t="s">
        <v>59</v>
      </c>
      <c r="N8" s="326" t="s">
        <v>59</v>
      </c>
      <c r="O8"/>
    </row>
    <row r="9" spans="1:22" ht="20" customHeight="1" thickBot="1">
      <c r="A9" s="312">
        <v>1997</v>
      </c>
      <c r="B9" s="144">
        <v>8735.6547899365542</v>
      </c>
      <c r="C9" s="145">
        <v>6.3427458811158022E-2</v>
      </c>
      <c r="D9" s="326" t="s">
        <v>59</v>
      </c>
      <c r="E9" s="327" t="s">
        <v>59</v>
      </c>
      <c r="F9" s="326" t="s">
        <v>59</v>
      </c>
      <c r="G9" s="327" t="s">
        <v>59</v>
      </c>
      <c r="H9" s="326" t="s">
        <v>59</v>
      </c>
      <c r="I9" s="327" t="s">
        <v>59</v>
      </c>
      <c r="J9" s="326" t="s">
        <v>59</v>
      </c>
      <c r="K9" s="297">
        <v>56.26</v>
      </c>
      <c r="L9" s="326" t="s">
        <v>59</v>
      </c>
      <c r="M9" s="327" t="s">
        <v>59</v>
      </c>
      <c r="N9" s="326" t="s">
        <v>59</v>
      </c>
      <c r="O9"/>
      <c r="T9" s="9"/>
      <c r="U9" s="9"/>
      <c r="V9" s="9"/>
    </row>
    <row r="10" spans="1:22" ht="20" customHeight="1" thickBot="1">
      <c r="A10" s="312">
        <v>1998</v>
      </c>
      <c r="B10" s="144">
        <v>9332.6868080000004</v>
      </c>
      <c r="C10" s="145">
        <v>6.8344277838362513E-2</v>
      </c>
      <c r="D10" s="144">
        <v>3748.16</v>
      </c>
      <c r="E10" s="297">
        <v>1302.8</v>
      </c>
      <c r="F10" s="144">
        <v>933.79</v>
      </c>
      <c r="G10" s="297">
        <v>1787.54</v>
      </c>
      <c r="H10" s="144">
        <v>223.97</v>
      </c>
      <c r="I10" s="297">
        <v>417.71</v>
      </c>
      <c r="J10" s="144">
        <v>397.5</v>
      </c>
      <c r="K10" s="297">
        <v>56.3</v>
      </c>
      <c r="L10" s="144">
        <v>104.38</v>
      </c>
      <c r="M10" s="297">
        <v>87.2</v>
      </c>
      <c r="N10" s="144" t="s">
        <v>59</v>
      </c>
      <c r="O10"/>
    </row>
    <row r="11" spans="1:22" ht="20" customHeight="1" thickBot="1">
      <c r="A11" s="312">
        <v>1999</v>
      </c>
      <c r="B11" s="144">
        <v>9826.7075550000009</v>
      </c>
      <c r="C11" s="145">
        <v>5.2934461121798788E-2</v>
      </c>
      <c r="D11" s="144">
        <v>3764.53</v>
      </c>
      <c r="E11" s="297">
        <v>1484.57</v>
      </c>
      <c r="F11" s="144">
        <v>1031.77</v>
      </c>
      <c r="G11" s="297">
        <v>1873.03</v>
      </c>
      <c r="H11" s="144">
        <v>235.27</v>
      </c>
      <c r="I11" s="297">
        <v>437.19</v>
      </c>
      <c r="J11" s="144">
        <v>413.87</v>
      </c>
      <c r="K11" s="297">
        <v>60.6</v>
      </c>
      <c r="L11" s="144">
        <v>125.04</v>
      </c>
      <c r="M11" s="297">
        <v>87.9</v>
      </c>
      <c r="N11" s="144" t="s">
        <v>59</v>
      </c>
      <c r="O11"/>
    </row>
    <row r="12" spans="1:22" ht="20" customHeight="1" thickBot="1">
      <c r="A12" s="312">
        <v>2000</v>
      </c>
      <c r="B12" s="144">
        <v>10542.816855999999</v>
      </c>
      <c r="C12" s="145">
        <v>7.2873777609839388E-2</v>
      </c>
      <c r="D12" s="144">
        <v>3846.3722419999999</v>
      </c>
      <c r="E12" s="297">
        <v>1665.8885190000001</v>
      </c>
      <c r="F12" s="144">
        <v>1143.2080209999999</v>
      </c>
      <c r="G12" s="297">
        <v>2097.7667449999999</v>
      </c>
      <c r="H12" s="144">
        <v>253.12159500000001</v>
      </c>
      <c r="I12" s="297">
        <v>446.74208700000003</v>
      </c>
      <c r="J12" s="144">
        <v>442.743357</v>
      </c>
      <c r="K12" s="297">
        <v>62.290866000000001</v>
      </c>
      <c r="L12" s="144">
        <v>179.87060299999999</v>
      </c>
      <c r="M12" s="297">
        <v>114.545208</v>
      </c>
      <c r="N12" s="144" t="s">
        <v>59</v>
      </c>
      <c r="O12"/>
    </row>
    <row r="13" spans="1:22" ht="20" customHeight="1" thickBot="1">
      <c r="A13" s="312">
        <v>2001</v>
      </c>
      <c r="B13" s="144">
        <v>11308.048632</v>
      </c>
      <c r="C13" s="145">
        <v>7.2583237141646939E-2</v>
      </c>
      <c r="D13" s="144">
        <v>4011.5563699999998</v>
      </c>
      <c r="E13" s="297">
        <v>1925.523136</v>
      </c>
      <c r="F13" s="144">
        <v>1271.4507229999999</v>
      </c>
      <c r="G13" s="297">
        <v>2242.439856</v>
      </c>
      <c r="H13" s="144">
        <v>270.321618</v>
      </c>
      <c r="I13" s="297">
        <v>480.12928299999999</v>
      </c>
      <c r="J13" s="144">
        <v>462.70975499999997</v>
      </c>
      <c r="K13" s="297">
        <v>65.236801</v>
      </c>
      <c r="L13" s="144">
        <v>173.02369200000001</v>
      </c>
      <c r="M13" s="297">
        <v>106.32983400000001</v>
      </c>
      <c r="N13" s="144">
        <v>20.166156999999998</v>
      </c>
      <c r="O13"/>
    </row>
    <row r="14" spans="1:22" ht="20" customHeight="1" thickBot="1">
      <c r="A14" s="312">
        <v>2002</v>
      </c>
      <c r="B14" s="144">
        <v>11864.756498999999</v>
      </c>
      <c r="C14" s="145">
        <v>4.9231117155315675E-2</v>
      </c>
      <c r="D14" s="144">
        <v>4108.8234659999998</v>
      </c>
      <c r="E14" s="297">
        <v>1972.059045</v>
      </c>
      <c r="F14" s="144">
        <v>1260.789229</v>
      </c>
      <c r="G14" s="297">
        <v>2524.68426</v>
      </c>
      <c r="H14" s="144">
        <v>290.06557500000002</v>
      </c>
      <c r="I14" s="297">
        <v>506.24601999999999</v>
      </c>
      <c r="J14" s="144">
        <v>485.55174599999998</v>
      </c>
      <c r="K14" s="297">
        <v>65.211265999999995</v>
      </c>
      <c r="L14" s="144">
        <v>202.87558799999999</v>
      </c>
      <c r="M14" s="297">
        <v>112.82700800000001</v>
      </c>
      <c r="N14" s="144">
        <v>22.283301000000002</v>
      </c>
      <c r="O14"/>
    </row>
    <row r="15" spans="1:22" ht="20" customHeight="1" thickBot="1">
      <c r="A15" s="312">
        <v>2003</v>
      </c>
      <c r="B15" s="144">
        <v>12287.171129999999</v>
      </c>
      <c r="C15" s="145">
        <v>3.560246946792394E-2</v>
      </c>
      <c r="D15" s="144">
        <v>4172.0328019999997</v>
      </c>
      <c r="E15" s="297">
        <v>2141.3752909999998</v>
      </c>
      <c r="F15" s="144">
        <v>1347.924618</v>
      </c>
      <c r="G15" s="297">
        <v>2602.0570160000002</v>
      </c>
      <c r="H15" s="144">
        <v>320.12044100000003</v>
      </c>
      <c r="I15" s="297">
        <v>491.37185499999998</v>
      </c>
      <c r="J15" s="144">
        <v>480.48790700000001</v>
      </c>
      <c r="K15" s="297">
        <v>65.007204000000002</v>
      </c>
      <c r="L15" s="144">
        <v>214.51952800000001</v>
      </c>
      <c r="M15" s="297">
        <v>112.746364</v>
      </c>
      <c r="N15" s="144">
        <v>30.331126999999999</v>
      </c>
      <c r="O15"/>
    </row>
    <row r="16" spans="1:22" ht="20" customHeight="1" thickBot="1">
      <c r="A16" s="312">
        <v>2004</v>
      </c>
      <c r="B16" s="144">
        <v>12930.941864000002</v>
      </c>
      <c r="C16" s="145">
        <v>5.2393730598265333E-2</v>
      </c>
      <c r="D16" s="144">
        <v>4377.7035830000004</v>
      </c>
      <c r="E16" s="297">
        <v>2192.3005199999998</v>
      </c>
      <c r="F16" s="144">
        <v>1398.7252390000001</v>
      </c>
      <c r="G16" s="297">
        <v>2750.1970510000001</v>
      </c>
      <c r="H16" s="144">
        <v>365.15373399999999</v>
      </c>
      <c r="I16" s="297">
        <v>505.40384999999998</v>
      </c>
      <c r="J16" s="144">
        <v>591.27084500000001</v>
      </c>
      <c r="K16" s="297">
        <v>68.244215999999994</v>
      </c>
      <c r="L16" s="144">
        <v>259.95297099999999</v>
      </c>
      <c r="M16" s="297">
        <v>79.496533999999997</v>
      </c>
      <c r="N16" s="144">
        <v>25.676613</v>
      </c>
      <c r="O16"/>
    </row>
    <row r="17" spans="1:17" ht="20" customHeight="1" thickBot="1">
      <c r="A17" s="312">
        <v>2005</v>
      </c>
      <c r="B17" s="144">
        <v>13896.515273999998</v>
      </c>
      <c r="C17" s="145">
        <v>7.467154520956984E-2</v>
      </c>
      <c r="D17" s="144">
        <v>4526.5123919999996</v>
      </c>
      <c r="E17" s="297">
        <v>2671.1515180000001</v>
      </c>
      <c r="F17" s="144">
        <v>1472.471274</v>
      </c>
      <c r="G17" s="297">
        <v>2820.8304370000001</v>
      </c>
      <c r="H17" s="144">
        <v>388.382814</v>
      </c>
      <c r="I17" s="297">
        <v>531.73997799999995</v>
      </c>
      <c r="J17" s="144">
        <v>664.98868300000004</v>
      </c>
      <c r="K17" s="297">
        <v>69.204526000000001</v>
      </c>
      <c r="L17" s="144">
        <v>297.96774900000003</v>
      </c>
      <c r="M17" s="297">
        <v>52.688243999999997</v>
      </c>
      <c r="N17" s="144">
        <v>24.155256000000001</v>
      </c>
      <c r="O17"/>
    </row>
    <row r="18" spans="1:17" ht="20" customHeight="1" thickBot="1">
      <c r="A18" s="1794">
        <v>2006</v>
      </c>
      <c r="B18" s="1795">
        <v>14030.772541999999</v>
      </c>
      <c r="C18" s="1796">
        <v>9.6612183236464248E-3</v>
      </c>
      <c r="D18" s="1795">
        <v>4631.4300709999998</v>
      </c>
      <c r="E18" s="1797">
        <v>2644.9903220000001</v>
      </c>
      <c r="F18" s="1795">
        <v>1472.366248</v>
      </c>
      <c r="G18" s="1797">
        <v>2826.9170079999999</v>
      </c>
      <c r="H18" s="1795">
        <v>416.81203599999998</v>
      </c>
      <c r="I18" s="1797">
        <v>539.40939700000001</v>
      </c>
      <c r="J18" s="1795">
        <v>625.59989599999994</v>
      </c>
      <c r="K18" s="1797">
        <v>68.417607000000004</v>
      </c>
      <c r="L18" s="1795">
        <v>336.37458700000002</v>
      </c>
      <c r="M18" s="1797">
        <v>61.767296000000002</v>
      </c>
      <c r="N18" s="1795">
        <v>11.768563</v>
      </c>
      <c r="O18"/>
    </row>
    <row r="19" spans="1:17" s="285" customFormat="1" ht="30" customHeight="1" thickBot="1">
      <c r="A19" s="418">
        <v>2007</v>
      </c>
      <c r="B19" s="146">
        <v>14675.691045</v>
      </c>
      <c r="C19" s="147">
        <v>4.5964575440838248E-2</v>
      </c>
      <c r="D19" s="146">
        <v>4835.7349899999999</v>
      </c>
      <c r="E19" s="298">
        <v>2824.687347</v>
      </c>
      <c r="F19" s="146">
        <v>1518.895055</v>
      </c>
      <c r="G19" s="298">
        <v>2887.694485</v>
      </c>
      <c r="H19" s="146">
        <v>456.109013</v>
      </c>
      <c r="I19" s="298">
        <v>553.92740000000003</v>
      </c>
      <c r="J19" s="146">
        <v>633.04220399999997</v>
      </c>
      <c r="K19" s="298">
        <v>71.228594000000001</v>
      </c>
      <c r="L19" s="146">
        <v>373.80373800000001</v>
      </c>
      <c r="M19" s="298">
        <v>64.120796999999996</v>
      </c>
      <c r="N19" s="146">
        <v>9.7957180000000008</v>
      </c>
      <c r="O19"/>
      <c r="P19" s="400"/>
      <c r="Q19" s="401"/>
    </row>
    <row r="20" spans="1:17" ht="17.25" customHeight="1" thickBot="1">
      <c r="A20" s="300"/>
      <c r="B20" s="402"/>
      <c r="C20" s="403"/>
      <c r="D20" s="402"/>
      <c r="E20" s="403"/>
      <c r="F20" s="402"/>
      <c r="G20" s="403"/>
      <c r="P20" s="4"/>
      <c r="Q20" s="4"/>
    </row>
    <row r="21" spans="1:17" s="419" customFormat="1" ht="51" customHeight="1" thickBot="1">
      <c r="A21" s="404" t="s">
        <v>532</v>
      </c>
      <c r="B21" s="363">
        <v>5.1582962016174738E-2</v>
      </c>
      <c r="C21" s="406" t="s">
        <v>59</v>
      </c>
      <c r="D21" s="363">
        <v>2.871203089253016E-2</v>
      </c>
      <c r="E21" s="406">
        <v>8.9792026558764171E-2</v>
      </c>
      <c r="F21" s="363">
        <v>5.5541698197354661E-2</v>
      </c>
      <c r="G21" s="406">
        <v>5.4736418017021338E-2</v>
      </c>
      <c r="H21" s="363">
        <v>8.2230743837246045E-2</v>
      </c>
      <c r="I21" s="406">
        <v>3.1857618573675417E-2</v>
      </c>
      <c r="J21" s="363">
        <v>5.3064710060471976E-2</v>
      </c>
      <c r="K21" s="406">
        <v>2.6477780676691154E-2</v>
      </c>
      <c r="L21" s="363">
        <v>0.15228121810039408</v>
      </c>
      <c r="M21" s="406">
        <v>-3.3582659108305157E-2</v>
      </c>
      <c r="N21" s="363" t="s">
        <v>59</v>
      </c>
      <c r="P21" s="400"/>
      <c r="Q21" s="400"/>
    </row>
    <row r="22" spans="1:17" ht="39" customHeight="1">
      <c r="A22" s="300"/>
      <c r="B22" s="407"/>
      <c r="C22" s="403"/>
      <c r="D22" s="402"/>
      <c r="E22" s="403"/>
      <c r="F22" s="402"/>
      <c r="G22" s="403"/>
    </row>
    <row r="23" spans="1:17" ht="16.5" customHeight="1">
      <c r="A23" s="110" t="s">
        <v>1254</v>
      </c>
      <c r="B23" s="387" t="s">
        <v>534</v>
      </c>
      <c r="C23" s="112" t="s">
        <v>1801</v>
      </c>
      <c r="D23" s="111"/>
      <c r="E23" s="386"/>
      <c r="F23"/>
      <c r="G23" s="2"/>
      <c r="H23" s="385" t="s">
        <v>629</v>
      </c>
      <c r="I23" s="112" t="s">
        <v>1801</v>
      </c>
    </row>
    <row r="24" spans="1:17" ht="15.75" customHeight="1">
      <c r="A24" s="308"/>
      <c r="B24" s="387" t="s">
        <v>1255</v>
      </c>
      <c r="C24" s="115" t="s">
        <v>1802</v>
      </c>
      <c r="D24" s="408" t="s">
        <v>457</v>
      </c>
      <c r="E24" s="409" t="s">
        <v>457</v>
      </c>
      <c r="F24"/>
      <c r="G24" s="2"/>
      <c r="H24" s="387" t="s">
        <v>535</v>
      </c>
      <c r="I24" s="115" t="s">
        <v>1802</v>
      </c>
    </row>
    <row r="25" spans="1:17" ht="12" customHeight="1">
      <c r="A25" s="308"/>
      <c r="B25" s="114"/>
      <c r="C25" s="115" t="s">
        <v>1806</v>
      </c>
      <c r="D25" s="408" t="s">
        <v>536</v>
      </c>
      <c r="E25" s="409" t="s">
        <v>537</v>
      </c>
      <c r="F25"/>
      <c r="G25" s="2"/>
      <c r="H25" s="114"/>
      <c r="I25" s="115" t="s">
        <v>1806</v>
      </c>
    </row>
    <row r="26" spans="1:17" ht="19.5" customHeight="1">
      <c r="A26" s="390"/>
      <c r="B26" s="391"/>
      <c r="C26" s="392"/>
      <c r="D26" s="408" t="s">
        <v>538</v>
      </c>
      <c r="E26" s="409"/>
      <c r="F26"/>
      <c r="G26" s="2"/>
      <c r="H26" s="391"/>
      <c r="I26" s="392"/>
    </row>
    <row r="27" spans="1:17" ht="19.5" customHeight="1">
      <c r="A27" s="309"/>
      <c r="B27" s="120"/>
      <c r="C27" s="395"/>
      <c r="D27" s="410"/>
      <c r="E27" s="411"/>
      <c r="F27"/>
      <c r="G27" s="2"/>
      <c r="H27" s="120"/>
      <c r="I27" s="395"/>
    </row>
    <row r="28" spans="1:17" ht="3" customHeight="1" thickBot="1">
      <c r="A28" s="310">
        <v>1996</v>
      </c>
      <c r="B28" s="142">
        <v>4244.395068032557</v>
      </c>
      <c r="C28" s="143">
        <v>8.4154117430895334E-2</v>
      </c>
      <c r="D28" s="326" t="s">
        <v>59</v>
      </c>
      <c r="E28" s="327" t="s">
        <v>59</v>
      </c>
      <c r="F28"/>
      <c r="G28" s="2"/>
      <c r="H28" s="142">
        <v>12459.017248</v>
      </c>
      <c r="I28" s="143">
        <v>0.10184935576083168</v>
      </c>
    </row>
    <row r="29" spans="1:17" ht="19.5" customHeight="1" thickBot="1">
      <c r="A29" s="312">
        <v>1997</v>
      </c>
      <c r="B29" s="144">
        <v>4402.8227450634458</v>
      </c>
      <c r="C29" s="145">
        <v>3.7326326718291628E-2</v>
      </c>
      <c r="D29" s="144" t="s">
        <v>59</v>
      </c>
      <c r="E29" s="297" t="s">
        <v>59</v>
      </c>
      <c r="F29"/>
      <c r="G29" s="2"/>
      <c r="H29" s="144">
        <v>13138.477535</v>
      </c>
      <c r="I29" s="145">
        <v>5.4535624558114414E-2</v>
      </c>
    </row>
    <row r="30" spans="1:17" ht="19.5" customHeight="1" thickBot="1">
      <c r="A30" s="312">
        <v>1998</v>
      </c>
      <c r="B30" s="144">
        <v>4691.4058439999999</v>
      </c>
      <c r="C30" s="145">
        <v>6.5545018649710712E-2</v>
      </c>
      <c r="D30" s="144">
        <v>3570.49</v>
      </c>
      <c r="E30" s="297">
        <v>1091.68</v>
      </c>
      <c r="F30"/>
      <c r="G30" s="2"/>
      <c r="H30" s="144">
        <v>14024.092651999999</v>
      </c>
      <c r="I30" s="145">
        <v>6.7406220746717538E-2</v>
      </c>
    </row>
    <row r="31" spans="1:17" ht="19.5" customHeight="1" thickBot="1">
      <c r="A31" s="312">
        <v>1999</v>
      </c>
      <c r="B31" s="144">
        <v>4793.8029630000001</v>
      </c>
      <c r="C31" s="145">
        <v>2.1826531833940437E-2</v>
      </c>
      <c r="D31" s="144">
        <v>3611.25</v>
      </c>
      <c r="E31" s="297">
        <v>1169.7</v>
      </c>
      <c r="F31"/>
      <c r="G31" s="2"/>
      <c r="H31" s="144">
        <v>14620.510517999999</v>
      </c>
      <c r="I31" s="145">
        <v>4.2528089395854327E-2</v>
      </c>
    </row>
    <row r="32" spans="1:17" ht="19.5" customHeight="1" thickBot="1">
      <c r="A32" s="312">
        <v>2000</v>
      </c>
      <c r="B32" s="144">
        <v>4935.5105860000003</v>
      </c>
      <c r="C32" s="145">
        <v>2.9560585633940716E-2</v>
      </c>
      <c r="D32" s="144">
        <v>3696.49064</v>
      </c>
      <c r="E32" s="297">
        <v>1214.941513</v>
      </c>
      <c r="F32"/>
      <c r="G32" s="2"/>
      <c r="H32" s="144">
        <v>15478.327442</v>
      </c>
      <c r="I32" s="145">
        <v>5.8672159425890213E-2</v>
      </c>
    </row>
    <row r="33" spans="1:9" ht="21.75" customHeight="1" thickBot="1">
      <c r="A33" s="312">
        <v>2001</v>
      </c>
      <c r="B33" s="144">
        <v>5078.4121850000001</v>
      </c>
      <c r="C33" s="145">
        <v>2.8953762029272606E-2</v>
      </c>
      <c r="D33" s="144">
        <v>3798.2139889999999</v>
      </c>
      <c r="E33" s="297">
        <v>1257.8527670000001</v>
      </c>
      <c r="F33"/>
      <c r="G33" s="2"/>
      <c r="H33" s="144">
        <v>16386.460816999999</v>
      </c>
      <c r="I33" s="145">
        <v>5.867128592562304E-2</v>
      </c>
    </row>
    <row r="34" spans="1:9" ht="19.5" customHeight="1" thickBot="1">
      <c r="A34" s="312">
        <v>2002</v>
      </c>
      <c r="B34" s="144">
        <v>5230.8309099999997</v>
      </c>
      <c r="C34" s="145">
        <v>3.0013066968095962E-2</v>
      </c>
      <c r="D34" s="144">
        <v>3783.9358269999998</v>
      </c>
      <c r="E34" s="297">
        <v>1392.356614</v>
      </c>
      <c r="F34"/>
      <c r="G34" s="2"/>
      <c r="H34" s="144">
        <v>17095.587409</v>
      </c>
      <c r="I34" s="145">
        <v>4.3275152573783532E-2</v>
      </c>
    </row>
    <row r="35" spans="1:9" ht="19.5" customHeight="1" thickBot="1">
      <c r="A35" s="312">
        <v>2003</v>
      </c>
      <c r="B35" s="144">
        <v>5636.9482250000001</v>
      </c>
      <c r="C35" s="145">
        <v>7.7639159435188176E-2</v>
      </c>
      <c r="D35" s="144">
        <v>4111.8764270000001</v>
      </c>
      <c r="E35" s="297">
        <v>1477.775099</v>
      </c>
      <c r="F35"/>
      <c r="G35" s="2"/>
      <c r="H35" s="144">
        <v>17924.119354999999</v>
      </c>
      <c r="I35" s="145">
        <v>4.8464666710651728E-2</v>
      </c>
    </row>
    <row r="36" spans="1:9" ht="19.5" customHeight="1" thickBot="1">
      <c r="A36" s="312">
        <v>2004</v>
      </c>
      <c r="B36" s="144">
        <v>6208.8790769999996</v>
      </c>
      <c r="C36" s="145">
        <v>0.10146107950104499</v>
      </c>
      <c r="D36" s="144">
        <v>4569.0303759999997</v>
      </c>
      <c r="E36" s="297">
        <v>1572.8925360000001</v>
      </c>
      <c r="F36"/>
      <c r="G36" s="2"/>
      <c r="H36" s="144">
        <v>19139.820941000002</v>
      </c>
      <c r="I36" s="145">
        <v>6.782489906043157E-2</v>
      </c>
    </row>
    <row r="37" spans="1:9" ht="19.5" customHeight="1" thickBot="1">
      <c r="A37" s="312">
        <v>2005</v>
      </c>
      <c r="B37" s="144">
        <v>6451.1913709999999</v>
      </c>
      <c r="C37" s="145">
        <v>3.902673751492685E-2</v>
      </c>
      <c r="D37" s="144">
        <v>4803.16752</v>
      </c>
      <c r="E37" s="297">
        <v>1587.1501499999999</v>
      </c>
      <c r="F37"/>
      <c r="G37" s="2"/>
      <c r="H37" s="144">
        <v>20347.706644999998</v>
      </c>
      <c r="I37" s="145">
        <v>6.3108516413157623E-2</v>
      </c>
    </row>
    <row r="38" spans="1:9" ht="19.5" customHeight="1" thickBot="1">
      <c r="A38" s="1794">
        <v>2006</v>
      </c>
      <c r="B38" s="1795">
        <v>6571.8543769999997</v>
      </c>
      <c r="C38" s="1796">
        <v>1.8703988001722505E-2</v>
      </c>
      <c r="D38" s="1795">
        <v>4893.0853630000001</v>
      </c>
      <c r="E38" s="1797">
        <v>1627.1193760000001</v>
      </c>
      <c r="F38" s="1798"/>
      <c r="G38" s="994"/>
      <c r="H38" s="1795">
        <v>20602.626918999998</v>
      </c>
      <c r="I38" s="1796">
        <v>1.2528206664638598E-2</v>
      </c>
    </row>
    <row r="39" spans="1:9" ht="30" customHeight="1" thickBot="1">
      <c r="A39" s="418">
        <v>2007</v>
      </c>
      <c r="B39" s="146">
        <v>6902.9978209999999</v>
      </c>
      <c r="C39" s="147">
        <v>5.0388128677794089E-2</v>
      </c>
      <c r="D39" s="146">
        <v>5137.1482340000002</v>
      </c>
      <c r="E39" s="298">
        <v>1706.5482260000001</v>
      </c>
      <c r="F39"/>
      <c r="G39" s="2"/>
      <c r="H39" s="146">
        <v>21578.688866</v>
      </c>
      <c r="I39" s="147">
        <v>4.7375606559174527E-2</v>
      </c>
    </row>
    <row r="40" spans="1:9" ht="19.5" customHeight="1" thickBot="1">
      <c r="A40" s="3"/>
      <c r="B40" s="402"/>
      <c r="C40" s="403"/>
      <c r="D40" s="402"/>
      <c r="E40" s="403"/>
      <c r="F40" s="402"/>
      <c r="G40" s="403"/>
    </row>
    <row r="41" spans="1:9" ht="51.75" customHeight="1" thickBot="1">
      <c r="A41" s="404" t="s">
        <v>532</v>
      </c>
      <c r="B41" s="363">
        <v>4.3847829282633199E-2</v>
      </c>
      <c r="C41" s="406" t="s">
        <v>59</v>
      </c>
      <c r="D41" s="363">
        <v>4.1249772711967392E-2</v>
      </c>
      <c r="E41" s="406">
        <v>5.0892117819180571E-2</v>
      </c>
      <c r="F41" s="412"/>
      <c r="G41" s="2"/>
      <c r="H41" s="363">
        <v>4.9045863525109201E-2</v>
      </c>
      <c r="I41" s="406" t="s">
        <v>59</v>
      </c>
    </row>
    <row r="42" spans="1:9" ht="17.25" customHeight="1">
      <c r="A42" s="133" t="s">
        <v>1256</v>
      </c>
      <c r="B42" s="402"/>
      <c r="C42" s="403"/>
      <c r="D42" s="402"/>
      <c r="E42" s="403"/>
      <c r="F42" s="402"/>
      <c r="G42" s="403"/>
    </row>
    <row r="43" spans="1:9" ht="14">
      <c r="A43" s="300"/>
      <c r="B43" s="402"/>
      <c r="C43" s="403"/>
      <c r="D43" s="402"/>
      <c r="E43" s="403"/>
      <c r="F43" s="402"/>
      <c r="G43" s="403"/>
    </row>
    <row r="44" spans="1:9" ht="14">
      <c r="A44" s="3" t="s">
        <v>1250</v>
      </c>
      <c r="B44" s="402"/>
      <c r="C44" s="403"/>
      <c r="D44" s="402"/>
      <c r="E44" s="403"/>
      <c r="F44" s="402"/>
      <c r="G44" s="403"/>
    </row>
    <row r="45" spans="1:9" ht="14">
      <c r="A45" s="2" t="s">
        <v>1251</v>
      </c>
      <c r="B45" s="402"/>
      <c r="C45" s="403"/>
      <c r="D45" s="402"/>
      <c r="E45" s="403"/>
      <c r="F45" s="402"/>
      <c r="G45" s="403"/>
    </row>
    <row r="46" spans="1:9">
      <c r="A46" s="2" t="s">
        <v>1252</v>
      </c>
      <c r="B46" s="4"/>
      <c r="C46" s="413"/>
      <c r="D46" s="4"/>
      <c r="E46" s="413"/>
      <c r="F46" s="4"/>
      <c r="G46" s="413"/>
    </row>
    <row r="47" spans="1:9">
      <c r="A47" s="4"/>
      <c r="B47" s="4"/>
      <c r="C47" s="413"/>
      <c r="D47" s="4"/>
      <c r="E47" s="413"/>
      <c r="F47" s="4"/>
      <c r="G47" s="413"/>
    </row>
    <row r="48" spans="1:9">
      <c r="A48" s="4" t="s">
        <v>1253</v>
      </c>
      <c r="B48" s="4"/>
      <c r="C48" s="413"/>
      <c r="D48" s="4"/>
      <c r="E48" s="413"/>
      <c r="F48" s="4"/>
      <c r="G48" s="413"/>
    </row>
    <row r="49" spans="1:7">
      <c r="A49" s="4"/>
      <c r="B49" s="4"/>
      <c r="C49" s="413"/>
      <c r="D49" s="4"/>
      <c r="E49" s="413"/>
      <c r="F49" s="4"/>
      <c r="G49" s="413"/>
    </row>
    <row r="51" spans="1:7">
      <c r="A51" s="2" t="s">
        <v>634</v>
      </c>
    </row>
    <row r="54" spans="1:7">
      <c r="B54"/>
      <c r="C54"/>
      <c r="D54"/>
      <c r="E54"/>
    </row>
    <row r="55" spans="1:7">
      <c r="B55"/>
      <c r="C55"/>
      <c r="D55"/>
      <c r="E55"/>
    </row>
    <row r="56" spans="1:7">
      <c r="B56"/>
      <c r="C56"/>
      <c r="D56"/>
      <c r="E56"/>
    </row>
    <row r="57" spans="1:7">
      <c r="B57"/>
      <c r="C57"/>
      <c r="D57"/>
      <c r="E57"/>
    </row>
    <row r="58" spans="1:7">
      <c r="B58"/>
      <c r="C58"/>
      <c r="D58"/>
      <c r="E58"/>
    </row>
  </sheetData>
  <phoneticPr fontId="0" type="noConversion"/>
  <pageMargins left="0.52" right="0.37" top="0.5" bottom="0.49" header="0.3" footer="0.4921259845"/>
  <pageSetup paperSize="9" scale="55" orientation="landscape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1DFD-AADB-4341-A6B7-F7A62B7E147B}">
  <sheetPr>
    <pageSetUpPr fitToPage="1"/>
  </sheetPr>
  <dimension ref="A1:H37"/>
  <sheetViews>
    <sheetView zoomScale="75" workbookViewId="0">
      <selection activeCell="A35" sqref="A35"/>
    </sheetView>
  </sheetViews>
  <sheetFormatPr baseColWidth="10" defaultColWidth="11.3984375" defaultRowHeight="13"/>
  <cols>
    <col min="1" max="1" width="33.796875" style="2" customWidth="1"/>
    <col min="2" max="4" width="16" style="2" customWidth="1"/>
    <col min="5" max="5" width="18.19921875" style="2" customWidth="1"/>
    <col min="6" max="7" width="15.19921875" style="2" customWidth="1"/>
    <col min="8" max="8" width="14.796875" style="232" customWidth="1"/>
    <col min="9" max="16384" width="11.3984375" style="2"/>
  </cols>
  <sheetData>
    <row r="1" spans="1:8" s="1" customFormat="1" ht="14" customHeight="1">
      <c r="H1" s="415"/>
    </row>
    <row r="2" spans="1:8" s="1" customFormat="1" ht="28" customHeight="1">
      <c r="A2" s="109" t="s">
        <v>1247</v>
      </c>
      <c r="H2" s="109">
        <v>2007</v>
      </c>
    </row>
    <row r="3" spans="1:8" ht="24" customHeight="1">
      <c r="A3" s="110" t="s">
        <v>492</v>
      </c>
      <c r="B3" s="111" t="s">
        <v>891</v>
      </c>
      <c r="C3" s="112" t="s">
        <v>892</v>
      </c>
      <c r="D3" s="111" t="s">
        <v>1798</v>
      </c>
      <c r="E3" s="340" t="s">
        <v>629</v>
      </c>
      <c r="F3" s="111" t="s">
        <v>430</v>
      </c>
      <c r="G3" s="112" t="s">
        <v>1801</v>
      </c>
      <c r="H3" s="111" t="s">
        <v>1801</v>
      </c>
    </row>
    <row r="4" spans="1:8" ht="15" customHeight="1">
      <c r="A4" s="308"/>
      <c r="B4" s="114"/>
      <c r="C4" s="115"/>
      <c r="D4" s="114"/>
      <c r="E4" s="279"/>
      <c r="F4" s="114" t="s">
        <v>431</v>
      </c>
      <c r="G4" s="115" t="s">
        <v>1802</v>
      </c>
      <c r="H4" s="114" t="s">
        <v>1802</v>
      </c>
    </row>
    <row r="5" spans="1:8" ht="15" customHeight="1">
      <c r="A5" s="308"/>
      <c r="B5" s="114"/>
      <c r="C5" s="115"/>
      <c r="D5" s="114"/>
      <c r="E5" s="279"/>
      <c r="F5" s="114" t="s">
        <v>493</v>
      </c>
      <c r="G5" s="115" t="s">
        <v>1806</v>
      </c>
      <c r="H5" s="114" t="s">
        <v>1806</v>
      </c>
    </row>
    <row r="6" spans="1:8" ht="24" customHeight="1">
      <c r="A6" s="309"/>
      <c r="B6" s="120"/>
      <c r="C6" s="119"/>
      <c r="D6" s="120"/>
      <c r="E6" s="282"/>
      <c r="F6" s="120"/>
      <c r="G6" s="119" t="s">
        <v>1248</v>
      </c>
      <c r="H6" s="120" t="s">
        <v>870</v>
      </c>
    </row>
    <row r="7" spans="1:8" ht="30" customHeight="1" thickBot="1">
      <c r="A7" s="356" t="s">
        <v>495</v>
      </c>
      <c r="B7" s="123">
        <v>1645758195.95</v>
      </c>
      <c r="C7" s="327">
        <v>2659646133.1300001</v>
      </c>
      <c r="D7" s="326">
        <v>530330660.98000002</v>
      </c>
      <c r="E7" s="357">
        <v>4835734990.04</v>
      </c>
      <c r="F7" s="358">
        <v>0.2240977206746288</v>
      </c>
      <c r="G7" s="327">
        <v>204304.91903999995</v>
      </c>
      <c r="H7" s="358">
        <v>4.4112707286517949E-2</v>
      </c>
    </row>
    <row r="8" spans="1:8" ht="20" customHeight="1" thickBot="1">
      <c r="A8" s="312" t="s">
        <v>512</v>
      </c>
      <c r="B8" s="174">
        <v>2212065402.0999999</v>
      </c>
      <c r="C8" s="297">
        <v>2696276862.4200001</v>
      </c>
      <c r="D8" s="144">
        <v>228805969.69</v>
      </c>
      <c r="E8" s="345">
        <v>5137148234.2299995</v>
      </c>
      <c r="F8" s="358">
        <v>0.23806581883204364</v>
      </c>
      <c r="G8" s="297">
        <v>244062.87122999955</v>
      </c>
      <c r="H8" s="416">
        <v>4.9879136194011187E-2</v>
      </c>
    </row>
    <row r="9" spans="1:8" ht="20" customHeight="1" thickBot="1">
      <c r="A9" s="312" t="s">
        <v>496</v>
      </c>
      <c r="B9" s="144">
        <v>1185764692.26</v>
      </c>
      <c r="C9" s="297">
        <v>1397561262.8199999</v>
      </c>
      <c r="D9" s="144">
        <v>241361392.13</v>
      </c>
      <c r="E9" s="345">
        <v>2824687347.21</v>
      </c>
      <c r="F9" s="358">
        <v>0.13090171347933785</v>
      </c>
      <c r="G9" s="297">
        <v>179697.02521000005</v>
      </c>
      <c r="H9" s="416">
        <v>6.793863240834952E-2</v>
      </c>
    </row>
    <row r="10" spans="1:8" ht="20" customHeight="1" thickBot="1">
      <c r="A10" s="312" t="s">
        <v>497</v>
      </c>
      <c r="B10" s="144">
        <v>627203344.97000003</v>
      </c>
      <c r="C10" s="297">
        <v>815168028.88999999</v>
      </c>
      <c r="D10" s="144">
        <v>76523681.170000002</v>
      </c>
      <c r="E10" s="345">
        <v>1518895055.03</v>
      </c>
      <c r="F10" s="358">
        <v>7.0388662835589408E-2</v>
      </c>
      <c r="G10" s="297">
        <v>46528.807029999974</v>
      </c>
      <c r="H10" s="416">
        <v>3.1601381173470111E-2</v>
      </c>
    </row>
    <row r="11" spans="1:8" ht="20" customHeight="1" thickBot="1">
      <c r="A11" s="312" t="s">
        <v>498</v>
      </c>
      <c r="B11" s="144">
        <v>1210352135.74</v>
      </c>
      <c r="C11" s="297">
        <v>1577865000.1700001</v>
      </c>
      <c r="D11" s="144">
        <v>99477349.230000004</v>
      </c>
      <c r="E11" s="345">
        <v>2887694485.1500001</v>
      </c>
      <c r="F11" s="358">
        <v>0.13382159143536065</v>
      </c>
      <c r="G11" s="297">
        <v>60777.477150000093</v>
      </c>
      <c r="H11" s="416">
        <v>2.1499561882433627E-2</v>
      </c>
    </row>
    <row r="12" spans="1:8" ht="20" customHeight="1" thickBot="1">
      <c r="A12" s="312" t="s">
        <v>513</v>
      </c>
      <c r="B12" s="144">
        <v>439436669.20999998</v>
      </c>
      <c r="C12" s="297">
        <v>1266776713.3800001</v>
      </c>
      <c r="D12" s="144">
        <v>334843.44</v>
      </c>
      <c r="E12" s="345">
        <v>1706548226.04</v>
      </c>
      <c r="F12" s="358">
        <v>7.9084889569957975E-2</v>
      </c>
      <c r="G12" s="297">
        <v>79428.850039999961</v>
      </c>
      <c r="H12" s="416">
        <v>4.8815625461521073E-2</v>
      </c>
    </row>
    <row r="13" spans="1:8" ht="20" customHeight="1" thickBot="1">
      <c r="A13" s="312" t="s">
        <v>499</v>
      </c>
      <c r="B13" s="144">
        <v>148690202.69</v>
      </c>
      <c r="C13" s="297">
        <v>305554032.25</v>
      </c>
      <c r="D13" s="144">
        <v>1864778.07</v>
      </c>
      <c r="E13" s="345">
        <v>456109013.01999998</v>
      </c>
      <c r="F13" s="358">
        <v>2.1137012348166562E-2</v>
      </c>
      <c r="G13" s="297">
        <v>39296.977019999984</v>
      </c>
      <c r="H13" s="416">
        <v>9.4279851889881527E-2</v>
      </c>
    </row>
    <row r="14" spans="1:8" ht="20" customHeight="1" thickBot="1">
      <c r="A14" s="312" t="s">
        <v>500</v>
      </c>
      <c r="B14" s="144">
        <v>183123723.93000001</v>
      </c>
      <c r="C14" s="297">
        <v>342920182.44999999</v>
      </c>
      <c r="D14" s="144">
        <v>27883493.899999999</v>
      </c>
      <c r="E14" s="345">
        <v>553927400.27999997</v>
      </c>
      <c r="F14" s="358">
        <v>2.5670113866381235E-2</v>
      </c>
      <c r="G14" s="297">
        <v>14518.003279999972</v>
      </c>
      <c r="H14" s="416">
        <v>2.6914628037153054E-2</v>
      </c>
    </row>
    <row r="15" spans="1:8" ht="20" customHeight="1" thickBot="1">
      <c r="A15" s="312" t="s">
        <v>501</v>
      </c>
      <c r="B15" s="144">
        <v>212081975.93000001</v>
      </c>
      <c r="C15" s="297">
        <v>381773972.42000002</v>
      </c>
      <c r="D15" s="144">
        <v>39186255.810000002</v>
      </c>
      <c r="E15" s="345">
        <v>633042204.14999998</v>
      </c>
      <c r="F15" s="358">
        <v>2.9336453575940186E-2</v>
      </c>
      <c r="G15" s="297">
        <v>7442.3081499999762</v>
      </c>
      <c r="H15" s="416">
        <v>1.1896274595927903E-2</v>
      </c>
    </row>
    <row r="16" spans="1:8" ht="20" customHeight="1" thickBot="1">
      <c r="A16" s="312" t="s">
        <v>502</v>
      </c>
      <c r="B16" s="144">
        <v>26738810.66</v>
      </c>
      <c r="C16" s="297">
        <v>41200499.109999999</v>
      </c>
      <c r="D16" s="144">
        <v>3289284.05</v>
      </c>
      <c r="E16" s="345">
        <v>71228593.840000004</v>
      </c>
      <c r="F16" s="358">
        <v>3.3008768179562443E-3</v>
      </c>
      <c r="G16" s="297">
        <v>2810.9868400000037</v>
      </c>
      <c r="H16" s="416">
        <v>4.1085722860783491E-2</v>
      </c>
    </row>
    <row r="17" spans="1:8" ht="20" customHeight="1" thickBot="1">
      <c r="A17" s="312" t="s">
        <v>503</v>
      </c>
      <c r="B17" s="144">
        <v>170091238.47999999</v>
      </c>
      <c r="C17" s="297">
        <v>176505079.78</v>
      </c>
      <c r="D17" s="144">
        <v>27207419.530000001</v>
      </c>
      <c r="E17" s="345">
        <v>373803737.80000001</v>
      </c>
      <c r="F17" s="358">
        <v>1.7322819756080899E-2</v>
      </c>
      <c r="G17" s="297">
        <v>37429.15080000001</v>
      </c>
      <c r="H17" s="416">
        <v>0.11127223115698692</v>
      </c>
    </row>
    <row r="18" spans="1:8" ht="20" customHeight="1" thickBot="1">
      <c r="A18" s="312" t="s">
        <v>514</v>
      </c>
      <c r="B18" s="144">
        <v>23415783.280000001</v>
      </c>
      <c r="C18" s="297">
        <v>37126923.359999999</v>
      </c>
      <c r="D18" s="144">
        <v>3578090.69</v>
      </c>
      <c r="E18" s="345">
        <v>64120797.350000001</v>
      </c>
      <c r="F18" s="358">
        <v>2.9714871810739819E-3</v>
      </c>
      <c r="G18" s="297">
        <v>2353.5013500000014</v>
      </c>
      <c r="H18" s="416">
        <v>3.8102709725224226E-2</v>
      </c>
    </row>
    <row r="19" spans="1:8" ht="20" customHeight="1" thickBot="1">
      <c r="A19" s="127" t="s">
        <v>504</v>
      </c>
      <c r="B19" s="144">
        <v>2533303.6800000002</v>
      </c>
      <c r="C19" s="297">
        <v>6872926.2000000002</v>
      </c>
      <c r="D19" s="144">
        <v>389488.46</v>
      </c>
      <c r="E19" s="345">
        <v>9795718.3599999994</v>
      </c>
      <c r="F19" s="358">
        <v>4.5395336207794439E-4</v>
      </c>
      <c r="G19" s="297">
        <v>-1972.8446400000007</v>
      </c>
      <c r="H19" s="416">
        <v>-0.16763683382584604</v>
      </c>
    </row>
    <row r="20" spans="1:8" ht="20" customHeight="1" thickBot="1">
      <c r="A20" s="312" t="s">
        <v>505</v>
      </c>
      <c r="B20" s="144">
        <v>156094597.47</v>
      </c>
      <c r="C20" s="297">
        <v>221721839.33000001</v>
      </c>
      <c r="D20" s="144">
        <v>68835266.25</v>
      </c>
      <c r="E20" s="345">
        <v>446651703.05000001</v>
      </c>
      <c r="F20" s="358">
        <v>2.0698741513979907E-2</v>
      </c>
      <c r="G20" s="297">
        <v>51732.190050000012</v>
      </c>
      <c r="H20" s="416">
        <v>0.13099426173454232</v>
      </c>
    </row>
    <row r="21" spans="1:8" ht="20" customHeight="1" thickBot="1">
      <c r="A21" s="312" t="s">
        <v>515</v>
      </c>
      <c r="B21" s="144">
        <v>27684954.609999999</v>
      </c>
      <c r="C21" s="297">
        <v>26747500.989999998</v>
      </c>
      <c r="D21" s="144">
        <v>4868905.0199999996</v>
      </c>
      <c r="E21" s="345">
        <v>59301360.640000001</v>
      </c>
      <c r="F21" s="358">
        <v>2.7481447555955129E-3</v>
      </c>
      <c r="G21" s="297">
        <v>7651.7226400000009</v>
      </c>
      <c r="H21" s="416">
        <v>0.14814668478412174</v>
      </c>
    </row>
    <row r="22" spans="1:8" ht="30" customHeight="1" thickBot="1">
      <c r="A22" s="359" t="s">
        <v>506</v>
      </c>
      <c r="B22" s="360">
        <v>8271035030.9799995</v>
      </c>
      <c r="C22" s="361">
        <v>11953716956.719999</v>
      </c>
      <c r="D22" s="360">
        <v>1353936878.4200001</v>
      </c>
      <c r="E22" s="362">
        <v>21578688866.099998</v>
      </c>
      <c r="F22" s="363">
        <v>1</v>
      </c>
      <c r="G22" s="361">
        <v>976061.94709999848</v>
      </c>
      <c r="H22" s="363">
        <v>4.7375606564028061E-2</v>
      </c>
    </row>
    <row r="23" spans="1:8" ht="14.25" customHeight="1">
      <c r="A23" s="364"/>
      <c r="B23" s="365"/>
      <c r="C23" s="365"/>
      <c r="D23" s="365"/>
      <c r="E23" s="366"/>
      <c r="F23" s="367"/>
      <c r="G23" s="365"/>
      <c r="H23" s="367"/>
    </row>
    <row r="24" spans="1:8" ht="30" customHeight="1" thickBot="1">
      <c r="A24" s="368" t="s">
        <v>507</v>
      </c>
      <c r="B24" s="369" t="s">
        <v>59</v>
      </c>
      <c r="C24" s="370">
        <v>500808469.81</v>
      </c>
      <c r="D24" s="369">
        <v>2544018.77</v>
      </c>
      <c r="E24" s="371">
        <v>503352488.57999998</v>
      </c>
      <c r="F24" s="372">
        <v>2.3326370369553082E-2</v>
      </c>
      <c r="G24" s="370">
        <v>22997.747579999985</v>
      </c>
      <c r="H24" s="372">
        <v>4.7876591229480514E-2</v>
      </c>
    </row>
    <row r="25" spans="1:8" ht="33" customHeight="1" thickBot="1">
      <c r="A25" s="373" t="s">
        <v>516</v>
      </c>
      <c r="B25" s="374">
        <v>191324051.13</v>
      </c>
      <c r="C25" s="375">
        <v>198690211.90000001</v>
      </c>
      <c r="D25" s="374">
        <v>7588336.1299999999</v>
      </c>
      <c r="E25" s="376">
        <v>397602599.16000003</v>
      </c>
      <c r="F25" s="377">
        <v>1.8425707031006482E-2</v>
      </c>
      <c r="G25" s="375">
        <v>51309.445160000025</v>
      </c>
      <c r="H25" s="377">
        <v>0.14816765670163967</v>
      </c>
    </row>
    <row r="26" spans="1:8" ht="20" customHeight="1">
      <c r="A26" s="133" t="s">
        <v>1256</v>
      </c>
      <c r="B26" s="335"/>
      <c r="C26" s="335"/>
      <c r="D26" s="335"/>
      <c r="E26" s="335"/>
      <c r="F26" s="335"/>
    </row>
    <row r="27" spans="1:8" ht="12" customHeight="1">
      <c r="A27" s="3"/>
      <c r="B27" s="337"/>
      <c r="C27" s="337"/>
      <c r="D27" s="337"/>
      <c r="E27" s="337"/>
      <c r="F27" s="337"/>
    </row>
    <row r="28" spans="1:8">
      <c r="A28" s="3" t="s">
        <v>508</v>
      </c>
    </row>
    <row r="29" spans="1:8">
      <c r="A29" s="3" t="s">
        <v>509</v>
      </c>
    </row>
    <row r="30" spans="1:8">
      <c r="A30" s="380" t="s">
        <v>510</v>
      </c>
    </row>
    <row r="32" spans="1:8">
      <c r="A32" s="3" t="s">
        <v>1249</v>
      </c>
      <c r="B32" s="3"/>
    </row>
    <row r="33" spans="1:2" ht="14">
      <c r="A33" s="417"/>
      <c r="B33" s="3"/>
    </row>
    <row r="34" spans="1:2">
      <c r="A34" s="3"/>
      <c r="B34" s="3"/>
    </row>
    <row r="35" spans="1:2">
      <c r="A35" s="3" t="s">
        <v>634</v>
      </c>
      <c r="B35" s="3"/>
    </row>
    <row r="36" spans="1:2">
      <c r="A36" s="3"/>
      <c r="B36" s="3"/>
    </row>
    <row r="37" spans="1:2">
      <c r="A37" s="3"/>
      <c r="B37" s="3"/>
    </row>
  </sheetData>
  <phoneticPr fontId="0" type="noConversion"/>
  <pageMargins left="0.49" right="0.5" top="0.71" bottom="0.46" header="0.35" footer="0.2"/>
  <pageSetup paperSize="9" scale="78" orientation="landscape" horizontalDpi="4294967292" verticalDpi="429496729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02E0-C4B6-E149-9940-9E0610DA030F}">
  <sheetPr>
    <pageSetUpPr fitToPage="1"/>
  </sheetPr>
  <dimension ref="A1:V57"/>
  <sheetViews>
    <sheetView topLeftCell="F1" zoomScale="75" workbookViewId="0">
      <selection activeCell="N2" sqref="N2"/>
    </sheetView>
  </sheetViews>
  <sheetFormatPr baseColWidth="10" defaultColWidth="11.3984375" defaultRowHeight="13"/>
  <cols>
    <col min="1" max="1" width="11.796875" style="2" customWidth="1"/>
    <col min="2" max="2" width="17" style="2" customWidth="1"/>
    <col min="3" max="3" width="13" style="414" customWidth="1"/>
    <col min="4" max="4" width="13" style="2" customWidth="1"/>
    <col min="5" max="5" width="14" style="414" customWidth="1"/>
    <col min="6" max="6" width="13" style="2" customWidth="1"/>
    <col min="7" max="7" width="13" style="414" customWidth="1"/>
    <col min="8" max="8" width="13" style="2" customWidth="1"/>
    <col min="9" max="9" width="15.3984375" style="2" customWidth="1"/>
    <col min="10" max="12" width="13" style="2" customWidth="1"/>
    <col min="13" max="14" width="14.19921875" style="2" customWidth="1"/>
    <col min="15" max="15" width="14.796875" style="2" customWidth="1"/>
    <col min="16" max="16" width="13" style="2" customWidth="1"/>
    <col min="17" max="16384" width="11.3984375" style="2"/>
  </cols>
  <sheetData>
    <row r="1" spans="1:22" s="1" customFormat="1" ht="14" customHeight="1">
      <c r="A1" s="381"/>
      <c r="B1" s="381"/>
      <c r="C1" s="382"/>
      <c r="D1" s="381"/>
      <c r="E1" s="382"/>
      <c r="F1" s="381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</row>
    <row r="2" spans="1:22" s="1" customFormat="1" ht="28" customHeight="1">
      <c r="A2" s="109" t="s">
        <v>1209</v>
      </c>
      <c r="B2" s="381"/>
      <c r="C2" s="382"/>
      <c r="D2" s="381"/>
      <c r="E2" s="382"/>
      <c r="F2" s="381"/>
      <c r="G2" s="382"/>
      <c r="N2" s="384"/>
    </row>
    <row r="3" spans="1:22" ht="24" customHeight="1">
      <c r="A3" s="110" t="s">
        <v>517</v>
      </c>
      <c r="B3" s="385" t="s">
        <v>518</v>
      </c>
      <c r="C3" s="112" t="s">
        <v>1801</v>
      </c>
      <c r="D3" s="111"/>
      <c r="E3" s="386"/>
      <c r="F3" s="111"/>
      <c r="G3" s="386"/>
      <c r="H3" s="111"/>
      <c r="I3" s="386"/>
      <c r="J3" s="111"/>
      <c r="K3" s="386"/>
      <c r="L3" s="111"/>
      <c r="M3" s="386"/>
      <c r="N3" s="111"/>
      <c r="O3"/>
    </row>
    <row r="4" spans="1:22" ht="15" customHeight="1">
      <c r="A4" s="308"/>
      <c r="B4" s="387" t="s">
        <v>519</v>
      </c>
      <c r="C4" s="115" t="s">
        <v>1802</v>
      </c>
      <c r="D4" s="388" t="s">
        <v>457</v>
      </c>
      <c r="E4" s="389" t="s">
        <v>457</v>
      </c>
      <c r="F4" s="388" t="s">
        <v>457</v>
      </c>
      <c r="G4" s="389" t="s">
        <v>457</v>
      </c>
      <c r="H4" s="388" t="s">
        <v>457</v>
      </c>
      <c r="I4" s="389" t="s">
        <v>457</v>
      </c>
      <c r="J4" s="388" t="s">
        <v>457</v>
      </c>
      <c r="K4" s="389" t="s">
        <v>457</v>
      </c>
      <c r="L4" s="388" t="s">
        <v>457</v>
      </c>
      <c r="M4" s="389" t="s">
        <v>457</v>
      </c>
      <c r="N4" s="388" t="s">
        <v>457</v>
      </c>
      <c r="O4"/>
    </row>
    <row r="5" spans="1:22" ht="15" customHeight="1">
      <c r="A5" s="308"/>
      <c r="B5" s="114"/>
      <c r="C5" s="115" t="s">
        <v>1806</v>
      </c>
      <c r="D5" s="388" t="s">
        <v>520</v>
      </c>
      <c r="E5" s="389" t="s">
        <v>521</v>
      </c>
      <c r="F5" s="388" t="s">
        <v>522</v>
      </c>
      <c r="G5" s="389" t="s">
        <v>522</v>
      </c>
      <c r="H5" s="388" t="s">
        <v>499</v>
      </c>
      <c r="I5" s="389" t="s">
        <v>500</v>
      </c>
      <c r="J5" s="388" t="s">
        <v>501</v>
      </c>
      <c r="K5" s="389" t="s">
        <v>502</v>
      </c>
      <c r="L5" s="388" t="s">
        <v>523</v>
      </c>
      <c r="M5" s="389" t="s">
        <v>524</v>
      </c>
      <c r="N5" s="388" t="s">
        <v>525</v>
      </c>
      <c r="O5"/>
    </row>
    <row r="6" spans="1:22" s="3" customFormat="1" ht="19.5" customHeight="1">
      <c r="A6" s="390"/>
      <c r="B6" s="391"/>
      <c r="C6" s="392"/>
      <c r="D6" s="393" t="s">
        <v>526</v>
      </c>
      <c r="E6" s="394" t="s">
        <v>526</v>
      </c>
      <c r="F6" s="393" t="s">
        <v>527</v>
      </c>
      <c r="G6" s="394" t="s">
        <v>528</v>
      </c>
      <c r="H6" s="393"/>
      <c r="I6" s="394"/>
      <c r="J6" s="393"/>
      <c r="K6" s="394"/>
      <c r="L6" s="393" t="s">
        <v>529</v>
      </c>
      <c r="M6" s="394" t="s">
        <v>530</v>
      </c>
      <c r="N6" s="393" t="s">
        <v>531</v>
      </c>
      <c r="O6"/>
    </row>
    <row r="7" spans="1:22" ht="19.5" customHeight="1">
      <c r="A7" s="309"/>
      <c r="B7" s="120"/>
      <c r="C7" s="395"/>
      <c r="D7" s="391"/>
      <c r="E7" s="392"/>
      <c r="F7" s="391"/>
      <c r="G7" s="392"/>
      <c r="H7" s="391"/>
      <c r="I7" s="392"/>
      <c r="J7" s="391"/>
      <c r="K7" s="395"/>
      <c r="L7" s="391"/>
      <c r="M7" s="392"/>
      <c r="N7" s="391"/>
      <c r="O7"/>
    </row>
    <row r="8" spans="1:22" ht="2.25" customHeight="1" thickBot="1">
      <c r="A8" s="310">
        <v>1996</v>
      </c>
      <c r="B8" s="142">
        <v>1135.7666791471866</v>
      </c>
      <c r="C8" s="143">
        <v>0.10634844182252187</v>
      </c>
      <c r="D8" s="326" t="s">
        <v>59</v>
      </c>
      <c r="E8" s="327" t="s">
        <v>59</v>
      </c>
      <c r="F8" s="326" t="s">
        <v>59</v>
      </c>
      <c r="G8" s="327" t="s">
        <v>59</v>
      </c>
      <c r="H8" s="326" t="s">
        <v>59</v>
      </c>
      <c r="I8" s="327" t="s">
        <v>59</v>
      </c>
      <c r="J8" s="326" t="s">
        <v>59</v>
      </c>
      <c r="K8" s="291">
        <v>7.8643189296562399</v>
      </c>
      <c r="L8" s="326" t="s">
        <v>59</v>
      </c>
      <c r="M8" s="327" t="s">
        <v>59</v>
      </c>
      <c r="N8" s="326" t="s">
        <v>59</v>
      </c>
      <c r="O8"/>
    </row>
    <row r="9" spans="1:22" ht="20" customHeight="1" thickBot="1">
      <c r="A9" s="312">
        <v>1997</v>
      </c>
      <c r="B9" s="144">
        <v>1207.1705655887454</v>
      </c>
      <c r="C9" s="145">
        <v>6.2868446268536313E-2</v>
      </c>
      <c r="D9" s="326" t="s">
        <v>59</v>
      </c>
      <c r="E9" s="327" t="s">
        <v>59</v>
      </c>
      <c r="F9" s="326" t="s">
        <v>59</v>
      </c>
      <c r="G9" s="327" t="s">
        <v>59</v>
      </c>
      <c r="H9" s="326" t="s">
        <v>59</v>
      </c>
      <c r="I9" s="327" t="s">
        <v>59</v>
      </c>
      <c r="J9" s="326" t="s">
        <v>59</v>
      </c>
      <c r="K9" s="297">
        <v>7.7745077676674157</v>
      </c>
      <c r="L9" s="326" t="s">
        <v>59</v>
      </c>
      <c r="M9" s="327" t="s">
        <v>59</v>
      </c>
      <c r="N9" s="326" t="s">
        <v>59</v>
      </c>
      <c r="O9"/>
      <c r="T9" s="9"/>
      <c r="U9" s="9"/>
      <c r="V9" s="9"/>
    </row>
    <row r="10" spans="1:22" ht="20" customHeight="1" thickBot="1">
      <c r="A10" s="312">
        <v>1998</v>
      </c>
      <c r="B10" s="144">
        <v>1287.8682695481587</v>
      </c>
      <c r="C10" s="145">
        <v>6.6848634534140125E-2</v>
      </c>
      <c r="D10" s="144">
        <v>517.22900730492677</v>
      </c>
      <c r="E10" s="297">
        <v>179.78046580638465</v>
      </c>
      <c r="F10" s="144">
        <v>128.85876662983108</v>
      </c>
      <c r="G10" s="297">
        <v>246.67237783815233</v>
      </c>
      <c r="H10" s="144">
        <v>30.906839827030989</v>
      </c>
      <c r="I10" s="297">
        <v>57.642077350310821</v>
      </c>
      <c r="J10" s="144">
        <v>54.853189405924091</v>
      </c>
      <c r="K10" s="297">
        <v>7.7691435561095004</v>
      </c>
      <c r="L10" s="144">
        <v>14.403964553938003</v>
      </c>
      <c r="M10" s="297">
        <v>12.033202808041713</v>
      </c>
      <c r="N10" s="326" t="s">
        <v>59</v>
      </c>
      <c r="O10"/>
    </row>
    <row r="11" spans="1:22" ht="20" customHeight="1" thickBot="1">
      <c r="A11" s="312">
        <v>1999</v>
      </c>
      <c r="B11" s="144">
        <v>1351.582122301535</v>
      </c>
      <c r="C11" s="145">
        <v>4.9472336775352059E-2</v>
      </c>
      <c r="D11" s="144">
        <v>517.77987880375031</v>
      </c>
      <c r="E11" s="297">
        <v>204.19029060086746</v>
      </c>
      <c r="F11" s="144">
        <v>141.91140608611047</v>
      </c>
      <c r="G11" s="297">
        <v>257.61974174619098</v>
      </c>
      <c r="H11" s="144">
        <v>32.359437190342035</v>
      </c>
      <c r="I11" s="297">
        <v>60.131858482788445</v>
      </c>
      <c r="J11" s="144">
        <v>56.924385896913591</v>
      </c>
      <c r="K11" s="297">
        <v>8.3350273886799329</v>
      </c>
      <c r="L11" s="144">
        <v>17.198214928721761</v>
      </c>
      <c r="M11" s="297">
        <v>12.089915964768418</v>
      </c>
      <c r="N11" s="326" t="s">
        <v>59</v>
      </c>
      <c r="O11"/>
    </row>
    <row r="12" spans="1:22" ht="20" customHeight="1" thickBot="1">
      <c r="A12" s="312">
        <v>2000</v>
      </c>
      <c r="B12" s="144">
        <v>1451.1566242672343</v>
      </c>
      <c r="C12" s="145">
        <v>7.3672550356125827E-2</v>
      </c>
      <c r="D12" s="144">
        <v>529.43047713091312</v>
      </c>
      <c r="E12" s="297">
        <v>229.29973959111166</v>
      </c>
      <c r="F12" s="144">
        <v>157.35584856009811</v>
      </c>
      <c r="G12" s="297">
        <v>288.745232868367</v>
      </c>
      <c r="H12" s="144">
        <v>34.840696214910899</v>
      </c>
      <c r="I12" s="297">
        <v>61.491416169301154</v>
      </c>
      <c r="J12" s="144">
        <v>60.94101454443998</v>
      </c>
      <c r="K12" s="297">
        <v>8.5739707007998369</v>
      </c>
      <c r="L12" s="144">
        <v>24.758128744866045</v>
      </c>
      <c r="M12" s="297">
        <v>15.766473005994538</v>
      </c>
      <c r="N12" s="326" t="s">
        <v>59</v>
      </c>
      <c r="O12"/>
    </row>
    <row r="13" spans="1:22" ht="20" customHeight="1" thickBot="1">
      <c r="A13" s="312">
        <v>2001</v>
      </c>
      <c r="B13" s="144">
        <v>1548.8249816122338</v>
      </c>
      <c r="C13" s="145">
        <v>6.7303801472372055E-2</v>
      </c>
      <c r="D13" s="144">
        <v>549.44923949294969</v>
      </c>
      <c r="E13" s="297">
        <v>263.7323584963807</v>
      </c>
      <c r="F13" s="144">
        <v>174.14628347977344</v>
      </c>
      <c r="G13" s="297">
        <v>307.1393643380062</v>
      </c>
      <c r="H13" s="144">
        <v>37.025033111675718</v>
      </c>
      <c r="I13" s="297">
        <v>65.76167578635949</v>
      </c>
      <c r="J13" s="144">
        <v>63.375782250498219</v>
      </c>
      <c r="K13" s="297">
        <v>8.9352628731483819</v>
      </c>
      <c r="L13" s="144">
        <v>23.698466932838429</v>
      </c>
      <c r="M13" s="297">
        <v>14.563635915382035</v>
      </c>
      <c r="N13" s="144">
        <v>2.7620899733599962</v>
      </c>
      <c r="O13"/>
    </row>
    <row r="14" spans="1:22" ht="20" customHeight="1" thickBot="1">
      <c r="A14" s="312">
        <v>2002</v>
      </c>
      <c r="B14" s="144">
        <v>1615.432400016774</v>
      </c>
      <c r="C14" s="145">
        <v>4.3005129175541695E-2</v>
      </c>
      <c r="D14" s="144">
        <v>559.43217658828928</v>
      </c>
      <c r="E14" s="297">
        <v>268.50345190882268</v>
      </c>
      <c r="F14" s="144">
        <v>171.66132067610738</v>
      </c>
      <c r="G14" s="297">
        <v>343.7455082841455</v>
      </c>
      <c r="H14" s="144">
        <v>39.493547804709614</v>
      </c>
      <c r="I14" s="297">
        <v>68.92734993393816</v>
      </c>
      <c r="J14" s="144">
        <v>66.109744640711739</v>
      </c>
      <c r="K14" s="297">
        <v>8.8787656073170158</v>
      </c>
      <c r="L14" s="144">
        <v>27.622294486640037</v>
      </c>
      <c r="M14" s="297">
        <v>15.361832696314805</v>
      </c>
      <c r="N14" s="144">
        <v>3.033957453552472</v>
      </c>
      <c r="O14"/>
    </row>
    <row r="15" spans="1:22" ht="20" customHeight="1" thickBot="1">
      <c r="A15" s="312">
        <v>2003</v>
      </c>
      <c r="B15" s="144">
        <v>1666.6209287074066</v>
      </c>
      <c r="C15" s="145">
        <v>3.1687199470619223E-2</v>
      </c>
      <c r="D15" s="144">
        <v>565.89080672037517</v>
      </c>
      <c r="E15" s="297">
        <v>290.45423380519912</v>
      </c>
      <c r="F15" s="144">
        <v>182.83129248471178</v>
      </c>
      <c r="G15" s="297">
        <v>352.94069193578031</v>
      </c>
      <c r="H15" s="144">
        <v>43.42085098619804</v>
      </c>
      <c r="I15" s="297">
        <v>66.649239980169568</v>
      </c>
      <c r="J15" s="144">
        <v>65.17295098477382</v>
      </c>
      <c r="K15" s="297">
        <v>8.8175191471555454</v>
      </c>
      <c r="L15" s="144">
        <v>29.097237370473131</v>
      </c>
      <c r="M15" s="297">
        <v>15.292816213756383</v>
      </c>
      <c r="N15" s="144">
        <v>4.1140870029928776</v>
      </c>
      <c r="O15"/>
    </row>
    <row r="16" spans="1:22" ht="20" customHeight="1" thickBot="1">
      <c r="A16" s="312">
        <v>2004</v>
      </c>
      <c r="B16" s="144">
        <v>1751.312015563195</v>
      </c>
      <c r="C16" s="145">
        <v>5.0816046646835811E-2</v>
      </c>
      <c r="D16" s="144">
        <v>592.89763778354495</v>
      </c>
      <c r="E16" s="297">
        <v>296.91590007765888</v>
      </c>
      <c r="F16" s="144">
        <v>189.43742407132373</v>
      </c>
      <c r="G16" s="297">
        <v>372.47504406402646</v>
      </c>
      <c r="H16" s="144">
        <v>49.454875646942796</v>
      </c>
      <c r="I16" s="297">
        <v>68.449757529348247</v>
      </c>
      <c r="J16" s="144">
        <v>80.079219765387336</v>
      </c>
      <c r="K16" s="297">
        <v>9.2427076643370807</v>
      </c>
      <c r="L16" s="144">
        <v>35.206929733486795</v>
      </c>
      <c r="M16" s="297">
        <v>10.766673971168975</v>
      </c>
      <c r="N16" s="144">
        <v>3.4775317481750707</v>
      </c>
      <c r="O16"/>
    </row>
    <row r="17" spans="1:17" ht="20" customHeight="1" thickBot="1">
      <c r="A17" s="312">
        <v>2005</v>
      </c>
      <c r="B17" s="144">
        <v>1868.8453126166223</v>
      </c>
      <c r="C17" s="145">
        <v>6.7111568931724833E-2</v>
      </c>
      <c r="D17" s="144">
        <v>608.74538167382002</v>
      </c>
      <c r="E17" s="297">
        <v>359.22898499367591</v>
      </c>
      <c r="F17" s="144">
        <v>198.02028876263893</v>
      </c>
      <c r="G17" s="297">
        <v>379.34998080250244</v>
      </c>
      <c r="H17" s="144">
        <v>52.228327605463519</v>
      </c>
      <c r="I17" s="297">
        <v>71.506769252803821</v>
      </c>
      <c r="J17" s="144">
        <v>89.431105997755466</v>
      </c>
      <c r="K17" s="297">
        <v>9.3082174030862586</v>
      </c>
      <c r="L17" s="144">
        <v>40.071474704018968</v>
      </c>
      <c r="M17" s="297">
        <v>7.0814671191582956</v>
      </c>
      <c r="N17" s="144">
        <v>3.2498517657327022</v>
      </c>
      <c r="O17"/>
    </row>
    <row r="18" spans="1:17" ht="20" customHeight="1" thickBot="1">
      <c r="A18" s="312">
        <v>2006</v>
      </c>
      <c r="B18" s="144">
        <v>1876.16</v>
      </c>
      <c r="C18" s="145">
        <v>3.9140143563494087E-3</v>
      </c>
      <c r="D18" s="144">
        <v>619.30999999999995</v>
      </c>
      <c r="E18" s="297">
        <v>353.68</v>
      </c>
      <c r="F18" s="144">
        <v>196.88</v>
      </c>
      <c r="G18" s="297">
        <v>378.01</v>
      </c>
      <c r="H18" s="144">
        <v>55.74</v>
      </c>
      <c r="I18" s="297">
        <v>72.13</v>
      </c>
      <c r="J18" s="144">
        <v>83.65</v>
      </c>
      <c r="K18" s="297">
        <v>9.15</v>
      </c>
      <c r="L18" s="144">
        <v>44.98</v>
      </c>
      <c r="M18" s="297">
        <v>8.26</v>
      </c>
      <c r="N18" s="144">
        <v>1.57</v>
      </c>
      <c r="O18"/>
    </row>
    <row r="19" spans="1:17" s="285" customFormat="1" ht="27" customHeight="1">
      <c r="A19" s="396">
        <v>2007</v>
      </c>
      <c r="B19" s="338">
        <v>1946.99</v>
      </c>
      <c r="C19" s="397">
        <v>3.7752643697765612E-2</v>
      </c>
      <c r="D19" s="338">
        <v>641.54999999999995</v>
      </c>
      <c r="E19" s="398">
        <v>374.75</v>
      </c>
      <c r="F19" s="338">
        <v>201.51</v>
      </c>
      <c r="G19" s="398">
        <v>383.11</v>
      </c>
      <c r="H19" s="399">
        <v>60.51</v>
      </c>
      <c r="I19" s="398">
        <v>73.489999999999995</v>
      </c>
      <c r="J19" s="399">
        <v>83.98</v>
      </c>
      <c r="K19" s="398">
        <v>9.4499999999999993</v>
      </c>
      <c r="L19" s="399">
        <v>49.59</v>
      </c>
      <c r="M19" s="398">
        <v>8.51</v>
      </c>
      <c r="N19" s="399">
        <v>1.3</v>
      </c>
      <c r="O19"/>
      <c r="P19" s="400"/>
      <c r="Q19" s="401"/>
    </row>
    <row r="20" spans="1:17" ht="19.5" customHeight="1" thickBot="1">
      <c r="A20" s="300"/>
      <c r="B20" s="402"/>
      <c r="C20" s="403"/>
      <c r="D20" s="402"/>
      <c r="E20" s="403"/>
      <c r="F20" s="402"/>
      <c r="G20" s="403"/>
      <c r="P20" s="4"/>
      <c r="Q20" s="4"/>
    </row>
    <row r="21" spans="1:17" ht="54" customHeight="1" thickBot="1">
      <c r="A21" s="404" t="s">
        <v>532</v>
      </c>
      <c r="B21" s="405">
        <v>4.6992537943384205E-2</v>
      </c>
      <c r="C21" s="406" t="s">
        <v>59</v>
      </c>
      <c r="D21" s="405">
        <v>2.4222192642778584E-2</v>
      </c>
      <c r="E21" s="406">
        <v>8.5036502657678925E-2</v>
      </c>
      <c r="F21" s="405">
        <v>5.0934981151838032E-2</v>
      </c>
      <c r="G21" s="406">
        <v>5.0134131602947773E-2</v>
      </c>
      <c r="H21" s="363">
        <v>7.7504697986641169E-2</v>
      </c>
      <c r="I21" s="406">
        <v>2.735599175190595E-2</v>
      </c>
      <c r="J21" s="363">
        <v>4.8461928514897501E-2</v>
      </c>
      <c r="K21" s="406">
        <v>2.2000156889113942E-2</v>
      </c>
      <c r="L21" s="363">
        <v>0.14724690841152666</v>
      </c>
      <c r="M21" s="406">
        <v>-3.776057460804283E-2</v>
      </c>
      <c r="N21" s="363" t="s">
        <v>59</v>
      </c>
    </row>
    <row r="22" spans="1:17" ht="39.75" customHeight="1">
      <c r="A22" s="300"/>
      <c r="B22" s="407"/>
      <c r="C22" s="403"/>
      <c r="D22" s="402"/>
      <c r="E22" s="403"/>
      <c r="F22" s="402"/>
      <c r="G22" s="403"/>
      <c r="P22" s="4"/>
      <c r="Q22" s="4"/>
    </row>
    <row r="23" spans="1:17" ht="19.5" customHeight="1">
      <c r="A23" s="110" t="s">
        <v>533</v>
      </c>
      <c r="B23" s="387" t="s">
        <v>534</v>
      </c>
      <c r="C23" s="112" t="s">
        <v>1801</v>
      </c>
      <c r="D23" s="111"/>
      <c r="E23" s="386"/>
      <c r="F23"/>
      <c r="G23" s="2"/>
      <c r="H23" s="385" t="s">
        <v>629</v>
      </c>
      <c r="I23" s="112" t="s">
        <v>1801</v>
      </c>
    </row>
    <row r="24" spans="1:17" ht="16.5" customHeight="1">
      <c r="A24" s="308"/>
      <c r="B24" s="387" t="s">
        <v>519</v>
      </c>
      <c r="C24" s="115" t="s">
        <v>1802</v>
      </c>
      <c r="D24" s="408" t="s">
        <v>457</v>
      </c>
      <c r="E24" s="409" t="s">
        <v>457</v>
      </c>
      <c r="F24"/>
      <c r="G24" s="2"/>
      <c r="H24" s="387" t="s">
        <v>535</v>
      </c>
      <c r="I24" s="115" t="s">
        <v>1802</v>
      </c>
    </row>
    <row r="25" spans="1:17" ht="16.5" customHeight="1">
      <c r="A25" s="308"/>
      <c r="B25" s="114"/>
      <c r="C25" s="115" t="s">
        <v>1806</v>
      </c>
      <c r="D25" s="408" t="s">
        <v>536</v>
      </c>
      <c r="E25" s="409" t="s">
        <v>537</v>
      </c>
      <c r="F25"/>
      <c r="G25" s="2"/>
      <c r="H25" s="114"/>
      <c r="I25" s="115" t="s">
        <v>1806</v>
      </c>
    </row>
    <row r="26" spans="1:17" ht="15.75" customHeight="1">
      <c r="A26" s="390"/>
      <c r="B26" s="391"/>
      <c r="C26" s="392"/>
      <c r="D26" s="408" t="s">
        <v>538</v>
      </c>
      <c r="E26" s="409"/>
      <c r="F26"/>
      <c r="G26" s="2"/>
      <c r="H26" s="391"/>
      <c r="I26" s="392"/>
    </row>
    <row r="27" spans="1:17" ht="12" customHeight="1">
      <c r="A27" s="309"/>
      <c r="B27" s="120"/>
      <c r="C27" s="395"/>
      <c r="D27" s="410"/>
      <c r="E27" s="411"/>
      <c r="F27"/>
      <c r="G27" s="2"/>
      <c r="H27" s="120"/>
      <c r="I27" s="395"/>
    </row>
    <row r="28" spans="1:17" ht="2.25" customHeight="1" thickBot="1">
      <c r="A28" s="310">
        <v>1996</v>
      </c>
      <c r="B28" s="142">
        <v>586.83678759613247</v>
      </c>
      <c r="C28" s="143">
        <v>7.9400703813924001E-2</v>
      </c>
      <c r="D28" s="326" t="s">
        <v>59</v>
      </c>
      <c r="E28" s="327" t="s">
        <v>59</v>
      </c>
      <c r="F28"/>
      <c r="G28" s="2"/>
      <c r="H28" s="142">
        <v>1722.6034667433191</v>
      </c>
      <c r="I28" s="143">
        <v>9.7018358352515099E-2</v>
      </c>
    </row>
    <row r="29" spans="1:17" ht="19.5" customHeight="1" thickBot="1">
      <c r="A29" s="312">
        <v>1997</v>
      </c>
      <c r="B29" s="144">
        <v>608.42125188692751</v>
      </c>
      <c r="C29" s="145">
        <v>3.678103477324892E-2</v>
      </c>
      <c r="D29" s="144" t="s">
        <v>59</v>
      </c>
      <c r="E29" s="297" t="s">
        <v>59</v>
      </c>
      <c r="F29"/>
      <c r="G29" s="2"/>
      <c r="H29" s="144">
        <v>1815.5918174756728</v>
      </c>
      <c r="I29" s="145">
        <v>5.3981286191275034E-2</v>
      </c>
    </row>
    <row r="30" spans="1:17" ht="19.5" customHeight="1" thickBot="1">
      <c r="A30" s="312">
        <v>1998</v>
      </c>
      <c r="B30" s="144">
        <v>647.39263733582663</v>
      </c>
      <c r="C30" s="145">
        <v>6.4053294206990977E-2</v>
      </c>
      <c r="D30" s="144">
        <v>492.71135658354189</v>
      </c>
      <c r="E30" s="297">
        <v>150.64686744819926</v>
      </c>
      <c r="F30"/>
      <c r="G30" s="2"/>
      <c r="H30" s="144">
        <v>1935.2609068839854</v>
      </c>
      <c r="I30" s="145">
        <v>6.5911890688456515E-2</v>
      </c>
    </row>
    <row r="31" spans="1:17" ht="19.5" customHeight="1" thickBot="1">
      <c r="A31" s="312">
        <v>1999</v>
      </c>
      <c r="B31" s="144">
        <v>659.34783816072627</v>
      </c>
      <c r="C31" s="145">
        <v>1.8466692599560762E-2</v>
      </c>
      <c r="D31" s="144">
        <v>496.69748609522117</v>
      </c>
      <c r="E31" s="297">
        <v>160.88253360625276</v>
      </c>
      <c r="F31"/>
      <c r="G31" s="2"/>
      <c r="H31" s="144">
        <v>2010.9299604622606</v>
      </c>
      <c r="I31" s="145">
        <v>3.9100181949167756E-2</v>
      </c>
    </row>
    <row r="32" spans="1:17" ht="19.5" customHeight="1" thickBot="1">
      <c r="A32" s="312">
        <v>2000</v>
      </c>
      <c r="B32" s="144">
        <v>679.34395321862166</v>
      </c>
      <c r="C32" s="145">
        <v>3.0327110973284228E-2</v>
      </c>
      <c r="D32" s="144">
        <v>508.80015768509037</v>
      </c>
      <c r="E32" s="297">
        <v>167.22954109591964</v>
      </c>
      <c r="F32"/>
      <c r="G32" s="2"/>
      <c r="H32" s="144">
        <v>2130.500577485856</v>
      </c>
      <c r="I32" s="145">
        <v>5.946035882627615E-2</v>
      </c>
    </row>
    <row r="33" spans="1:9" ht="19.5" customHeight="1" thickBot="1">
      <c r="A33" s="312">
        <v>2001</v>
      </c>
      <c r="B33" s="144">
        <v>695.57285390457537</v>
      </c>
      <c r="C33" s="145">
        <v>2.388907799806534E-2</v>
      </c>
      <c r="D33" s="144">
        <v>520.22845878332566</v>
      </c>
      <c r="E33" s="297">
        <v>172.28381767006115</v>
      </c>
      <c r="F33"/>
      <c r="G33" s="2"/>
      <c r="H33" s="144">
        <v>2244.3978355168092</v>
      </c>
      <c r="I33" s="145">
        <v>5.3460327227585272E-2</v>
      </c>
    </row>
    <row r="34" spans="1:9" ht="19.5" customHeight="1" thickBot="1">
      <c r="A34" s="312">
        <v>2002</v>
      </c>
      <c r="B34" s="144">
        <v>712.19782148377215</v>
      </c>
      <c r="C34" s="145">
        <v>2.3901116160403715E-2</v>
      </c>
      <c r="D34" s="144">
        <v>515.19747034296608</v>
      </c>
      <c r="E34" s="297">
        <v>189.57472804627923</v>
      </c>
      <c r="F34"/>
      <c r="G34" s="2"/>
      <c r="H34" s="144">
        <v>2327.6302215005462</v>
      </c>
      <c r="I34" s="145">
        <v>3.7084506439372583E-2</v>
      </c>
    </row>
    <row r="35" spans="1:9" ht="19.5" customHeight="1" thickBot="1">
      <c r="A35" s="312">
        <v>2003</v>
      </c>
      <c r="B35" s="144">
        <v>764.59062760893357</v>
      </c>
      <c r="C35" s="145">
        <v>7.3564962633566877E-2</v>
      </c>
      <c r="D35" s="144">
        <v>557.73124969057335</v>
      </c>
      <c r="E35" s="297">
        <v>200.44409586700854</v>
      </c>
      <c r="F35"/>
      <c r="G35" s="2"/>
      <c r="H35" s="144">
        <v>2431.2115563163402</v>
      </c>
      <c r="I35" s="145">
        <v>4.4500769004888807E-2</v>
      </c>
    </row>
    <row r="36" spans="1:9" ht="19.5" customHeight="1" thickBot="1">
      <c r="A36" s="312">
        <v>2004</v>
      </c>
      <c r="B36" s="144">
        <v>840.90429336795432</v>
      </c>
      <c r="C36" s="145">
        <v>9.9809836798121235E-2</v>
      </c>
      <c r="D36" s="144">
        <v>618.810128536668</v>
      </c>
      <c r="E36" s="297">
        <v>213.02590534069273</v>
      </c>
      <c r="F36"/>
      <c r="G36" s="2"/>
      <c r="H36" s="144">
        <v>2592.2163089311489</v>
      </c>
      <c r="I36" s="145">
        <v>6.622408165036682E-2</v>
      </c>
    </row>
    <row r="37" spans="1:9" ht="19.5" customHeight="1" thickBot="1">
      <c r="A37" s="312">
        <v>2005</v>
      </c>
      <c r="B37" s="144">
        <v>867.58002616373483</v>
      </c>
      <c r="C37" s="145">
        <v>3.1722674038135765E-2</v>
      </c>
      <c r="D37" s="144">
        <v>645.948160066112</v>
      </c>
      <c r="E37" s="297">
        <v>213.44705424318488</v>
      </c>
      <c r="F37"/>
      <c r="G37" s="2"/>
      <c r="H37" s="144">
        <v>2736.4253387803569</v>
      </c>
      <c r="I37" s="145">
        <v>5.5631557193878578E-2</v>
      </c>
    </row>
    <row r="38" spans="1:9" ht="19.5" customHeight="1" thickBot="1">
      <c r="A38" s="312">
        <v>2006</v>
      </c>
      <c r="B38" s="144">
        <v>878.78</v>
      </c>
      <c r="C38" s="145">
        <v>1.2909441778862966E-2</v>
      </c>
      <c r="D38" s="144">
        <v>654.29</v>
      </c>
      <c r="E38" s="297">
        <v>217.58</v>
      </c>
      <c r="F38"/>
      <c r="G38" s="2"/>
      <c r="H38" s="144">
        <v>2754.94</v>
      </c>
      <c r="I38" s="145">
        <v>6.7660026960191938E-3</v>
      </c>
    </row>
    <row r="39" spans="1:9" ht="27" customHeight="1">
      <c r="A39" s="396">
        <v>2007</v>
      </c>
      <c r="B39" s="399">
        <v>915.82</v>
      </c>
      <c r="C39" s="397">
        <v>4.2149343407906506E-2</v>
      </c>
      <c r="D39" s="399">
        <v>681.54</v>
      </c>
      <c r="E39" s="398">
        <v>226.41</v>
      </c>
      <c r="F39" s="299"/>
      <c r="G39" s="3"/>
      <c r="H39" s="399">
        <v>2862.81</v>
      </c>
      <c r="I39" s="397">
        <v>3.9155117715812281E-2</v>
      </c>
    </row>
    <row r="40" spans="1:9" ht="19.5" customHeight="1" thickBot="1">
      <c r="A40" s="3"/>
      <c r="B40" s="402"/>
      <c r="C40" s="403"/>
      <c r="D40" s="402"/>
      <c r="E40" s="403"/>
      <c r="F40" s="402"/>
      <c r="G40" s="403"/>
    </row>
    <row r="41" spans="1:9" ht="51" customHeight="1" thickBot="1">
      <c r="A41" s="404" t="s">
        <v>532</v>
      </c>
      <c r="B41" s="363">
        <v>3.9293092551386355E-2</v>
      </c>
      <c r="C41" s="406" t="s">
        <v>59</v>
      </c>
      <c r="D41" s="363">
        <v>3.6705540873607889E-2</v>
      </c>
      <c r="E41" s="406">
        <v>4.6307889193842877E-2</v>
      </c>
      <c r="F41" s="412"/>
      <c r="G41" s="2"/>
      <c r="H41" s="363">
        <v>4.4467132288436462E-2</v>
      </c>
      <c r="I41" s="406" t="s">
        <v>59</v>
      </c>
    </row>
    <row r="42" spans="1:9" ht="17.25" customHeight="1">
      <c r="A42" s="133" t="s">
        <v>1256</v>
      </c>
      <c r="B42" s="402"/>
      <c r="C42" s="403"/>
      <c r="D42" s="402"/>
      <c r="E42" s="403"/>
      <c r="F42" s="402"/>
      <c r="G42" s="403"/>
    </row>
    <row r="43" spans="1:9" ht="14">
      <c r="A43" s="300"/>
      <c r="B43" s="402"/>
      <c r="C43" s="403"/>
      <c r="D43" s="402"/>
      <c r="E43" s="403"/>
      <c r="F43" s="402"/>
      <c r="G43" s="403"/>
    </row>
    <row r="44" spans="1:9" ht="14">
      <c r="A44" s="3" t="s">
        <v>1244</v>
      </c>
      <c r="B44" s="402"/>
      <c r="C44" s="403"/>
      <c r="D44" s="402"/>
      <c r="E44" s="403"/>
      <c r="F44" s="402"/>
      <c r="G44" s="403"/>
    </row>
    <row r="45" spans="1:9" ht="14">
      <c r="A45" s="3" t="s">
        <v>1245</v>
      </c>
      <c r="B45" s="402"/>
      <c r="C45" s="403"/>
      <c r="D45" s="402"/>
      <c r="E45" s="403"/>
      <c r="F45" s="402"/>
      <c r="G45" s="403"/>
    </row>
    <row r="46" spans="1:9" ht="14">
      <c r="B46" s="402"/>
      <c r="C46" s="403"/>
      <c r="D46" s="402"/>
      <c r="E46" s="403"/>
      <c r="F46" s="402"/>
      <c r="G46" s="403"/>
    </row>
    <row r="47" spans="1:9">
      <c r="A47" s="2" t="s">
        <v>1246</v>
      </c>
      <c r="B47" s="4"/>
      <c r="C47" s="413"/>
      <c r="D47" s="4"/>
      <c r="E47" s="413"/>
      <c r="F47" s="4"/>
      <c r="G47" s="413"/>
    </row>
    <row r="48" spans="1:9">
      <c r="A48" s="4"/>
      <c r="B48" s="4"/>
      <c r="C48" s="413"/>
      <c r="D48" s="4"/>
      <c r="E48" s="413"/>
      <c r="F48" s="4"/>
      <c r="G48" s="413"/>
    </row>
    <row r="50" spans="1:5">
      <c r="A50" s="2" t="s">
        <v>634</v>
      </c>
    </row>
    <row r="53" spans="1:5">
      <c r="B53"/>
      <c r="C53"/>
      <c r="D53"/>
      <c r="E53"/>
    </row>
    <row r="54" spans="1:5">
      <c r="B54"/>
      <c r="C54"/>
      <c r="D54"/>
      <c r="E54"/>
    </row>
    <row r="55" spans="1:5">
      <c r="B55"/>
      <c r="C55"/>
      <c r="D55"/>
      <c r="E55"/>
    </row>
    <row r="56" spans="1:5">
      <c r="B56"/>
      <c r="C56"/>
      <c r="D56"/>
      <c r="E56"/>
    </row>
    <row r="57" spans="1:5">
      <c r="B57"/>
      <c r="C57"/>
      <c r="D57"/>
      <c r="E57"/>
    </row>
  </sheetData>
  <phoneticPr fontId="0" type="noConversion"/>
  <pageMargins left="0.52" right="0.37" top="0.55000000000000004" bottom="0.49" header="0.42" footer="0.4921259845"/>
  <pageSetup paperSize="9" scale="54" orientation="landscape" horizontalDpi="4294967292" verticalDpi="4294967292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7BC6-D4DF-E94D-899C-CA7C24F37E98}">
  <sheetPr>
    <pageSetUpPr fitToPage="1"/>
  </sheetPr>
  <dimension ref="A1:H35"/>
  <sheetViews>
    <sheetView zoomScale="75" workbookViewId="0">
      <selection activeCell="A33" sqref="A33"/>
    </sheetView>
  </sheetViews>
  <sheetFormatPr baseColWidth="10" defaultColWidth="11.3984375" defaultRowHeight="13"/>
  <cols>
    <col min="1" max="1" width="38.19921875" style="2" customWidth="1"/>
    <col min="2" max="4" width="15.19921875" style="2" customWidth="1"/>
    <col min="5" max="5" width="15.19921875" style="148" customWidth="1"/>
    <col min="6" max="7" width="15.19921875" style="2" customWidth="1"/>
    <col min="8" max="8" width="15.59765625" style="2" customWidth="1"/>
    <col min="9" max="16384" width="11.3984375" style="2"/>
  </cols>
  <sheetData>
    <row r="1" spans="1:8" s="1" customFormat="1" ht="14" customHeight="1">
      <c r="E1" s="17"/>
    </row>
    <row r="2" spans="1:8" s="1" customFormat="1" ht="30.75" customHeight="1">
      <c r="A2" s="354" t="s">
        <v>491</v>
      </c>
      <c r="B2" s="355"/>
      <c r="C2" s="355"/>
      <c r="D2" s="355"/>
      <c r="E2" s="355"/>
      <c r="H2" s="109">
        <v>2007</v>
      </c>
    </row>
    <row r="3" spans="1:8" ht="24" customHeight="1">
      <c r="A3" s="110" t="s">
        <v>492</v>
      </c>
      <c r="B3" s="111" t="s">
        <v>891</v>
      </c>
      <c r="C3" s="112" t="s">
        <v>892</v>
      </c>
      <c r="D3" s="111" t="s">
        <v>1798</v>
      </c>
      <c r="E3" s="340" t="s">
        <v>629</v>
      </c>
      <c r="F3" s="111" t="s">
        <v>430</v>
      </c>
      <c r="G3" s="112" t="s">
        <v>1801</v>
      </c>
      <c r="H3" s="111" t="s">
        <v>1801</v>
      </c>
    </row>
    <row r="4" spans="1:8" ht="15" customHeight="1">
      <c r="A4" s="308"/>
      <c r="B4" s="114"/>
      <c r="C4" s="115"/>
      <c r="D4" s="114"/>
      <c r="E4" s="341"/>
      <c r="F4" s="114" t="s">
        <v>431</v>
      </c>
      <c r="G4" s="115" t="s">
        <v>1802</v>
      </c>
      <c r="H4" s="114" t="s">
        <v>1802</v>
      </c>
    </row>
    <row r="5" spans="1:8" ht="15" customHeight="1">
      <c r="A5" s="308"/>
      <c r="B5" s="114"/>
      <c r="C5" s="115"/>
      <c r="D5" s="114"/>
      <c r="E5" s="341"/>
      <c r="F5" s="114" t="s">
        <v>493</v>
      </c>
      <c r="G5" s="115" t="s">
        <v>1806</v>
      </c>
      <c r="H5" s="114" t="s">
        <v>1806</v>
      </c>
    </row>
    <row r="6" spans="1:8" ht="24" customHeight="1">
      <c r="A6" s="309"/>
      <c r="B6" s="120"/>
      <c r="C6" s="119"/>
      <c r="D6" s="120"/>
      <c r="E6" s="342"/>
      <c r="F6" s="120"/>
      <c r="G6" s="119" t="s">
        <v>494</v>
      </c>
      <c r="H6" s="120" t="s">
        <v>870</v>
      </c>
    </row>
    <row r="7" spans="1:8" ht="30" customHeight="1" thickBot="1">
      <c r="A7" s="356" t="s">
        <v>495</v>
      </c>
      <c r="B7" s="123">
        <v>563.19000000000005</v>
      </c>
      <c r="C7" s="327">
        <v>856.58</v>
      </c>
      <c r="D7" s="326">
        <v>351.11</v>
      </c>
      <c r="E7" s="357">
        <v>641.54999999999995</v>
      </c>
      <c r="F7" s="358">
        <v>0.22409800161379903</v>
      </c>
      <c r="G7" s="327">
        <v>22.24</v>
      </c>
      <c r="H7" s="358">
        <v>3.591093313526339E-2</v>
      </c>
    </row>
    <row r="8" spans="1:8" ht="20" customHeight="1" thickBot="1">
      <c r="A8" s="312" t="s">
        <v>512</v>
      </c>
      <c r="B8" s="174">
        <v>756.99</v>
      </c>
      <c r="C8" s="297">
        <v>868.38</v>
      </c>
      <c r="D8" s="144">
        <v>151.47999999999999</v>
      </c>
      <c r="E8" s="345">
        <v>681.54</v>
      </c>
      <c r="F8" s="358">
        <v>0.2380667945130833</v>
      </c>
      <c r="G8" s="297">
        <v>27.25</v>
      </c>
      <c r="H8" s="358">
        <v>4.1648198810924741E-2</v>
      </c>
    </row>
    <row r="9" spans="1:8" ht="20" customHeight="1" thickBot="1">
      <c r="A9" s="312" t="s">
        <v>496</v>
      </c>
      <c r="B9" s="144">
        <v>405.78</v>
      </c>
      <c r="C9" s="297">
        <v>450.11</v>
      </c>
      <c r="D9" s="144">
        <v>159.80000000000001</v>
      </c>
      <c r="E9" s="345">
        <v>374.75</v>
      </c>
      <c r="F9" s="358">
        <v>0.13090285418871669</v>
      </c>
      <c r="G9" s="297">
        <v>21.07</v>
      </c>
      <c r="H9" s="358">
        <v>5.9573625876498504E-2</v>
      </c>
    </row>
    <row r="10" spans="1:8" ht="20" customHeight="1" thickBot="1">
      <c r="A10" s="312" t="s">
        <v>497</v>
      </c>
      <c r="B10" s="144">
        <v>214.63</v>
      </c>
      <c r="C10" s="297">
        <v>262.54000000000002</v>
      </c>
      <c r="D10" s="144">
        <v>50.66</v>
      </c>
      <c r="E10" s="345">
        <v>201.51</v>
      </c>
      <c r="F10" s="358">
        <v>7.0388883649281642E-2</v>
      </c>
      <c r="G10" s="297">
        <v>4.63</v>
      </c>
      <c r="H10" s="358">
        <v>2.351686306379519E-2</v>
      </c>
    </row>
    <row r="11" spans="1:8" ht="20" customHeight="1" thickBot="1">
      <c r="A11" s="312" t="s">
        <v>498</v>
      </c>
      <c r="B11" s="144">
        <v>414.19</v>
      </c>
      <c r="C11" s="297">
        <v>508.18</v>
      </c>
      <c r="D11" s="144">
        <v>65.86</v>
      </c>
      <c r="E11" s="345">
        <v>383.11</v>
      </c>
      <c r="F11" s="358">
        <v>0.13382306195660906</v>
      </c>
      <c r="G11" s="297">
        <v>5.1000000000000227</v>
      </c>
      <c r="H11" s="358">
        <v>1.3491706568609318E-2</v>
      </c>
    </row>
    <row r="12" spans="1:8" ht="20" customHeight="1" thickBot="1">
      <c r="A12" s="312" t="s">
        <v>513</v>
      </c>
      <c r="B12" s="144">
        <v>150.38</v>
      </c>
      <c r="C12" s="297">
        <v>407.99</v>
      </c>
      <c r="D12" s="144">
        <v>0.22</v>
      </c>
      <c r="E12" s="345">
        <v>226.41</v>
      </c>
      <c r="F12" s="358">
        <v>7.9086631666090312E-2</v>
      </c>
      <c r="G12" s="297">
        <v>8.8299999999999841</v>
      </c>
      <c r="H12" s="358">
        <v>4.0582774152035928E-2</v>
      </c>
    </row>
    <row r="13" spans="1:8" ht="20" customHeight="1" thickBot="1">
      <c r="A13" s="312" t="s">
        <v>499</v>
      </c>
      <c r="B13" s="144">
        <v>50.88</v>
      </c>
      <c r="C13" s="297">
        <v>98.41</v>
      </c>
      <c r="D13" s="144">
        <v>1.23</v>
      </c>
      <c r="E13" s="345">
        <v>60.51</v>
      </c>
      <c r="F13" s="358">
        <v>2.1136575602292852E-2</v>
      </c>
      <c r="G13" s="297">
        <v>4.7699999999999996</v>
      </c>
      <c r="H13" s="358">
        <v>8.5575888051668381E-2</v>
      </c>
    </row>
    <row r="14" spans="1:8" ht="20" customHeight="1" thickBot="1">
      <c r="A14" s="312" t="s">
        <v>500</v>
      </c>
      <c r="B14" s="144">
        <v>62.67</v>
      </c>
      <c r="C14" s="297">
        <v>110.44</v>
      </c>
      <c r="D14" s="144">
        <v>18.46</v>
      </c>
      <c r="E14" s="345">
        <v>73.489999999999995</v>
      </c>
      <c r="F14" s="358">
        <v>2.5670582399809974E-2</v>
      </c>
      <c r="G14" s="297">
        <v>1.36</v>
      </c>
      <c r="H14" s="358">
        <v>1.8854845417995314E-2</v>
      </c>
    </row>
    <row r="15" spans="1:8" ht="20" customHeight="1" thickBot="1">
      <c r="A15" s="312" t="s">
        <v>501</v>
      </c>
      <c r="B15" s="144">
        <v>72.58</v>
      </c>
      <c r="C15" s="297">
        <v>122.96</v>
      </c>
      <c r="D15" s="144">
        <v>25.94</v>
      </c>
      <c r="E15" s="345">
        <v>83.98</v>
      </c>
      <c r="F15" s="358">
        <v>2.9334814395646239E-2</v>
      </c>
      <c r="G15" s="297">
        <v>0.32999999999999829</v>
      </c>
      <c r="H15" s="358">
        <v>3.9450089659294196E-3</v>
      </c>
    </row>
    <row r="16" spans="1:8" ht="20" customHeight="1" thickBot="1">
      <c r="A16" s="312" t="s">
        <v>502</v>
      </c>
      <c r="B16" s="144">
        <v>9.15</v>
      </c>
      <c r="C16" s="297">
        <v>13.27</v>
      </c>
      <c r="D16" s="144">
        <v>2.1800000000000002</v>
      </c>
      <c r="E16" s="345">
        <v>9.4499999999999993</v>
      </c>
      <c r="F16" s="358">
        <v>3.3009525605960576E-3</v>
      </c>
      <c r="G16" s="297">
        <v>0.29999999999999893</v>
      </c>
      <c r="H16" s="358">
        <v>3.2786885245901454E-2</v>
      </c>
    </row>
    <row r="17" spans="1:8" ht="20" customHeight="1" thickBot="1">
      <c r="A17" s="312" t="s">
        <v>503</v>
      </c>
      <c r="B17" s="144">
        <v>58.21</v>
      </c>
      <c r="C17" s="297">
        <v>56.85</v>
      </c>
      <c r="D17" s="144">
        <v>18.010000000000002</v>
      </c>
      <c r="E17" s="345">
        <v>49.59</v>
      </c>
      <c r="F17" s="358">
        <v>1.7322141532270744E-2</v>
      </c>
      <c r="G17" s="297">
        <v>4.6100000000000065</v>
      </c>
      <c r="H17" s="358">
        <v>0.10248999555357963</v>
      </c>
    </row>
    <row r="18" spans="1:8" ht="20" customHeight="1" thickBot="1">
      <c r="A18" s="312" t="s">
        <v>514</v>
      </c>
      <c r="B18" s="144">
        <v>8.01</v>
      </c>
      <c r="C18" s="297">
        <v>11.96</v>
      </c>
      <c r="D18" s="144">
        <v>2.37</v>
      </c>
      <c r="E18" s="345">
        <v>8.51</v>
      </c>
      <c r="F18" s="358">
        <v>2.9726038402827989E-3</v>
      </c>
      <c r="G18" s="297">
        <v>0.25</v>
      </c>
      <c r="H18" s="358">
        <v>3.0266343825665842E-2</v>
      </c>
    </row>
    <row r="19" spans="1:8" ht="20" customHeight="1" thickBot="1">
      <c r="A19" s="127" t="s">
        <v>504</v>
      </c>
      <c r="B19" s="144">
        <v>0.87</v>
      </c>
      <c r="C19" s="297">
        <v>2.21</v>
      </c>
      <c r="D19" s="144">
        <v>0.26</v>
      </c>
      <c r="E19" s="345">
        <v>1.3</v>
      </c>
      <c r="F19" s="358">
        <v>4.5409929405025134E-4</v>
      </c>
      <c r="G19" s="297">
        <v>-0.27</v>
      </c>
      <c r="H19" s="358">
        <v>-0.17197452229299359</v>
      </c>
    </row>
    <row r="20" spans="1:8" ht="20" customHeight="1" thickBot="1">
      <c r="A20" s="312" t="s">
        <v>505</v>
      </c>
      <c r="B20" s="144">
        <v>53.42</v>
      </c>
      <c r="C20" s="297">
        <v>71.41</v>
      </c>
      <c r="D20" s="144">
        <v>45.57</v>
      </c>
      <c r="E20" s="345">
        <v>59.26</v>
      </c>
      <c r="F20" s="358">
        <v>2.0699941665706073E-2</v>
      </c>
      <c r="G20" s="297">
        <v>6.45</v>
      </c>
      <c r="H20" s="358">
        <v>0.12213595909865549</v>
      </c>
    </row>
    <row r="21" spans="1:8" ht="20" customHeight="1" thickBot="1">
      <c r="A21" s="312" t="s">
        <v>515</v>
      </c>
      <c r="B21" s="144">
        <v>9.4700000000000006</v>
      </c>
      <c r="C21" s="297">
        <v>8.61</v>
      </c>
      <c r="D21" s="144">
        <v>3.22</v>
      </c>
      <c r="E21" s="345">
        <v>7.87</v>
      </c>
      <c r="F21" s="358">
        <v>2.7490472647503676E-3</v>
      </c>
      <c r="G21" s="297">
        <v>0.96</v>
      </c>
      <c r="H21" s="358">
        <v>0.13892908827785821</v>
      </c>
    </row>
    <row r="22" spans="1:8" ht="30" customHeight="1" thickBot="1">
      <c r="A22" s="359" t="s">
        <v>506</v>
      </c>
      <c r="B22" s="360">
        <v>2830.42</v>
      </c>
      <c r="C22" s="361">
        <v>3849.89</v>
      </c>
      <c r="D22" s="360">
        <v>896.38</v>
      </c>
      <c r="E22" s="362">
        <v>2862.81</v>
      </c>
      <c r="F22" s="363">
        <v>1</v>
      </c>
      <c r="G22" s="361">
        <v>107.87</v>
      </c>
      <c r="H22" s="363">
        <v>3.915511771581226E-2</v>
      </c>
    </row>
    <row r="23" spans="1:8" ht="15" customHeight="1">
      <c r="A23" s="364"/>
      <c r="B23" s="365"/>
      <c r="C23" s="365"/>
      <c r="D23" s="365"/>
      <c r="E23" s="366"/>
      <c r="F23" s="367"/>
      <c r="G23" s="365"/>
      <c r="H23" s="367"/>
    </row>
    <row r="24" spans="1:8" ht="30" customHeight="1" thickBot="1">
      <c r="A24" s="368" t="s">
        <v>507</v>
      </c>
      <c r="B24" s="369" t="s">
        <v>59</v>
      </c>
      <c r="C24" s="370">
        <v>161.29</v>
      </c>
      <c r="D24" s="369">
        <v>1.68</v>
      </c>
      <c r="E24" s="371" t="s">
        <v>59</v>
      </c>
      <c r="F24" s="372" t="s">
        <v>59</v>
      </c>
      <c r="G24" s="370" t="s">
        <v>59</v>
      </c>
      <c r="H24" s="372" t="s">
        <v>59</v>
      </c>
    </row>
    <row r="25" spans="1:8" ht="30.75" customHeight="1" thickBot="1">
      <c r="A25" s="373" t="s">
        <v>516</v>
      </c>
      <c r="B25" s="374">
        <v>0</v>
      </c>
      <c r="C25" s="375">
        <v>63.99</v>
      </c>
      <c r="D25" s="374">
        <v>5.0199999999999996</v>
      </c>
      <c r="E25" s="376">
        <v>52.75</v>
      </c>
      <c r="F25" s="377">
        <v>1.8425952123962121E-2</v>
      </c>
      <c r="G25" s="375">
        <v>6.44</v>
      </c>
      <c r="H25" s="377">
        <v>0.13906283740012948</v>
      </c>
    </row>
    <row r="26" spans="1:8" ht="20" customHeight="1">
      <c r="A26" s="133" t="s">
        <v>1256</v>
      </c>
      <c r="B26" s="335"/>
      <c r="C26" s="335"/>
      <c r="D26" s="335"/>
      <c r="E26" s="378"/>
      <c r="F26" s="335"/>
    </row>
    <row r="27" spans="1:8" ht="12.75" customHeight="1">
      <c r="A27" s="3"/>
      <c r="B27" s="337"/>
      <c r="C27" s="337"/>
      <c r="D27" s="337"/>
      <c r="E27" s="379"/>
      <c r="F27" s="337"/>
    </row>
    <row r="28" spans="1:8">
      <c r="A28" s="3" t="s">
        <v>508</v>
      </c>
    </row>
    <row r="29" spans="1:8">
      <c r="A29" s="3" t="s">
        <v>509</v>
      </c>
    </row>
    <row r="30" spans="1:8">
      <c r="A30" s="380" t="s">
        <v>510</v>
      </c>
    </row>
    <row r="32" spans="1:8">
      <c r="A32" s="2" t="s">
        <v>511</v>
      </c>
    </row>
    <row r="35" spans="1:1">
      <c r="A35" s="2" t="s">
        <v>634</v>
      </c>
    </row>
  </sheetData>
  <phoneticPr fontId="0" type="noConversion"/>
  <pageMargins left="0.6" right="0.5" top="0.69" bottom="0.49" header="0.43" footer="0.4921259845"/>
  <pageSetup paperSize="9" scale="78" orientation="landscape" horizontalDpi="1200" verticalDpi="12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5FFF-41AE-1340-9C69-FF88B7099B75}">
  <sheetPr>
    <pageSetUpPr fitToPage="1"/>
  </sheetPr>
  <dimension ref="A1:J29"/>
  <sheetViews>
    <sheetView zoomScale="75" workbookViewId="0">
      <selection activeCell="A3" sqref="A3"/>
    </sheetView>
  </sheetViews>
  <sheetFormatPr baseColWidth="10" defaultColWidth="11.3984375" defaultRowHeight="13"/>
  <cols>
    <col min="1" max="1" width="15.19921875" style="2" customWidth="1"/>
    <col min="2" max="2" width="16.796875" style="2" customWidth="1"/>
    <col min="3" max="3" width="17.19921875" style="2" customWidth="1"/>
    <col min="4" max="4" width="15.3984375" style="2" customWidth="1"/>
    <col min="5" max="5" width="15.19921875" style="2" customWidth="1"/>
    <col min="6" max="6" width="16.796875" style="2" customWidth="1"/>
    <col min="7" max="7" width="15.796875" style="2" customWidth="1"/>
    <col min="8" max="16384" width="11.3984375" style="2"/>
  </cols>
  <sheetData>
    <row r="1" spans="1:10" s="1" customFormat="1" ht="14" customHeight="1"/>
    <row r="2" spans="1:10" s="1" customFormat="1" ht="28" customHeight="1">
      <c r="A2" s="109" t="s">
        <v>354</v>
      </c>
      <c r="G2" s="321">
        <v>2007</v>
      </c>
    </row>
    <row r="3" spans="1:10" ht="24" customHeight="1">
      <c r="A3" s="110" t="s">
        <v>533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67" t="s">
        <v>1801</v>
      </c>
    </row>
    <row r="4" spans="1:10" ht="15" customHeight="1">
      <c r="A4" s="308"/>
      <c r="B4" s="114" t="s">
        <v>836</v>
      </c>
      <c r="C4" s="115" t="s">
        <v>837</v>
      </c>
      <c r="D4" s="114" t="s">
        <v>1334</v>
      </c>
      <c r="E4" s="279" t="s">
        <v>1335</v>
      </c>
      <c r="F4" s="114"/>
      <c r="G4" s="113" t="s">
        <v>1802</v>
      </c>
    </row>
    <row r="5" spans="1:10" ht="15" customHeight="1">
      <c r="A5" s="308"/>
      <c r="B5" s="114" t="s">
        <v>840</v>
      </c>
      <c r="C5" s="115" t="s">
        <v>841</v>
      </c>
      <c r="D5" s="114" t="s">
        <v>1336</v>
      </c>
      <c r="E5" s="279" t="s">
        <v>1337</v>
      </c>
      <c r="F5" s="114"/>
      <c r="G5" s="113" t="s">
        <v>1806</v>
      </c>
    </row>
    <row r="6" spans="1:10" ht="24" customHeight="1">
      <c r="A6" s="309"/>
      <c r="B6" s="120"/>
      <c r="C6" s="119"/>
      <c r="D6" s="120"/>
      <c r="E6" s="282" t="s">
        <v>843</v>
      </c>
      <c r="F6" s="120"/>
      <c r="G6" s="117"/>
    </row>
    <row r="7" spans="1:10" ht="1.5" customHeight="1" thickBot="1">
      <c r="A7" s="310">
        <v>1996</v>
      </c>
      <c r="B7" s="819">
        <v>8068.747832</v>
      </c>
      <c r="C7" s="311">
        <v>2578.7974989999998</v>
      </c>
      <c r="D7" s="819">
        <v>25.416930000000001</v>
      </c>
      <c r="E7" s="311">
        <v>107.523248</v>
      </c>
      <c r="F7" s="819">
        <v>10780.485509</v>
      </c>
      <c r="G7" s="680" t="s">
        <v>59</v>
      </c>
    </row>
    <row r="8" spans="1:10" ht="20" customHeight="1" thickBot="1">
      <c r="A8" s="312">
        <v>1997</v>
      </c>
      <c r="B8" s="820">
        <v>7130.3436650000003</v>
      </c>
      <c r="C8" s="821">
        <v>3864.390214</v>
      </c>
      <c r="D8" s="820">
        <v>13.596114</v>
      </c>
      <c r="E8" s="821">
        <v>352.16520000000003</v>
      </c>
      <c r="F8" s="820">
        <v>11360.495192</v>
      </c>
      <c r="G8" s="667">
        <v>5.3801814632168828E-2</v>
      </c>
      <c r="H8" s="9"/>
      <c r="I8" s="9"/>
      <c r="J8" s="9"/>
    </row>
    <row r="9" spans="1:10" ht="20" customHeight="1" thickBot="1">
      <c r="A9" s="312">
        <v>1998</v>
      </c>
      <c r="B9" s="820">
        <v>7021.0225700000001</v>
      </c>
      <c r="C9" s="821">
        <v>4312.7338319999999</v>
      </c>
      <c r="D9" s="820">
        <v>6.4190870000000002</v>
      </c>
      <c r="E9" s="821">
        <v>586.68436299999996</v>
      </c>
      <c r="F9" s="820">
        <v>11926.859852</v>
      </c>
      <c r="G9" s="667">
        <v>4.9853870841724421E-2</v>
      </c>
    </row>
    <row r="10" spans="1:10" ht="20" customHeight="1" thickBot="1">
      <c r="A10" s="312">
        <v>1999</v>
      </c>
      <c r="B10" s="820">
        <v>7777.7143260000003</v>
      </c>
      <c r="C10" s="821">
        <v>3929.1822109999998</v>
      </c>
      <c r="D10" s="820">
        <v>6.4800399999999998</v>
      </c>
      <c r="E10" s="821">
        <v>717.23275599999999</v>
      </c>
      <c r="F10" s="820">
        <v>12430.609334000001</v>
      </c>
      <c r="G10" s="667">
        <v>4.2236555828693498E-2</v>
      </c>
    </row>
    <row r="11" spans="1:10" ht="20" customHeight="1" thickBot="1">
      <c r="A11" s="312">
        <v>2000</v>
      </c>
      <c r="B11" s="820">
        <v>8082.7115553000003</v>
      </c>
      <c r="C11" s="821">
        <v>4300.2223146999995</v>
      </c>
      <c r="D11" s="820">
        <v>6.28484658</v>
      </c>
      <c r="E11" s="821">
        <v>801.09118021000006</v>
      </c>
      <c r="F11" s="820">
        <v>13190.30989679</v>
      </c>
      <c r="G11" s="667">
        <v>6.111531159716195E-2</v>
      </c>
    </row>
    <row r="12" spans="1:10" ht="20" customHeight="1" thickBot="1">
      <c r="A12" s="312">
        <v>2001</v>
      </c>
      <c r="B12" s="820">
        <v>8576.2604756000001</v>
      </c>
      <c r="C12" s="821">
        <v>4525.6886304</v>
      </c>
      <c r="D12" s="820">
        <v>7.0934559400000001</v>
      </c>
      <c r="E12" s="821">
        <v>877.22872129999996</v>
      </c>
      <c r="F12" s="820">
        <v>13986.271283239999</v>
      </c>
      <c r="G12" s="667">
        <v>6.0344403784152512E-2</v>
      </c>
    </row>
    <row r="13" spans="1:10" ht="20" customHeight="1" thickBot="1">
      <c r="A13" s="312">
        <v>2002</v>
      </c>
      <c r="B13" s="820">
        <v>8890.6642347999987</v>
      </c>
      <c r="C13" s="821">
        <v>4785.7639721999994</v>
      </c>
      <c r="D13" s="820">
        <v>6.6999405400000001</v>
      </c>
      <c r="E13" s="821">
        <v>909.62889640999992</v>
      </c>
      <c r="F13" s="820">
        <v>14592.757043950001</v>
      </c>
      <c r="G13" s="667">
        <v>4.3362934153634278E-2</v>
      </c>
    </row>
    <row r="14" spans="1:10" ht="20" customHeight="1" thickBot="1">
      <c r="A14" s="312">
        <v>2003</v>
      </c>
      <c r="B14" s="820">
        <v>9320.4810839999991</v>
      </c>
      <c r="C14" s="821">
        <v>5132.6037123000006</v>
      </c>
      <c r="D14" s="820">
        <v>7.0683550799999999</v>
      </c>
      <c r="E14" s="821">
        <v>875.46655299999998</v>
      </c>
      <c r="F14" s="820">
        <v>15335.619704379998</v>
      </c>
      <c r="G14" s="667">
        <v>5.0906258371373338E-2</v>
      </c>
    </row>
    <row r="15" spans="1:10" ht="20" customHeight="1" thickBot="1">
      <c r="A15" s="312">
        <v>2004</v>
      </c>
      <c r="B15" s="820">
        <v>9988.6658920000009</v>
      </c>
      <c r="C15" s="821">
        <v>5289.8342951999994</v>
      </c>
      <c r="D15" s="820">
        <v>7.2944575399999998</v>
      </c>
      <c r="E15" s="821">
        <v>1021.7139006</v>
      </c>
      <c r="F15" s="820">
        <v>16307.508545340002</v>
      </c>
      <c r="G15" s="667">
        <v>6.3374604984656954E-2</v>
      </c>
    </row>
    <row r="16" spans="1:10" ht="20" customHeight="1" thickBot="1">
      <c r="A16" s="312">
        <v>2005</v>
      </c>
      <c r="B16" s="820">
        <v>10948.37887789</v>
      </c>
      <c r="C16" s="821">
        <v>5106.1971250400002</v>
      </c>
      <c r="D16" s="820">
        <v>7.7069186199999997</v>
      </c>
      <c r="E16" s="821">
        <v>1290.43711553</v>
      </c>
      <c r="F16" s="820">
        <v>17352.720037080002</v>
      </c>
      <c r="G16" s="667">
        <v>6.4093879750789812E-2</v>
      </c>
    </row>
    <row r="17" spans="1:7" ht="20" customHeight="1" thickBot="1">
      <c r="A17" s="312">
        <v>2006</v>
      </c>
      <c r="B17" s="820">
        <v>10882.30509285</v>
      </c>
      <c r="C17" s="821">
        <v>4819.3397623999999</v>
      </c>
      <c r="D17" s="820">
        <v>7.6050231300000002</v>
      </c>
      <c r="E17" s="821">
        <v>1854.6657244100002</v>
      </c>
      <c r="F17" s="820">
        <v>17563.915602789999</v>
      </c>
      <c r="G17" s="667">
        <v>1.2170747021717962E-2</v>
      </c>
    </row>
    <row r="18" spans="1:7" ht="30" customHeight="1" thickBot="1">
      <c r="A18" s="396">
        <v>2007</v>
      </c>
      <c r="B18" s="872">
        <v>10974.96309465</v>
      </c>
      <c r="C18" s="873">
        <v>4774.9719946599998</v>
      </c>
      <c r="D18" s="872">
        <v>7.66488031</v>
      </c>
      <c r="E18" s="873">
        <v>2666.0220249899999</v>
      </c>
      <c r="F18" s="872">
        <v>18423.621994609999</v>
      </c>
      <c r="G18" s="681">
        <v>4.8947308291747725E-2</v>
      </c>
    </row>
    <row r="19" spans="1:7" ht="20" customHeight="1">
      <c r="A19" s="133" t="s">
        <v>1256</v>
      </c>
      <c r="B19" s="133"/>
      <c r="C19" s="133"/>
      <c r="D19" s="133"/>
      <c r="E19" s="133"/>
      <c r="F19" s="133"/>
      <c r="G19" s="133"/>
    </row>
    <row r="20" spans="1:7" ht="16.5" customHeight="1">
      <c r="A20" s="3"/>
      <c r="B20" s="3"/>
      <c r="C20" s="3"/>
      <c r="D20" s="3"/>
      <c r="E20" s="3"/>
      <c r="F20" s="3"/>
      <c r="G20" s="3"/>
    </row>
    <row r="21" spans="1:7">
      <c r="A21" s="3" t="s">
        <v>2233</v>
      </c>
    </row>
    <row r="23" spans="1:7">
      <c r="A23" s="2" t="s">
        <v>2234</v>
      </c>
    </row>
    <row r="26" spans="1:7">
      <c r="A26" s="2" t="s">
        <v>634</v>
      </c>
    </row>
    <row r="28" spans="1:7" ht="14">
      <c r="F28" s="874"/>
    </row>
    <row r="29" spans="1:7" ht="14">
      <c r="F29" s="875"/>
    </row>
  </sheetData>
  <phoneticPr fontId="0" type="noConversion"/>
  <pageMargins left="0.57999999999999996" right="0.61" top="1.01" bottom="0.49" header="0.57999999999999996" footer="0.4921259845"/>
  <pageSetup paperSize="9" scale="81" orientation="portrait" horizontalDpi="4294967292" verticalDpi="4294967292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7573-B991-9A45-927F-6618A737D696}">
  <sheetPr>
    <pageSetUpPr fitToPage="1"/>
  </sheetPr>
  <dimension ref="A1:J86"/>
  <sheetViews>
    <sheetView zoomScale="75" workbookViewId="0">
      <selection activeCell="A76" sqref="A76:IV76"/>
    </sheetView>
  </sheetViews>
  <sheetFormatPr baseColWidth="10" defaultColWidth="11.3984375" defaultRowHeight="13"/>
  <cols>
    <col min="1" max="1" width="23.3984375" style="2" customWidth="1"/>
    <col min="2" max="3" width="15.796875" style="2" customWidth="1"/>
    <col min="4" max="6" width="14.19921875" style="2" customWidth="1"/>
    <col min="7" max="7" width="16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.75" customHeight="1">
      <c r="A2" s="1800" t="s">
        <v>1189</v>
      </c>
      <c r="B2" s="1804"/>
      <c r="C2" s="1804"/>
      <c r="D2" s="1804"/>
      <c r="E2" s="1804"/>
      <c r="F2" s="1804"/>
      <c r="G2" s="109">
        <v>2007</v>
      </c>
    </row>
    <row r="3" spans="1:10" ht="24" customHeight="1">
      <c r="A3" s="519" t="s">
        <v>1190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67" t="s">
        <v>1801</v>
      </c>
    </row>
    <row r="4" spans="1:10" ht="15" customHeight="1">
      <c r="A4" s="308"/>
      <c r="B4" s="114" t="s">
        <v>836</v>
      </c>
      <c r="C4" s="115" t="s">
        <v>837</v>
      </c>
      <c r="D4" s="114" t="s">
        <v>838</v>
      </c>
      <c r="E4" s="279" t="s">
        <v>839</v>
      </c>
      <c r="F4" s="114"/>
      <c r="G4" s="113" t="s">
        <v>1802</v>
      </c>
    </row>
    <row r="5" spans="1:10" ht="15" customHeight="1">
      <c r="A5" s="308"/>
      <c r="B5" s="114" t="s">
        <v>840</v>
      </c>
      <c r="C5" s="115" t="s">
        <v>841</v>
      </c>
      <c r="D5" s="114"/>
      <c r="E5" s="279" t="s">
        <v>842</v>
      </c>
      <c r="F5" s="114"/>
      <c r="G5" s="113" t="s">
        <v>1806</v>
      </c>
    </row>
    <row r="6" spans="1:10" ht="24" customHeight="1">
      <c r="A6" s="505" t="s">
        <v>517</v>
      </c>
      <c r="B6" s="120"/>
      <c r="C6" s="119"/>
      <c r="D6" s="120"/>
      <c r="E6" s="282" t="s">
        <v>843</v>
      </c>
      <c r="F6" s="120"/>
      <c r="G6" s="281"/>
    </row>
    <row r="7" spans="1:10" ht="2.25" customHeight="1" thickBot="1">
      <c r="A7" s="310">
        <v>1996</v>
      </c>
      <c r="B7" s="142">
        <v>1693.472957927004</v>
      </c>
      <c r="C7" s="291">
        <v>1112.5875100399426</v>
      </c>
      <c r="D7" s="142">
        <v>908.57038606702895</v>
      </c>
      <c r="E7" s="291">
        <v>879.61661091952851</v>
      </c>
      <c r="F7" s="142">
        <v>1490.5270087783663</v>
      </c>
      <c r="G7" s="680" t="s">
        <v>59</v>
      </c>
    </row>
    <row r="8" spans="1:10" ht="20" customHeight="1" thickBot="1">
      <c r="A8" s="312">
        <v>1997</v>
      </c>
      <c r="B8" s="144">
        <v>1740.7565036180117</v>
      </c>
      <c r="C8" s="297">
        <v>1408.0072046657929</v>
      </c>
      <c r="D8" s="144">
        <v>1179.3463740854293</v>
      </c>
      <c r="E8" s="297">
        <v>916.51587762677957</v>
      </c>
      <c r="F8" s="144">
        <v>1569.8943852604398</v>
      </c>
      <c r="G8" s="667">
        <v>5.3247862007628349E-2</v>
      </c>
      <c r="H8" s="9"/>
      <c r="I8" s="9"/>
      <c r="J8" s="9"/>
    </row>
    <row r="9" spans="1:10" ht="20" customHeight="1" thickBot="1">
      <c r="A9" s="312">
        <v>1998</v>
      </c>
      <c r="B9" s="144">
        <v>1748.6257046580097</v>
      </c>
      <c r="C9" s="297">
        <v>1582.236200997007</v>
      </c>
      <c r="D9" s="144">
        <v>542.85146212992356</v>
      </c>
      <c r="E9" s="297">
        <v>1187.8496276871122</v>
      </c>
      <c r="F9" s="144">
        <v>1645.8523332821831</v>
      </c>
      <c r="G9" s="667">
        <v>4.8384113437759779E-2</v>
      </c>
    </row>
    <row r="10" spans="1:10" ht="20" customHeight="1" thickBot="1">
      <c r="A10" s="312">
        <v>1999</v>
      </c>
      <c r="B10" s="144">
        <v>1943.9724380280036</v>
      </c>
      <c r="C10" s="297">
        <v>1446.076835760324</v>
      </c>
      <c r="D10" s="144">
        <v>631.35948452726836</v>
      </c>
      <c r="E10" s="297">
        <v>1322.850287189882</v>
      </c>
      <c r="F10" s="144">
        <v>1709.7272154599079</v>
      </c>
      <c r="G10" s="667">
        <v>3.880960696537377E-2</v>
      </c>
    </row>
    <row r="11" spans="1:10" ht="20" customHeight="1" thickBot="1">
      <c r="A11" s="312">
        <v>2000</v>
      </c>
      <c r="B11" s="144">
        <v>2061.7572370412531</v>
      </c>
      <c r="C11" s="297">
        <v>1559.5200327769257</v>
      </c>
      <c r="D11" s="144">
        <v>640.85618858059308</v>
      </c>
      <c r="E11" s="297">
        <v>1386.9243548352326</v>
      </c>
      <c r="F11" s="144">
        <v>1815.5684428845086</v>
      </c>
      <c r="G11" s="667">
        <v>6.1905329965827281E-2</v>
      </c>
    </row>
    <row r="12" spans="1:10" ht="20" customHeight="1" thickBot="1">
      <c r="A12" s="312">
        <v>2001</v>
      </c>
      <c r="B12" s="144">
        <v>2215.2521849633595</v>
      </c>
      <c r="C12" s="297">
        <v>1601.456447034876</v>
      </c>
      <c r="D12" s="144">
        <v>761.4942224833801</v>
      </c>
      <c r="E12" s="297">
        <v>1476.0910392091953</v>
      </c>
      <c r="F12" s="144">
        <v>1915.6520340553755</v>
      </c>
      <c r="G12" s="667">
        <v>5.5125209717711163E-2</v>
      </c>
    </row>
    <row r="13" spans="1:10" ht="20" customHeight="1" thickBot="1">
      <c r="A13" s="312">
        <v>2002</v>
      </c>
      <c r="B13" s="144">
        <v>2336.5480943488155</v>
      </c>
      <c r="C13" s="297">
        <v>1608.7398764542932</v>
      </c>
      <c r="D13" s="144">
        <v>759.86194884606937</v>
      </c>
      <c r="E13" s="297">
        <v>1636.2590696884934</v>
      </c>
      <c r="F13" s="144">
        <v>1986.8602053785678</v>
      </c>
      <c r="G13" s="667">
        <v>3.7171767135833575E-2</v>
      </c>
    </row>
    <row r="14" spans="1:10" ht="20" customHeight="1" thickBot="1">
      <c r="A14" s="312">
        <v>2003</v>
      </c>
      <c r="B14" s="144">
        <v>2543.8057035018146</v>
      </c>
      <c r="C14" s="297">
        <v>1656.5311093343439</v>
      </c>
      <c r="D14" s="144">
        <v>852.25259235500948</v>
      </c>
      <c r="E14" s="297">
        <v>1454.7088463142236</v>
      </c>
      <c r="F14" s="144">
        <v>2080.1097733239922</v>
      </c>
      <c r="G14" s="667">
        <v>4.6933129816074295E-2</v>
      </c>
    </row>
    <row r="15" spans="1:10" ht="20" customHeight="1" thickBot="1">
      <c r="A15" s="312">
        <v>2004</v>
      </c>
      <c r="B15" s="144">
        <v>2758.2074827327442</v>
      </c>
      <c r="C15" s="297">
        <v>1757.4292603708973</v>
      </c>
      <c r="D15" s="144">
        <v>905.21341172647249</v>
      </c>
      <c r="E15" s="297">
        <v>1373.0910592494565</v>
      </c>
      <c r="F15" s="144">
        <v>2208.6199102683881</v>
      </c>
      <c r="G15" s="667">
        <v>6.1780459181747037E-2</v>
      </c>
    </row>
    <row r="16" spans="1:10" ht="20" customHeight="1" thickBot="1">
      <c r="A16" s="312">
        <v>2005</v>
      </c>
      <c r="B16" s="144">
        <v>3045.7444736931438</v>
      </c>
      <c r="C16" s="297">
        <v>1742.6322440668202</v>
      </c>
      <c r="D16" s="144">
        <v>1002.5097658133579</v>
      </c>
      <c r="E16" s="297">
        <v>1428.4762573055013</v>
      </c>
      <c r="F16" s="144">
        <v>2333.6518397093009</v>
      </c>
      <c r="G16" s="667">
        <v>5.6610885766088748E-2</v>
      </c>
    </row>
    <row r="17" spans="1:7" ht="20" customHeight="1" thickBot="1">
      <c r="A17" s="312">
        <v>2006</v>
      </c>
      <c r="B17" s="144">
        <v>3255.1789461574645</v>
      </c>
      <c r="C17" s="297">
        <v>1735.686558346925</v>
      </c>
      <c r="D17" s="144">
        <v>1057.4282552437587</v>
      </c>
      <c r="E17" s="297">
        <v>1372.2570154496282</v>
      </c>
      <c r="F17" s="144">
        <v>2348.6103301629255</v>
      </c>
      <c r="G17" s="667">
        <v>6.409906653208397E-3</v>
      </c>
    </row>
    <row r="18" spans="1:7" ht="24" customHeight="1" thickBot="1">
      <c r="A18" s="396">
        <v>2007</v>
      </c>
      <c r="B18" s="338">
        <v>3503.0279381745177</v>
      </c>
      <c r="C18" s="339">
        <v>1860.6542092302925</v>
      </c>
      <c r="D18" s="338">
        <v>1116.1951590251049</v>
      </c>
      <c r="E18" s="339">
        <v>1455.6986782891856</v>
      </c>
      <c r="F18" s="338">
        <v>2444.2340609903572</v>
      </c>
      <c r="G18" s="936">
        <v>4.071502607280042E-2</v>
      </c>
    </row>
    <row r="19" spans="1:7" ht="20" customHeight="1">
      <c r="A19" s="133" t="s">
        <v>1256</v>
      </c>
      <c r="B19" s="133"/>
      <c r="C19" s="133"/>
      <c r="D19" s="133"/>
      <c r="E19" s="133"/>
      <c r="F19" s="133"/>
      <c r="G19" s="675"/>
    </row>
    <row r="20" spans="1:7">
      <c r="G20" s="676"/>
    </row>
    <row r="21" spans="1:7">
      <c r="A21" s="2" t="s">
        <v>2501</v>
      </c>
      <c r="G21" s="676"/>
    </row>
    <row r="22" spans="1:7">
      <c r="G22" s="676"/>
    </row>
    <row r="23" spans="1:7">
      <c r="G23" s="676"/>
    </row>
    <row r="24" spans="1:7" ht="16">
      <c r="A24" s="946" t="s">
        <v>2484</v>
      </c>
      <c r="G24" s="676"/>
    </row>
    <row r="25" spans="1:7">
      <c r="G25" s="676"/>
    </row>
    <row r="26" spans="1:7" ht="18" customHeight="1">
      <c r="A26" s="519" t="s">
        <v>1798</v>
      </c>
      <c r="B26" s="111" t="s">
        <v>832</v>
      </c>
      <c r="C26" s="112" t="s">
        <v>833</v>
      </c>
      <c r="D26" s="111" t="s">
        <v>834</v>
      </c>
      <c r="E26" s="112" t="s">
        <v>835</v>
      </c>
      <c r="F26" s="111" t="s">
        <v>629</v>
      </c>
      <c r="G26" s="660" t="s">
        <v>1801</v>
      </c>
    </row>
    <row r="27" spans="1:7" ht="18" customHeight="1">
      <c r="A27" s="620" t="s">
        <v>1803</v>
      </c>
      <c r="B27" s="114" t="s">
        <v>836</v>
      </c>
      <c r="C27" s="115" t="s">
        <v>837</v>
      </c>
      <c r="D27" s="114" t="s">
        <v>838</v>
      </c>
      <c r="E27" s="279" t="s">
        <v>839</v>
      </c>
      <c r="F27" s="114"/>
      <c r="G27" s="661" t="s">
        <v>1802</v>
      </c>
    </row>
    <row r="28" spans="1:7" ht="18" customHeight="1">
      <c r="A28" s="308"/>
      <c r="B28" s="114" t="s">
        <v>840</v>
      </c>
      <c r="C28" s="115" t="s">
        <v>841</v>
      </c>
      <c r="D28" s="114"/>
      <c r="E28" s="279" t="s">
        <v>842</v>
      </c>
      <c r="F28" s="114"/>
      <c r="G28" s="661" t="s">
        <v>1806</v>
      </c>
    </row>
    <row r="29" spans="1:7" ht="18" customHeight="1">
      <c r="A29" s="309" t="s">
        <v>533</v>
      </c>
      <c r="B29" s="120"/>
      <c r="C29" s="119"/>
      <c r="D29" s="120"/>
      <c r="E29" s="282" t="s">
        <v>843</v>
      </c>
      <c r="F29" s="120"/>
      <c r="G29" s="662"/>
    </row>
    <row r="30" spans="1:7" ht="2.25" customHeight="1" thickBot="1">
      <c r="A30" s="310">
        <v>1996</v>
      </c>
      <c r="B30" s="142" t="s">
        <v>59</v>
      </c>
      <c r="C30" s="291" t="s">
        <v>59</v>
      </c>
      <c r="D30" s="142" t="s">
        <v>59</v>
      </c>
      <c r="E30" s="291" t="s">
        <v>59</v>
      </c>
      <c r="F30" s="142" t="s">
        <v>59</v>
      </c>
      <c r="G30" s="680" t="s">
        <v>59</v>
      </c>
    </row>
    <row r="31" spans="1:7" ht="18" customHeight="1" thickBot="1">
      <c r="A31" s="312">
        <v>1997</v>
      </c>
      <c r="B31" s="144">
        <v>545.11</v>
      </c>
      <c r="C31" s="297">
        <v>379.19</v>
      </c>
      <c r="D31" s="144" t="s">
        <v>59</v>
      </c>
      <c r="E31" s="297">
        <v>330.14</v>
      </c>
      <c r="F31" s="144">
        <v>514.44000000000005</v>
      </c>
      <c r="G31" s="667" t="s">
        <v>59</v>
      </c>
    </row>
    <row r="32" spans="1:7" ht="18" customHeight="1" thickBot="1">
      <c r="A32" s="312">
        <v>1998</v>
      </c>
      <c r="B32" s="144">
        <v>582.69000000000005</v>
      </c>
      <c r="C32" s="297">
        <v>427.79</v>
      </c>
      <c r="D32" s="144">
        <v>363.44</v>
      </c>
      <c r="E32" s="297">
        <v>409.2</v>
      </c>
      <c r="F32" s="144">
        <v>551.9</v>
      </c>
      <c r="G32" s="667">
        <v>7.2817043775756041E-2</v>
      </c>
    </row>
    <row r="33" spans="1:7" ht="18" customHeight="1" thickBot="1">
      <c r="A33" s="312">
        <v>1999</v>
      </c>
      <c r="B33" s="144">
        <v>596.71</v>
      </c>
      <c r="C33" s="297">
        <v>438.27</v>
      </c>
      <c r="D33" s="144">
        <v>362.08</v>
      </c>
      <c r="E33" s="297">
        <v>442.11</v>
      </c>
      <c r="F33" s="144">
        <v>566.42999999999995</v>
      </c>
      <c r="G33" s="667">
        <v>2.6327233194419319E-2</v>
      </c>
    </row>
    <row r="34" spans="1:7" ht="18" customHeight="1" thickBot="1">
      <c r="A34" s="312">
        <v>2000</v>
      </c>
      <c r="B34" s="144">
        <v>629.75</v>
      </c>
      <c r="C34" s="297">
        <v>473.1</v>
      </c>
      <c r="D34" s="144">
        <v>328.35</v>
      </c>
      <c r="E34" s="297">
        <v>456.68</v>
      </c>
      <c r="F34" s="144">
        <v>597.91</v>
      </c>
      <c r="G34" s="667">
        <v>5.5576152393058242E-2</v>
      </c>
    </row>
    <row r="35" spans="1:7" ht="18" customHeight="1" thickBot="1">
      <c r="A35" s="312">
        <v>2001</v>
      </c>
      <c r="B35" s="144">
        <v>660.68</v>
      </c>
      <c r="C35" s="297">
        <v>493.06</v>
      </c>
      <c r="D35" s="144">
        <v>453.48</v>
      </c>
      <c r="E35" s="297">
        <v>481.08</v>
      </c>
      <c r="F35" s="144">
        <v>627.16</v>
      </c>
      <c r="G35" s="667">
        <v>4.8920406081182755E-2</v>
      </c>
    </row>
    <row r="36" spans="1:7" ht="18" customHeight="1" thickBot="1">
      <c r="A36" s="312">
        <v>2002</v>
      </c>
      <c r="B36" s="144">
        <v>673.37</v>
      </c>
      <c r="C36" s="297">
        <v>493.13</v>
      </c>
      <c r="D36" s="144">
        <v>415</v>
      </c>
      <c r="E36" s="297">
        <v>513.34</v>
      </c>
      <c r="F36" s="144">
        <v>640.42999999999995</v>
      </c>
      <c r="G36" s="667">
        <v>2.1158874928247862E-2</v>
      </c>
    </row>
    <row r="37" spans="1:7" ht="18" customHeight="1" thickBot="1">
      <c r="A37" s="312">
        <v>2003</v>
      </c>
      <c r="B37" s="144">
        <v>704.56</v>
      </c>
      <c r="C37" s="297">
        <v>488.81</v>
      </c>
      <c r="D37" s="144">
        <v>444.03</v>
      </c>
      <c r="E37" s="297">
        <v>517.22</v>
      </c>
      <c r="F37" s="144">
        <v>664.36</v>
      </c>
      <c r="G37" s="667">
        <v>3.73655200412224E-2</v>
      </c>
    </row>
    <row r="38" spans="1:7" ht="18" customHeight="1" thickBot="1">
      <c r="A38" s="312">
        <v>2004</v>
      </c>
      <c r="B38" s="144">
        <v>747.91</v>
      </c>
      <c r="C38" s="297">
        <v>490.78</v>
      </c>
      <c r="D38" s="144">
        <v>416.4</v>
      </c>
      <c r="E38" s="297">
        <v>551.54</v>
      </c>
      <c r="F38" s="144">
        <v>701.54</v>
      </c>
      <c r="G38" s="667">
        <v>5.5963634174242882E-2</v>
      </c>
    </row>
    <row r="39" spans="1:7" ht="18" customHeight="1" thickBot="1">
      <c r="A39" s="312">
        <v>2005</v>
      </c>
      <c r="B39" s="144">
        <v>816.65</v>
      </c>
      <c r="C39" s="297">
        <v>483.47</v>
      </c>
      <c r="D39" s="144">
        <v>403.89</v>
      </c>
      <c r="E39" s="297">
        <v>570.5</v>
      </c>
      <c r="F39" s="144">
        <v>754.24</v>
      </c>
      <c r="G39" s="667">
        <v>7.5120449297260361E-2</v>
      </c>
    </row>
    <row r="40" spans="1:7" ht="18" customHeight="1" thickBot="1">
      <c r="A40" s="312">
        <v>2006</v>
      </c>
      <c r="B40" s="144">
        <v>837.74</v>
      </c>
      <c r="C40" s="297">
        <v>467.03</v>
      </c>
      <c r="D40" s="144">
        <v>407.74</v>
      </c>
      <c r="E40" s="297">
        <v>580.69000000000005</v>
      </c>
      <c r="F40" s="144">
        <v>763.04</v>
      </c>
      <c r="G40" s="667">
        <v>1.1667373780229084E-2</v>
      </c>
    </row>
    <row r="41" spans="1:7" ht="18" customHeight="1" thickBot="1">
      <c r="A41" s="947">
        <v>2007</v>
      </c>
      <c r="B41" s="333">
        <v>856.98</v>
      </c>
      <c r="C41" s="362">
        <v>488.07</v>
      </c>
      <c r="D41" s="333">
        <v>605.46</v>
      </c>
      <c r="E41" s="362">
        <v>794.48</v>
      </c>
      <c r="F41" s="333">
        <v>810.32</v>
      </c>
      <c r="G41" s="936">
        <v>6.1962675613336238E-2</v>
      </c>
    </row>
    <row r="42" spans="1:7">
      <c r="A42" s="133"/>
      <c r="G42" s="676"/>
    </row>
    <row r="43" spans="1:7">
      <c r="G43" s="676"/>
    </row>
    <row r="44" spans="1:7" ht="18" customHeight="1">
      <c r="A44" s="519" t="s">
        <v>1135</v>
      </c>
      <c r="B44" s="111" t="s">
        <v>832</v>
      </c>
      <c r="C44" s="112" t="s">
        <v>833</v>
      </c>
      <c r="D44" s="111" t="s">
        <v>834</v>
      </c>
      <c r="E44" s="112" t="s">
        <v>835</v>
      </c>
      <c r="F44" s="111" t="s">
        <v>629</v>
      </c>
      <c r="G44" s="660" t="s">
        <v>1801</v>
      </c>
    </row>
    <row r="45" spans="1:7" ht="18" customHeight="1">
      <c r="A45" s="620" t="s">
        <v>1804</v>
      </c>
      <c r="B45" s="114" t="s">
        <v>836</v>
      </c>
      <c r="C45" s="115" t="s">
        <v>837</v>
      </c>
      <c r="D45" s="114" t="s">
        <v>838</v>
      </c>
      <c r="E45" s="279" t="s">
        <v>839</v>
      </c>
      <c r="F45" s="114"/>
      <c r="G45" s="661" t="s">
        <v>1802</v>
      </c>
    </row>
    <row r="46" spans="1:7" ht="18" customHeight="1">
      <c r="A46" s="308"/>
      <c r="B46" s="114" t="s">
        <v>840</v>
      </c>
      <c r="C46" s="115" t="s">
        <v>841</v>
      </c>
      <c r="D46" s="114"/>
      <c r="E46" s="279" t="s">
        <v>842</v>
      </c>
      <c r="F46" s="114"/>
      <c r="G46" s="661" t="s">
        <v>1806</v>
      </c>
    </row>
    <row r="47" spans="1:7" ht="18" customHeight="1">
      <c r="A47" s="309" t="s">
        <v>533</v>
      </c>
      <c r="B47" s="120"/>
      <c r="C47" s="119"/>
      <c r="D47" s="120"/>
      <c r="E47" s="282" t="s">
        <v>843</v>
      </c>
      <c r="F47" s="120"/>
      <c r="G47" s="662"/>
    </row>
    <row r="48" spans="1:7" ht="3" customHeight="1" thickBot="1">
      <c r="A48" s="310">
        <v>1996</v>
      </c>
      <c r="B48" s="142" t="s">
        <v>59</v>
      </c>
      <c r="C48" s="291" t="s">
        <v>59</v>
      </c>
      <c r="D48" s="142" t="s">
        <v>59</v>
      </c>
      <c r="E48" s="291" t="s">
        <v>59</v>
      </c>
      <c r="F48" s="142" t="s">
        <v>59</v>
      </c>
      <c r="G48" s="680" t="s">
        <v>59</v>
      </c>
    </row>
    <row r="49" spans="1:7" ht="18" customHeight="1" thickBot="1">
      <c r="A49" s="312">
        <v>1997</v>
      </c>
      <c r="B49" s="144">
        <v>828.31</v>
      </c>
      <c r="C49" s="297">
        <v>559.74</v>
      </c>
      <c r="D49" s="144" t="s">
        <v>59</v>
      </c>
      <c r="E49" s="297">
        <v>403.15</v>
      </c>
      <c r="F49" s="144">
        <v>710.67</v>
      </c>
      <c r="G49" s="667" t="s">
        <v>59</v>
      </c>
    </row>
    <row r="50" spans="1:7" ht="18" customHeight="1" thickBot="1">
      <c r="A50" s="312">
        <v>1998</v>
      </c>
      <c r="B50" s="144">
        <v>873.53</v>
      </c>
      <c r="C50" s="297">
        <v>593.55999999999995</v>
      </c>
      <c r="D50" s="144">
        <v>462.8</v>
      </c>
      <c r="E50" s="297">
        <v>440.16</v>
      </c>
      <c r="F50" s="144">
        <v>720.82</v>
      </c>
      <c r="G50" s="667">
        <v>1.4282296987350174E-2</v>
      </c>
    </row>
    <row r="51" spans="1:7" ht="18" customHeight="1" thickBot="1">
      <c r="A51" s="312">
        <v>1999</v>
      </c>
      <c r="B51" s="144">
        <v>856.59</v>
      </c>
      <c r="C51" s="297">
        <v>636.57000000000005</v>
      </c>
      <c r="D51" s="144">
        <v>495.98</v>
      </c>
      <c r="E51" s="297">
        <v>488.53</v>
      </c>
      <c r="F51" s="144">
        <v>737.62</v>
      </c>
      <c r="G51" s="667">
        <v>2.3306789489747626E-2</v>
      </c>
    </row>
    <row r="52" spans="1:7" ht="18" customHeight="1" thickBot="1">
      <c r="A52" s="312">
        <v>2000</v>
      </c>
      <c r="B52" s="144">
        <v>917.29</v>
      </c>
      <c r="C52" s="297">
        <v>673.97</v>
      </c>
      <c r="D52" s="144">
        <v>496.44</v>
      </c>
      <c r="E52" s="297">
        <v>543.66</v>
      </c>
      <c r="F52" s="144">
        <v>787.29</v>
      </c>
      <c r="G52" s="667">
        <v>6.7338195818985369E-2</v>
      </c>
    </row>
    <row r="53" spans="1:7" ht="18" customHeight="1" thickBot="1">
      <c r="A53" s="312">
        <v>2001</v>
      </c>
      <c r="B53" s="144">
        <v>985.66</v>
      </c>
      <c r="C53" s="297">
        <v>660.7</v>
      </c>
      <c r="D53" s="144" t="s">
        <v>59</v>
      </c>
      <c r="E53" s="297">
        <v>575.52</v>
      </c>
      <c r="F53" s="144">
        <v>820.79</v>
      </c>
      <c r="G53" s="667">
        <v>4.2551029480877522E-2</v>
      </c>
    </row>
    <row r="54" spans="1:7" ht="18" customHeight="1" thickBot="1">
      <c r="A54" s="312">
        <v>2002</v>
      </c>
      <c r="B54" s="144">
        <v>1055.77</v>
      </c>
      <c r="C54" s="297">
        <v>633.61</v>
      </c>
      <c r="D54" s="144" t="s">
        <v>59</v>
      </c>
      <c r="E54" s="297">
        <v>590.74</v>
      </c>
      <c r="F54" s="144">
        <v>831.97</v>
      </c>
      <c r="G54" s="667">
        <v>1.3621023647949038E-2</v>
      </c>
    </row>
    <row r="55" spans="1:7" ht="18" customHeight="1" thickBot="1">
      <c r="A55" s="312">
        <v>2003</v>
      </c>
      <c r="B55" s="144">
        <v>1148.42</v>
      </c>
      <c r="C55" s="297">
        <v>614.30999999999995</v>
      </c>
      <c r="D55" s="144" t="s">
        <v>59</v>
      </c>
      <c r="E55" s="297">
        <v>584.67999999999995</v>
      </c>
      <c r="F55" s="144">
        <v>853.64</v>
      </c>
      <c r="G55" s="667">
        <v>2.6046612257653479E-2</v>
      </c>
    </row>
    <row r="56" spans="1:7" ht="18" customHeight="1" thickBot="1">
      <c r="A56" s="312">
        <v>2004</v>
      </c>
      <c r="B56" s="144">
        <v>1173.74</v>
      </c>
      <c r="C56" s="297">
        <v>628.03</v>
      </c>
      <c r="D56" s="144" t="s">
        <v>59</v>
      </c>
      <c r="E56" s="297">
        <v>605.5</v>
      </c>
      <c r="F56" s="144">
        <v>876.55</v>
      </c>
      <c r="G56" s="667">
        <v>2.6838011339674672E-2</v>
      </c>
    </row>
    <row r="57" spans="1:7" ht="18" customHeight="1" thickBot="1">
      <c r="A57" s="312">
        <v>2005</v>
      </c>
      <c r="B57" s="144">
        <v>1262.96</v>
      </c>
      <c r="C57" s="297">
        <v>584.52</v>
      </c>
      <c r="D57" s="144">
        <v>714.96</v>
      </c>
      <c r="E57" s="297">
        <v>580.20000000000005</v>
      </c>
      <c r="F57" s="144">
        <v>890.22</v>
      </c>
      <c r="G57" s="667">
        <v>1.5595231304546209E-2</v>
      </c>
    </row>
    <row r="58" spans="1:7" ht="18" customHeight="1" thickBot="1">
      <c r="A58" s="312">
        <v>2006</v>
      </c>
      <c r="B58" s="144">
        <v>1287.49</v>
      </c>
      <c r="C58" s="297">
        <v>542.64</v>
      </c>
      <c r="D58" s="144">
        <v>485.45</v>
      </c>
      <c r="E58" s="297">
        <v>575.54999999999995</v>
      </c>
      <c r="F58" s="144">
        <v>867.53</v>
      </c>
      <c r="G58" s="667">
        <v>-2.5488081597807355E-2</v>
      </c>
    </row>
    <row r="59" spans="1:7" ht="18" customHeight="1" thickBot="1">
      <c r="A59" s="947">
        <v>2007</v>
      </c>
      <c r="B59" s="333">
        <v>1284.26</v>
      </c>
      <c r="C59" s="362">
        <v>507.79</v>
      </c>
      <c r="D59" s="333">
        <v>533.75</v>
      </c>
      <c r="E59" s="362">
        <v>714.72</v>
      </c>
      <c r="F59" s="333">
        <v>881.08</v>
      </c>
      <c r="G59" s="936">
        <v>1.5619056401507736E-2</v>
      </c>
    </row>
    <row r="60" spans="1:7">
      <c r="D60" s="4"/>
      <c r="E60" s="4"/>
      <c r="F60" s="4"/>
      <c r="G60" s="676"/>
    </row>
    <row r="61" spans="1:7">
      <c r="D61" s="4"/>
      <c r="E61" s="4"/>
      <c r="F61" s="4"/>
      <c r="G61" s="676"/>
    </row>
    <row r="62" spans="1:7" ht="18.75" customHeight="1">
      <c r="A62" s="519" t="s">
        <v>1973</v>
      </c>
      <c r="B62" s="111" t="s">
        <v>832</v>
      </c>
      <c r="C62" s="112" t="s">
        <v>833</v>
      </c>
      <c r="D62" s="111" t="s">
        <v>834</v>
      </c>
      <c r="E62" s="112" t="s">
        <v>835</v>
      </c>
      <c r="F62" s="111" t="s">
        <v>629</v>
      </c>
      <c r="G62" s="660" t="s">
        <v>1801</v>
      </c>
    </row>
    <row r="63" spans="1:7" ht="18.75" customHeight="1">
      <c r="A63" s="620" t="s">
        <v>1974</v>
      </c>
      <c r="B63" s="114" t="s">
        <v>836</v>
      </c>
      <c r="C63" s="115" t="s">
        <v>837</v>
      </c>
      <c r="D63" s="114" t="s">
        <v>838</v>
      </c>
      <c r="E63" s="279" t="s">
        <v>839</v>
      </c>
      <c r="F63" s="114"/>
      <c r="G63" s="661" t="s">
        <v>1802</v>
      </c>
    </row>
    <row r="64" spans="1:7" ht="18.75" customHeight="1">
      <c r="A64" s="308"/>
      <c r="B64" s="114" t="s">
        <v>840</v>
      </c>
      <c r="C64" s="115" t="s">
        <v>841</v>
      </c>
      <c r="D64" s="114"/>
      <c r="E64" s="279" t="s">
        <v>842</v>
      </c>
      <c r="F64" s="114"/>
      <c r="G64" s="661" t="s">
        <v>1806</v>
      </c>
    </row>
    <row r="65" spans="1:7" ht="18.75" customHeight="1">
      <c r="A65" s="309" t="s">
        <v>533</v>
      </c>
      <c r="B65" s="120"/>
      <c r="C65" s="119"/>
      <c r="D65" s="120"/>
      <c r="E65" s="282" t="s">
        <v>843</v>
      </c>
      <c r="F65" s="120"/>
      <c r="G65" s="662"/>
    </row>
    <row r="66" spans="1:7" ht="1.5" customHeight="1" thickBot="1">
      <c r="A66" s="310">
        <v>1996</v>
      </c>
      <c r="B66" s="142" t="s">
        <v>59</v>
      </c>
      <c r="C66" s="291" t="s">
        <v>59</v>
      </c>
      <c r="D66" s="142" t="s">
        <v>59</v>
      </c>
      <c r="E66" s="291" t="s">
        <v>59</v>
      </c>
      <c r="F66" s="142" t="s">
        <v>59</v>
      </c>
      <c r="G66" s="680" t="s">
        <v>59</v>
      </c>
    </row>
    <row r="67" spans="1:7" ht="18.75" customHeight="1" thickBot="1">
      <c r="A67" s="312">
        <v>1997</v>
      </c>
      <c r="B67" s="144">
        <v>2553.6</v>
      </c>
      <c r="C67" s="297">
        <v>1490.87</v>
      </c>
      <c r="D67" s="144" t="s">
        <v>59</v>
      </c>
      <c r="E67" s="297">
        <v>999.25</v>
      </c>
      <c r="F67" s="144">
        <v>1974.25</v>
      </c>
      <c r="G67" s="667" t="s">
        <v>59</v>
      </c>
    </row>
    <row r="68" spans="1:7" ht="18.75" customHeight="1" thickBot="1">
      <c r="A68" s="312">
        <v>1998</v>
      </c>
      <c r="B68" s="144">
        <v>2601.9299999999998</v>
      </c>
      <c r="C68" s="297">
        <v>1682.57</v>
      </c>
      <c r="D68" s="144">
        <v>581.41</v>
      </c>
      <c r="E68" s="297">
        <v>1300.21</v>
      </c>
      <c r="F68" s="144">
        <v>2092.48</v>
      </c>
      <c r="G68" s="667">
        <v>5.9886032670634526E-2</v>
      </c>
    </row>
    <row r="69" spans="1:7" ht="18.75" customHeight="1" thickBot="1">
      <c r="A69" s="312">
        <v>1999</v>
      </c>
      <c r="B69" s="144">
        <v>2790.72</v>
      </c>
      <c r="C69" s="297">
        <v>1676.63</v>
      </c>
      <c r="D69" s="144">
        <v>628.47</v>
      </c>
      <c r="E69" s="297">
        <v>1466.13</v>
      </c>
      <c r="F69" s="144">
        <v>2185.0300000000002</v>
      </c>
      <c r="G69" s="667">
        <v>4.4229813427129727E-2</v>
      </c>
    </row>
    <row r="70" spans="1:7" ht="18.75" customHeight="1" thickBot="1">
      <c r="A70" s="312">
        <v>2000</v>
      </c>
      <c r="B70" s="144">
        <v>3052.4</v>
      </c>
      <c r="C70" s="297">
        <v>1789.05</v>
      </c>
      <c r="D70" s="144">
        <v>575.94000000000005</v>
      </c>
      <c r="E70" s="297">
        <v>1591.54</v>
      </c>
      <c r="F70" s="144">
        <v>2348.13</v>
      </c>
      <c r="G70" s="667">
        <v>7.4644284060173094E-2</v>
      </c>
    </row>
    <row r="71" spans="1:7" ht="18.75" customHeight="1" thickBot="1">
      <c r="A71" s="312">
        <v>2001</v>
      </c>
      <c r="B71" s="144">
        <v>3292.81</v>
      </c>
      <c r="C71" s="297">
        <v>1845.88</v>
      </c>
      <c r="D71" s="144">
        <v>742.01</v>
      </c>
      <c r="E71" s="297">
        <v>1662.99</v>
      </c>
      <c r="F71" s="144">
        <v>2475.4499999999998</v>
      </c>
      <c r="G71" s="667">
        <v>5.4221870169028019E-2</v>
      </c>
    </row>
    <row r="72" spans="1:7" ht="18.75" customHeight="1" thickBot="1">
      <c r="A72" s="312">
        <v>2002</v>
      </c>
      <c r="B72" s="144">
        <v>3510.96</v>
      </c>
      <c r="C72" s="297">
        <v>1862.31</v>
      </c>
      <c r="D72" s="144">
        <v>758.7</v>
      </c>
      <c r="E72" s="297">
        <v>1701.35</v>
      </c>
      <c r="F72" s="144">
        <v>2560.0700000000002</v>
      </c>
      <c r="G72" s="667">
        <v>3.4183683774667406E-2</v>
      </c>
    </row>
    <row r="73" spans="1:7" ht="18.75" customHeight="1" thickBot="1">
      <c r="A73" s="312">
        <v>2003</v>
      </c>
      <c r="B73" s="144">
        <v>3846.7</v>
      </c>
      <c r="C73" s="297">
        <v>1889.85</v>
      </c>
      <c r="D73" s="144">
        <v>849.57</v>
      </c>
      <c r="E73" s="297">
        <v>1588.19</v>
      </c>
      <c r="F73" s="144">
        <v>2673.16</v>
      </c>
      <c r="G73" s="667">
        <v>4.417457335150976E-2</v>
      </c>
    </row>
    <row r="74" spans="1:7" ht="18.75" customHeight="1" thickBot="1">
      <c r="A74" s="312">
        <v>2004</v>
      </c>
      <c r="B74" s="144">
        <v>3993.1</v>
      </c>
      <c r="C74" s="297">
        <v>1997.31</v>
      </c>
      <c r="D74" s="144">
        <v>973.4</v>
      </c>
      <c r="E74" s="297">
        <v>1687.36</v>
      </c>
      <c r="F74" s="144">
        <v>2810.53</v>
      </c>
      <c r="G74" s="667">
        <v>5.1388618713432921E-2</v>
      </c>
    </row>
    <row r="75" spans="1:7" ht="18.75" customHeight="1" thickBot="1">
      <c r="A75" s="312">
        <v>2005</v>
      </c>
      <c r="B75" s="144">
        <v>4332.03</v>
      </c>
      <c r="C75" s="297">
        <v>1958.97</v>
      </c>
      <c r="D75" s="144">
        <v>1024.46</v>
      </c>
      <c r="E75" s="297">
        <v>1745.99</v>
      </c>
      <c r="F75" s="144">
        <v>2951.91</v>
      </c>
      <c r="G75" s="667">
        <v>5.0303679377199151E-2</v>
      </c>
    </row>
    <row r="76" spans="1:7" ht="18.75" customHeight="1" thickBot="1">
      <c r="A76" s="312">
        <v>2006</v>
      </c>
      <c r="B76" s="144">
        <v>4557.88</v>
      </c>
      <c r="C76" s="297">
        <v>1915.05</v>
      </c>
      <c r="D76" s="144">
        <v>1085.1300000000001</v>
      </c>
      <c r="E76" s="297">
        <v>1767.29</v>
      </c>
      <c r="F76" s="144">
        <v>2973.8</v>
      </c>
      <c r="G76" s="667">
        <v>7.4155377365843211E-3</v>
      </c>
    </row>
    <row r="77" spans="1:7" ht="18.75" customHeight="1" thickBot="1">
      <c r="A77" s="947">
        <v>2007</v>
      </c>
      <c r="B77" s="333">
        <v>4670.6099999999997</v>
      </c>
      <c r="C77" s="362">
        <v>1973.62</v>
      </c>
      <c r="D77" s="333">
        <v>1160.8</v>
      </c>
      <c r="E77" s="362">
        <v>2159.4</v>
      </c>
      <c r="F77" s="333">
        <v>3078.72</v>
      </c>
      <c r="G77" s="936">
        <v>3.5281458067119464E-2</v>
      </c>
    </row>
    <row r="78" spans="1:7" ht="15" customHeight="1">
      <c r="A78" s="380" t="s">
        <v>1069</v>
      </c>
    </row>
    <row r="80" spans="1:7">
      <c r="A80" s="3" t="s">
        <v>1975</v>
      </c>
    </row>
    <row r="82" spans="1:1">
      <c r="A82" s="3" t="s">
        <v>2233</v>
      </c>
    </row>
    <row r="83" spans="1:1">
      <c r="A83" s="2" t="s">
        <v>2485</v>
      </c>
    </row>
    <row r="86" spans="1:1">
      <c r="A86" s="2" t="s">
        <v>634</v>
      </c>
    </row>
  </sheetData>
  <mergeCells count="1">
    <mergeCell ref="A2:F2"/>
  </mergeCells>
  <phoneticPr fontId="0" type="noConversion"/>
  <pageMargins left="0.56000000000000005" right="0.38" top="0.48" bottom="0.49" header="0.36" footer="0.4921259845"/>
  <pageSetup paperSize="9" scale="54" orientation="portrait" horizontalDpi="1200" verticalDpi="12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D98E-D386-BD4B-8587-493D7438BC40}">
  <sheetPr>
    <pageSetUpPr fitToPage="1"/>
  </sheetPr>
  <dimension ref="A1:I17"/>
  <sheetViews>
    <sheetView topLeftCell="A2" zoomScale="75" workbookViewId="0">
      <selection activeCell="A13" sqref="A13"/>
    </sheetView>
  </sheetViews>
  <sheetFormatPr baseColWidth="10" defaultColWidth="11.3984375" defaultRowHeight="13"/>
  <cols>
    <col min="1" max="1" width="19.3984375" style="2" customWidth="1"/>
    <col min="2" max="2" width="16.3984375" style="2" customWidth="1"/>
    <col min="3" max="4" width="17.19921875" style="2" customWidth="1"/>
    <col min="5" max="5" width="18.19921875" style="2" customWidth="1"/>
    <col min="6" max="7" width="13.3984375" style="2" customWidth="1"/>
    <col min="8" max="8" width="11.3984375" style="2"/>
    <col min="9" max="9" width="15.796875" style="2" hidden="1" customWidth="1"/>
    <col min="10" max="16384" width="11.3984375" style="2"/>
  </cols>
  <sheetData>
    <row r="1" spans="1:9" ht="14" customHeight="1">
      <c r="A1" s="490"/>
      <c r="B1" s="3"/>
      <c r="C1" s="3"/>
      <c r="D1" s="3"/>
      <c r="E1" s="3"/>
      <c r="F1" s="3"/>
      <c r="G1" s="3"/>
      <c r="I1" s="3"/>
    </row>
    <row r="2" spans="1:9" ht="27.75" customHeight="1">
      <c r="A2" s="354" t="s">
        <v>2488</v>
      </c>
      <c r="B2" s="355"/>
      <c r="C2" s="355"/>
      <c r="D2" s="355"/>
      <c r="E2" s="355"/>
      <c r="F2" s="355"/>
      <c r="G2" s="321">
        <v>2007</v>
      </c>
      <c r="I2" s="3"/>
    </row>
    <row r="3" spans="1:9" ht="24" customHeight="1">
      <c r="A3" s="110" t="s">
        <v>1199</v>
      </c>
      <c r="B3" s="111" t="s">
        <v>891</v>
      </c>
      <c r="C3" s="112" t="s">
        <v>892</v>
      </c>
      <c r="D3" s="111" t="s">
        <v>1798</v>
      </c>
      <c r="E3" s="112" t="s">
        <v>629</v>
      </c>
      <c r="F3" s="111" t="s">
        <v>430</v>
      </c>
      <c r="G3" s="112" t="s">
        <v>1801</v>
      </c>
      <c r="I3" s="112" t="s">
        <v>629</v>
      </c>
    </row>
    <row r="4" spans="1:9" ht="15" customHeight="1">
      <c r="A4" s="308"/>
      <c r="B4" s="114"/>
      <c r="C4" s="115"/>
      <c r="D4" s="114"/>
      <c r="E4" s="279"/>
      <c r="F4" s="114" t="s">
        <v>431</v>
      </c>
      <c r="G4" s="115" t="s">
        <v>1802</v>
      </c>
      <c r="I4" s="279">
        <v>1999</v>
      </c>
    </row>
    <row r="5" spans="1:9" ht="15" customHeight="1">
      <c r="A5" s="113"/>
      <c r="B5" s="114"/>
      <c r="C5" s="115"/>
      <c r="D5" s="114"/>
      <c r="E5" s="115"/>
      <c r="F5" s="114" t="s">
        <v>493</v>
      </c>
      <c r="G5" s="115" t="s">
        <v>1806</v>
      </c>
      <c r="I5" s="115"/>
    </row>
    <row r="6" spans="1:9" ht="24" customHeight="1">
      <c r="A6" s="506"/>
      <c r="B6" s="535"/>
      <c r="C6" s="536"/>
      <c r="D6" s="535"/>
      <c r="E6" s="536"/>
      <c r="F6" s="120"/>
      <c r="G6" s="119"/>
      <c r="I6" s="536"/>
    </row>
    <row r="7" spans="1:9" ht="36" customHeight="1" thickBot="1">
      <c r="A7" s="593" t="s">
        <v>1200</v>
      </c>
      <c r="B7" s="172">
        <v>4496146758.3000002</v>
      </c>
      <c r="C7" s="173">
        <v>6758105193.79</v>
      </c>
      <c r="D7" s="172">
        <v>975645869.17999995</v>
      </c>
      <c r="E7" s="173">
        <v>12229897821.27</v>
      </c>
      <c r="F7" s="538">
        <v>0.5667581518280751</v>
      </c>
      <c r="G7" s="539">
        <v>5.9426892563197095E-3</v>
      </c>
      <c r="I7" s="876">
        <v>6794064715</v>
      </c>
    </row>
    <row r="8" spans="1:9" ht="31.5" customHeight="1" thickBot="1">
      <c r="A8" s="593" t="s">
        <v>1201</v>
      </c>
      <c r="B8" s="172">
        <v>2530985748.73</v>
      </c>
      <c r="C8" s="173">
        <v>3424587237.8499999</v>
      </c>
      <c r="D8" s="172">
        <v>102949189.29000001</v>
      </c>
      <c r="E8" s="173">
        <v>6058522175.8699999</v>
      </c>
      <c r="F8" s="538">
        <v>0.28076414712424136</v>
      </c>
      <c r="G8" s="539">
        <v>-1.5092111594995607E-2</v>
      </c>
      <c r="I8" s="876">
        <v>5396193285</v>
      </c>
    </row>
    <row r="9" spans="1:9" ht="33" customHeight="1" thickBot="1">
      <c r="A9" s="593" t="s">
        <v>1202</v>
      </c>
      <c r="B9" s="172">
        <v>5221280.57</v>
      </c>
      <c r="C9" s="173">
        <v>3729869.73</v>
      </c>
      <c r="D9" s="172">
        <v>61432.18</v>
      </c>
      <c r="E9" s="173">
        <v>9012582.4800000004</v>
      </c>
      <c r="F9" s="538">
        <v>4.1766126456749578E-4</v>
      </c>
      <c r="G9" s="539">
        <v>1.803190282286796E-2</v>
      </c>
      <c r="I9" s="876">
        <v>15330070</v>
      </c>
    </row>
    <row r="10" spans="1:9" ht="34.5" customHeight="1" thickBot="1">
      <c r="A10" s="593" t="s">
        <v>357</v>
      </c>
      <c r="B10" s="172">
        <v>1238681243.8099999</v>
      </c>
      <c r="C10" s="173">
        <v>1767294657.3299999</v>
      </c>
      <c r="D10" s="172">
        <v>275280386.41000003</v>
      </c>
      <c r="E10" s="173">
        <v>3281256287.5499997</v>
      </c>
      <c r="F10" s="538">
        <v>0.1520600397798722</v>
      </c>
      <c r="G10" s="539">
        <v>0.43614538190214025</v>
      </c>
      <c r="I10" s="876">
        <v>828254703</v>
      </c>
    </row>
    <row r="11" spans="1:9" s="419" customFormat="1" ht="38.25" customHeight="1" thickBot="1">
      <c r="A11" s="546" t="s">
        <v>629</v>
      </c>
      <c r="B11" s="347">
        <v>8271035031.4300003</v>
      </c>
      <c r="C11" s="346">
        <v>11953716958.73</v>
      </c>
      <c r="D11" s="347">
        <v>1353936877.0799999</v>
      </c>
      <c r="E11" s="346">
        <v>21578688867.239998</v>
      </c>
      <c r="F11" s="877">
        <v>1</v>
      </c>
      <c r="G11" s="598">
        <v>4.737560661936082E-2</v>
      </c>
      <c r="I11" s="878">
        <v>13033842773</v>
      </c>
    </row>
    <row r="12" spans="1:9" ht="19.5" customHeight="1">
      <c r="A12" s="133" t="s">
        <v>1256</v>
      </c>
      <c r="B12" s="133"/>
      <c r="C12" s="133"/>
      <c r="D12" s="133"/>
      <c r="E12" s="133"/>
      <c r="F12" s="133"/>
      <c r="G12" s="133"/>
      <c r="I12" s="133"/>
    </row>
    <row r="14" spans="1:9">
      <c r="A14" s="2" t="s">
        <v>2489</v>
      </c>
    </row>
    <row r="17" spans="1:1">
      <c r="A17" s="2" t="s">
        <v>634</v>
      </c>
    </row>
  </sheetData>
  <phoneticPr fontId="0" type="noConversion"/>
  <pageMargins left="0.57999999999999996" right="0.63" top="1.01" bottom="0.49" header="0.59" footer="0.4921259845"/>
  <pageSetup paperSize="9" scale="79" orientation="portrait" horizontalDpi="4294967292" verticalDpi="4294967292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5619-7C33-D544-8CAE-8944B884C498}">
  <sheetPr>
    <pageSetUpPr fitToPage="1"/>
  </sheetPr>
  <dimension ref="A1:G20"/>
  <sheetViews>
    <sheetView topLeftCell="A3" zoomScale="75" workbookViewId="0">
      <selection activeCell="A20" sqref="A20"/>
    </sheetView>
  </sheetViews>
  <sheetFormatPr baseColWidth="10" defaultColWidth="11.3984375" defaultRowHeight="13"/>
  <cols>
    <col min="1" max="1" width="20.59765625" style="2" customWidth="1"/>
    <col min="2" max="6" width="14.796875" style="2" customWidth="1"/>
    <col min="7" max="7" width="14.59765625" style="2" customWidth="1"/>
    <col min="8" max="8" width="10.3984375" style="2" customWidth="1"/>
    <col min="9" max="16384" width="11.3984375" style="2"/>
  </cols>
  <sheetData>
    <row r="1" spans="1:7" ht="14" customHeight="1">
      <c r="A1" s="490"/>
      <c r="B1" s="3"/>
      <c r="C1" s="3"/>
      <c r="D1" s="3"/>
      <c r="E1" s="3"/>
      <c r="F1" s="3"/>
      <c r="G1" s="3"/>
    </row>
    <row r="2" spans="1:7" ht="28.5" customHeight="1">
      <c r="A2" s="1800" t="s">
        <v>2490</v>
      </c>
      <c r="B2" s="1804"/>
      <c r="C2" s="1804"/>
      <c r="D2" s="1804"/>
      <c r="E2" s="1804"/>
      <c r="F2" s="1804"/>
      <c r="G2" s="321">
        <v>2007</v>
      </c>
    </row>
    <row r="3" spans="1:7" ht="24" customHeight="1">
      <c r="A3" s="110" t="s">
        <v>2494</v>
      </c>
      <c r="B3" s="111" t="s">
        <v>891</v>
      </c>
      <c r="C3" s="112" t="s">
        <v>892</v>
      </c>
      <c r="D3" s="111" t="s">
        <v>1798</v>
      </c>
      <c r="E3" s="112" t="s">
        <v>629</v>
      </c>
      <c r="F3" s="111" t="s">
        <v>1964</v>
      </c>
      <c r="G3" s="112" t="s">
        <v>1801</v>
      </c>
    </row>
    <row r="4" spans="1:7" ht="15" customHeight="1">
      <c r="A4" s="308"/>
      <c r="B4" s="114"/>
      <c r="C4" s="115"/>
      <c r="D4" s="114"/>
      <c r="E4" s="279"/>
      <c r="F4" s="114" t="s">
        <v>1965</v>
      </c>
      <c r="G4" s="115" t="s">
        <v>1802</v>
      </c>
    </row>
    <row r="5" spans="1:7" ht="15" customHeight="1">
      <c r="A5" s="113"/>
      <c r="B5" s="114"/>
      <c r="C5" s="115"/>
      <c r="D5" s="114"/>
      <c r="E5" s="115"/>
      <c r="F5" s="114" t="s">
        <v>1966</v>
      </c>
      <c r="G5" s="115" t="s">
        <v>1806</v>
      </c>
    </row>
    <row r="6" spans="1:7" ht="24" customHeight="1">
      <c r="A6" s="506"/>
      <c r="B6" s="535"/>
      <c r="C6" s="536"/>
      <c r="D6" s="535"/>
      <c r="E6" s="536"/>
      <c r="F6" s="120"/>
      <c r="G6" s="119"/>
    </row>
    <row r="7" spans="1:7" ht="37.5" customHeight="1" thickBot="1">
      <c r="A7" s="593" t="s">
        <v>1200</v>
      </c>
      <c r="B7" s="172">
        <v>4850.24</v>
      </c>
      <c r="C7" s="173">
        <v>5586.95</v>
      </c>
      <c r="D7" s="172">
        <v>987.48</v>
      </c>
      <c r="E7" s="173">
        <v>3903.58</v>
      </c>
      <c r="F7" s="172">
        <v>1040.77</v>
      </c>
      <c r="G7" s="539">
        <v>7.3394066549893125E-2</v>
      </c>
    </row>
    <row r="8" spans="1:7" ht="34.5" customHeight="1" thickBot="1">
      <c r="A8" s="593" t="s">
        <v>1201</v>
      </c>
      <c r="B8" s="172">
        <v>1984.16</v>
      </c>
      <c r="C8" s="173">
        <v>2945.83</v>
      </c>
      <c r="D8" s="172">
        <v>751.56</v>
      </c>
      <c r="E8" s="173">
        <v>2360.81</v>
      </c>
      <c r="F8" s="172">
        <v>-502</v>
      </c>
      <c r="G8" s="539">
        <v>6.5631192420364678E-2</v>
      </c>
    </row>
    <row r="9" spans="1:7" ht="35.25" customHeight="1" thickBot="1">
      <c r="A9" s="593" t="s">
        <v>1202</v>
      </c>
      <c r="B9" s="172">
        <v>1180.57</v>
      </c>
      <c r="C9" s="173">
        <v>1580.05</v>
      </c>
      <c r="D9" s="172">
        <v>552.02</v>
      </c>
      <c r="E9" s="173">
        <v>1312.45</v>
      </c>
      <c r="F9" s="172">
        <v>-1550.36</v>
      </c>
      <c r="G9" s="539">
        <v>6.6217687295887687E-2</v>
      </c>
    </row>
    <row r="10" spans="1:7" ht="34.5" customHeight="1" thickBot="1">
      <c r="A10" s="593" t="s">
        <v>357</v>
      </c>
      <c r="B10" s="172">
        <v>1731.97</v>
      </c>
      <c r="C10" s="173">
        <v>2419.4699999999998</v>
      </c>
      <c r="D10" s="172">
        <v>714.39</v>
      </c>
      <c r="E10" s="173">
        <v>1791.63</v>
      </c>
      <c r="F10" s="172">
        <v>-1071.18</v>
      </c>
      <c r="G10" s="539">
        <v>5.9828807032280641E-2</v>
      </c>
    </row>
    <row r="11" spans="1:7" ht="36" customHeight="1" thickBot="1">
      <c r="A11" s="546" t="s">
        <v>629</v>
      </c>
      <c r="B11" s="347">
        <v>2830.42</v>
      </c>
      <c r="C11" s="346">
        <v>3849.89</v>
      </c>
      <c r="D11" s="347">
        <v>896.38</v>
      </c>
      <c r="E11" s="346">
        <v>2862.81</v>
      </c>
      <c r="F11" s="347">
        <v>0</v>
      </c>
      <c r="G11" s="598">
        <v>3.9155117715812281E-2</v>
      </c>
    </row>
    <row r="12" spans="1:7" ht="19.5" customHeight="1">
      <c r="A12" s="133" t="s">
        <v>1256</v>
      </c>
      <c r="B12" s="133"/>
      <c r="C12" s="133"/>
      <c r="D12" s="133"/>
      <c r="E12" s="133"/>
      <c r="F12" s="133"/>
      <c r="G12" s="133"/>
    </row>
    <row r="14" spans="1:7">
      <c r="A14" s="2" t="s">
        <v>2491</v>
      </c>
    </row>
    <row r="16" spans="1:7">
      <c r="A16" s="2" t="s">
        <v>2492</v>
      </c>
    </row>
    <row r="17" spans="1:1">
      <c r="A17" s="2" t="s">
        <v>2493</v>
      </c>
    </row>
    <row r="20" spans="1:1">
      <c r="A20" s="2" t="s">
        <v>634</v>
      </c>
    </row>
  </sheetData>
  <mergeCells count="1">
    <mergeCell ref="A2:F2"/>
  </mergeCells>
  <phoneticPr fontId="0" type="noConversion"/>
  <pageMargins left="0.57999999999999996" right="0.53" top="1.01" bottom="0.49" header="0.59" footer="0.4921259845"/>
  <pageSetup paperSize="9" scale="78" orientation="portrait" horizontalDpi="4294967292" verticalDpi="4294967292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C837-09B0-EE4E-A79B-EFD516C5389E}">
  <sheetPr>
    <pageSetUpPr fitToPage="1"/>
  </sheetPr>
  <dimension ref="A1:B17"/>
  <sheetViews>
    <sheetView workbookViewId="0">
      <selection activeCell="B3" sqref="B3:B14"/>
    </sheetView>
  </sheetViews>
  <sheetFormatPr baseColWidth="10" defaultColWidth="11.3984375" defaultRowHeight="13"/>
  <cols>
    <col min="1" max="1" width="5.59765625" style="208" customWidth="1"/>
    <col min="2" max="16384" width="11.3984375" style="208"/>
  </cols>
  <sheetData>
    <row r="1" spans="1:2" ht="16">
      <c r="A1" s="207" t="s">
        <v>275</v>
      </c>
    </row>
    <row r="2" spans="1:2" ht="16">
      <c r="A2" s="207"/>
    </row>
    <row r="3" spans="1:2">
      <c r="A3" s="209">
        <v>3.01</v>
      </c>
      <c r="B3" s="210" t="s">
        <v>1718</v>
      </c>
    </row>
    <row r="4" spans="1:2">
      <c r="A4" s="209">
        <v>3.02</v>
      </c>
      <c r="B4" s="210" t="s">
        <v>1762</v>
      </c>
    </row>
    <row r="5" spans="1:2">
      <c r="A5" s="209">
        <v>3.03</v>
      </c>
      <c r="B5" s="210" t="s">
        <v>1763</v>
      </c>
    </row>
    <row r="6" spans="1:2">
      <c r="A6" s="209">
        <v>3.04</v>
      </c>
      <c r="B6" s="210" t="s">
        <v>1764</v>
      </c>
    </row>
    <row r="7" spans="1:2">
      <c r="A7" s="209">
        <v>3.05</v>
      </c>
      <c r="B7" s="209" t="s">
        <v>1765</v>
      </c>
    </row>
    <row r="8" spans="1:2">
      <c r="A8" s="209">
        <v>3.06</v>
      </c>
      <c r="B8" s="209" t="s">
        <v>1766</v>
      </c>
    </row>
    <row r="9" spans="1:2">
      <c r="A9" s="209">
        <v>3.07</v>
      </c>
      <c r="B9" s="209" t="s">
        <v>1767</v>
      </c>
    </row>
    <row r="10" spans="1:2">
      <c r="A10" s="209">
        <v>3.08</v>
      </c>
      <c r="B10" s="209" t="s">
        <v>1719</v>
      </c>
    </row>
    <row r="11" spans="1:2">
      <c r="A11" s="209">
        <v>3.09</v>
      </c>
      <c r="B11" s="209" t="s">
        <v>1720</v>
      </c>
    </row>
    <row r="12" spans="1:2">
      <c r="A12" s="211" t="s">
        <v>239</v>
      </c>
      <c r="B12" s="209" t="s">
        <v>1768</v>
      </c>
    </row>
    <row r="13" spans="1:2">
      <c r="A13" s="209">
        <v>3.11</v>
      </c>
      <c r="B13" s="209" t="s">
        <v>1769</v>
      </c>
    </row>
    <row r="14" spans="1:2">
      <c r="A14" s="209">
        <v>3.12</v>
      </c>
      <c r="B14" s="209" t="s">
        <v>1721</v>
      </c>
    </row>
    <row r="15" spans="1:2">
      <c r="A15" s="209"/>
      <c r="B15" s="209"/>
    </row>
    <row r="16" spans="1:2">
      <c r="A16" s="209"/>
      <c r="B16" s="209"/>
    </row>
    <row r="17" spans="1:1">
      <c r="A17" s="212" t="s">
        <v>634</v>
      </c>
    </row>
  </sheetData>
  <phoneticPr fontId="30" type="noConversion"/>
  <pageMargins left="0.57999999999999996" right="0.6" top="0.65" bottom="0.984251969" header="0.34" footer="0.4921259845"/>
  <pageSetup paperSize="9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FC25-E55E-8146-9459-A6055C2A21DE}">
  <sheetPr>
    <pageSetUpPr fitToPage="1"/>
  </sheetPr>
  <dimension ref="A1:K40"/>
  <sheetViews>
    <sheetView zoomScale="75" workbookViewId="0">
      <selection activeCell="A24" sqref="A24"/>
    </sheetView>
  </sheetViews>
  <sheetFormatPr baseColWidth="10" defaultColWidth="11.3984375" defaultRowHeight="13"/>
  <cols>
    <col min="1" max="1" width="14.3984375" style="2" customWidth="1"/>
    <col min="2" max="2" width="16.796875" style="2" customWidth="1"/>
    <col min="3" max="5" width="15.3984375" style="2" customWidth="1"/>
    <col min="6" max="6" width="15.3984375" style="414" customWidth="1"/>
    <col min="7" max="7" width="15.3984375" style="2" customWidth="1"/>
    <col min="8" max="16384" width="11.3984375" style="2"/>
  </cols>
  <sheetData>
    <row r="1" spans="1:11" s="1" customFormat="1" ht="14" customHeight="1">
      <c r="F1" s="562"/>
    </row>
    <row r="2" spans="1:11" s="1" customFormat="1" ht="30" customHeight="1">
      <c r="A2" s="109" t="s">
        <v>1238</v>
      </c>
      <c r="F2" s="562"/>
      <c r="G2" s="321"/>
    </row>
    <row r="3" spans="1:11" ht="24" customHeight="1">
      <c r="A3" s="110" t="s">
        <v>533</v>
      </c>
      <c r="B3" s="111" t="s">
        <v>1800</v>
      </c>
      <c r="C3" s="112" t="s">
        <v>1801</v>
      </c>
      <c r="D3" s="111" t="s">
        <v>1799</v>
      </c>
      <c r="E3" s="112" t="s">
        <v>1801</v>
      </c>
      <c r="F3" s="111" t="s">
        <v>1798</v>
      </c>
      <c r="G3" s="112" t="s">
        <v>1801</v>
      </c>
    </row>
    <row r="4" spans="1:11" ht="15" customHeight="1">
      <c r="A4" s="308"/>
      <c r="B4" s="140" t="s">
        <v>1239</v>
      </c>
      <c r="C4" s="115" t="s">
        <v>1802</v>
      </c>
      <c r="D4" s="140" t="s">
        <v>1800</v>
      </c>
      <c r="E4" s="115" t="s">
        <v>1802</v>
      </c>
      <c r="F4" s="140" t="s">
        <v>1240</v>
      </c>
      <c r="G4" s="115" t="s">
        <v>1802</v>
      </c>
    </row>
    <row r="5" spans="1:11" ht="15" customHeight="1">
      <c r="A5" s="308"/>
      <c r="B5" s="114"/>
      <c r="C5" s="115" t="s">
        <v>1806</v>
      </c>
      <c r="D5" s="140" t="s">
        <v>1241</v>
      </c>
      <c r="E5" s="115" t="s">
        <v>1806</v>
      </c>
      <c r="F5" s="564"/>
      <c r="G5" s="115" t="s">
        <v>1806</v>
      </c>
    </row>
    <row r="6" spans="1:11" ht="24" customHeight="1">
      <c r="A6" s="309"/>
      <c r="B6" s="120"/>
      <c r="C6" s="119"/>
      <c r="D6" s="120"/>
      <c r="E6" s="119"/>
      <c r="F6" s="565"/>
      <c r="G6" s="119"/>
    </row>
    <row r="7" spans="1:11" ht="23.25" customHeight="1" thickBot="1">
      <c r="A7" s="310">
        <v>1996</v>
      </c>
      <c r="B7" s="939">
        <v>173.08</v>
      </c>
      <c r="C7" s="143" t="s">
        <v>407</v>
      </c>
      <c r="D7" s="939">
        <v>114.73041951160255</v>
      </c>
      <c r="E7" s="143" t="s">
        <v>407</v>
      </c>
      <c r="F7" s="939">
        <v>47.723529089864961</v>
      </c>
      <c r="G7" s="143" t="s">
        <v>407</v>
      </c>
    </row>
    <row r="8" spans="1:11" ht="20" customHeight="1" thickBot="1">
      <c r="A8" s="312">
        <v>1997</v>
      </c>
      <c r="B8" s="940">
        <v>188.06152293360134</v>
      </c>
      <c r="C8" s="145">
        <v>8.6558371467537087E-2</v>
      </c>
      <c r="D8" s="940">
        <v>124.66129778231421</v>
      </c>
      <c r="E8" s="145">
        <v>8.6558371467537087E-2</v>
      </c>
      <c r="F8" s="940">
        <v>51.854400048567307</v>
      </c>
      <c r="G8" s="145">
        <v>8.6558371467537087E-2</v>
      </c>
      <c r="I8" s="9"/>
      <c r="J8" s="9"/>
      <c r="K8" s="9"/>
    </row>
    <row r="9" spans="1:11" ht="20" customHeight="1" thickBot="1">
      <c r="A9" s="312">
        <v>1998</v>
      </c>
      <c r="B9" s="940">
        <v>197.28646689698576</v>
      </c>
      <c r="C9" s="145">
        <v>4.9052798358128147E-2</v>
      </c>
      <c r="D9" s="940">
        <v>125.29607374124997</v>
      </c>
      <c r="E9" s="145">
        <v>5.0920050587330845E-3</v>
      </c>
      <c r="F9" s="940">
        <v>51.799576777497641</v>
      </c>
      <c r="G9" s="145">
        <v>-1.0572539845860041E-3</v>
      </c>
    </row>
    <row r="10" spans="1:11" ht="20" customHeight="1" thickBot="1">
      <c r="A10" s="312">
        <v>1999</v>
      </c>
      <c r="B10" s="940">
        <v>203.88952141156713</v>
      </c>
      <c r="C10" s="145">
        <v>3.3469373842196726E-2</v>
      </c>
      <c r="D10" s="940">
        <v>130.21886901362492</v>
      </c>
      <c r="E10" s="145">
        <v>3.9289301934081866E-2</v>
      </c>
      <c r="F10" s="940">
        <v>53.348085764350309</v>
      </c>
      <c r="G10" s="145">
        <v>2.9894240130652117E-2</v>
      </c>
    </row>
    <row r="11" spans="1:11" ht="20" customHeight="1" thickBot="1">
      <c r="A11" s="312">
        <v>2000</v>
      </c>
      <c r="B11" s="940">
        <v>211.67614847185897</v>
      </c>
      <c r="C11" s="145">
        <v>3.8190422962315562E-2</v>
      </c>
      <c r="D11" s="940">
        <v>134.7191420153035</v>
      </c>
      <c r="E11" s="145">
        <v>3.4559300320813779E-2</v>
      </c>
      <c r="F11" s="940">
        <v>55.173206027906794</v>
      </c>
      <c r="G11" s="145">
        <v>3.4211541752752428E-2</v>
      </c>
    </row>
    <row r="12" spans="1:11" ht="20" customHeight="1" thickBot="1">
      <c r="A12" s="312">
        <v>2001</v>
      </c>
      <c r="B12" s="940">
        <v>223.27</v>
      </c>
      <c r="C12" s="145">
        <v>5.4771648160833575E-2</v>
      </c>
      <c r="D12" s="940">
        <v>149.77000000000001</v>
      </c>
      <c r="E12" s="145">
        <v>0.11172026305650617</v>
      </c>
      <c r="F12" s="940">
        <v>57.65</v>
      </c>
      <c r="G12" s="145">
        <v>4.4891246139302288E-2</v>
      </c>
    </row>
    <row r="13" spans="1:11" ht="20" customHeight="1" thickBot="1">
      <c r="A13" s="312">
        <v>2002</v>
      </c>
      <c r="B13" s="940">
        <v>245.01247000000001</v>
      </c>
      <c r="C13" s="145">
        <v>9.7381959063017831E-2</v>
      </c>
      <c r="D13" s="940">
        <v>172.20867000000001</v>
      </c>
      <c r="E13" s="145">
        <v>0.14982085864992989</v>
      </c>
      <c r="F13" s="940">
        <v>63.127989999999997</v>
      </c>
      <c r="G13" s="145">
        <v>9.502150910667817E-2</v>
      </c>
    </row>
    <row r="14" spans="1:11" ht="20" customHeight="1" thickBot="1">
      <c r="A14" s="312">
        <v>2003</v>
      </c>
      <c r="B14" s="940">
        <v>268.54743999999999</v>
      </c>
      <c r="C14" s="145">
        <v>9.6056212975608846E-2</v>
      </c>
      <c r="D14" s="940">
        <v>198.72591</v>
      </c>
      <c r="E14" s="145">
        <v>0.15398318795447397</v>
      </c>
      <c r="F14" s="940">
        <v>68.990499999999997</v>
      </c>
      <c r="G14" s="145">
        <v>9.2867046772754813E-2</v>
      </c>
    </row>
    <row r="15" spans="1:11" ht="20" customHeight="1" thickBot="1">
      <c r="A15" s="312">
        <v>2004</v>
      </c>
      <c r="B15" s="940">
        <v>279.98</v>
      </c>
      <c r="C15" s="145">
        <v>4.2571845034158562E-2</v>
      </c>
      <c r="D15" s="940">
        <v>213.29</v>
      </c>
      <c r="E15" s="145">
        <v>7.3287323228259371E-2</v>
      </c>
      <c r="F15" s="940">
        <v>71.84</v>
      </c>
      <c r="G15" s="145">
        <v>4.1302788065023632E-2</v>
      </c>
    </row>
    <row r="16" spans="1:11" ht="20" customHeight="1" thickBot="1">
      <c r="A16" s="312">
        <v>2005</v>
      </c>
      <c r="B16" s="940">
        <v>290.21806622890591</v>
      </c>
      <c r="C16" s="145">
        <v>3.6567134184248395E-2</v>
      </c>
      <c r="D16" s="940">
        <v>225.09346768269774</v>
      </c>
      <c r="E16" s="145">
        <v>5.5339995699272171E-2</v>
      </c>
      <c r="F16" s="940">
        <v>71.95510451056029</v>
      </c>
      <c r="G16" s="145">
        <v>1.6022342784003385E-3</v>
      </c>
    </row>
    <row r="17" spans="1:9" ht="20" customHeight="1" thickBot="1">
      <c r="A17" s="312">
        <v>2006</v>
      </c>
      <c r="B17" s="940">
        <v>306.40836181971781</v>
      </c>
      <c r="C17" s="145">
        <v>5.5786656568933335E-2</v>
      </c>
      <c r="D17" s="940">
        <v>241.17388660184943</v>
      </c>
      <c r="E17" s="145">
        <v>7.1438851978678608E-2</v>
      </c>
      <c r="F17" s="940">
        <v>74.466353915536445</v>
      </c>
      <c r="G17" s="145">
        <v>3.4900225940295959E-2</v>
      </c>
    </row>
    <row r="18" spans="1:9" ht="20" customHeight="1" thickBot="1">
      <c r="A18" s="312">
        <v>2007</v>
      </c>
      <c r="B18" s="940">
        <v>313.01044236889447</v>
      </c>
      <c r="C18" s="145">
        <v>2.1546672257792832E-2</v>
      </c>
      <c r="D18" s="940">
        <v>246.30400307180668</v>
      </c>
      <c r="E18" s="145">
        <v>2.1271442535677476E-2</v>
      </c>
      <c r="F18" s="940">
        <v>75.718485025980357</v>
      </c>
      <c r="G18" s="145">
        <v>1.6814722953458094E-2</v>
      </c>
    </row>
    <row r="19" spans="1:9" ht="20" customHeight="1" thickBot="1">
      <c r="A19" s="312">
        <v>2008</v>
      </c>
      <c r="B19" s="940">
        <v>314.60604194243149</v>
      </c>
      <c r="C19" s="145">
        <v>5.097592148879615E-3</v>
      </c>
      <c r="D19" s="940">
        <v>248.01478980217522</v>
      </c>
      <c r="E19" s="145">
        <v>6.9458340466752588E-3</v>
      </c>
      <c r="F19" s="940">
        <v>75.260357578802569</v>
      </c>
      <c r="G19" s="145">
        <v>-6.0504042971883942E-3</v>
      </c>
    </row>
    <row r="20" spans="1:9" ht="30" customHeight="1" thickBot="1">
      <c r="A20" s="396">
        <v>2009</v>
      </c>
      <c r="B20" s="941">
        <v>322.86486279268746</v>
      </c>
      <c r="C20" s="147">
        <v>2.6251310366655956E-2</v>
      </c>
      <c r="D20" s="941">
        <v>258.51834876494348</v>
      </c>
      <c r="E20" s="147">
        <v>4.2350534704588494E-2</v>
      </c>
      <c r="F20" s="941">
        <v>76.359591370012836</v>
      </c>
      <c r="G20" s="147">
        <v>1.4605747654856671E-2</v>
      </c>
    </row>
    <row r="21" spans="1:9" ht="20" customHeight="1">
      <c r="A21" s="133" t="s">
        <v>556</v>
      </c>
      <c r="B21" s="133"/>
      <c r="C21" s="133"/>
      <c r="D21" s="133"/>
      <c r="E21" s="133"/>
      <c r="F21" s="599"/>
      <c r="G21" s="133"/>
    </row>
    <row r="22" spans="1:9" ht="14.25" customHeight="1">
      <c r="A22" s="3"/>
      <c r="B22" s="3"/>
      <c r="C22" s="3"/>
      <c r="D22" s="3"/>
      <c r="E22" s="3"/>
      <c r="F22" s="600"/>
      <c r="G22" s="3"/>
    </row>
    <row r="23" spans="1:9" ht="14.25" customHeight="1">
      <c r="A23" s="3" t="s">
        <v>1226</v>
      </c>
      <c r="B23" s="337"/>
      <c r="C23" s="337"/>
      <c r="D23" s="337"/>
      <c r="E23" s="337"/>
      <c r="F23" s="337"/>
      <c r="G23" s="337"/>
      <c r="H23" s="337"/>
      <c r="I23" s="560"/>
    </row>
    <row r="24" spans="1:9" ht="20" customHeight="1">
      <c r="A24" s="3"/>
      <c r="B24" s="337"/>
      <c r="C24" s="337"/>
      <c r="D24" s="337"/>
      <c r="E24" s="337"/>
      <c r="F24" s="337"/>
      <c r="G24" s="337"/>
      <c r="H24" s="337"/>
      <c r="I24" s="560"/>
    </row>
    <row r="25" spans="1:9" ht="20" customHeight="1">
      <c r="A25" s="2" t="s">
        <v>1227</v>
      </c>
      <c r="B25" s="337"/>
      <c r="C25" s="337"/>
      <c r="D25" s="337"/>
      <c r="E25" s="337"/>
      <c r="F25" s="337"/>
      <c r="G25" s="337"/>
      <c r="H25" s="337"/>
      <c r="I25" s="560"/>
    </row>
    <row r="26" spans="1:9" ht="12.75" customHeight="1">
      <c r="A26" s="3" t="s">
        <v>1242</v>
      </c>
      <c r="B26" s="337"/>
      <c r="C26" s="337"/>
      <c r="D26" s="337"/>
      <c r="E26" s="337"/>
      <c r="F26" s="337"/>
      <c r="G26" s="337"/>
      <c r="H26" s="337"/>
      <c r="I26" s="560"/>
    </row>
    <row r="27" spans="1:9">
      <c r="A27" s="2" t="s">
        <v>1243</v>
      </c>
      <c r="F27" s="2"/>
    </row>
    <row r="28" spans="1:9">
      <c r="A28" s="2" t="s">
        <v>1228</v>
      </c>
      <c r="F28" s="2"/>
    </row>
    <row r="29" spans="1:9">
      <c r="A29" s="2" t="s">
        <v>1229</v>
      </c>
      <c r="F29" s="2"/>
    </row>
    <row r="30" spans="1:9">
      <c r="A30" s="2" t="s">
        <v>1230</v>
      </c>
      <c r="F30" s="2"/>
    </row>
    <row r="31" spans="1:9">
      <c r="A31" s="3" t="s">
        <v>1231</v>
      </c>
      <c r="F31" s="2"/>
    </row>
    <row r="32" spans="1:9">
      <c r="A32" s="3" t="s">
        <v>1232</v>
      </c>
      <c r="F32" s="2"/>
    </row>
    <row r="33" spans="1:6">
      <c r="A33" s="942" t="s">
        <v>1233</v>
      </c>
      <c r="F33" s="2"/>
    </row>
    <row r="34" spans="1:6">
      <c r="A34" s="2" t="s">
        <v>1234</v>
      </c>
      <c r="F34" s="2"/>
    </row>
    <row r="35" spans="1:6">
      <c r="A35" s="2" t="s">
        <v>1235</v>
      </c>
      <c r="F35" s="2"/>
    </row>
    <row r="36" spans="1:6">
      <c r="A36" s="2" t="s">
        <v>1236</v>
      </c>
      <c r="F36" s="2"/>
    </row>
    <row r="37" spans="1:6">
      <c r="A37" s="942" t="s">
        <v>1237</v>
      </c>
      <c r="F37" s="2"/>
    </row>
    <row r="40" spans="1:6">
      <c r="A40" s="2" t="s">
        <v>634</v>
      </c>
    </row>
  </sheetData>
  <phoneticPr fontId="0" type="noConversion"/>
  <pageMargins left="0.57999999999999996" right="0.69" top="0.94" bottom="0.49" header="0.53" footer="0.4921259845"/>
  <pageSetup paperSize="9" scale="75" orientation="portrait" horizontalDpi="4294967292" verticalDpi="4294967292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B87E-65AB-AC42-8E93-16E7BD90D727}">
  <sheetPr>
    <pageSetUpPr fitToPage="1"/>
  </sheetPr>
  <dimension ref="A1:H45"/>
  <sheetViews>
    <sheetView zoomScale="75" workbookViewId="0">
      <selection activeCell="J10" sqref="J10"/>
    </sheetView>
  </sheetViews>
  <sheetFormatPr baseColWidth="10" defaultColWidth="11.3984375" defaultRowHeight="13"/>
  <cols>
    <col min="1" max="1" width="15.19921875" style="2" customWidth="1"/>
    <col min="2" max="6" width="15.796875" style="2" customWidth="1"/>
    <col min="7" max="7" width="14.3984375" style="2" customWidth="1"/>
    <col min="8" max="8" width="14.19921875" style="2" customWidth="1"/>
    <col min="9" max="16384" width="11.3984375" style="2"/>
  </cols>
  <sheetData>
    <row r="1" spans="1:8" s="1" customFormat="1" ht="14" customHeight="1">
      <c r="A1" s="381"/>
      <c r="B1" s="381"/>
      <c r="C1" s="381"/>
      <c r="D1" s="381"/>
      <c r="E1" s="381"/>
      <c r="F1" s="381"/>
    </row>
    <row r="2" spans="1:8" s="1" customFormat="1" ht="23.25" customHeight="1">
      <c r="A2" s="384" t="s">
        <v>551</v>
      </c>
      <c r="B2" s="381"/>
      <c r="C2" s="381"/>
      <c r="D2" s="381"/>
      <c r="E2" s="381"/>
      <c r="F2" s="381"/>
    </row>
    <row r="3" spans="1:8" s="1" customFormat="1" ht="27.75" customHeight="1">
      <c r="A3" s="384" t="s">
        <v>555</v>
      </c>
      <c r="B3" s="381"/>
      <c r="C3" s="381"/>
      <c r="D3" s="381"/>
      <c r="E3" s="381"/>
      <c r="F3" s="381"/>
    </row>
    <row r="4" spans="1:8" ht="16.5" customHeight="1">
      <c r="A4" s="110" t="s">
        <v>1797</v>
      </c>
      <c r="B4" s="920" t="s">
        <v>539</v>
      </c>
      <c r="C4" s="921" t="s">
        <v>540</v>
      </c>
      <c r="D4" s="920" t="s">
        <v>541</v>
      </c>
      <c r="E4" s="921" t="s">
        <v>542</v>
      </c>
      <c r="F4" s="920" t="s">
        <v>552</v>
      </c>
      <c r="G4" s="922" t="s">
        <v>1801</v>
      </c>
      <c r="H4" s="923" t="s">
        <v>543</v>
      </c>
    </row>
    <row r="5" spans="1:8" ht="16.5" customHeight="1">
      <c r="A5" s="308"/>
      <c r="B5" s="924"/>
      <c r="C5" s="925"/>
      <c r="D5" s="924"/>
      <c r="E5" s="925"/>
      <c r="F5" s="924"/>
      <c r="G5" s="926" t="s">
        <v>1802</v>
      </c>
      <c r="H5" s="927" t="s">
        <v>544</v>
      </c>
    </row>
    <row r="6" spans="1:8" ht="16.5" customHeight="1">
      <c r="A6" s="390"/>
      <c r="B6" s="391"/>
      <c r="C6" s="928"/>
      <c r="D6" s="391"/>
      <c r="E6" s="928"/>
      <c r="F6" s="929"/>
      <c r="G6" s="930" t="s">
        <v>1806</v>
      </c>
      <c r="H6" s="931" t="s">
        <v>545</v>
      </c>
    </row>
    <row r="7" spans="1:8" ht="16.5" customHeight="1">
      <c r="A7" s="309"/>
      <c r="B7" s="120"/>
      <c r="C7" s="119"/>
      <c r="D7" s="120"/>
      <c r="E7" s="119"/>
      <c r="F7" s="141"/>
      <c r="G7" s="932"/>
      <c r="H7" s="933" t="s">
        <v>1225</v>
      </c>
    </row>
    <row r="8" spans="1:8" ht="30" customHeight="1" thickBot="1">
      <c r="A8" s="324" t="s">
        <v>1807</v>
      </c>
      <c r="B8" s="819">
        <v>350.60220947140004</v>
      </c>
      <c r="C8" s="311">
        <v>306.92211039958801</v>
      </c>
      <c r="D8" s="819">
        <v>283.68335007176205</v>
      </c>
      <c r="E8" s="311" t="s">
        <v>489</v>
      </c>
      <c r="F8" s="934">
        <v>311.70752970454333</v>
      </c>
      <c r="G8" s="680">
        <v>6.9469787372109515E-3</v>
      </c>
      <c r="H8" s="827">
        <v>4.3017520858149139E-2</v>
      </c>
    </row>
    <row r="9" spans="1:8" ht="20" customHeight="1" thickBot="1">
      <c r="A9" s="328" t="s">
        <v>1808</v>
      </c>
      <c r="B9" s="820">
        <v>380.85831613772905</v>
      </c>
      <c r="C9" s="821">
        <v>338.58398725720502</v>
      </c>
      <c r="D9" s="820">
        <v>314.79437330763005</v>
      </c>
      <c r="E9" s="821" t="s">
        <v>489</v>
      </c>
      <c r="F9" s="935">
        <v>345.90279134704861</v>
      </c>
      <c r="G9" s="667">
        <v>3.7744746079662272E-2</v>
      </c>
      <c r="H9" s="828">
        <v>5.5649400317974163E-2</v>
      </c>
    </row>
    <row r="10" spans="1:8" ht="20" customHeight="1" thickBot="1">
      <c r="A10" s="328" t="s">
        <v>1809</v>
      </c>
      <c r="B10" s="820">
        <v>294.16073647092702</v>
      </c>
      <c r="C10" s="821">
        <v>271.95557857334205</v>
      </c>
      <c r="D10" s="820">
        <v>261.39727875068399</v>
      </c>
      <c r="E10" s="821" t="s">
        <v>489</v>
      </c>
      <c r="F10" s="935">
        <v>278.18333948015885</v>
      </c>
      <c r="G10" s="667">
        <v>5.4196284081736934E-2</v>
      </c>
      <c r="H10" s="828">
        <v>6.1548221945528558E-2</v>
      </c>
    </row>
    <row r="11" spans="1:8" ht="20" customHeight="1" thickBot="1">
      <c r="A11" s="328" t="s">
        <v>1810</v>
      </c>
      <c r="B11" s="820" t="s">
        <v>489</v>
      </c>
      <c r="C11" s="821" t="s">
        <v>489</v>
      </c>
      <c r="D11" s="820" t="s">
        <v>489</v>
      </c>
      <c r="E11" s="821">
        <v>252.59102786316001</v>
      </c>
      <c r="F11" s="935">
        <v>252.59102786315964</v>
      </c>
      <c r="G11" s="667">
        <v>5.4852431687917091E-2</v>
      </c>
      <c r="H11" s="828">
        <v>5.2198692200062569E-2</v>
      </c>
    </row>
    <row r="12" spans="1:8" ht="20" customHeight="1" thickBot="1">
      <c r="A12" s="328" t="s">
        <v>1811</v>
      </c>
      <c r="B12" s="820" t="s">
        <v>489</v>
      </c>
      <c r="C12" s="821" t="s">
        <v>489</v>
      </c>
      <c r="D12" s="820" t="s">
        <v>489</v>
      </c>
      <c r="E12" s="821">
        <v>270.42604959529899</v>
      </c>
      <c r="F12" s="935">
        <v>270.42604959529939</v>
      </c>
      <c r="G12" s="667">
        <v>4.2126647809335838E-2</v>
      </c>
      <c r="H12" s="828">
        <v>5.5526353937945583E-2</v>
      </c>
    </row>
    <row r="13" spans="1:8" ht="20" customHeight="1" thickBot="1">
      <c r="A13" s="328" t="s">
        <v>1812</v>
      </c>
      <c r="B13" s="820" t="s">
        <v>489</v>
      </c>
      <c r="C13" s="821" t="s">
        <v>489</v>
      </c>
      <c r="D13" s="820" t="s">
        <v>489</v>
      </c>
      <c r="E13" s="821">
        <v>246.96426737163802</v>
      </c>
      <c r="F13" s="935">
        <v>246.96426737163836</v>
      </c>
      <c r="G13" s="667">
        <v>6.7396446436581714E-2</v>
      </c>
      <c r="H13" s="828">
        <v>5.0667516321416972E-2</v>
      </c>
    </row>
    <row r="14" spans="1:8" ht="20" customHeight="1" thickBot="1">
      <c r="A14" s="328" t="s">
        <v>1813</v>
      </c>
      <c r="B14" s="820" t="s">
        <v>489</v>
      </c>
      <c r="C14" s="821" t="s">
        <v>489</v>
      </c>
      <c r="D14" s="820" t="s">
        <v>489</v>
      </c>
      <c r="E14" s="821">
        <v>230.44932477228102</v>
      </c>
      <c r="F14" s="935">
        <v>230.44932477228119</v>
      </c>
      <c r="G14" s="667">
        <v>5.3485591027548018E-2</v>
      </c>
      <c r="H14" s="828">
        <v>4.8813035822994788E-2</v>
      </c>
    </row>
    <row r="15" spans="1:8" ht="20" customHeight="1" thickBot="1">
      <c r="A15" s="328" t="s">
        <v>1814</v>
      </c>
      <c r="B15" s="820" t="s">
        <v>489</v>
      </c>
      <c r="C15" s="821" t="s">
        <v>489</v>
      </c>
      <c r="D15" s="820" t="s">
        <v>489</v>
      </c>
      <c r="E15" s="821">
        <v>269.76337933160301</v>
      </c>
      <c r="F15" s="935">
        <v>269.76337933160312</v>
      </c>
      <c r="G15" s="667">
        <v>3.7214920145756114E-2</v>
      </c>
      <c r="H15" s="828">
        <v>5.7600511610145899E-2</v>
      </c>
    </row>
    <row r="16" spans="1:8" ht="20" customHeight="1" thickBot="1">
      <c r="A16" s="328" t="s">
        <v>1815</v>
      </c>
      <c r="B16" s="820" t="s">
        <v>489</v>
      </c>
      <c r="C16" s="821" t="s">
        <v>489</v>
      </c>
      <c r="D16" s="820" t="s">
        <v>489</v>
      </c>
      <c r="E16" s="821">
        <v>263.60701744091006</v>
      </c>
      <c r="F16" s="935">
        <v>263.60701744090989</v>
      </c>
      <c r="G16" s="667">
        <v>4.0125301406333636E-2</v>
      </c>
      <c r="H16" s="828">
        <v>5.6866438587402479E-2</v>
      </c>
    </row>
    <row r="17" spans="1:8" ht="20" customHeight="1" thickBot="1">
      <c r="A17" s="328" t="s">
        <v>1816</v>
      </c>
      <c r="B17" s="820">
        <v>317.52124056001901</v>
      </c>
      <c r="C17" s="821">
        <v>288.23518497102401</v>
      </c>
      <c r="D17" s="820" t="s">
        <v>489</v>
      </c>
      <c r="E17" s="821" t="s">
        <v>489</v>
      </c>
      <c r="F17" s="935">
        <v>298.35555074512314</v>
      </c>
      <c r="G17" s="667">
        <v>3.3560823711755949E-2</v>
      </c>
      <c r="H17" s="828">
        <v>4.3707795231170188E-2</v>
      </c>
    </row>
    <row r="18" spans="1:8" ht="20" customHeight="1" thickBot="1">
      <c r="A18" s="328" t="s">
        <v>1817</v>
      </c>
      <c r="B18" s="820" t="s">
        <v>489</v>
      </c>
      <c r="C18" s="821" t="s">
        <v>489</v>
      </c>
      <c r="D18" s="820" t="s">
        <v>489</v>
      </c>
      <c r="E18" s="821">
        <v>296.22530589434905</v>
      </c>
      <c r="F18" s="935">
        <v>296.22530589434876</v>
      </c>
      <c r="G18" s="667">
        <v>4.7444699649544786E-2</v>
      </c>
      <c r="H18" s="828">
        <v>4.2808164093794732E-2</v>
      </c>
    </row>
    <row r="19" spans="1:8" ht="20" customHeight="1" thickBot="1">
      <c r="A19" s="328" t="s">
        <v>1818</v>
      </c>
      <c r="B19" s="820" t="s">
        <v>489</v>
      </c>
      <c r="C19" s="821" t="s">
        <v>489</v>
      </c>
      <c r="D19" s="820" t="s">
        <v>489</v>
      </c>
      <c r="E19" s="821">
        <v>420.26031736934902</v>
      </c>
      <c r="F19" s="935">
        <v>420.26031736934937</v>
      </c>
      <c r="G19" s="667">
        <v>2.7528245619884206E-2</v>
      </c>
      <c r="H19" s="828">
        <v>4.52542021829343E-2</v>
      </c>
    </row>
    <row r="20" spans="1:8" ht="20" customHeight="1" thickBot="1">
      <c r="A20" s="328" t="s">
        <v>1819</v>
      </c>
      <c r="B20" s="820">
        <v>339.02236379107103</v>
      </c>
      <c r="C20" s="821">
        <v>311.93572714166197</v>
      </c>
      <c r="D20" s="820" t="s">
        <v>489</v>
      </c>
      <c r="E20" s="821" t="s">
        <v>489</v>
      </c>
      <c r="F20" s="935">
        <v>331.5826613572745</v>
      </c>
      <c r="G20" s="667">
        <v>4.3774356446204088E-2</v>
      </c>
      <c r="H20" s="828">
        <v>4.8116082734853238E-2</v>
      </c>
    </row>
    <row r="21" spans="1:8" ht="20" customHeight="1" thickBot="1">
      <c r="A21" s="328" t="s">
        <v>1820</v>
      </c>
      <c r="B21" s="820">
        <v>316.11780381506503</v>
      </c>
      <c r="C21" s="821">
        <v>290.85256076412907</v>
      </c>
      <c r="D21" s="820" t="s">
        <v>489</v>
      </c>
      <c r="E21" s="821" t="s">
        <v>489</v>
      </c>
      <c r="F21" s="935">
        <v>305.85490616482173</v>
      </c>
      <c r="G21" s="667">
        <v>2.1338464299610393E-2</v>
      </c>
      <c r="H21" s="828">
        <v>5.1524465111379092E-2</v>
      </c>
    </row>
    <row r="22" spans="1:8" ht="20" customHeight="1" thickBot="1">
      <c r="A22" s="328" t="s">
        <v>1821</v>
      </c>
      <c r="B22" s="820" t="s">
        <v>489</v>
      </c>
      <c r="C22" s="821" t="s">
        <v>489</v>
      </c>
      <c r="D22" s="820" t="s">
        <v>489</v>
      </c>
      <c r="E22" s="821">
        <v>247.77937188044402</v>
      </c>
      <c r="F22" s="935">
        <v>247.77937188044422</v>
      </c>
      <c r="G22" s="667">
        <v>4.5675619335738826E-2</v>
      </c>
      <c r="H22" s="828">
        <v>5.3891143809620345E-2</v>
      </c>
    </row>
    <row r="23" spans="1:8" ht="20" customHeight="1" thickBot="1">
      <c r="A23" s="328" t="s">
        <v>1822</v>
      </c>
      <c r="B23" s="820" t="s">
        <v>489</v>
      </c>
      <c r="C23" s="821" t="s">
        <v>489</v>
      </c>
      <c r="D23" s="820" t="s">
        <v>489</v>
      </c>
      <c r="E23" s="821">
        <v>232.647494028777</v>
      </c>
      <c r="F23" s="935">
        <v>232.64749402877683</v>
      </c>
      <c r="G23" s="667">
        <v>4.3488082535598771E-2</v>
      </c>
      <c r="H23" s="828">
        <v>5.8833234068522255E-2</v>
      </c>
    </row>
    <row r="24" spans="1:8" ht="20" customHeight="1" thickBot="1">
      <c r="A24" s="328" t="s">
        <v>1823</v>
      </c>
      <c r="B24" s="820">
        <v>302.09624957943799</v>
      </c>
      <c r="C24" s="821">
        <v>276.62950760953601</v>
      </c>
      <c r="D24" s="820">
        <v>266.01974411075901</v>
      </c>
      <c r="E24" s="821" t="s">
        <v>489</v>
      </c>
      <c r="F24" s="935">
        <v>281.55270420425205</v>
      </c>
      <c r="G24" s="667">
        <v>5.3942526856965545E-2</v>
      </c>
      <c r="H24" s="828">
        <v>5.8103026821495263E-2</v>
      </c>
    </row>
    <row r="25" spans="1:8" ht="20" customHeight="1" thickBot="1">
      <c r="A25" s="328" t="s">
        <v>1824</v>
      </c>
      <c r="B25" s="820">
        <v>283.06266852976705</v>
      </c>
      <c r="C25" s="821">
        <v>266.81741990770405</v>
      </c>
      <c r="D25" s="820">
        <v>245.12399934603701</v>
      </c>
      <c r="E25" s="821" t="s">
        <v>489</v>
      </c>
      <c r="F25" s="935">
        <v>266.04950629144798</v>
      </c>
      <c r="G25" s="667">
        <v>2.8762114397652416E-2</v>
      </c>
      <c r="H25" s="828">
        <v>6.1039743369699195E-2</v>
      </c>
    </row>
    <row r="26" spans="1:8" ht="20" customHeight="1" thickBot="1">
      <c r="A26" s="328" t="s">
        <v>1825</v>
      </c>
      <c r="B26" s="820" t="s">
        <v>489</v>
      </c>
      <c r="C26" s="821" t="s">
        <v>489</v>
      </c>
      <c r="D26" s="820" t="s">
        <v>489</v>
      </c>
      <c r="E26" s="821">
        <v>295.17133958063204</v>
      </c>
      <c r="F26" s="935">
        <v>295.17133958063152</v>
      </c>
      <c r="G26" s="667">
        <v>4.6566624060784045E-2</v>
      </c>
      <c r="H26" s="828">
        <v>5.953534999479948E-2</v>
      </c>
    </row>
    <row r="27" spans="1:8" ht="20" customHeight="1" thickBot="1">
      <c r="A27" s="328" t="s">
        <v>1826</v>
      </c>
      <c r="B27" s="820" t="s">
        <v>489</v>
      </c>
      <c r="C27" s="821" t="s">
        <v>489</v>
      </c>
      <c r="D27" s="820" t="s">
        <v>489</v>
      </c>
      <c r="E27" s="821">
        <v>296.686644989912</v>
      </c>
      <c r="F27" s="935">
        <v>296.68664498991194</v>
      </c>
      <c r="G27" s="667">
        <v>2.4588362275023812E-2</v>
      </c>
      <c r="H27" s="828">
        <v>5.4865626754072805E-2</v>
      </c>
    </row>
    <row r="28" spans="1:8" ht="20" customHeight="1" thickBot="1">
      <c r="A28" s="328" t="s">
        <v>1827</v>
      </c>
      <c r="B28" s="820">
        <v>375.84031151866304</v>
      </c>
      <c r="C28" s="821">
        <v>351.59971455246807</v>
      </c>
      <c r="D28" s="820" t="s">
        <v>489</v>
      </c>
      <c r="E28" s="821" t="s">
        <v>489</v>
      </c>
      <c r="F28" s="935">
        <v>372.15547943795741</v>
      </c>
      <c r="G28" s="667">
        <v>5.5347577846196483E-3</v>
      </c>
      <c r="H28" s="828">
        <v>4.3704868261769558E-2</v>
      </c>
    </row>
    <row r="29" spans="1:8" ht="20" customHeight="1" thickBot="1">
      <c r="A29" s="328" t="s">
        <v>1828</v>
      </c>
      <c r="B29" s="820">
        <v>382.33869605032106</v>
      </c>
      <c r="C29" s="821">
        <v>358.34465327991006</v>
      </c>
      <c r="D29" s="820" t="s">
        <v>489</v>
      </c>
      <c r="E29" s="821" t="s">
        <v>489</v>
      </c>
      <c r="F29" s="935">
        <v>374.95591279486035</v>
      </c>
      <c r="G29" s="667">
        <v>1.3734764789117282E-2</v>
      </c>
      <c r="H29" s="828">
        <v>3.3125573179238144E-2</v>
      </c>
    </row>
    <row r="30" spans="1:8" ht="20" customHeight="1" thickBot="1">
      <c r="A30" s="328" t="s">
        <v>1829</v>
      </c>
      <c r="B30" s="820">
        <v>283.37753430087804</v>
      </c>
      <c r="C30" s="821">
        <v>248.49984566645801</v>
      </c>
      <c r="D30" s="820" t="s">
        <v>489</v>
      </c>
      <c r="E30" s="821" t="s">
        <v>489</v>
      </c>
      <c r="F30" s="935">
        <v>272.72058913529452</v>
      </c>
      <c r="G30" s="667">
        <v>3.8615492738380386E-2</v>
      </c>
      <c r="H30" s="828">
        <v>4.9162859240468926E-2</v>
      </c>
    </row>
    <row r="31" spans="1:8" ht="20" customHeight="1" thickBot="1">
      <c r="A31" s="328" t="s">
        <v>1830</v>
      </c>
      <c r="B31" s="820" t="s">
        <v>489</v>
      </c>
      <c r="C31" s="821" t="s">
        <v>489</v>
      </c>
      <c r="D31" s="820" t="s">
        <v>489</v>
      </c>
      <c r="E31" s="821">
        <v>368.55225137293604</v>
      </c>
      <c r="F31" s="935">
        <v>368.55225137293553</v>
      </c>
      <c r="G31" s="667">
        <v>1.4667020911007578E-2</v>
      </c>
      <c r="H31" s="828">
        <v>4.069725705687377E-2</v>
      </c>
    </row>
    <row r="32" spans="1:8" ht="20" customHeight="1" thickBot="1">
      <c r="A32" s="328" t="s">
        <v>1831</v>
      </c>
      <c r="B32" s="820" t="s">
        <v>489</v>
      </c>
      <c r="C32" s="821" t="s">
        <v>489</v>
      </c>
      <c r="D32" s="820" t="s">
        <v>489</v>
      </c>
      <c r="E32" s="821">
        <v>418.36616350501606</v>
      </c>
      <c r="F32" s="935">
        <v>418.36616350501589</v>
      </c>
      <c r="G32" s="667">
        <v>-1.3040611291336157E-3</v>
      </c>
      <c r="H32" s="828">
        <v>3.4353890582157431E-2</v>
      </c>
    </row>
    <row r="33" spans="1:8" ht="20" customHeight="1" thickBot="1">
      <c r="A33" s="328" t="s">
        <v>1832</v>
      </c>
      <c r="B33" s="820" t="s">
        <v>489</v>
      </c>
      <c r="C33" s="821" t="s">
        <v>489</v>
      </c>
      <c r="D33" s="820" t="s">
        <v>489</v>
      </c>
      <c r="E33" s="821">
        <v>340.10059145097904</v>
      </c>
      <c r="F33" s="935">
        <v>340.10059145097898</v>
      </c>
      <c r="G33" s="667">
        <v>1.851449731825805E-2</v>
      </c>
      <c r="H33" s="828">
        <v>4.1487528888937364E-2</v>
      </c>
    </row>
    <row r="34" spans="1:8" s="285" customFormat="1" ht="30" customHeight="1" thickBot="1">
      <c r="A34" s="129" t="s">
        <v>628</v>
      </c>
      <c r="B34" s="822" t="s">
        <v>59</v>
      </c>
      <c r="C34" s="823" t="s">
        <v>59</v>
      </c>
      <c r="D34" s="822" t="s">
        <v>59</v>
      </c>
      <c r="E34" s="823" t="s">
        <v>59</v>
      </c>
      <c r="F34" s="822">
        <v>322.86486279268746</v>
      </c>
      <c r="G34" s="936">
        <v>2.6251310366655956E-2</v>
      </c>
      <c r="H34" s="830">
        <v>4.7038347067513087E-2</v>
      </c>
    </row>
    <row r="35" spans="1:8" ht="20" customHeight="1">
      <c r="A35" s="133" t="s">
        <v>556</v>
      </c>
      <c r="B35" s="937"/>
      <c r="C35" s="937"/>
      <c r="D35" s="937"/>
      <c r="E35" s="937"/>
      <c r="F35" s="937"/>
    </row>
    <row r="36" spans="1:8" ht="12.75" customHeight="1">
      <c r="A36" s="3"/>
      <c r="B36" s="938"/>
      <c r="C36" s="938"/>
      <c r="D36" s="938"/>
      <c r="E36" s="938"/>
      <c r="F36" s="938"/>
    </row>
    <row r="37" spans="1:8" ht="15.75" customHeight="1">
      <c r="A37" s="3" t="s">
        <v>546</v>
      </c>
      <c r="B37" s="938"/>
      <c r="C37" s="938"/>
      <c r="D37" s="938"/>
      <c r="E37" s="938"/>
      <c r="F37" s="938"/>
    </row>
    <row r="38" spans="1:8" ht="13.5" customHeight="1">
      <c r="A38" s="3"/>
      <c r="B38" s="938"/>
      <c r="C38" s="938"/>
      <c r="D38" s="938"/>
      <c r="E38" s="938"/>
      <c r="F38" s="938"/>
    </row>
    <row r="39" spans="1:8" ht="12.75" customHeight="1">
      <c r="A39" s="3" t="s">
        <v>547</v>
      </c>
      <c r="B39" s="938"/>
      <c r="C39" s="938"/>
      <c r="D39" s="938"/>
      <c r="E39" s="938"/>
      <c r="F39" s="938"/>
    </row>
    <row r="40" spans="1:8">
      <c r="A40" s="2" t="s">
        <v>548</v>
      </c>
      <c r="B40" s="348"/>
      <c r="C40" s="348"/>
      <c r="D40" s="348"/>
      <c r="E40" s="348"/>
      <c r="F40" s="348"/>
    </row>
    <row r="41" spans="1:8">
      <c r="A41" s="2" t="s">
        <v>549</v>
      </c>
      <c r="B41" s="348"/>
      <c r="C41" s="348"/>
      <c r="D41" s="348"/>
      <c r="E41" s="348"/>
      <c r="F41" s="348"/>
    </row>
    <row r="42" spans="1:8">
      <c r="A42" s="2" t="s">
        <v>550</v>
      </c>
      <c r="B42" s="348"/>
      <c r="C42" s="348"/>
      <c r="D42" s="348"/>
      <c r="E42" s="348"/>
      <c r="F42" s="348"/>
    </row>
    <row r="43" spans="1:8">
      <c r="B43" s="348"/>
      <c r="C43" s="348"/>
      <c r="D43" s="348"/>
      <c r="E43" s="348"/>
      <c r="F43" s="348"/>
    </row>
    <row r="44" spans="1:8">
      <c r="B44" s="348"/>
      <c r="C44" s="348"/>
      <c r="D44" s="348"/>
      <c r="E44" s="348"/>
      <c r="F44" s="348"/>
    </row>
    <row r="45" spans="1:8">
      <c r="A45" s="2" t="s">
        <v>634</v>
      </c>
    </row>
  </sheetData>
  <phoneticPr fontId="0" type="noConversion"/>
  <pageMargins left="0.57999999999999996" right="0.62" top="0.78" bottom="0.47244094488188981" header="0.44" footer="0.51181102362204722"/>
  <pageSetup paperSize="9" scale="74" orientation="portrait" horizontalDpi="4294967292" verticalDpi="4294967292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680D-5281-CF4E-8C79-566B5AF99EAE}">
  <sheetPr>
    <pageSetUpPr fitToPage="1"/>
  </sheetPr>
  <dimension ref="A1:H45"/>
  <sheetViews>
    <sheetView topLeftCell="A25" zoomScale="75" workbookViewId="0">
      <selection activeCell="A43" sqref="A43"/>
    </sheetView>
  </sheetViews>
  <sheetFormatPr baseColWidth="10" defaultColWidth="11.3984375" defaultRowHeight="13"/>
  <cols>
    <col min="1" max="6" width="16" style="2" customWidth="1"/>
    <col min="7" max="8" width="14.19921875" style="2" customWidth="1"/>
    <col min="9" max="16384" width="11.3984375" style="2"/>
  </cols>
  <sheetData>
    <row r="1" spans="1:8" s="1" customFormat="1" ht="14" customHeight="1">
      <c r="A1" s="381"/>
      <c r="B1" s="381"/>
      <c r="C1" s="381"/>
      <c r="D1" s="381"/>
      <c r="E1" s="381"/>
      <c r="F1" s="381"/>
    </row>
    <row r="2" spans="1:8" s="1" customFormat="1" ht="21" customHeight="1">
      <c r="A2" s="384" t="s">
        <v>553</v>
      </c>
      <c r="B2" s="381"/>
      <c r="C2" s="381"/>
      <c r="D2" s="381"/>
      <c r="E2" s="381"/>
      <c r="F2" s="381"/>
    </row>
    <row r="3" spans="1:8" s="1" customFormat="1" ht="27" customHeight="1">
      <c r="A3" s="384" t="s">
        <v>1223</v>
      </c>
      <c r="B3" s="381"/>
      <c r="C3" s="381"/>
      <c r="D3" s="381"/>
      <c r="E3" s="381"/>
      <c r="F3" s="381"/>
    </row>
    <row r="4" spans="1:8" ht="24" customHeight="1">
      <c r="A4" s="110" t="s">
        <v>1797</v>
      </c>
      <c r="B4" s="920" t="s">
        <v>539</v>
      </c>
      <c r="C4" s="921" t="s">
        <v>540</v>
      </c>
      <c r="D4" s="920" t="s">
        <v>541</v>
      </c>
      <c r="E4" s="921" t="s">
        <v>542</v>
      </c>
      <c r="F4" s="920" t="s">
        <v>552</v>
      </c>
      <c r="G4" s="922" t="s">
        <v>1801</v>
      </c>
      <c r="H4" s="923" t="s">
        <v>543</v>
      </c>
    </row>
    <row r="5" spans="1:8" ht="24.75" customHeight="1">
      <c r="A5" s="308"/>
      <c r="B5" s="924"/>
      <c r="C5" s="925"/>
      <c r="D5" s="924"/>
      <c r="E5" s="925"/>
      <c r="F5" s="924"/>
      <c r="G5" s="926" t="s">
        <v>1802</v>
      </c>
      <c r="H5" s="927" t="s">
        <v>544</v>
      </c>
    </row>
    <row r="6" spans="1:8" ht="24.75" customHeight="1">
      <c r="A6" s="308"/>
      <c r="B6" s="924"/>
      <c r="C6" s="925"/>
      <c r="D6" s="924"/>
      <c r="E6" s="925"/>
      <c r="F6" s="924"/>
      <c r="G6" s="930" t="s">
        <v>1806</v>
      </c>
      <c r="H6" s="931" t="s">
        <v>545</v>
      </c>
    </row>
    <row r="7" spans="1:8" ht="16" customHeight="1">
      <c r="A7" s="309"/>
      <c r="B7" s="120"/>
      <c r="C7" s="119"/>
      <c r="D7" s="120"/>
      <c r="E7" s="119"/>
      <c r="F7" s="141"/>
      <c r="G7" s="932"/>
      <c r="H7" s="933" t="s">
        <v>1225</v>
      </c>
    </row>
    <row r="8" spans="1:8" ht="30" customHeight="1" thickBot="1">
      <c r="A8" s="324" t="s">
        <v>1807</v>
      </c>
      <c r="B8" s="819">
        <v>286.62961429459705</v>
      </c>
      <c r="C8" s="311">
        <v>247.23768569466</v>
      </c>
      <c r="D8" s="819">
        <v>227.81626955208802</v>
      </c>
      <c r="E8" s="311" t="s">
        <v>489</v>
      </c>
      <c r="F8" s="934">
        <v>249.58965418892478</v>
      </c>
      <c r="G8" s="680">
        <v>3.436282579178096E-2</v>
      </c>
      <c r="H8" s="827">
        <v>6.5254193037841635E-2</v>
      </c>
    </row>
    <row r="9" spans="1:8" ht="20" customHeight="1" thickBot="1">
      <c r="A9" s="328" t="s">
        <v>1808</v>
      </c>
      <c r="B9" s="820">
        <v>308.60684910841906</v>
      </c>
      <c r="C9" s="821">
        <v>266.38899868832806</v>
      </c>
      <c r="D9" s="820">
        <v>246.72021027905899</v>
      </c>
      <c r="E9" s="821" t="s">
        <v>489</v>
      </c>
      <c r="F9" s="935">
        <v>272.72640697380893</v>
      </c>
      <c r="G9" s="667">
        <v>4.9323055436977903E-2</v>
      </c>
      <c r="H9" s="828">
        <v>7.6271120385336788E-2</v>
      </c>
    </row>
    <row r="10" spans="1:8" ht="20" customHeight="1" thickBot="1">
      <c r="A10" s="328" t="s">
        <v>1809</v>
      </c>
      <c r="B10" s="820">
        <v>236.09781594447301</v>
      </c>
      <c r="C10" s="821">
        <v>217.55295094130301</v>
      </c>
      <c r="D10" s="820">
        <v>208.79170549650101</v>
      </c>
      <c r="E10" s="821" t="s">
        <v>489</v>
      </c>
      <c r="F10" s="935">
        <v>221.36194249574493</v>
      </c>
      <c r="G10" s="667">
        <v>6.2510840744299578E-2</v>
      </c>
      <c r="H10" s="828">
        <v>8.3451073775103968E-2</v>
      </c>
    </row>
    <row r="11" spans="1:8" ht="20" customHeight="1" thickBot="1">
      <c r="A11" s="328" t="s">
        <v>1810</v>
      </c>
      <c r="B11" s="820" t="s">
        <v>489</v>
      </c>
      <c r="C11" s="821" t="s">
        <v>489</v>
      </c>
      <c r="D11" s="820" t="s">
        <v>489</v>
      </c>
      <c r="E11" s="821">
        <v>200.64326598945399</v>
      </c>
      <c r="F11" s="935">
        <v>200.64326598945439</v>
      </c>
      <c r="G11" s="667">
        <v>5.4776991952323995E-2</v>
      </c>
      <c r="H11" s="828">
        <v>7.1583384679915207E-2</v>
      </c>
    </row>
    <row r="12" spans="1:8" ht="20" customHeight="1" thickBot="1">
      <c r="A12" s="328" t="s">
        <v>1811</v>
      </c>
      <c r="B12" s="820" t="s">
        <v>489</v>
      </c>
      <c r="C12" s="821" t="s">
        <v>489</v>
      </c>
      <c r="D12" s="820" t="s">
        <v>489</v>
      </c>
      <c r="E12" s="821">
        <v>215.033346603469</v>
      </c>
      <c r="F12" s="935">
        <v>215.0333466034686</v>
      </c>
      <c r="G12" s="667">
        <v>5.1924316775610269E-2</v>
      </c>
      <c r="H12" s="828">
        <v>7.8046970821042283E-2</v>
      </c>
    </row>
    <row r="13" spans="1:8" ht="20" customHeight="1" thickBot="1">
      <c r="A13" s="328" t="s">
        <v>1812</v>
      </c>
      <c r="B13" s="820" t="s">
        <v>489</v>
      </c>
      <c r="C13" s="821" t="s">
        <v>489</v>
      </c>
      <c r="D13" s="820" t="s">
        <v>489</v>
      </c>
      <c r="E13" s="821">
        <v>197.90251531788599</v>
      </c>
      <c r="F13" s="935">
        <v>197.90251531788562</v>
      </c>
      <c r="G13" s="667">
        <v>7.2003573259520337E-2</v>
      </c>
      <c r="H13" s="828">
        <v>7.1577302703060397E-2</v>
      </c>
    </row>
    <row r="14" spans="1:8" ht="20" customHeight="1" thickBot="1">
      <c r="A14" s="328" t="s">
        <v>1813</v>
      </c>
      <c r="B14" s="820" t="s">
        <v>489</v>
      </c>
      <c r="C14" s="821" t="s">
        <v>489</v>
      </c>
      <c r="D14" s="820" t="s">
        <v>489</v>
      </c>
      <c r="E14" s="821">
        <v>185.36376101299803</v>
      </c>
      <c r="F14" s="935">
        <v>185.36376101299845</v>
      </c>
      <c r="G14" s="667">
        <v>6.6577273450387331E-2</v>
      </c>
      <c r="H14" s="828">
        <v>7.1311625675226198E-2</v>
      </c>
    </row>
    <row r="15" spans="1:8" ht="20" customHeight="1" thickBot="1">
      <c r="A15" s="328" t="s">
        <v>1814</v>
      </c>
      <c r="B15" s="820" t="s">
        <v>489</v>
      </c>
      <c r="C15" s="821" t="s">
        <v>489</v>
      </c>
      <c r="D15" s="820" t="s">
        <v>489</v>
      </c>
      <c r="E15" s="821">
        <v>212.80395170737299</v>
      </c>
      <c r="F15" s="935">
        <v>212.80395170737322</v>
      </c>
      <c r="G15" s="667">
        <v>3.7493219537711564E-2</v>
      </c>
      <c r="H15" s="828">
        <v>7.635539784786638E-2</v>
      </c>
    </row>
    <row r="16" spans="1:8" ht="20" customHeight="1" thickBot="1">
      <c r="A16" s="328" t="s">
        <v>1815</v>
      </c>
      <c r="B16" s="820" t="s">
        <v>489</v>
      </c>
      <c r="C16" s="821" t="s">
        <v>489</v>
      </c>
      <c r="D16" s="820" t="s">
        <v>489</v>
      </c>
      <c r="E16" s="821">
        <v>212.47574054645401</v>
      </c>
      <c r="F16" s="935">
        <v>212.47574054645378</v>
      </c>
      <c r="G16" s="667">
        <v>5.0458068467369888E-2</v>
      </c>
      <c r="H16" s="828">
        <v>7.7867958721099528E-2</v>
      </c>
    </row>
    <row r="17" spans="1:8" ht="20" customHeight="1" thickBot="1">
      <c r="A17" s="328" t="s">
        <v>1816</v>
      </c>
      <c r="B17" s="820">
        <v>263.45444013559404</v>
      </c>
      <c r="C17" s="821">
        <v>236.18580532498999</v>
      </c>
      <c r="D17" s="820" t="s">
        <v>489</v>
      </c>
      <c r="E17" s="821" t="s">
        <v>489</v>
      </c>
      <c r="F17" s="935">
        <v>245.79417275153935</v>
      </c>
      <c r="G17" s="667">
        <v>3.5479077452644114E-2</v>
      </c>
      <c r="H17" s="828">
        <v>6.9078358301747578E-2</v>
      </c>
    </row>
    <row r="18" spans="1:8" ht="20" customHeight="1" thickBot="1">
      <c r="A18" s="328" t="s">
        <v>1817</v>
      </c>
      <c r="B18" s="820" t="s">
        <v>489</v>
      </c>
      <c r="C18" s="821" t="s">
        <v>489</v>
      </c>
      <c r="D18" s="820" t="s">
        <v>489</v>
      </c>
      <c r="E18" s="821">
        <v>237.89668098638501</v>
      </c>
      <c r="F18" s="935">
        <v>237.89668098638504</v>
      </c>
      <c r="G18" s="667">
        <v>6.5798514447407142E-2</v>
      </c>
      <c r="H18" s="828">
        <v>6.5977283540988862E-2</v>
      </c>
    </row>
    <row r="19" spans="1:8" ht="20" customHeight="1" thickBot="1">
      <c r="A19" s="328" t="s">
        <v>1818</v>
      </c>
      <c r="B19" s="820" t="s">
        <v>489</v>
      </c>
      <c r="C19" s="821" t="s">
        <v>489</v>
      </c>
      <c r="D19" s="820" t="s">
        <v>489</v>
      </c>
      <c r="E19" s="821">
        <v>341.84351627803699</v>
      </c>
      <c r="F19" s="935">
        <v>341.84351627803704</v>
      </c>
      <c r="G19" s="667">
        <v>4.5128035905669606E-2</v>
      </c>
      <c r="H19" s="828">
        <v>6.9304514229934222E-2</v>
      </c>
    </row>
    <row r="20" spans="1:8" ht="20" customHeight="1" thickBot="1">
      <c r="A20" s="328" t="s">
        <v>1819</v>
      </c>
      <c r="B20" s="820">
        <v>271.29095820585303</v>
      </c>
      <c r="C20" s="821">
        <v>249.86185579949401</v>
      </c>
      <c r="D20" s="820" t="s">
        <v>489</v>
      </c>
      <c r="E20" s="821" t="s">
        <v>489</v>
      </c>
      <c r="F20" s="935">
        <v>264.85675885228892</v>
      </c>
      <c r="G20" s="667">
        <v>7.1193767246739981E-2</v>
      </c>
      <c r="H20" s="828">
        <v>7.0231509566037964E-2</v>
      </c>
    </row>
    <row r="21" spans="1:8" ht="20" customHeight="1" thickBot="1">
      <c r="A21" s="328" t="s">
        <v>1820</v>
      </c>
      <c r="B21" s="820">
        <v>253.16143133061502</v>
      </c>
      <c r="C21" s="821">
        <v>231.36583059001401</v>
      </c>
      <c r="D21" s="820" t="s">
        <v>489</v>
      </c>
      <c r="E21" s="821" t="s">
        <v>489</v>
      </c>
      <c r="F21" s="935">
        <v>244.3475566900118</v>
      </c>
      <c r="G21" s="667">
        <v>4.9476029181505066E-2</v>
      </c>
      <c r="H21" s="828">
        <v>6.8834021854377259E-2</v>
      </c>
    </row>
    <row r="22" spans="1:8" ht="20" customHeight="1" thickBot="1">
      <c r="A22" s="328" t="s">
        <v>1821</v>
      </c>
      <c r="B22" s="820" t="s">
        <v>489</v>
      </c>
      <c r="C22" s="821" t="s">
        <v>489</v>
      </c>
      <c r="D22" s="820" t="s">
        <v>489</v>
      </c>
      <c r="E22" s="821">
        <v>199.319441100239</v>
      </c>
      <c r="F22" s="935">
        <v>199.31944110023861</v>
      </c>
      <c r="G22" s="667">
        <v>7.92075578191902E-2</v>
      </c>
      <c r="H22" s="828">
        <v>7.9878812306042546E-2</v>
      </c>
    </row>
    <row r="23" spans="1:8" ht="20" customHeight="1" thickBot="1">
      <c r="A23" s="328" t="s">
        <v>1822</v>
      </c>
      <c r="B23" s="820" t="s">
        <v>489</v>
      </c>
      <c r="C23" s="821" t="s">
        <v>489</v>
      </c>
      <c r="D23" s="820" t="s">
        <v>489</v>
      </c>
      <c r="E23" s="821">
        <v>187.81887812488199</v>
      </c>
      <c r="F23" s="935">
        <v>187.81887812488196</v>
      </c>
      <c r="G23" s="667">
        <v>8.2716355790277474E-2</v>
      </c>
      <c r="H23" s="828">
        <v>8.4239983166833898E-2</v>
      </c>
    </row>
    <row r="24" spans="1:8" ht="20" customHeight="1" thickBot="1">
      <c r="A24" s="328" t="s">
        <v>1823</v>
      </c>
      <c r="B24" s="820">
        <v>242.23507094647502</v>
      </c>
      <c r="C24" s="821">
        <v>220.873422038212</v>
      </c>
      <c r="D24" s="820">
        <v>212.04538707981499</v>
      </c>
      <c r="E24" s="821" t="s">
        <v>489</v>
      </c>
      <c r="F24" s="935">
        <v>224.73089052504724</v>
      </c>
      <c r="G24" s="667">
        <v>8.1640905607067049E-2</v>
      </c>
      <c r="H24" s="828">
        <v>8.3049837743873978E-2</v>
      </c>
    </row>
    <row r="25" spans="1:8" ht="20" customHeight="1" thickBot="1">
      <c r="A25" s="328" t="s">
        <v>1824</v>
      </c>
      <c r="B25" s="820">
        <v>225.955934825935</v>
      </c>
      <c r="C25" s="821">
        <v>214.302381534592</v>
      </c>
      <c r="D25" s="820">
        <v>194.46312066294999</v>
      </c>
      <c r="E25" s="821" t="s">
        <v>489</v>
      </c>
      <c r="F25" s="935">
        <v>212.46137181819998</v>
      </c>
      <c r="G25" s="667">
        <v>3.3638937333648089E-2</v>
      </c>
      <c r="H25" s="828">
        <v>8.7230743822659162E-2</v>
      </c>
    </row>
    <row r="26" spans="1:8" ht="20" customHeight="1" thickBot="1">
      <c r="A26" s="328" t="s">
        <v>1825</v>
      </c>
      <c r="B26" s="820" t="s">
        <v>489</v>
      </c>
      <c r="C26" s="821" t="s">
        <v>489</v>
      </c>
      <c r="D26" s="820" t="s">
        <v>489</v>
      </c>
      <c r="E26" s="821">
        <v>236.82320056627</v>
      </c>
      <c r="F26" s="935">
        <v>236.82320056627034</v>
      </c>
      <c r="G26" s="667">
        <v>6.0617184126143364E-2</v>
      </c>
      <c r="H26" s="828">
        <v>8.1196219388311119E-2</v>
      </c>
    </row>
    <row r="27" spans="1:8" ht="20" customHeight="1" thickBot="1">
      <c r="A27" s="328" t="s">
        <v>1826</v>
      </c>
      <c r="B27" s="820" t="s">
        <v>489</v>
      </c>
      <c r="C27" s="821" t="s">
        <v>489</v>
      </c>
      <c r="D27" s="820" t="s">
        <v>489</v>
      </c>
      <c r="E27" s="821">
        <v>237.98705046407801</v>
      </c>
      <c r="F27" s="935">
        <v>237.98705046407824</v>
      </c>
      <c r="G27" s="667">
        <v>4.3783840682217301E-2</v>
      </c>
      <c r="H27" s="828">
        <v>7.7566872886220661E-2</v>
      </c>
    </row>
    <row r="28" spans="1:8" ht="20" customHeight="1" thickBot="1">
      <c r="A28" s="328" t="s">
        <v>1827</v>
      </c>
      <c r="B28" s="820">
        <v>306.14109046538601</v>
      </c>
      <c r="C28" s="821">
        <v>284.87871639371502</v>
      </c>
      <c r="D28" s="820" t="s">
        <v>489</v>
      </c>
      <c r="E28" s="821" t="s">
        <v>489</v>
      </c>
      <c r="F28" s="935">
        <v>302.78033286431463</v>
      </c>
      <c r="G28" s="667">
        <v>2.5666303368374388E-2</v>
      </c>
      <c r="H28" s="828">
        <v>6.8357983973014402E-2</v>
      </c>
    </row>
    <row r="29" spans="1:8" ht="20" customHeight="1" thickBot="1">
      <c r="A29" s="328" t="s">
        <v>1828</v>
      </c>
      <c r="B29" s="820">
        <v>323.41527923976207</v>
      </c>
      <c r="C29" s="821">
        <v>306.67839933853605</v>
      </c>
      <c r="D29" s="820" t="s">
        <v>489</v>
      </c>
      <c r="E29" s="821" t="s">
        <v>489</v>
      </c>
      <c r="F29" s="935">
        <v>317.93225856060599</v>
      </c>
      <c r="G29" s="667">
        <v>2.4924534235763351E-2</v>
      </c>
      <c r="H29" s="828">
        <v>6.2230899385685046E-2</v>
      </c>
    </row>
    <row r="30" spans="1:8" ht="20" customHeight="1" thickBot="1">
      <c r="A30" s="328" t="s">
        <v>1829</v>
      </c>
      <c r="B30" s="820">
        <v>236.41046322551102</v>
      </c>
      <c r="C30" s="821">
        <v>195.78513150264101</v>
      </c>
      <c r="D30" s="820" t="s">
        <v>489</v>
      </c>
      <c r="E30" s="821" t="s">
        <v>489</v>
      </c>
      <c r="F30" s="935">
        <v>223.48397243155182</v>
      </c>
      <c r="G30" s="667">
        <v>4.3456196393317548E-2</v>
      </c>
      <c r="H30" s="828">
        <v>7.1821498752339341E-2</v>
      </c>
    </row>
    <row r="31" spans="1:8" ht="20" customHeight="1" thickBot="1">
      <c r="A31" s="328" t="s">
        <v>1830</v>
      </c>
      <c r="B31" s="820" t="s">
        <v>489</v>
      </c>
      <c r="C31" s="821" t="s">
        <v>489</v>
      </c>
      <c r="D31" s="820" t="s">
        <v>489</v>
      </c>
      <c r="E31" s="821">
        <v>307.76205855638102</v>
      </c>
      <c r="F31" s="935">
        <v>307.76205855638051</v>
      </c>
      <c r="G31" s="667">
        <v>2.5093363675856128E-2</v>
      </c>
      <c r="H31" s="828">
        <v>6.8361969755937668E-2</v>
      </c>
    </row>
    <row r="32" spans="1:8" ht="20" customHeight="1" thickBot="1">
      <c r="A32" s="328" t="s">
        <v>1831</v>
      </c>
      <c r="B32" s="820" t="s">
        <v>489</v>
      </c>
      <c r="C32" s="821" t="s">
        <v>489</v>
      </c>
      <c r="D32" s="820" t="s">
        <v>489</v>
      </c>
      <c r="E32" s="821">
        <v>346.92547700860302</v>
      </c>
      <c r="F32" s="935">
        <v>346.9254770086032</v>
      </c>
      <c r="G32" s="667">
        <v>-2.3436620512793382E-3</v>
      </c>
      <c r="H32" s="828">
        <v>5.6600963232294133E-2</v>
      </c>
    </row>
    <row r="33" spans="1:8" ht="20" customHeight="1" thickBot="1">
      <c r="A33" s="328" t="s">
        <v>1832</v>
      </c>
      <c r="B33" s="820" t="s">
        <v>489</v>
      </c>
      <c r="C33" s="821" t="s">
        <v>489</v>
      </c>
      <c r="D33" s="820" t="s">
        <v>489</v>
      </c>
      <c r="E33" s="821">
        <v>283.30618220258299</v>
      </c>
      <c r="F33" s="935">
        <v>283.3061822025831</v>
      </c>
      <c r="G33" s="667">
        <v>1.8220507097541416E-2</v>
      </c>
      <c r="H33" s="828">
        <v>7.1953902164641814E-2</v>
      </c>
    </row>
    <row r="34" spans="1:8" s="285" customFormat="1" ht="30" customHeight="1" thickBot="1">
      <c r="A34" s="129" t="s">
        <v>628</v>
      </c>
      <c r="B34" s="822" t="s">
        <v>59</v>
      </c>
      <c r="C34" s="823" t="s">
        <v>59</v>
      </c>
      <c r="D34" s="822" t="s">
        <v>59</v>
      </c>
      <c r="E34" s="823" t="s">
        <v>59</v>
      </c>
      <c r="F34" s="822">
        <v>258.51834876494348</v>
      </c>
      <c r="G34" s="936">
        <v>4.2350534704588494E-2</v>
      </c>
      <c r="H34" s="830">
        <v>7.098094878041028E-2</v>
      </c>
    </row>
    <row r="35" spans="1:8" ht="20" customHeight="1">
      <c r="A35" s="133" t="s">
        <v>556</v>
      </c>
      <c r="B35" s="937"/>
      <c r="C35" s="937"/>
      <c r="D35" s="937"/>
      <c r="E35" s="937"/>
      <c r="F35" s="937"/>
    </row>
    <row r="36" spans="1:8" ht="12.75" customHeight="1">
      <c r="A36" s="3"/>
      <c r="B36" s="938"/>
      <c r="C36" s="938"/>
      <c r="D36" s="938"/>
      <c r="E36" s="938"/>
      <c r="F36" s="938"/>
    </row>
    <row r="37" spans="1:8" ht="15.75" customHeight="1">
      <c r="A37" s="3" t="s">
        <v>546</v>
      </c>
      <c r="B37" s="938"/>
      <c r="C37" s="938"/>
      <c r="D37" s="938"/>
      <c r="E37" s="938"/>
      <c r="F37" s="938"/>
    </row>
    <row r="38" spans="1:8" ht="13.5" customHeight="1">
      <c r="A38" s="3"/>
      <c r="B38" s="938"/>
      <c r="C38" s="938"/>
      <c r="D38" s="938"/>
      <c r="E38" s="938"/>
      <c r="F38" s="938"/>
    </row>
    <row r="39" spans="1:8" ht="12.75" customHeight="1">
      <c r="A39" s="3" t="s">
        <v>547</v>
      </c>
      <c r="B39" s="938"/>
      <c r="C39" s="938"/>
      <c r="D39" s="938"/>
      <c r="E39" s="938"/>
      <c r="F39" s="938"/>
    </row>
    <row r="40" spans="1:8">
      <c r="A40" s="2" t="s">
        <v>548</v>
      </c>
      <c r="B40" s="348"/>
      <c r="C40" s="348"/>
      <c r="D40" s="348"/>
      <c r="E40" s="348"/>
      <c r="F40" s="348"/>
    </row>
    <row r="41" spans="1:8">
      <c r="A41" s="2" t="s">
        <v>549</v>
      </c>
      <c r="B41" s="348"/>
      <c r="C41" s="348"/>
      <c r="D41" s="348"/>
      <c r="E41" s="348"/>
      <c r="F41" s="348"/>
    </row>
    <row r="42" spans="1:8">
      <c r="A42" s="2" t="s">
        <v>550</v>
      </c>
      <c r="B42" s="348"/>
      <c r="C42" s="348"/>
      <c r="D42" s="348"/>
      <c r="E42" s="348"/>
      <c r="F42" s="348"/>
    </row>
    <row r="43" spans="1:8">
      <c r="B43" s="348"/>
      <c r="C43" s="348"/>
      <c r="D43" s="348"/>
      <c r="E43" s="348"/>
      <c r="F43" s="348"/>
    </row>
    <row r="44" spans="1:8">
      <c r="B44" s="348"/>
      <c r="C44" s="348"/>
      <c r="D44" s="348"/>
      <c r="E44" s="348"/>
      <c r="F44" s="348"/>
    </row>
    <row r="45" spans="1:8">
      <c r="A45" s="2" t="s">
        <v>634</v>
      </c>
    </row>
  </sheetData>
  <phoneticPr fontId="0" type="noConversion"/>
  <pageMargins left="0.56000000000000005" right="0.54" top="0.9" bottom="0.47244094488188981" header="0.63" footer="0.51181102362204722"/>
  <pageSetup paperSize="9" scale="74" orientation="portrait" horizontalDpi="4294967292" verticalDpi="4294967292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FDF1-E531-924C-95E3-3E779B0A04F9}">
  <sheetPr>
    <pageSetUpPr fitToPage="1"/>
  </sheetPr>
  <dimension ref="A1:H45"/>
  <sheetViews>
    <sheetView zoomScale="75" workbookViewId="0">
      <selection activeCell="A43" sqref="A43"/>
    </sheetView>
  </sheetViews>
  <sheetFormatPr baseColWidth="10" defaultColWidth="11.3984375" defaultRowHeight="13"/>
  <cols>
    <col min="1" max="6" width="16" style="2" customWidth="1"/>
    <col min="7" max="8" width="14.19921875" style="2" customWidth="1"/>
    <col min="9" max="16384" width="11.3984375" style="2"/>
  </cols>
  <sheetData>
    <row r="1" spans="1:8" s="1" customFormat="1" ht="14" customHeight="1">
      <c r="A1" s="381"/>
      <c r="B1" s="381"/>
      <c r="C1" s="381"/>
      <c r="D1" s="381"/>
      <c r="E1" s="381"/>
      <c r="F1" s="381"/>
    </row>
    <row r="2" spans="1:8" s="1" customFormat="1" ht="18.75" customHeight="1">
      <c r="A2" s="384" t="s">
        <v>554</v>
      </c>
      <c r="B2" s="381"/>
      <c r="C2" s="381"/>
      <c r="D2" s="381"/>
      <c r="E2" s="381"/>
      <c r="F2" s="381"/>
    </row>
    <row r="3" spans="1:8" s="1" customFormat="1" ht="24" customHeight="1">
      <c r="A3" s="384" t="s">
        <v>1224</v>
      </c>
      <c r="B3" s="381"/>
      <c r="C3" s="381"/>
      <c r="D3" s="381"/>
      <c r="E3" s="381"/>
      <c r="F3" s="381"/>
    </row>
    <row r="4" spans="1:8" ht="24" customHeight="1">
      <c r="A4" s="110" t="s">
        <v>1797</v>
      </c>
      <c r="B4" s="920" t="s">
        <v>539</v>
      </c>
      <c r="C4" s="921" t="s">
        <v>540</v>
      </c>
      <c r="D4" s="920" t="s">
        <v>541</v>
      </c>
      <c r="E4" s="921" t="s">
        <v>542</v>
      </c>
      <c r="F4" s="920" t="s">
        <v>552</v>
      </c>
      <c r="G4" s="922" t="s">
        <v>1801</v>
      </c>
      <c r="H4" s="923" t="s">
        <v>543</v>
      </c>
    </row>
    <row r="5" spans="1:8" ht="24.75" customHeight="1">
      <c r="A5" s="308"/>
      <c r="B5" s="924"/>
      <c r="C5" s="925"/>
      <c r="D5" s="924"/>
      <c r="E5" s="925"/>
      <c r="F5" s="924"/>
      <c r="G5" s="926" t="s">
        <v>1802</v>
      </c>
      <c r="H5" s="927" t="s">
        <v>544</v>
      </c>
    </row>
    <row r="6" spans="1:8" ht="24.75" customHeight="1">
      <c r="A6" s="308"/>
      <c r="B6" s="924"/>
      <c r="C6" s="925"/>
      <c r="D6" s="924"/>
      <c r="E6" s="925"/>
      <c r="F6" s="924"/>
      <c r="G6" s="930" t="s">
        <v>1806</v>
      </c>
      <c r="H6" s="931" t="s">
        <v>545</v>
      </c>
    </row>
    <row r="7" spans="1:8" ht="16" customHeight="1">
      <c r="A7" s="309"/>
      <c r="B7" s="120"/>
      <c r="C7" s="119"/>
      <c r="D7" s="120"/>
      <c r="E7" s="119"/>
      <c r="F7" s="141"/>
      <c r="G7" s="932"/>
      <c r="H7" s="933" t="s">
        <v>1225</v>
      </c>
    </row>
    <row r="8" spans="1:8" ht="30" customHeight="1" thickBot="1">
      <c r="A8" s="324" t="s">
        <v>1807</v>
      </c>
      <c r="B8" s="819">
        <v>83.770630801671501</v>
      </c>
      <c r="C8" s="311">
        <v>74.161264074565707</v>
      </c>
      <c r="D8" s="819">
        <v>68.437074612595595</v>
      </c>
      <c r="E8" s="311" t="s">
        <v>489</v>
      </c>
      <c r="F8" s="934">
        <v>74.195143055797615</v>
      </c>
      <c r="G8" s="680">
        <v>5.1662250445243529E-3</v>
      </c>
      <c r="H8" s="827">
        <v>3.4185975427623916E-2</v>
      </c>
    </row>
    <row r="9" spans="1:8" ht="20" customHeight="1" thickBot="1">
      <c r="A9" s="328" t="s">
        <v>1808</v>
      </c>
      <c r="B9" s="820">
        <v>89.232272308608998</v>
      </c>
      <c r="C9" s="821">
        <v>78.936250199494893</v>
      </c>
      <c r="D9" s="820">
        <v>73.775745896755296</v>
      </c>
      <c r="E9" s="821" t="s">
        <v>489</v>
      </c>
      <c r="F9" s="935">
        <v>80.348390228756301</v>
      </c>
      <c r="G9" s="667">
        <v>2.5930766277947104E-2</v>
      </c>
      <c r="H9" s="828">
        <v>4.2647919195931472E-2</v>
      </c>
    </row>
    <row r="10" spans="1:8" ht="20" customHeight="1" thickBot="1">
      <c r="A10" s="328" t="s">
        <v>1809</v>
      </c>
      <c r="B10" s="820">
        <v>71.031362803873904</v>
      </c>
      <c r="C10" s="821">
        <v>65.567043275153793</v>
      </c>
      <c r="D10" s="820">
        <v>62.737089032641194</v>
      </c>
      <c r="E10" s="821" t="s">
        <v>489</v>
      </c>
      <c r="F10" s="935">
        <v>66.322562076395755</v>
      </c>
      <c r="G10" s="667">
        <v>3.7827692400200785E-2</v>
      </c>
      <c r="H10" s="828">
        <v>5.3977076299304372E-2</v>
      </c>
    </row>
    <row r="11" spans="1:8" ht="20" customHeight="1" thickBot="1">
      <c r="A11" s="328" t="s">
        <v>1810</v>
      </c>
      <c r="B11" s="820" t="s">
        <v>489</v>
      </c>
      <c r="C11" s="821" t="s">
        <v>489</v>
      </c>
      <c r="D11" s="820" t="s">
        <v>489</v>
      </c>
      <c r="E11" s="821">
        <v>61.489558985308093</v>
      </c>
      <c r="F11" s="935">
        <v>61.489558985308101</v>
      </c>
      <c r="G11" s="667">
        <v>4.6141764931929563E-2</v>
      </c>
      <c r="H11" s="828">
        <v>4.6799009258298607E-2</v>
      </c>
    </row>
    <row r="12" spans="1:8" ht="20" customHeight="1" thickBot="1">
      <c r="A12" s="328" t="s">
        <v>1811</v>
      </c>
      <c r="B12" s="820" t="s">
        <v>489</v>
      </c>
      <c r="C12" s="821" t="s">
        <v>489</v>
      </c>
      <c r="D12" s="820" t="s">
        <v>489</v>
      </c>
      <c r="E12" s="821">
        <v>64.9114205794355</v>
      </c>
      <c r="F12" s="935">
        <v>64.911420579435458</v>
      </c>
      <c r="G12" s="667">
        <v>3.5857993282592426E-2</v>
      </c>
      <c r="H12" s="828">
        <v>4.8076913263133125E-2</v>
      </c>
    </row>
    <row r="13" spans="1:8" ht="20" customHeight="1" thickBot="1">
      <c r="A13" s="328" t="s">
        <v>1812</v>
      </c>
      <c r="B13" s="820" t="s">
        <v>489</v>
      </c>
      <c r="C13" s="821" t="s">
        <v>489</v>
      </c>
      <c r="D13" s="820" t="s">
        <v>489</v>
      </c>
      <c r="E13" s="821">
        <v>59.669581207458492</v>
      </c>
      <c r="F13" s="935">
        <v>59.669581207458485</v>
      </c>
      <c r="G13" s="667">
        <v>5.7513750276536824E-2</v>
      </c>
      <c r="H13" s="828">
        <v>4.2352031919357325E-2</v>
      </c>
    </row>
    <row r="14" spans="1:8" ht="20" customHeight="1" thickBot="1">
      <c r="A14" s="328" t="s">
        <v>1813</v>
      </c>
      <c r="B14" s="820" t="s">
        <v>489</v>
      </c>
      <c r="C14" s="821" t="s">
        <v>489</v>
      </c>
      <c r="D14" s="820" t="s">
        <v>489</v>
      </c>
      <c r="E14" s="821">
        <v>56.144216451081803</v>
      </c>
      <c r="F14" s="935">
        <v>56.14421645108181</v>
      </c>
      <c r="G14" s="667">
        <v>4.4675467208381336E-2</v>
      </c>
      <c r="H14" s="828">
        <v>4.121538713274564E-2</v>
      </c>
    </row>
    <row r="15" spans="1:8" ht="20" customHeight="1" thickBot="1">
      <c r="A15" s="328" t="s">
        <v>1814</v>
      </c>
      <c r="B15" s="820" t="s">
        <v>489</v>
      </c>
      <c r="C15" s="821" t="s">
        <v>489</v>
      </c>
      <c r="D15" s="820" t="s">
        <v>489</v>
      </c>
      <c r="E15" s="821">
        <v>63.448162067580391</v>
      </c>
      <c r="F15" s="935">
        <v>63.448162067580441</v>
      </c>
      <c r="G15" s="667">
        <v>1.1326144051364562E-2</v>
      </c>
      <c r="H15" s="828">
        <v>4.671294296669859E-2</v>
      </c>
    </row>
    <row r="16" spans="1:8" ht="20" customHeight="1" thickBot="1">
      <c r="A16" s="328" t="s">
        <v>1815</v>
      </c>
      <c r="B16" s="820" t="s">
        <v>489</v>
      </c>
      <c r="C16" s="821" t="s">
        <v>489</v>
      </c>
      <c r="D16" s="820" t="s">
        <v>489</v>
      </c>
      <c r="E16" s="821">
        <v>64.008582899149005</v>
      </c>
      <c r="F16" s="935">
        <v>64.008582899148962</v>
      </c>
      <c r="G16" s="667">
        <v>3.1645439749972137E-2</v>
      </c>
      <c r="H16" s="828">
        <v>4.8598082907849172E-2</v>
      </c>
    </row>
    <row r="17" spans="1:8" ht="20" customHeight="1" thickBot="1">
      <c r="A17" s="328" t="s">
        <v>1816</v>
      </c>
      <c r="B17" s="820">
        <v>76.055311883032502</v>
      </c>
      <c r="C17" s="821">
        <v>68.807339509841697</v>
      </c>
      <c r="D17" s="820" t="s">
        <v>489</v>
      </c>
      <c r="E17" s="821" t="s">
        <v>489</v>
      </c>
      <c r="F17" s="935">
        <v>71.280227081656435</v>
      </c>
      <c r="G17" s="667">
        <v>2.0996283870235333E-2</v>
      </c>
      <c r="H17" s="828">
        <v>3.1075185354652701E-2</v>
      </c>
    </row>
    <row r="18" spans="1:8" ht="20" customHeight="1" thickBot="1">
      <c r="A18" s="328" t="s">
        <v>1817</v>
      </c>
      <c r="B18" s="820" t="s">
        <v>489</v>
      </c>
      <c r="C18" s="821" t="s">
        <v>489</v>
      </c>
      <c r="D18" s="820" t="s">
        <v>489</v>
      </c>
      <c r="E18" s="821">
        <v>71.268200631800084</v>
      </c>
      <c r="F18" s="935">
        <v>71.268200631800141</v>
      </c>
      <c r="G18" s="667">
        <v>3.5235672275634844E-2</v>
      </c>
      <c r="H18" s="828">
        <v>4.0051702046507209E-2</v>
      </c>
    </row>
    <row r="19" spans="1:8" ht="20" customHeight="1" thickBot="1">
      <c r="A19" s="328" t="s">
        <v>1818</v>
      </c>
      <c r="B19" s="820" t="s">
        <v>489</v>
      </c>
      <c r="C19" s="821" t="s">
        <v>489</v>
      </c>
      <c r="D19" s="820" t="s">
        <v>489</v>
      </c>
      <c r="E19" s="821">
        <v>101.497306758147</v>
      </c>
      <c r="F19" s="935">
        <v>101.49730675814673</v>
      </c>
      <c r="G19" s="667">
        <v>1.9617866966420427E-2</v>
      </c>
      <c r="H19" s="828">
        <v>4.0140712207910045E-2</v>
      </c>
    </row>
    <row r="20" spans="1:8" ht="20" customHeight="1" thickBot="1">
      <c r="A20" s="328" t="s">
        <v>1819</v>
      </c>
      <c r="B20" s="820">
        <v>82.585218036617306</v>
      </c>
      <c r="C20" s="821">
        <v>75.61732646869379</v>
      </c>
      <c r="D20" s="820" t="s">
        <v>489</v>
      </c>
      <c r="E20" s="821" t="s">
        <v>489</v>
      </c>
      <c r="F20" s="935">
        <v>80.410499546013455</v>
      </c>
      <c r="G20" s="667">
        <v>3.3569459302865923E-2</v>
      </c>
      <c r="H20" s="828">
        <v>4.2037299192098976E-2</v>
      </c>
    </row>
    <row r="21" spans="1:8" ht="20" customHeight="1" thickBot="1">
      <c r="A21" s="328" t="s">
        <v>1820</v>
      </c>
      <c r="B21" s="820">
        <v>76.065360130462494</v>
      </c>
      <c r="C21" s="821">
        <v>69.75396517069089</v>
      </c>
      <c r="D21" s="820" t="s">
        <v>489</v>
      </c>
      <c r="E21" s="821" t="s">
        <v>489</v>
      </c>
      <c r="F21" s="935">
        <v>73.174453785603831</v>
      </c>
      <c r="G21" s="667">
        <v>1.9147320445269012E-2</v>
      </c>
      <c r="H21" s="828">
        <v>4.4936124985066161E-2</v>
      </c>
    </row>
    <row r="22" spans="1:8" ht="20" customHeight="1" thickBot="1">
      <c r="A22" s="328" t="s">
        <v>1821</v>
      </c>
      <c r="B22" s="820" t="s">
        <v>489</v>
      </c>
      <c r="C22" s="821" t="s">
        <v>489</v>
      </c>
      <c r="D22" s="820" t="s">
        <v>489</v>
      </c>
      <c r="E22" s="821">
        <v>59.511885358709598</v>
      </c>
      <c r="F22" s="935">
        <v>59.511885358709613</v>
      </c>
      <c r="G22" s="667">
        <v>3.3963448143630837E-2</v>
      </c>
      <c r="H22" s="828">
        <v>4.7301336482228784E-2</v>
      </c>
    </row>
    <row r="23" spans="1:8" ht="20" customHeight="1" thickBot="1">
      <c r="A23" s="328" t="s">
        <v>1822</v>
      </c>
      <c r="B23" s="820" t="s">
        <v>489</v>
      </c>
      <c r="C23" s="821" t="s">
        <v>489</v>
      </c>
      <c r="D23" s="820" t="s">
        <v>489</v>
      </c>
      <c r="E23" s="821">
        <v>56.353192872216198</v>
      </c>
      <c r="F23" s="935">
        <v>56.353192872216191</v>
      </c>
      <c r="G23" s="667">
        <v>3.7375020435923112E-2</v>
      </c>
      <c r="H23" s="828">
        <v>5.1469688459587992E-2</v>
      </c>
    </row>
    <row r="24" spans="1:8" ht="20" customHeight="1" thickBot="1">
      <c r="A24" s="328" t="s">
        <v>1823</v>
      </c>
      <c r="B24" s="820">
        <v>73.211186769716605</v>
      </c>
      <c r="C24" s="821">
        <v>66.5435330140769</v>
      </c>
      <c r="D24" s="820">
        <v>63.984491868832897</v>
      </c>
      <c r="E24" s="821" t="s">
        <v>489</v>
      </c>
      <c r="F24" s="935">
        <v>67.566328379711749</v>
      </c>
      <c r="G24" s="667">
        <v>4.6890817676030316E-2</v>
      </c>
      <c r="H24" s="828">
        <v>5.1252650666806288E-2</v>
      </c>
    </row>
    <row r="25" spans="1:8" ht="20" customHeight="1" thickBot="1">
      <c r="A25" s="328" t="s">
        <v>1824</v>
      </c>
      <c r="B25" s="820">
        <v>68.576883460758182</v>
      </c>
      <c r="C25" s="821">
        <v>65.332802783168702</v>
      </c>
      <c r="D25" s="820">
        <v>58.704476324006102</v>
      </c>
      <c r="E25" s="821" t="s">
        <v>489</v>
      </c>
      <c r="F25" s="935">
        <v>64.490032188927415</v>
      </c>
      <c r="G25" s="667">
        <v>1.2117861053015044E-2</v>
      </c>
      <c r="H25" s="828">
        <v>5.4945590066672656E-2</v>
      </c>
    </row>
    <row r="26" spans="1:8" ht="20" customHeight="1" thickBot="1">
      <c r="A26" s="328" t="s">
        <v>1825</v>
      </c>
      <c r="B26" s="820" t="s">
        <v>489</v>
      </c>
      <c r="C26" s="821" t="s">
        <v>489</v>
      </c>
      <c r="D26" s="820" t="s">
        <v>489</v>
      </c>
      <c r="E26" s="821">
        <v>70.027263747966302</v>
      </c>
      <c r="F26" s="935">
        <v>70.027263747966259</v>
      </c>
      <c r="G26" s="667">
        <v>2.9144164985951182E-2</v>
      </c>
      <c r="H26" s="828">
        <v>4.9739665380975406E-2</v>
      </c>
    </row>
    <row r="27" spans="1:8" ht="20" customHeight="1" thickBot="1">
      <c r="A27" s="328" t="s">
        <v>1826</v>
      </c>
      <c r="B27" s="820" t="s">
        <v>489</v>
      </c>
      <c r="C27" s="821" t="s">
        <v>489</v>
      </c>
      <c r="D27" s="820" t="s">
        <v>489</v>
      </c>
      <c r="E27" s="821">
        <v>71.434816498743103</v>
      </c>
      <c r="F27" s="935">
        <v>71.434816498743146</v>
      </c>
      <c r="G27" s="667">
        <v>1.3741155232199764E-2</v>
      </c>
      <c r="H27" s="828">
        <v>4.6775778691398262E-2</v>
      </c>
    </row>
    <row r="28" spans="1:8" ht="20" customHeight="1" thickBot="1">
      <c r="A28" s="328" t="s">
        <v>1827</v>
      </c>
      <c r="B28" s="820">
        <v>88.07202488367021</v>
      </c>
      <c r="C28" s="821">
        <v>82.561545146632795</v>
      </c>
      <c r="D28" s="820" t="s">
        <v>489</v>
      </c>
      <c r="E28" s="821" t="s">
        <v>489</v>
      </c>
      <c r="F28" s="935">
        <v>87.194906921528514</v>
      </c>
      <c r="G28" s="667">
        <v>-4.6020288422589095E-3</v>
      </c>
      <c r="H28" s="828">
        <v>2.7676248219288269E-2</v>
      </c>
    </row>
    <row r="29" spans="1:8" ht="20" customHeight="1" thickBot="1">
      <c r="A29" s="328" t="s">
        <v>1828</v>
      </c>
      <c r="B29" s="820">
        <v>92.0940534170783</v>
      </c>
      <c r="C29" s="821">
        <v>86.349672373907595</v>
      </c>
      <c r="D29" s="820" t="s">
        <v>489</v>
      </c>
      <c r="E29" s="821" t="s">
        <v>489</v>
      </c>
      <c r="F29" s="935">
        <v>90.206235081753917</v>
      </c>
      <c r="G29" s="667">
        <v>2.9003516206072E-4</v>
      </c>
      <c r="H29" s="828">
        <v>1.4486772725217589E-2</v>
      </c>
    </row>
    <row r="30" spans="1:8" ht="20" customHeight="1" thickBot="1">
      <c r="A30" s="328" t="s">
        <v>1829</v>
      </c>
      <c r="B30" s="820">
        <v>68.979328343907397</v>
      </c>
      <c r="C30" s="821">
        <v>59.271833107479395</v>
      </c>
      <c r="D30" s="820" t="s">
        <v>489</v>
      </c>
      <c r="E30" s="821" t="s">
        <v>489</v>
      </c>
      <c r="F30" s="935">
        <v>66.263399085175237</v>
      </c>
      <c r="G30" s="667">
        <v>1.8628833519659826E-2</v>
      </c>
      <c r="H30" s="828">
        <v>3.4504815165048663E-2</v>
      </c>
    </row>
    <row r="31" spans="1:8" ht="20" customHeight="1" thickBot="1">
      <c r="A31" s="328" t="s">
        <v>1830</v>
      </c>
      <c r="B31" s="820" t="s">
        <v>489</v>
      </c>
      <c r="C31" s="821" t="s">
        <v>489</v>
      </c>
      <c r="D31" s="820" t="s">
        <v>489</v>
      </c>
      <c r="E31" s="821">
        <v>82.687533324510099</v>
      </c>
      <c r="F31" s="935">
        <v>82.687533324510085</v>
      </c>
      <c r="G31" s="667">
        <v>-1.1380471448121043E-2</v>
      </c>
      <c r="H31" s="828">
        <v>2.256835664412038E-2</v>
      </c>
    </row>
    <row r="32" spans="1:8" ht="20" customHeight="1" thickBot="1">
      <c r="A32" s="328" t="s">
        <v>1831</v>
      </c>
      <c r="B32" s="820" t="s">
        <v>489</v>
      </c>
      <c r="C32" s="821" t="s">
        <v>489</v>
      </c>
      <c r="D32" s="820" t="s">
        <v>489</v>
      </c>
      <c r="E32" s="821">
        <v>95.709943656830802</v>
      </c>
      <c r="F32" s="935">
        <v>95.709943656830816</v>
      </c>
      <c r="G32" s="667">
        <v>-3.5242930378971082E-2</v>
      </c>
      <c r="H32" s="828">
        <v>1.6315613146891783E-2</v>
      </c>
    </row>
    <row r="33" spans="1:8" ht="20" customHeight="1" thickBot="1">
      <c r="A33" s="328" t="s">
        <v>1832</v>
      </c>
      <c r="B33" s="820" t="s">
        <v>489</v>
      </c>
      <c r="C33" s="821" t="s">
        <v>489</v>
      </c>
      <c r="D33" s="820" t="s">
        <v>489</v>
      </c>
      <c r="E33" s="821">
        <v>80.468184145494391</v>
      </c>
      <c r="F33" s="935">
        <v>80.468184145494391</v>
      </c>
      <c r="G33" s="667">
        <v>-7.2466858883976082E-3</v>
      </c>
      <c r="H33" s="828">
        <v>3.1588980919304399E-2</v>
      </c>
    </row>
    <row r="34" spans="1:8" s="285" customFormat="1" ht="30" customHeight="1" thickBot="1">
      <c r="A34" s="129" t="s">
        <v>628</v>
      </c>
      <c r="B34" s="822" t="s">
        <v>59</v>
      </c>
      <c r="C34" s="823" t="s">
        <v>59</v>
      </c>
      <c r="D34" s="822" t="s">
        <v>59</v>
      </c>
      <c r="E34" s="823" t="s">
        <v>59</v>
      </c>
      <c r="F34" s="822">
        <v>76.359591370012836</v>
      </c>
      <c r="G34" s="936">
        <v>1.4605747654856671E-2</v>
      </c>
      <c r="H34" s="830">
        <v>3.6512336718863558E-2</v>
      </c>
    </row>
    <row r="35" spans="1:8" ht="20" customHeight="1">
      <c r="A35" s="133" t="s">
        <v>556</v>
      </c>
      <c r="B35" s="937"/>
      <c r="C35" s="937"/>
      <c r="D35" s="937"/>
      <c r="E35" s="937"/>
      <c r="F35" s="937"/>
    </row>
    <row r="36" spans="1:8" ht="12.75" customHeight="1">
      <c r="A36" s="3"/>
      <c r="B36" s="938"/>
      <c r="C36" s="938"/>
      <c r="D36" s="938"/>
      <c r="E36" s="938"/>
      <c r="F36" s="938"/>
    </row>
    <row r="37" spans="1:8" ht="15.75" customHeight="1">
      <c r="A37" s="3" t="s">
        <v>546</v>
      </c>
      <c r="B37" s="938"/>
      <c r="C37" s="938"/>
      <c r="D37" s="938"/>
      <c r="E37" s="938"/>
      <c r="F37" s="938"/>
    </row>
    <row r="38" spans="1:8" ht="13.5" customHeight="1">
      <c r="A38" s="3"/>
      <c r="B38" s="938"/>
      <c r="C38" s="938"/>
      <c r="D38" s="938"/>
      <c r="E38" s="938"/>
      <c r="F38" s="938"/>
    </row>
    <row r="39" spans="1:8" ht="12.75" customHeight="1">
      <c r="A39" s="3" t="s">
        <v>547</v>
      </c>
      <c r="B39" s="938"/>
      <c r="C39" s="938"/>
      <c r="D39" s="938"/>
      <c r="E39" s="938"/>
      <c r="F39" s="938"/>
    </row>
    <row r="40" spans="1:8">
      <c r="A40" s="2" t="s">
        <v>548</v>
      </c>
      <c r="B40" s="348"/>
      <c r="C40" s="348"/>
      <c r="D40" s="348"/>
      <c r="E40" s="348"/>
      <c r="F40" s="348"/>
    </row>
    <row r="41" spans="1:8">
      <c r="A41" s="2" t="s">
        <v>549</v>
      </c>
      <c r="B41" s="348"/>
      <c r="C41" s="348"/>
      <c r="D41" s="348"/>
      <c r="E41" s="348"/>
      <c r="F41" s="348"/>
    </row>
    <row r="42" spans="1:8">
      <c r="A42" s="2" t="s">
        <v>550</v>
      </c>
      <c r="B42" s="348"/>
      <c r="C42" s="348"/>
      <c r="D42" s="348"/>
      <c r="E42" s="348"/>
      <c r="F42" s="348"/>
    </row>
    <row r="43" spans="1:8">
      <c r="B43" s="348"/>
      <c r="C43" s="348"/>
      <c r="D43" s="348"/>
      <c r="E43" s="348"/>
      <c r="F43" s="348"/>
    </row>
    <row r="44" spans="1:8">
      <c r="B44" s="348"/>
      <c r="C44" s="348"/>
      <c r="D44" s="348"/>
      <c r="E44" s="348"/>
      <c r="F44" s="348"/>
    </row>
    <row r="45" spans="1:8">
      <c r="A45" s="2" t="s">
        <v>634</v>
      </c>
    </row>
  </sheetData>
  <phoneticPr fontId="0" type="noConversion"/>
  <pageMargins left="0.62" right="0.54" top="0.9" bottom="0.47244094488188981" header="0.53" footer="0.51181102362204722"/>
  <pageSetup paperSize="9" scale="74" orientation="portrait" horizontalDpi="4294967292" verticalDpi="4294967292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F4FA-866B-1740-9BA0-56615EFDB03A}">
  <sheetPr>
    <pageSetUpPr fitToPage="1"/>
  </sheetPr>
  <dimension ref="A1:F42"/>
  <sheetViews>
    <sheetView zoomScale="75" workbookViewId="0">
      <selection activeCell="A40" sqref="A40"/>
    </sheetView>
  </sheetViews>
  <sheetFormatPr baseColWidth="10" defaultColWidth="11.3984375" defaultRowHeight="13"/>
  <cols>
    <col min="1" max="1" width="13.19921875" style="2" customWidth="1"/>
    <col min="2" max="2" width="15.19921875" style="2" customWidth="1"/>
    <col min="3" max="3" width="14.19921875" style="2" customWidth="1"/>
    <col min="4" max="4" width="15.59765625" style="2" customWidth="1"/>
    <col min="5" max="5" width="15.19921875" style="2" customWidth="1"/>
    <col min="6" max="6" width="14.19921875" style="2" customWidth="1"/>
    <col min="7" max="7" width="17.59765625" style="2" customWidth="1"/>
    <col min="8" max="16384" width="11.3984375" style="2"/>
  </cols>
  <sheetData>
    <row r="1" spans="1:6" s="1" customFormat="1" ht="14" customHeight="1">
      <c r="A1" s="381"/>
      <c r="B1" s="381"/>
      <c r="C1" s="381"/>
      <c r="D1" s="381"/>
      <c r="E1" s="381"/>
      <c r="F1" s="381"/>
    </row>
    <row r="2" spans="1:6" s="1" customFormat="1" ht="18.75" customHeight="1">
      <c r="A2" s="384" t="s">
        <v>389</v>
      </c>
      <c r="B2" s="381"/>
      <c r="C2" s="381"/>
      <c r="D2" s="381"/>
      <c r="E2" s="381"/>
      <c r="F2" s="381"/>
    </row>
    <row r="3" spans="1:6" s="1" customFormat="1" ht="24" customHeight="1">
      <c r="A3" s="384" t="s">
        <v>555</v>
      </c>
      <c r="B3" s="381"/>
      <c r="C3" s="381"/>
      <c r="D3" s="381"/>
      <c r="E3" s="381"/>
      <c r="F3" s="381"/>
    </row>
    <row r="4" spans="1:6" ht="24" customHeight="1">
      <c r="A4" s="110" t="s">
        <v>1797</v>
      </c>
      <c r="B4" s="920">
        <v>0.05</v>
      </c>
      <c r="C4" s="921">
        <v>0.25</v>
      </c>
      <c r="D4" s="920">
        <v>0.5</v>
      </c>
      <c r="E4" s="921">
        <v>0.25</v>
      </c>
      <c r="F4" s="920">
        <v>0.05</v>
      </c>
    </row>
    <row r="5" spans="1:6" ht="73.5" customHeight="1">
      <c r="A5" s="308"/>
      <c r="B5" s="924" t="s">
        <v>383</v>
      </c>
      <c r="C5" s="925" t="s">
        <v>383</v>
      </c>
      <c r="D5" s="924" t="s">
        <v>384</v>
      </c>
      <c r="E5" s="925" t="s">
        <v>385</v>
      </c>
      <c r="F5" s="924" t="s">
        <v>385</v>
      </c>
    </row>
    <row r="6" spans="1:6" ht="16" customHeight="1">
      <c r="A6" s="309"/>
      <c r="B6" s="120"/>
      <c r="C6" s="119"/>
      <c r="D6" s="120"/>
      <c r="E6" s="119"/>
      <c r="F6" s="141"/>
    </row>
    <row r="7" spans="1:6" ht="30" customHeight="1" thickBot="1">
      <c r="A7" s="324" t="s">
        <v>1807</v>
      </c>
      <c r="B7" s="326">
        <v>268</v>
      </c>
      <c r="C7" s="327">
        <v>285</v>
      </c>
      <c r="D7" s="326">
        <v>305</v>
      </c>
      <c r="E7" s="327">
        <v>328.2</v>
      </c>
      <c r="F7" s="326">
        <v>381</v>
      </c>
    </row>
    <row r="8" spans="1:6" ht="20" customHeight="1" thickBot="1">
      <c r="A8" s="328" t="s">
        <v>1808</v>
      </c>
      <c r="B8" s="144">
        <v>285.8</v>
      </c>
      <c r="C8" s="297">
        <v>320</v>
      </c>
      <c r="D8" s="144">
        <v>352.2</v>
      </c>
      <c r="E8" s="297">
        <v>359.9</v>
      </c>
      <c r="F8" s="144">
        <v>418</v>
      </c>
    </row>
    <row r="9" spans="1:6" ht="20" customHeight="1" thickBot="1">
      <c r="A9" s="328" t="s">
        <v>1809</v>
      </c>
      <c r="B9" s="144">
        <v>228</v>
      </c>
      <c r="C9" s="297">
        <v>261</v>
      </c>
      <c r="D9" s="144">
        <v>271.3</v>
      </c>
      <c r="E9" s="297">
        <v>296</v>
      </c>
      <c r="F9" s="144">
        <v>323</v>
      </c>
    </row>
    <row r="10" spans="1:6" ht="20" customHeight="1" thickBot="1">
      <c r="A10" s="328" t="s">
        <v>1810</v>
      </c>
      <c r="B10" s="144">
        <v>195</v>
      </c>
      <c r="C10" s="297">
        <v>243</v>
      </c>
      <c r="D10" s="144">
        <v>259.8</v>
      </c>
      <c r="E10" s="297">
        <v>264</v>
      </c>
      <c r="F10" s="144">
        <v>277</v>
      </c>
    </row>
    <row r="11" spans="1:6" ht="20" customHeight="1" thickBot="1">
      <c r="A11" s="328" t="s">
        <v>1811</v>
      </c>
      <c r="B11" s="144">
        <v>225</v>
      </c>
      <c r="C11" s="297">
        <v>260</v>
      </c>
      <c r="D11" s="144">
        <v>260</v>
      </c>
      <c r="E11" s="297">
        <v>280.60000000000002</v>
      </c>
      <c r="F11" s="144">
        <v>305</v>
      </c>
    </row>
    <row r="12" spans="1:6" ht="20" customHeight="1" thickBot="1">
      <c r="A12" s="328" t="s">
        <v>1812</v>
      </c>
      <c r="B12" s="144">
        <v>219</v>
      </c>
      <c r="C12" s="297">
        <v>239</v>
      </c>
      <c r="D12" s="144">
        <v>246.8</v>
      </c>
      <c r="E12" s="297">
        <v>255</v>
      </c>
      <c r="F12" s="144">
        <v>278</v>
      </c>
    </row>
    <row r="13" spans="1:6" ht="20" customHeight="1" thickBot="1">
      <c r="A13" s="328" t="s">
        <v>1813</v>
      </c>
      <c r="B13" s="144">
        <v>200</v>
      </c>
      <c r="C13" s="297">
        <v>216</v>
      </c>
      <c r="D13" s="144">
        <v>240.2</v>
      </c>
      <c r="E13" s="297">
        <v>240.2</v>
      </c>
      <c r="F13" s="144">
        <v>270.39999999999998</v>
      </c>
    </row>
    <row r="14" spans="1:6" ht="20" customHeight="1" thickBot="1">
      <c r="A14" s="328" t="s">
        <v>1814</v>
      </c>
      <c r="B14" s="144">
        <v>234</v>
      </c>
      <c r="C14" s="297">
        <v>243</v>
      </c>
      <c r="D14" s="144">
        <v>277.39999999999998</v>
      </c>
      <c r="E14" s="297">
        <v>294</v>
      </c>
      <c r="F14" s="144">
        <v>301</v>
      </c>
    </row>
    <row r="15" spans="1:6" ht="20" customHeight="1" thickBot="1">
      <c r="A15" s="328" t="s">
        <v>1815</v>
      </c>
      <c r="B15" s="144">
        <v>234</v>
      </c>
      <c r="C15" s="297">
        <v>254</v>
      </c>
      <c r="D15" s="144">
        <v>263</v>
      </c>
      <c r="E15" s="297">
        <v>275.8</v>
      </c>
      <c r="F15" s="144">
        <v>297</v>
      </c>
    </row>
    <row r="16" spans="1:6" ht="20" customHeight="1" thickBot="1">
      <c r="A16" s="328" t="s">
        <v>1816</v>
      </c>
      <c r="B16" s="144">
        <v>244.3</v>
      </c>
      <c r="C16" s="297">
        <v>276</v>
      </c>
      <c r="D16" s="144">
        <v>301.60000000000002</v>
      </c>
      <c r="E16" s="297">
        <v>314</v>
      </c>
      <c r="F16" s="144">
        <v>343</v>
      </c>
    </row>
    <row r="17" spans="1:6" ht="20" customHeight="1" thickBot="1">
      <c r="A17" s="328" t="s">
        <v>1817</v>
      </c>
      <c r="B17" s="144">
        <v>263</v>
      </c>
      <c r="C17" s="297">
        <v>283</v>
      </c>
      <c r="D17" s="144">
        <v>296</v>
      </c>
      <c r="E17" s="297">
        <v>309.7</v>
      </c>
      <c r="F17" s="144">
        <v>326.2</v>
      </c>
    </row>
    <row r="18" spans="1:6" ht="20" customHeight="1" thickBot="1">
      <c r="A18" s="328" t="s">
        <v>1818</v>
      </c>
      <c r="B18" s="144">
        <v>354</v>
      </c>
      <c r="C18" s="297">
        <v>402</v>
      </c>
      <c r="D18" s="144">
        <v>424</v>
      </c>
      <c r="E18" s="297">
        <v>425</v>
      </c>
      <c r="F18" s="144">
        <v>499</v>
      </c>
    </row>
    <row r="19" spans="1:6" ht="20" customHeight="1" thickBot="1">
      <c r="A19" s="328" t="s">
        <v>1819</v>
      </c>
      <c r="B19" s="144">
        <v>285</v>
      </c>
      <c r="C19" s="297">
        <v>310</v>
      </c>
      <c r="D19" s="144">
        <v>339.9</v>
      </c>
      <c r="E19" s="297">
        <v>362</v>
      </c>
      <c r="F19" s="144">
        <v>386</v>
      </c>
    </row>
    <row r="20" spans="1:6" ht="20" customHeight="1" thickBot="1">
      <c r="A20" s="328" t="s">
        <v>1820</v>
      </c>
      <c r="B20" s="144">
        <v>261</v>
      </c>
      <c r="C20" s="297">
        <v>285</v>
      </c>
      <c r="D20" s="144">
        <v>310</v>
      </c>
      <c r="E20" s="297">
        <v>322</v>
      </c>
      <c r="F20" s="144">
        <v>348.1</v>
      </c>
    </row>
    <row r="21" spans="1:6" ht="20" customHeight="1" thickBot="1">
      <c r="A21" s="328" t="s">
        <v>1821</v>
      </c>
      <c r="B21" s="144">
        <v>202.8</v>
      </c>
      <c r="C21" s="297">
        <v>249.9</v>
      </c>
      <c r="D21" s="144">
        <v>249.9</v>
      </c>
      <c r="E21" s="297">
        <v>263</v>
      </c>
      <c r="F21" s="144">
        <v>274</v>
      </c>
    </row>
    <row r="22" spans="1:6" ht="20" customHeight="1" thickBot="1">
      <c r="A22" s="328" t="s">
        <v>1822</v>
      </c>
      <c r="B22" s="144">
        <v>189.1</v>
      </c>
      <c r="C22" s="297">
        <v>224.2</v>
      </c>
      <c r="D22" s="144">
        <v>228</v>
      </c>
      <c r="E22" s="297">
        <v>246.9</v>
      </c>
      <c r="F22" s="144">
        <v>251</v>
      </c>
    </row>
    <row r="23" spans="1:6" ht="20" customHeight="1" thickBot="1">
      <c r="A23" s="328" t="s">
        <v>1823</v>
      </c>
      <c r="B23" s="144">
        <v>233</v>
      </c>
      <c r="C23" s="297">
        <v>263</v>
      </c>
      <c r="D23" s="144">
        <v>279</v>
      </c>
      <c r="E23" s="297">
        <v>300</v>
      </c>
      <c r="F23" s="144">
        <v>341</v>
      </c>
    </row>
    <row r="24" spans="1:6" ht="20" customHeight="1" thickBot="1">
      <c r="A24" s="328" t="s">
        <v>1824</v>
      </c>
      <c r="B24" s="144">
        <v>217</v>
      </c>
      <c r="C24" s="297">
        <v>256</v>
      </c>
      <c r="D24" s="144">
        <v>257</v>
      </c>
      <c r="E24" s="297">
        <v>280</v>
      </c>
      <c r="F24" s="144">
        <v>315</v>
      </c>
    </row>
    <row r="25" spans="1:6" ht="20" customHeight="1" thickBot="1">
      <c r="A25" s="328" t="s">
        <v>1825</v>
      </c>
      <c r="B25" s="144">
        <v>251.45</v>
      </c>
      <c r="C25" s="297">
        <v>279</v>
      </c>
      <c r="D25" s="144">
        <v>296</v>
      </c>
      <c r="E25" s="297">
        <v>309.7</v>
      </c>
      <c r="F25" s="144">
        <v>331.6</v>
      </c>
    </row>
    <row r="26" spans="1:6" ht="20" customHeight="1" thickBot="1">
      <c r="A26" s="328" t="s">
        <v>1826</v>
      </c>
      <c r="B26" s="144">
        <v>256.5</v>
      </c>
      <c r="C26" s="297">
        <v>274</v>
      </c>
      <c r="D26" s="144">
        <v>302</v>
      </c>
      <c r="E26" s="297">
        <v>306.8</v>
      </c>
      <c r="F26" s="144">
        <v>345</v>
      </c>
    </row>
    <row r="27" spans="1:6" ht="20" customHeight="1" thickBot="1">
      <c r="A27" s="328" t="s">
        <v>1827</v>
      </c>
      <c r="B27" s="144">
        <v>333</v>
      </c>
      <c r="C27" s="297">
        <v>352</v>
      </c>
      <c r="D27" s="144">
        <v>365.7</v>
      </c>
      <c r="E27" s="297">
        <v>394</v>
      </c>
      <c r="F27" s="144">
        <v>410.7</v>
      </c>
    </row>
    <row r="28" spans="1:6" ht="20" customHeight="1" thickBot="1">
      <c r="A28" s="328" t="s">
        <v>1828</v>
      </c>
      <c r="B28" s="144">
        <v>333</v>
      </c>
      <c r="C28" s="297">
        <v>348</v>
      </c>
      <c r="D28" s="144">
        <v>376</v>
      </c>
      <c r="E28" s="297">
        <v>395.3</v>
      </c>
      <c r="F28" s="144">
        <v>437</v>
      </c>
    </row>
    <row r="29" spans="1:6" ht="20" customHeight="1" thickBot="1">
      <c r="A29" s="328" t="s">
        <v>1829</v>
      </c>
      <c r="B29" s="144">
        <v>233</v>
      </c>
      <c r="C29" s="297">
        <v>252</v>
      </c>
      <c r="D29" s="144">
        <v>271</v>
      </c>
      <c r="E29" s="297">
        <v>296</v>
      </c>
      <c r="F29" s="144">
        <v>320</v>
      </c>
    </row>
    <row r="30" spans="1:6" ht="20" customHeight="1" thickBot="1">
      <c r="A30" s="328" t="s">
        <v>1830</v>
      </c>
      <c r="B30" s="144">
        <v>330</v>
      </c>
      <c r="C30" s="297">
        <v>342</v>
      </c>
      <c r="D30" s="144">
        <v>373</v>
      </c>
      <c r="E30" s="297">
        <v>385</v>
      </c>
      <c r="F30" s="144">
        <v>403</v>
      </c>
    </row>
    <row r="31" spans="1:6" ht="20" customHeight="1" thickBot="1">
      <c r="A31" s="328" t="s">
        <v>1831</v>
      </c>
      <c r="B31" s="144">
        <v>386</v>
      </c>
      <c r="C31" s="297">
        <v>401</v>
      </c>
      <c r="D31" s="144">
        <v>420</v>
      </c>
      <c r="E31" s="297">
        <v>429</v>
      </c>
      <c r="F31" s="144">
        <v>455</v>
      </c>
    </row>
    <row r="32" spans="1:6" ht="20" customHeight="1" thickBot="1">
      <c r="A32" s="328" t="s">
        <v>1832</v>
      </c>
      <c r="B32" s="144">
        <v>297</v>
      </c>
      <c r="C32" s="297">
        <v>313</v>
      </c>
      <c r="D32" s="144">
        <v>329</v>
      </c>
      <c r="E32" s="297">
        <v>370</v>
      </c>
      <c r="F32" s="144">
        <v>383.1</v>
      </c>
    </row>
    <row r="33" spans="1:6" ht="30" customHeight="1" thickBot="1">
      <c r="A33" s="129" t="s">
        <v>628</v>
      </c>
      <c r="B33" s="338">
        <v>248</v>
      </c>
      <c r="C33" s="339">
        <v>280.89999999999998</v>
      </c>
      <c r="D33" s="338">
        <v>314.5</v>
      </c>
      <c r="E33" s="339">
        <v>357.3</v>
      </c>
      <c r="F33" s="338">
        <v>424</v>
      </c>
    </row>
    <row r="34" spans="1:6" ht="20" customHeight="1">
      <c r="A34" s="133" t="s">
        <v>556</v>
      </c>
      <c r="B34" s="937"/>
      <c r="C34" s="937"/>
      <c r="D34" s="937"/>
      <c r="E34" s="937"/>
      <c r="F34" s="937"/>
    </row>
    <row r="35" spans="1:6" ht="12.75" customHeight="1">
      <c r="A35" s="3"/>
      <c r="B35" s="938"/>
      <c r="C35" s="938"/>
      <c r="D35" s="938"/>
      <c r="E35" s="938"/>
      <c r="F35" s="938"/>
    </row>
    <row r="36" spans="1:6" ht="15.75" customHeight="1">
      <c r="A36" s="3" t="s">
        <v>546</v>
      </c>
      <c r="B36" s="938"/>
      <c r="C36" s="938"/>
      <c r="D36" s="938"/>
      <c r="E36" s="938"/>
      <c r="F36" s="938"/>
    </row>
    <row r="37" spans="1:6" ht="13.5" customHeight="1">
      <c r="A37" s="3"/>
      <c r="B37" s="938"/>
      <c r="C37" s="938"/>
      <c r="D37" s="938"/>
      <c r="E37" s="938"/>
      <c r="F37" s="938"/>
    </row>
    <row r="38" spans="1:6" ht="12.75" customHeight="1">
      <c r="A38" s="3" t="s">
        <v>547</v>
      </c>
      <c r="B38" s="938"/>
      <c r="C38" s="938"/>
      <c r="D38" s="938"/>
      <c r="E38" s="938"/>
      <c r="F38" s="938"/>
    </row>
    <row r="39" spans="1:6">
      <c r="A39" s="2" t="s">
        <v>388</v>
      </c>
      <c r="B39" s="348"/>
      <c r="C39" s="348"/>
      <c r="D39" s="348"/>
      <c r="E39" s="348"/>
      <c r="F39" s="348"/>
    </row>
    <row r="40" spans="1:6">
      <c r="B40" s="348"/>
      <c r="C40" s="348"/>
      <c r="D40" s="348"/>
      <c r="E40" s="348"/>
      <c r="F40" s="348"/>
    </row>
    <row r="41" spans="1:6">
      <c r="B41" s="348"/>
      <c r="C41" s="348"/>
      <c r="D41" s="348"/>
      <c r="E41" s="348"/>
      <c r="F41" s="348"/>
    </row>
    <row r="42" spans="1:6">
      <c r="A42" s="2" t="s">
        <v>634</v>
      </c>
      <c r="B42" s="348"/>
      <c r="C42" s="348"/>
      <c r="D42" s="348"/>
      <c r="E42" s="348"/>
      <c r="F42" s="348"/>
    </row>
  </sheetData>
  <phoneticPr fontId="0" type="noConversion"/>
  <pageMargins left="0.67" right="0.6" top="0.69" bottom="0.47244094488188981" header="0.57999999999999996" footer="0.51181102362204722"/>
  <pageSetup paperSize="9" scale="86" orientation="portrait" horizontalDpi="1200" verticalDpi="12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A327-3FC8-AB4C-8AA7-A247706C36FB}">
  <sheetPr>
    <pageSetUpPr fitToPage="1"/>
  </sheetPr>
  <dimension ref="A1:G42"/>
  <sheetViews>
    <sheetView zoomScale="75" workbookViewId="0">
      <selection activeCell="A40" sqref="A40"/>
    </sheetView>
  </sheetViews>
  <sheetFormatPr baseColWidth="10" defaultColWidth="11.3984375" defaultRowHeight="13"/>
  <cols>
    <col min="1" max="1" width="11.19921875" style="2" customWidth="1"/>
    <col min="2" max="2" width="13.19921875" style="2" customWidth="1"/>
    <col min="3" max="3" width="15.19921875" style="2" customWidth="1"/>
    <col min="4" max="4" width="14.19921875" style="2" customWidth="1"/>
    <col min="5" max="5" width="15.59765625" style="2" customWidth="1"/>
    <col min="6" max="6" width="15.19921875" style="2" customWidth="1"/>
    <col min="7" max="7" width="16.19921875" style="2" customWidth="1"/>
    <col min="8" max="8" width="11.3984375" style="2"/>
    <col min="9" max="9" width="6.796875" style="2" customWidth="1"/>
    <col min="10" max="16384" width="11.3984375" style="2"/>
  </cols>
  <sheetData>
    <row r="1" spans="1:6" s="1" customFormat="1" ht="14" customHeight="1">
      <c r="A1" s="381"/>
      <c r="B1" s="381"/>
      <c r="C1" s="381"/>
      <c r="D1" s="381"/>
      <c r="E1" s="381"/>
      <c r="F1" s="381"/>
    </row>
    <row r="2" spans="1:6" s="1" customFormat="1" ht="18.75" customHeight="1">
      <c r="A2" s="384" t="s">
        <v>387</v>
      </c>
      <c r="B2" s="381"/>
      <c r="C2" s="381"/>
      <c r="D2" s="381"/>
      <c r="E2" s="381"/>
      <c r="F2" s="381"/>
    </row>
    <row r="3" spans="1:6" s="1" customFormat="1" ht="24" customHeight="1">
      <c r="A3" s="384" t="s">
        <v>391</v>
      </c>
      <c r="B3" s="381"/>
      <c r="C3" s="381"/>
      <c r="D3" s="381"/>
      <c r="E3" s="381"/>
      <c r="F3" s="381"/>
    </row>
    <row r="4" spans="1:6" ht="24" customHeight="1">
      <c r="A4" s="110" t="s">
        <v>1797</v>
      </c>
      <c r="B4" s="920">
        <v>0.05</v>
      </c>
      <c r="C4" s="921">
        <v>0.25</v>
      </c>
      <c r="D4" s="920">
        <v>0.5</v>
      </c>
      <c r="E4" s="921">
        <v>0.25</v>
      </c>
      <c r="F4" s="920">
        <v>0.05</v>
      </c>
    </row>
    <row r="5" spans="1:6" ht="73.5" customHeight="1">
      <c r="A5" s="308"/>
      <c r="B5" s="924" t="s">
        <v>383</v>
      </c>
      <c r="C5" s="925" t="s">
        <v>383</v>
      </c>
      <c r="D5" s="924" t="s">
        <v>384</v>
      </c>
      <c r="E5" s="925" t="s">
        <v>385</v>
      </c>
      <c r="F5" s="924" t="s">
        <v>385</v>
      </c>
    </row>
    <row r="6" spans="1:6" ht="16" customHeight="1">
      <c r="A6" s="309"/>
      <c r="B6" s="120"/>
      <c r="C6" s="119"/>
      <c r="D6" s="120"/>
      <c r="E6" s="119"/>
      <c r="F6" s="141"/>
    </row>
    <row r="7" spans="1:6" ht="30" customHeight="1" thickBot="1">
      <c r="A7" s="324" t="s">
        <v>1807</v>
      </c>
      <c r="B7" s="326">
        <v>218.8</v>
      </c>
      <c r="C7" s="327">
        <v>228</v>
      </c>
      <c r="D7" s="326">
        <v>244</v>
      </c>
      <c r="E7" s="327">
        <v>265.2</v>
      </c>
      <c r="F7" s="326">
        <v>303.7</v>
      </c>
    </row>
    <row r="8" spans="1:6" ht="20" customHeight="1" thickBot="1">
      <c r="A8" s="328" t="s">
        <v>1808</v>
      </c>
      <c r="B8" s="144">
        <v>226</v>
      </c>
      <c r="C8" s="297">
        <v>246.6</v>
      </c>
      <c r="D8" s="144">
        <v>270</v>
      </c>
      <c r="E8" s="297">
        <v>289.2</v>
      </c>
      <c r="F8" s="144">
        <v>334.4</v>
      </c>
    </row>
    <row r="9" spans="1:6" ht="20" customHeight="1" thickBot="1">
      <c r="A9" s="328" t="s">
        <v>1809</v>
      </c>
      <c r="B9" s="144">
        <v>190.4</v>
      </c>
      <c r="C9" s="297">
        <v>208.8</v>
      </c>
      <c r="D9" s="144">
        <v>216.7</v>
      </c>
      <c r="E9" s="297">
        <v>236.8</v>
      </c>
      <c r="F9" s="144">
        <v>254.4</v>
      </c>
    </row>
    <row r="10" spans="1:6" ht="20" customHeight="1" thickBot="1">
      <c r="A10" s="328" t="s">
        <v>1810</v>
      </c>
      <c r="B10" s="144">
        <v>165.7</v>
      </c>
      <c r="C10" s="297">
        <v>193.8</v>
      </c>
      <c r="D10" s="144">
        <v>207.2</v>
      </c>
      <c r="E10" s="297">
        <v>211.2</v>
      </c>
      <c r="F10" s="144">
        <v>221.6</v>
      </c>
    </row>
    <row r="11" spans="1:6" ht="20" customHeight="1" thickBot="1">
      <c r="A11" s="328" t="s">
        <v>1811</v>
      </c>
      <c r="B11" s="144">
        <v>178.4</v>
      </c>
      <c r="C11" s="297">
        <v>208</v>
      </c>
      <c r="D11" s="144">
        <v>208</v>
      </c>
      <c r="E11" s="297">
        <v>223.9</v>
      </c>
      <c r="F11" s="144">
        <v>244</v>
      </c>
    </row>
    <row r="12" spans="1:6" ht="20" customHeight="1" thickBot="1">
      <c r="A12" s="328" t="s">
        <v>1812</v>
      </c>
      <c r="B12" s="144">
        <v>174.8</v>
      </c>
      <c r="C12" s="297">
        <v>191.2</v>
      </c>
      <c r="D12" s="144">
        <v>198</v>
      </c>
      <c r="E12" s="297">
        <v>207.7</v>
      </c>
      <c r="F12" s="144">
        <v>222.4</v>
      </c>
    </row>
    <row r="13" spans="1:6" ht="20" customHeight="1" thickBot="1">
      <c r="A13" s="328" t="s">
        <v>1813</v>
      </c>
      <c r="B13" s="144">
        <v>160</v>
      </c>
      <c r="C13" s="297">
        <v>172.8</v>
      </c>
      <c r="D13" s="144">
        <v>191</v>
      </c>
      <c r="E13" s="297">
        <v>192.8</v>
      </c>
      <c r="F13" s="144">
        <v>216.4</v>
      </c>
    </row>
    <row r="14" spans="1:6" ht="20" customHeight="1" thickBot="1">
      <c r="A14" s="328" t="s">
        <v>1814</v>
      </c>
      <c r="B14" s="144">
        <v>181.6</v>
      </c>
      <c r="C14" s="297">
        <v>188.6</v>
      </c>
      <c r="D14" s="144">
        <v>220</v>
      </c>
      <c r="E14" s="297">
        <v>229.5</v>
      </c>
      <c r="F14" s="144">
        <v>240.8</v>
      </c>
    </row>
    <row r="15" spans="1:6" ht="20" customHeight="1" thickBot="1">
      <c r="A15" s="328" t="s">
        <v>1815</v>
      </c>
      <c r="B15" s="144">
        <v>193.5</v>
      </c>
      <c r="C15" s="297">
        <v>203.2</v>
      </c>
      <c r="D15" s="144">
        <v>211.1</v>
      </c>
      <c r="E15" s="297">
        <v>219.6</v>
      </c>
      <c r="F15" s="144">
        <v>237.6</v>
      </c>
    </row>
    <row r="16" spans="1:6" ht="20" customHeight="1" thickBot="1">
      <c r="A16" s="328" t="s">
        <v>1816</v>
      </c>
      <c r="B16" s="144">
        <v>213</v>
      </c>
      <c r="C16" s="297">
        <v>220.8</v>
      </c>
      <c r="D16" s="144">
        <v>245.6</v>
      </c>
      <c r="E16" s="297">
        <v>264.8</v>
      </c>
      <c r="F16" s="144">
        <v>298.10000000000002</v>
      </c>
    </row>
    <row r="17" spans="1:6" ht="20" customHeight="1" thickBot="1">
      <c r="A17" s="328" t="s">
        <v>1817</v>
      </c>
      <c r="B17" s="144">
        <v>203.3</v>
      </c>
      <c r="C17" s="297">
        <v>228.4</v>
      </c>
      <c r="D17" s="144">
        <v>236.8</v>
      </c>
      <c r="E17" s="297">
        <v>247.8</v>
      </c>
      <c r="F17" s="144">
        <v>258.39999999999998</v>
      </c>
    </row>
    <row r="18" spans="1:6" ht="20" customHeight="1" thickBot="1">
      <c r="A18" s="328" t="s">
        <v>1818</v>
      </c>
      <c r="B18" s="144">
        <v>308.89999999999998</v>
      </c>
      <c r="C18" s="297">
        <v>333.4</v>
      </c>
      <c r="D18" s="144">
        <v>339.2</v>
      </c>
      <c r="E18" s="297">
        <v>346.4</v>
      </c>
      <c r="F18" s="144">
        <v>399.2</v>
      </c>
    </row>
    <row r="19" spans="1:6" ht="20" customHeight="1" thickBot="1">
      <c r="A19" s="328" t="s">
        <v>1819</v>
      </c>
      <c r="B19" s="144">
        <v>225</v>
      </c>
      <c r="C19" s="297">
        <v>250.4</v>
      </c>
      <c r="D19" s="144">
        <v>272</v>
      </c>
      <c r="E19" s="297">
        <v>276.8</v>
      </c>
      <c r="F19" s="144">
        <v>299.2</v>
      </c>
    </row>
    <row r="20" spans="1:6" ht="20" customHeight="1" thickBot="1">
      <c r="A20" s="328" t="s">
        <v>1820</v>
      </c>
      <c r="B20" s="144">
        <v>215.2</v>
      </c>
      <c r="C20" s="297">
        <v>228</v>
      </c>
      <c r="D20" s="144">
        <v>243.9</v>
      </c>
      <c r="E20" s="297">
        <v>257.60000000000002</v>
      </c>
      <c r="F20" s="144">
        <v>278.5</v>
      </c>
    </row>
    <row r="21" spans="1:6" ht="20" customHeight="1" thickBot="1">
      <c r="A21" s="328" t="s">
        <v>1821</v>
      </c>
      <c r="B21" s="144">
        <v>170</v>
      </c>
      <c r="C21" s="297">
        <v>195.7</v>
      </c>
      <c r="D21" s="144">
        <v>200</v>
      </c>
      <c r="E21" s="297">
        <v>210.4</v>
      </c>
      <c r="F21" s="144">
        <v>219.2</v>
      </c>
    </row>
    <row r="22" spans="1:6" ht="20" customHeight="1" thickBot="1">
      <c r="A22" s="328" t="s">
        <v>1822</v>
      </c>
      <c r="B22" s="144">
        <v>160.69999999999999</v>
      </c>
      <c r="C22" s="297">
        <v>182.4</v>
      </c>
      <c r="D22" s="144">
        <v>189.5</v>
      </c>
      <c r="E22" s="297">
        <v>197.6</v>
      </c>
      <c r="F22" s="144">
        <v>200.8</v>
      </c>
    </row>
    <row r="23" spans="1:6" ht="20" customHeight="1" thickBot="1">
      <c r="A23" s="328" t="s">
        <v>1823</v>
      </c>
      <c r="B23" s="144">
        <v>189.8</v>
      </c>
      <c r="C23" s="297">
        <v>214.4</v>
      </c>
      <c r="D23" s="144">
        <v>223.3</v>
      </c>
      <c r="E23" s="297">
        <v>238.4</v>
      </c>
      <c r="F23" s="144">
        <v>253.6</v>
      </c>
    </row>
    <row r="24" spans="1:6" ht="20" customHeight="1" thickBot="1">
      <c r="A24" s="328" t="s">
        <v>1824</v>
      </c>
      <c r="B24" s="144">
        <v>175</v>
      </c>
      <c r="C24" s="297">
        <v>204.4</v>
      </c>
      <c r="D24" s="144">
        <v>205.6</v>
      </c>
      <c r="E24" s="297">
        <v>224</v>
      </c>
      <c r="F24" s="144">
        <v>252</v>
      </c>
    </row>
    <row r="25" spans="1:6" ht="20" customHeight="1" thickBot="1">
      <c r="A25" s="328" t="s">
        <v>1825</v>
      </c>
      <c r="B25" s="144">
        <v>199.5</v>
      </c>
      <c r="C25" s="297">
        <v>225.6</v>
      </c>
      <c r="D25" s="144">
        <v>236.3</v>
      </c>
      <c r="E25" s="297">
        <v>249.5</v>
      </c>
      <c r="F25" s="144">
        <v>261.60000000000002</v>
      </c>
    </row>
    <row r="26" spans="1:6" ht="20" customHeight="1" thickBot="1">
      <c r="A26" s="328" t="s">
        <v>1826</v>
      </c>
      <c r="B26" s="144">
        <v>201.4</v>
      </c>
      <c r="C26" s="297">
        <v>221.6</v>
      </c>
      <c r="D26" s="144">
        <v>242.4</v>
      </c>
      <c r="E26" s="297">
        <v>245.3</v>
      </c>
      <c r="F26" s="144">
        <v>276</v>
      </c>
    </row>
    <row r="27" spans="1:6" ht="20" customHeight="1" thickBot="1">
      <c r="A27" s="328" t="s">
        <v>1827</v>
      </c>
      <c r="B27" s="144">
        <v>263.89999999999998</v>
      </c>
      <c r="C27" s="297">
        <v>288</v>
      </c>
      <c r="D27" s="144">
        <v>306.3</v>
      </c>
      <c r="E27" s="297">
        <v>320.2</v>
      </c>
      <c r="F27" s="144">
        <v>333</v>
      </c>
    </row>
    <row r="28" spans="1:6" ht="20" customHeight="1" thickBot="1">
      <c r="A28" s="328" t="s">
        <v>1828</v>
      </c>
      <c r="B28" s="144">
        <v>286</v>
      </c>
      <c r="C28" s="297">
        <v>300.60000000000002</v>
      </c>
      <c r="D28" s="144">
        <v>315.2</v>
      </c>
      <c r="E28" s="297">
        <v>337.4</v>
      </c>
      <c r="F28" s="144">
        <v>359.5</v>
      </c>
    </row>
    <row r="29" spans="1:6" ht="20" customHeight="1" thickBot="1">
      <c r="A29" s="328" t="s">
        <v>1829</v>
      </c>
      <c r="B29" s="144">
        <v>181</v>
      </c>
      <c r="C29" s="297">
        <v>206</v>
      </c>
      <c r="D29" s="144">
        <v>231.9</v>
      </c>
      <c r="E29" s="297">
        <v>239.2</v>
      </c>
      <c r="F29" s="144">
        <v>256.7</v>
      </c>
    </row>
    <row r="30" spans="1:6" ht="20" customHeight="1" thickBot="1">
      <c r="A30" s="328" t="s">
        <v>1830</v>
      </c>
      <c r="B30" s="144">
        <v>273.60000000000002</v>
      </c>
      <c r="C30" s="297">
        <v>294.89999999999998</v>
      </c>
      <c r="D30" s="144">
        <v>303.39999999999998</v>
      </c>
      <c r="E30" s="297">
        <v>329.8</v>
      </c>
      <c r="F30" s="144">
        <v>354.2</v>
      </c>
    </row>
    <row r="31" spans="1:6" ht="20" customHeight="1" thickBot="1">
      <c r="A31" s="328" t="s">
        <v>1831</v>
      </c>
      <c r="B31" s="144">
        <v>320.8</v>
      </c>
      <c r="C31" s="297">
        <v>323.10000000000002</v>
      </c>
      <c r="D31" s="144">
        <v>331.7</v>
      </c>
      <c r="E31" s="297">
        <v>376</v>
      </c>
      <c r="F31" s="144">
        <v>394.7</v>
      </c>
    </row>
    <row r="32" spans="1:6" ht="20" customHeight="1" thickBot="1">
      <c r="A32" s="328" t="s">
        <v>1832</v>
      </c>
      <c r="B32" s="144">
        <v>244.8</v>
      </c>
      <c r="C32" s="297">
        <v>267.7</v>
      </c>
      <c r="D32" s="144">
        <v>291.7</v>
      </c>
      <c r="E32" s="297">
        <v>296</v>
      </c>
      <c r="F32" s="144">
        <v>312.60000000000002</v>
      </c>
    </row>
    <row r="33" spans="1:7" ht="30" customHeight="1" thickBot="1">
      <c r="A33" s="129" t="s">
        <v>628</v>
      </c>
      <c r="B33" s="338">
        <v>198</v>
      </c>
      <c r="C33" s="339">
        <v>224.9</v>
      </c>
      <c r="D33" s="338">
        <v>246.8</v>
      </c>
      <c r="E33" s="339">
        <v>289.2</v>
      </c>
      <c r="F33" s="338">
        <v>342.3</v>
      </c>
      <c r="G33" s="3"/>
    </row>
    <row r="34" spans="1:7" ht="20" customHeight="1">
      <c r="A34" s="133" t="s">
        <v>556</v>
      </c>
      <c r="B34" s="937"/>
      <c r="C34" s="937"/>
      <c r="D34" s="937"/>
      <c r="E34" s="937"/>
      <c r="F34" s="937"/>
      <c r="G34" s="938"/>
    </row>
    <row r="35" spans="1:7" ht="12.75" customHeight="1">
      <c r="A35" s="3"/>
      <c r="B35" s="938"/>
      <c r="C35" s="938"/>
      <c r="D35" s="938"/>
      <c r="E35" s="938"/>
      <c r="F35" s="938"/>
      <c r="G35" s="938"/>
    </row>
    <row r="36" spans="1:7" ht="20" customHeight="1">
      <c r="A36" s="3" t="s">
        <v>546</v>
      </c>
      <c r="B36" s="938"/>
      <c r="C36" s="938"/>
      <c r="D36" s="938"/>
      <c r="E36" s="938"/>
      <c r="F36" s="938"/>
      <c r="G36" s="938"/>
    </row>
    <row r="37" spans="1:7" ht="14.25" customHeight="1">
      <c r="A37" s="3"/>
      <c r="B37" s="938"/>
      <c r="C37" s="938"/>
      <c r="D37" s="938"/>
      <c r="E37" s="938"/>
      <c r="F37" s="938"/>
      <c r="G37" s="938"/>
    </row>
    <row r="38" spans="1:7" ht="12.75" customHeight="1">
      <c r="A38" s="3" t="s">
        <v>547</v>
      </c>
      <c r="B38" s="938"/>
      <c r="C38" s="938"/>
      <c r="D38" s="938"/>
      <c r="E38" s="938"/>
      <c r="F38" s="938"/>
      <c r="G38" s="938"/>
    </row>
    <row r="39" spans="1:7">
      <c r="A39" s="2" t="s">
        <v>388</v>
      </c>
      <c r="B39" s="348"/>
      <c r="C39" s="348"/>
      <c r="D39" s="348"/>
      <c r="E39" s="348"/>
      <c r="F39" s="348"/>
      <c r="G39" s="348"/>
    </row>
    <row r="40" spans="1:7">
      <c r="B40" s="348"/>
      <c r="C40" s="348"/>
      <c r="D40" s="348"/>
      <c r="E40" s="348"/>
      <c r="F40" s="348"/>
      <c r="G40" s="348"/>
    </row>
    <row r="41" spans="1:7">
      <c r="B41" s="348"/>
      <c r="C41" s="348"/>
      <c r="D41" s="348"/>
      <c r="E41" s="348"/>
      <c r="F41" s="348"/>
      <c r="G41" s="348"/>
    </row>
    <row r="42" spans="1:7">
      <c r="A42" s="2" t="s">
        <v>634</v>
      </c>
      <c r="B42" s="348"/>
      <c r="C42" s="348"/>
      <c r="D42" s="348"/>
      <c r="E42" s="348"/>
      <c r="F42" s="348"/>
      <c r="G42" s="348"/>
    </row>
  </sheetData>
  <phoneticPr fontId="0" type="noConversion"/>
  <pageMargins left="0.67" right="0.54" top="0.67" bottom="0.47244094488188981" header="0.49" footer="0.51181102362204722"/>
  <pageSetup paperSize="9" scale="90" orientation="portrait" horizontalDpi="4294967292" verticalDpi="4294967292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A4DD-7B02-1145-911E-DCE8A82DEA34}">
  <sheetPr>
    <pageSetUpPr fitToPage="1"/>
  </sheetPr>
  <dimension ref="A1:F42"/>
  <sheetViews>
    <sheetView zoomScale="75" workbookViewId="0"/>
  </sheetViews>
  <sheetFormatPr baseColWidth="10" defaultColWidth="11.3984375" defaultRowHeight="13"/>
  <cols>
    <col min="1" max="1" width="11.19921875" style="2" customWidth="1"/>
    <col min="2" max="2" width="15.19921875" style="2" customWidth="1"/>
    <col min="3" max="3" width="14.19921875" style="2" customWidth="1"/>
    <col min="4" max="4" width="15.59765625" style="2" customWidth="1"/>
    <col min="5" max="5" width="15.19921875" style="2" customWidth="1"/>
    <col min="6" max="6" width="14.19921875" style="2" customWidth="1"/>
    <col min="7" max="7" width="15.59765625" style="2" customWidth="1"/>
    <col min="8" max="16384" width="11.3984375" style="2"/>
  </cols>
  <sheetData>
    <row r="1" spans="1:6" s="1" customFormat="1" ht="14" customHeight="1">
      <c r="A1" s="381"/>
      <c r="B1" s="381"/>
      <c r="C1" s="381"/>
      <c r="D1" s="381"/>
      <c r="E1" s="381"/>
      <c r="F1" s="381"/>
    </row>
    <row r="2" spans="1:6" s="1" customFormat="1" ht="18.75" customHeight="1">
      <c r="A2" s="384" t="s">
        <v>386</v>
      </c>
      <c r="B2" s="381"/>
      <c r="C2" s="381"/>
      <c r="D2" s="381"/>
      <c r="E2" s="381"/>
      <c r="F2" s="381"/>
    </row>
    <row r="3" spans="1:6" s="1" customFormat="1" ht="22.5" customHeight="1">
      <c r="A3" s="384" t="s">
        <v>1224</v>
      </c>
      <c r="B3" s="381"/>
      <c r="C3" s="381"/>
      <c r="D3" s="381"/>
      <c r="E3" s="381"/>
      <c r="F3" s="381"/>
    </row>
    <row r="4" spans="1:6" ht="24" customHeight="1">
      <c r="A4" s="110" t="s">
        <v>1797</v>
      </c>
      <c r="B4" s="920">
        <v>0.05</v>
      </c>
      <c r="C4" s="921">
        <v>0.25</v>
      </c>
      <c r="D4" s="920">
        <v>0.5</v>
      </c>
      <c r="E4" s="921">
        <v>0.25</v>
      </c>
      <c r="F4" s="920">
        <v>0.05</v>
      </c>
    </row>
    <row r="5" spans="1:6" ht="73.5" customHeight="1">
      <c r="A5" s="308"/>
      <c r="B5" s="924" t="s">
        <v>383</v>
      </c>
      <c r="C5" s="925" t="s">
        <v>383</v>
      </c>
      <c r="D5" s="924" t="s">
        <v>384</v>
      </c>
      <c r="E5" s="925" t="s">
        <v>385</v>
      </c>
      <c r="F5" s="924" t="s">
        <v>385</v>
      </c>
    </row>
    <row r="6" spans="1:6" ht="16" customHeight="1">
      <c r="A6" s="309"/>
      <c r="B6" s="120"/>
      <c r="C6" s="119"/>
      <c r="D6" s="120"/>
      <c r="E6" s="119"/>
      <c r="F6" s="141"/>
    </row>
    <row r="7" spans="1:6" ht="30" customHeight="1" thickBot="1">
      <c r="A7" s="324" t="s">
        <v>1807</v>
      </c>
      <c r="B7" s="326">
        <v>61.7</v>
      </c>
      <c r="C7" s="327">
        <v>69.2</v>
      </c>
      <c r="D7" s="326">
        <v>73.400000000000006</v>
      </c>
      <c r="E7" s="327">
        <v>79</v>
      </c>
      <c r="F7" s="326">
        <v>88.9</v>
      </c>
    </row>
    <row r="8" spans="1:6" ht="20" customHeight="1" thickBot="1">
      <c r="A8" s="328" t="s">
        <v>1808</v>
      </c>
      <c r="B8" s="144">
        <v>64.099999999999994</v>
      </c>
      <c r="C8" s="297">
        <v>73.900000000000006</v>
      </c>
      <c r="D8" s="144">
        <v>78.5</v>
      </c>
      <c r="E8" s="297">
        <v>89.4</v>
      </c>
      <c r="F8" s="144">
        <v>98.8</v>
      </c>
    </row>
    <row r="9" spans="1:6" ht="20" customHeight="1" thickBot="1">
      <c r="A9" s="328" t="s">
        <v>1809</v>
      </c>
      <c r="B9" s="144">
        <v>54.1</v>
      </c>
      <c r="C9" s="297">
        <v>63.6</v>
      </c>
      <c r="D9" s="144">
        <v>66</v>
      </c>
      <c r="E9" s="297">
        <v>71</v>
      </c>
      <c r="F9" s="144">
        <v>76.8</v>
      </c>
    </row>
    <row r="10" spans="1:6" ht="20" customHeight="1" thickBot="1">
      <c r="A10" s="328" t="s">
        <v>1810</v>
      </c>
      <c r="B10" s="144">
        <v>45.6</v>
      </c>
      <c r="C10" s="297">
        <v>59.8</v>
      </c>
      <c r="D10" s="144">
        <v>65</v>
      </c>
      <c r="E10" s="297">
        <v>66</v>
      </c>
      <c r="F10" s="144">
        <v>66</v>
      </c>
    </row>
    <row r="11" spans="1:6" ht="20" customHeight="1" thickBot="1">
      <c r="A11" s="328" t="s">
        <v>1811</v>
      </c>
      <c r="B11" s="144">
        <v>54.3</v>
      </c>
      <c r="C11" s="297">
        <v>65</v>
      </c>
      <c r="D11" s="144">
        <v>65</v>
      </c>
      <c r="E11" s="297">
        <v>67.7</v>
      </c>
      <c r="F11" s="144">
        <v>71.8</v>
      </c>
    </row>
    <row r="12" spans="1:6" ht="20" customHeight="1" thickBot="1">
      <c r="A12" s="328" t="s">
        <v>1812</v>
      </c>
      <c r="B12" s="144">
        <v>53.8</v>
      </c>
      <c r="C12" s="297">
        <v>59.8</v>
      </c>
      <c r="D12" s="144">
        <v>59.8</v>
      </c>
      <c r="E12" s="297">
        <v>60.6</v>
      </c>
      <c r="F12" s="144">
        <v>64.900000000000006</v>
      </c>
    </row>
    <row r="13" spans="1:6" ht="20" customHeight="1" thickBot="1">
      <c r="A13" s="328" t="s">
        <v>1813</v>
      </c>
      <c r="B13" s="144">
        <v>46.2</v>
      </c>
      <c r="C13" s="297">
        <v>54</v>
      </c>
      <c r="D13" s="144">
        <v>56.3</v>
      </c>
      <c r="E13" s="297">
        <v>59.2</v>
      </c>
      <c r="F13" s="144">
        <v>61.3</v>
      </c>
    </row>
    <row r="14" spans="1:6" ht="20" customHeight="1" thickBot="1">
      <c r="A14" s="328" t="s">
        <v>1814</v>
      </c>
      <c r="B14" s="144">
        <v>50</v>
      </c>
      <c r="C14" s="297">
        <v>57</v>
      </c>
      <c r="D14" s="144">
        <v>64.2</v>
      </c>
      <c r="E14" s="297">
        <v>69.400000000000006</v>
      </c>
      <c r="F14" s="144">
        <v>75.3</v>
      </c>
    </row>
    <row r="15" spans="1:6" ht="20" customHeight="1" thickBot="1">
      <c r="A15" s="328" t="s">
        <v>1815</v>
      </c>
      <c r="B15" s="144">
        <v>51.1</v>
      </c>
      <c r="C15" s="297">
        <v>63.3</v>
      </c>
      <c r="D15" s="144">
        <v>65</v>
      </c>
      <c r="E15" s="297">
        <v>67.400000000000006</v>
      </c>
      <c r="F15" s="144">
        <v>69.5</v>
      </c>
    </row>
    <row r="16" spans="1:6" ht="20" customHeight="1" thickBot="1">
      <c r="A16" s="328" t="s">
        <v>1816</v>
      </c>
      <c r="B16" s="144">
        <v>64</v>
      </c>
      <c r="C16" s="297">
        <v>69</v>
      </c>
      <c r="D16" s="144">
        <v>69.2</v>
      </c>
      <c r="E16" s="297">
        <v>74.400000000000006</v>
      </c>
      <c r="F16" s="144">
        <v>81.8</v>
      </c>
    </row>
    <row r="17" spans="1:6" ht="20" customHeight="1" thickBot="1">
      <c r="A17" s="328" t="s">
        <v>1817</v>
      </c>
      <c r="B17" s="144">
        <v>60.7</v>
      </c>
      <c r="C17" s="297">
        <v>66</v>
      </c>
      <c r="D17" s="144">
        <v>74</v>
      </c>
      <c r="E17" s="297">
        <v>76.400000000000006</v>
      </c>
      <c r="F17" s="144">
        <v>80.8</v>
      </c>
    </row>
    <row r="18" spans="1:6" ht="20" customHeight="1" thickBot="1">
      <c r="A18" s="328" t="s">
        <v>1818</v>
      </c>
      <c r="B18" s="144">
        <v>85.6</v>
      </c>
      <c r="C18" s="297">
        <v>89.9</v>
      </c>
      <c r="D18" s="144">
        <v>106</v>
      </c>
      <c r="E18" s="297">
        <v>106</v>
      </c>
      <c r="F18" s="144">
        <v>114</v>
      </c>
    </row>
    <row r="19" spans="1:6" ht="20" customHeight="1" thickBot="1">
      <c r="A19" s="328" t="s">
        <v>1819</v>
      </c>
      <c r="B19" s="144">
        <v>68.099999999999994</v>
      </c>
      <c r="C19" s="297">
        <v>77.400000000000006</v>
      </c>
      <c r="D19" s="144">
        <v>80.8</v>
      </c>
      <c r="E19" s="297">
        <v>85</v>
      </c>
      <c r="F19" s="144">
        <v>90.5</v>
      </c>
    </row>
    <row r="20" spans="1:6" ht="20" customHeight="1" thickBot="1">
      <c r="A20" s="328" t="s">
        <v>1820</v>
      </c>
      <c r="B20" s="144">
        <v>54</v>
      </c>
      <c r="C20" s="297">
        <v>68.400000000000006</v>
      </c>
      <c r="D20" s="144">
        <v>74.3</v>
      </c>
      <c r="E20" s="297">
        <v>78</v>
      </c>
      <c r="F20" s="144">
        <v>83.7</v>
      </c>
    </row>
    <row r="21" spans="1:6" ht="20" customHeight="1" thickBot="1">
      <c r="A21" s="328" t="s">
        <v>1821</v>
      </c>
      <c r="B21" s="144">
        <v>44.6</v>
      </c>
      <c r="C21" s="297">
        <v>57.8</v>
      </c>
      <c r="D21" s="144">
        <v>62.5</v>
      </c>
      <c r="E21" s="297">
        <v>62.5</v>
      </c>
      <c r="F21" s="144">
        <v>68.5</v>
      </c>
    </row>
    <row r="22" spans="1:6" ht="20" customHeight="1" thickBot="1">
      <c r="A22" s="328" t="s">
        <v>1822</v>
      </c>
      <c r="B22" s="144">
        <v>41.6</v>
      </c>
      <c r="C22" s="297">
        <v>55.2</v>
      </c>
      <c r="D22" s="144">
        <v>57</v>
      </c>
      <c r="E22" s="297">
        <v>61.8</v>
      </c>
      <c r="F22" s="144">
        <v>61.8</v>
      </c>
    </row>
    <row r="23" spans="1:6" ht="20" customHeight="1" thickBot="1">
      <c r="A23" s="328" t="s">
        <v>1823</v>
      </c>
      <c r="B23" s="144">
        <v>52.9</v>
      </c>
      <c r="C23" s="297">
        <v>64.3</v>
      </c>
      <c r="D23" s="144">
        <v>67</v>
      </c>
      <c r="E23" s="297">
        <v>72.3</v>
      </c>
      <c r="F23" s="144">
        <v>79.3</v>
      </c>
    </row>
    <row r="24" spans="1:6" ht="20" customHeight="1" thickBot="1">
      <c r="A24" s="328" t="s">
        <v>1824</v>
      </c>
      <c r="B24" s="144">
        <v>50.1</v>
      </c>
      <c r="C24" s="297">
        <v>60.5</v>
      </c>
      <c r="D24" s="144">
        <v>64.3</v>
      </c>
      <c r="E24" s="297">
        <v>68.3</v>
      </c>
      <c r="F24" s="144">
        <v>78.8</v>
      </c>
    </row>
    <row r="25" spans="1:6" ht="20" customHeight="1" thickBot="1">
      <c r="A25" s="328" t="s">
        <v>1825</v>
      </c>
      <c r="B25" s="144">
        <v>56.8</v>
      </c>
      <c r="C25" s="297">
        <v>69.7</v>
      </c>
      <c r="D25" s="144">
        <v>70.5</v>
      </c>
      <c r="E25" s="297">
        <v>72.3</v>
      </c>
      <c r="F25" s="144">
        <v>76.3</v>
      </c>
    </row>
    <row r="26" spans="1:6" ht="20" customHeight="1" thickBot="1">
      <c r="A26" s="328" t="s">
        <v>1826</v>
      </c>
      <c r="B26" s="144">
        <v>55.3</v>
      </c>
      <c r="C26" s="297">
        <v>69.2</v>
      </c>
      <c r="D26" s="144">
        <v>75.5</v>
      </c>
      <c r="E26" s="297">
        <v>75.8</v>
      </c>
      <c r="F26" s="144">
        <v>76.7</v>
      </c>
    </row>
    <row r="27" spans="1:6" ht="20" customHeight="1" thickBot="1">
      <c r="A27" s="328" t="s">
        <v>1827</v>
      </c>
      <c r="B27" s="144">
        <v>63.3</v>
      </c>
      <c r="C27" s="297">
        <v>82</v>
      </c>
      <c r="D27" s="144">
        <v>86.6</v>
      </c>
      <c r="E27" s="297">
        <v>92.8</v>
      </c>
      <c r="F27" s="144">
        <v>102.3</v>
      </c>
    </row>
    <row r="28" spans="1:6" ht="20" customHeight="1" thickBot="1">
      <c r="A28" s="328" t="s">
        <v>1828</v>
      </c>
      <c r="B28" s="144">
        <v>73.3</v>
      </c>
      <c r="C28" s="297">
        <v>83.3</v>
      </c>
      <c r="D28" s="144">
        <v>91</v>
      </c>
      <c r="E28" s="297">
        <v>96.4</v>
      </c>
      <c r="F28" s="144">
        <v>107</v>
      </c>
    </row>
    <row r="29" spans="1:6" ht="20" customHeight="1" thickBot="1">
      <c r="A29" s="328" t="s">
        <v>1829</v>
      </c>
      <c r="B29" s="144">
        <v>56</v>
      </c>
      <c r="C29" s="297">
        <v>61.3</v>
      </c>
      <c r="D29" s="144">
        <v>67</v>
      </c>
      <c r="E29" s="297">
        <v>72.599999999999994</v>
      </c>
      <c r="F29" s="144">
        <v>74</v>
      </c>
    </row>
    <row r="30" spans="1:6" ht="20" customHeight="1" thickBot="1">
      <c r="A30" s="328" t="s">
        <v>1830</v>
      </c>
      <c r="B30" s="144">
        <v>62.7</v>
      </c>
      <c r="C30" s="297">
        <v>80.900000000000006</v>
      </c>
      <c r="D30" s="144">
        <v>82</v>
      </c>
      <c r="E30" s="297">
        <v>93.3</v>
      </c>
      <c r="F30" s="144">
        <v>104.7</v>
      </c>
    </row>
    <row r="31" spans="1:6" ht="20" customHeight="1" thickBot="1">
      <c r="A31" s="328" t="s">
        <v>1831</v>
      </c>
      <c r="B31" s="144">
        <v>69.5</v>
      </c>
      <c r="C31" s="297">
        <v>88.2</v>
      </c>
      <c r="D31" s="144">
        <v>99</v>
      </c>
      <c r="E31" s="297">
        <v>99</v>
      </c>
      <c r="F31" s="144">
        <v>113.9</v>
      </c>
    </row>
    <row r="32" spans="1:6" ht="20" customHeight="1" thickBot="1">
      <c r="A32" s="328" t="s">
        <v>1832</v>
      </c>
      <c r="B32" s="144">
        <v>56.5</v>
      </c>
      <c r="C32" s="297">
        <v>74</v>
      </c>
      <c r="D32" s="144">
        <v>76.5</v>
      </c>
      <c r="E32" s="297">
        <v>92.5</v>
      </c>
      <c r="F32" s="144">
        <v>95.1</v>
      </c>
    </row>
    <row r="33" spans="1:6" ht="30" customHeight="1" thickBot="1">
      <c r="A33" s="129" t="s">
        <v>628</v>
      </c>
      <c r="B33" s="338">
        <v>57.7</v>
      </c>
      <c r="C33" s="339">
        <v>67.400000000000006</v>
      </c>
      <c r="D33" s="338">
        <v>74</v>
      </c>
      <c r="E33" s="339">
        <v>84.2</v>
      </c>
      <c r="F33" s="338">
        <v>99</v>
      </c>
    </row>
    <row r="34" spans="1:6" ht="20" customHeight="1">
      <c r="A34" s="133" t="s">
        <v>556</v>
      </c>
      <c r="B34" s="937"/>
      <c r="C34" s="937"/>
      <c r="D34" s="937"/>
      <c r="E34" s="937"/>
      <c r="F34" s="937"/>
    </row>
    <row r="35" spans="1:6" ht="15.75" customHeight="1">
      <c r="A35" s="3"/>
      <c r="B35" s="938"/>
      <c r="C35" s="938"/>
      <c r="D35" s="938"/>
      <c r="E35" s="938"/>
      <c r="F35" s="938"/>
    </row>
    <row r="36" spans="1:6" ht="20.25" customHeight="1">
      <c r="A36" s="3" t="s">
        <v>546</v>
      </c>
      <c r="B36" s="938"/>
      <c r="C36" s="938"/>
      <c r="D36" s="938"/>
      <c r="E36" s="938"/>
      <c r="F36" s="938"/>
    </row>
    <row r="37" spans="1:6" ht="13.5" customHeight="1">
      <c r="A37" s="3"/>
      <c r="B37" s="938"/>
      <c r="C37" s="938"/>
      <c r="D37" s="938"/>
      <c r="E37" s="938"/>
      <c r="F37" s="938"/>
    </row>
    <row r="38" spans="1:6" ht="12.75" customHeight="1">
      <c r="A38" s="3" t="s">
        <v>547</v>
      </c>
      <c r="B38" s="938"/>
      <c r="C38" s="938"/>
      <c r="D38" s="938"/>
      <c r="E38" s="938"/>
      <c r="F38" s="938"/>
    </row>
    <row r="39" spans="1:6">
      <c r="A39" s="2" t="s">
        <v>388</v>
      </c>
      <c r="B39" s="348"/>
      <c r="C39" s="348"/>
      <c r="D39" s="348"/>
      <c r="E39" s="348"/>
      <c r="F39" s="348"/>
    </row>
    <row r="40" spans="1:6">
      <c r="B40" s="348"/>
      <c r="C40" s="348"/>
      <c r="D40" s="348"/>
      <c r="E40" s="348"/>
      <c r="F40" s="348"/>
    </row>
    <row r="41" spans="1:6">
      <c r="B41" s="348"/>
      <c r="C41" s="348"/>
      <c r="D41" s="348"/>
      <c r="E41" s="348"/>
      <c r="F41" s="348"/>
    </row>
    <row r="42" spans="1:6">
      <c r="A42" s="2" t="s">
        <v>634</v>
      </c>
      <c r="B42" s="348"/>
      <c r="C42" s="348"/>
      <c r="D42" s="348"/>
      <c r="E42" s="348"/>
      <c r="F42" s="348"/>
    </row>
  </sheetData>
  <phoneticPr fontId="0" type="noConversion"/>
  <pageMargins left="0.65" right="0.54" top="0.69" bottom="0.47244094488188981" header="0.57999999999999996" footer="0.51181102362204722"/>
  <pageSetup paperSize="9" scale="90" orientation="portrait" horizontalDpi="4294967292" verticalDpi="4294967292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39B8-85C4-7B4C-A803-CBE2D7EBA63C}">
  <sheetPr>
    <pageSetUpPr fitToPage="1"/>
  </sheetPr>
  <dimension ref="A1:L40"/>
  <sheetViews>
    <sheetView zoomScale="75" workbookViewId="0"/>
  </sheetViews>
  <sheetFormatPr baseColWidth="10" defaultColWidth="11.3984375" defaultRowHeight="13"/>
  <cols>
    <col min="1" max="1" width="12.3984375" style="2" customWidth="1"/>
    <col min="2" max="10" width="10.3984375" style="2" customWidth="1"/>
    <col min="11" max="11" width="10.796875" style="2" customWidth="1"/>
    <col min="12" max="12" width="10.3984375" style="2" customWidth="1"/>
    <col min="13" max="16384" width="11.3984375" style="2"/>
  </cols>
  <sheetData>
    <row r="1" spans="1:12" s="1" customFormat="1" ht="14" customHeight="1"/>
    <row r="2" spans="1:12" s="1" customFormat="1" ht="30.75" customHeight="1">
      <c r="A2" s="354" t="s">
        <v>1016</v>
      </c>
      <c r="B2" s="355"/>
      <c r="C2" s="355"/>
      <c r="D2" s="355"/>
      <c r="E2" s="355"/>
      <c r="F2" s="355"/>
      <c r="G2" s="355"/>
      <c r="H2" s="355"/>
      <c r="I2" s="109"/>
      <c r="J2" s="109"/>
      <c r="K2" s="109"/>
      <c r="L2" s="109">
        <v>2007</v>
      </c>
    </row>
    <row r="3" spans="1:12" ht="24" customHeight="1">
      <c r="A3" s="349" t="s">
        <v>1797</v>
      </c>
      <c r="B3" s="112">
        <v>1997</v>
      </c>
      <c r="C3" s="111">
        <v>1998</v>
      </c>
      <c r="D3" s="112">
        <v>1999</v>
      </c>
      <c r="E3" s="111">
        <v>2000</v>
      </c>
      <c r="F3" s="112">
        <v>2001</v>
      </c>
      <c r="G3" s="111">
        <v>2002</v>
      </c>
      <c r="H3" s="112">
        <v>2003</v>
      </c>
      <c r="I3" s="111">
        <v>2004</v>
      </c>
      <c r="J3" s="112">
        <v>2005</v>
      </c>
      <c r="K3" s="111">
        <v>2006</v>
      </c>
      <c r="L3" s="112">
        <v>2007</v>
      </c>
    </row>
    <row r="4" spans="1:12" ht="15" customHeight="1">
      <c r="A4" s="653"/>
      <c r="B4" s="115"/>
      <c r="C4" s="114"/>
      <c r="D4" s="115"/>
      <c r="E4" s="140"/>
      <c r="F4" s="279"/>
      <c r="G4" s="114"/>
      <c r="H4" s="115"/>
      <c r="I4" s="114"/>
      <c r="J4" s="115"/>
      <c r="K4" s="114"/>
      <c r="L4" s="115"/>
    </row>
    <row r="5" spans="1:12" ht="16" customHeight="1">
      <c r="A5" s="654"/>
      <c r="B5" s="119"/>
      <c r="C5" s="120"/>
      <c r="D5" s="119"/>
      <c r="E5" s="141"/>
      <c r="F5" s="282"/>
      <c r="G5" s="120"/>
      <c r="H5" s="119"/>
      <c r="I5" s="120"/>
      <c r="J5" s="119"/>
      <c r="K5" s="120"/>
      <c r="L5" s="119"/>
    </row>
    <row r="6" spans="1:12" ht="30" customHeight="1" thickBot="1">
      <c r="A6" s="655" t="s">
        <v>1807</v>
      </c>
      <c r="B6" s="327">
        <v>1688.02</v>
      </c>
      <c r="C6" s="326">
        <v>1799.51</v>
      </c>
      <c r="D6" s="327">
        <v>1859.45</v>
      </c>
      <c r="E6" s="326">
        <v>1932.17</v>
      </c>
      <c r="F6" s="327">
        <v>2000.67</v>
      </c>
      <c r="G6" s="326">
        <v>2175.9</v>
      </c>
      <c r="H6" s="291">
        <v>2366.81</v>
      </c>
      <c r="I6" s="142">
        <v>2495.12</v>
      </c>
      <c r="J6" s="291">
        <v>2512.46</v>
      </c>
      <c r="K6" s="142">
        <v>2597.37</v>
      </c>
      <c r="L6" s="291">
        <v>2607.38</v>
      </c>
    </row>
    <row r="7" spans="1:12" ht="20" customHeight="1" thickBot="1">
      <c r="A7" s="656" t="s">
        <v>1808</v>
      </c>
      <c r="B7" s="297">
        <v>1610.77</v>
      </c>
      <c r="C7" s="144">
        <v>1713.16</v>
      </c>
      <c r="D7" s="297">
        <v>1780.25</v>
      </c>
      <c r="E7" s="144">
        <v>1812.27</v>
      </c>
      <c r="F7" s="297">
        <v>1870.42</v>
      </c>
      <c r="G7" s="144">
        <v>2082.84</v>
      </c>
      <c r="H7" s="291">
        <v>2276.4499999999998</v>
      </c>
      <c r="I7" s="142">
        <v>2416.31</v>
      </c>
      <c r="J7" s="291">
        <v>2477.62</v>
      </c>
      <c r="K7" s="142">
        <v>2658.08</v>
      </c>
      <c r="L7" s="291">
        <v>2719.2</v>
      </c>
    </row>
    <row r="8" spans="1:12" ht="20" customHeight="1" thickBot="1">
      <c r="A8" s="656" t="s">
        <v>1809</v>
      </c>
      <c r="B8" s="297">
        <v>1310.87</v>
      </c>
      <c r="C8" s="144">
        <v>1376.77</v>
      </c>
      <c r="D8" s="297">
        <v>1372.72</v>
      </c>
      <c r="E8" s="144">
        <v>1445.98</v>
      </c>
      <c r="F8" s="297">
        <v>1524.97</v>
      </c>
      <c r="G8" s="144">
        <v>1680.73</v>
      </c>
      <c r="H8" s="291">
        <v>1833.21</v>
      </c>
      <c r="I8" s="142">
        <v>1964.57</v>
      </c>
      <c r="J8" s="291">
        <v>2018.62</v>
      </c>
      <c r="K8" s="142">
        <v>2089.5100000000002</v>
      </c>
      <c r="L8" s="291">
        <v>2142.65</v>
      </c>
    </row>
    <row r="9" spans="1:12" ht="20" customHeight="1" thickBot="1">
      <c r="A9" s="656" t="s">
        <v>1810</v>
      </c>
      <c r="B9" s="297">
        <v>1327.83</v>
      </c>
      <c r="C9" s="144">
        <v>1370.87</v>
      </c>
      <c r="D9" s="297">
        <v>1354.37</v>
      </c>
      <c r="E9" s="144">
        <v>1389.03</v>
      </c>
      <c r="F9" s="297">
        <v>1438.94</v>
      </c>
      <c r="G9" s="144">
        <v>1573.5</v>
      </c>
      <c r="H9" s="291">
        <v>1729.88</v>
      </c>
      <c r="I9" s="142">
        <v>1826.57</v>
      </c>
      <c r="J9" s="291">
        <v>1872.59</v>
      </c>
      <c r="K9" s="142">
        <v>1899.6</v>
      </c>
      <c r="L9" s="291">
        <v>1931.59</v>
      </c>
    </row>
    <row r="10" spans="1:12" ht="20" customHeight="1" thickBot="1">
      <c r="A10" s="656" t="s">
        <v>1811</v>
      </c>
      <c r="B10" s="297">
        <v>1378.39</v>
      </c>
      <c r="C10" s="144">
        <v>1421.61</v>
      </c>
      <c r="D10" s="297">
        <v>1399.03</v>
      </c>
      <c r="E10" s="144">
        <v>1426.25</v>
      </c>
      <c r="F10" s="297">
        <v>1495.42</v>
      </c>
      <c r="G10" s="144">
        <v>1667.21</v>
      </c>
      <c r="H10" s="291">
        <v>1832.71</v>
      </c>
      <c r="I10" s="142">
        <v>1957.54</v>
      </c>
      <c r="J10" s="291">
        <v>2019.36</v>
      </c>
      <c r="K10" s="142">
        <v>2081.8000000000002</v>
      </c>
      <c r="L10" s="291">
        <v>2113.37</v>
      </c>
    </row>
    <row r="11" spans="1:12" ht="20" customHeight="1" thickBot="1">
      <c r="A11" s="656" t="s">
        <v>1812</v>
      </c>
      <c r="B11" s="297">
        <v>1311.57</v>
      </c>
      <c r="C11" s="144">
        <v>1338.4</v>
      </c>
      <c r="D11" s="297">
        <v>1334.71</v>
      </c>
      <c r="E11" s="144">
        <v>1366.66</v>
      </c>
      <c r="F11" s="297">
        <v>1424.17</v>
      </c>
      <c r="G11" s="144">
        <v>1534.16</v>
      </c>
      <c r="H11" s="291">
        <v>1624.62</v>
      </c>
      <c r="I11" s="142">
        <v>1734.01</v>
      </c>
      <c r="J11" s="291">
        <v>1787.8</v>
      </c>
      <c r="K11" s="142">
        <v>1845.75</v>
      </c>
      <c r="L11" s="291">
        <v>1882.79</v>
      </c>
    </row>
    <row r="12" spans="1:12" ht="20" customHeight="1" thickBot="1">
      <c r="A12" s="656" t="s">
        <v>1813</v>
      </c>
      <c r="B12" s="297">
        <v>1279.67</v>
      </c>
      <c r="C12" s="144">
        <v>1306.6500000000001</v>
      </c>
      <c r="D12" s="297">
        <v>1290.04</v>
      </c>
      <c r="E12" s="144">
        <v>1317.38</v>
      </c>
      <c r="F12" s="297">
        <v>1362.46</v>
      </c>
      <c r="G12" s="144">
        <v>1471.56</v>
      </c>
      <c r="H12" s="291">
        <v>1597.44</v>
      </c>
      <c r="I12" s="142">
        <v>1703.3</v>
      </c>
      <c r="J12" s="291">
        <v>1752.65</v>
      </c>
      <c r="K12" s="142">
        <v>1803.54</v>
      </c>
      <c r="L12" s="291">
        <v>1836.01</v>
      </c>
    </row>
    <row r="13" spans="1:12" ht="20" customHeight="1" thickBot="1">
      <c r="A13" s="656" t="s">
        <v>1814</v>
      </c>
      <c r="B13" s="297">
        <v>1314.66</v>
      </c>
      <c r="C13" s="144">
        <v>1401.63</v>
      </c>
      <c r="D13" s="297">
        <v>1415.91</v>
      </c>
      <c r="E13" s="144">
        <v>1452.85</v>
      </c>
      <c r="F13" s="297">
        <v>1515.31</v>
      </c>
      <c r="G13" s="144">
        <v>1686.02</v>
      </c>
      <c r="H13" s="291">
        <v>1873.67</v>
      </c>
      <c r="I13" s="142">
        <v>1994.02</v>
      </c>
      <c r="J13" s="291">
        <v>2059.5700000000002</v>
      </c>
      <c r="K13" s="142">
        <v>2139.7199999999998</v>
      </c>
      <c r="L13" s="291">
        <v>2193.9</v>
      </c>
    </row>
    <row r="14" spans="1:12" ht="20" customHeight="1" thickBot="1">
      <c r="A14" s="656" t="s">
        <v>1815</v>
      </c>
      <c r="B14" s="297">
        <v>1391.21</v>
      </c>
      <c r="C14" s="144">
        <v>1395.83</v>
      </c>
      <c r="D14" s="297">
        <v>1376.28</v>
      </c>
      <c r="E14" s="144">
        <v>1416.79</v>
      </c>
      <c r="F14" s="297">
        <v>1476.5</v>
      </c>
      <c r="G14" s="144">
        <v>1628.62</v>
      </c>
      <c r="H14" s="291">
        <v>1804.72</v>
      </c>
      <c r="I14" s="142">
        <v>1965.66</v>
      </c>
      <c r="J14" s="291">
        <v>2020.31</v>
      </c>
      <c r="K14" s="142">
        <v>2088.7399999999998</v>
      </c>
      <c r="L14" s="291">
        <v>2120.6999999999998</v>
      </c>
    </row>
    <row r="15" spans="1:12" ht="20" customHeight="1" thickBot="1">
      <c r="A15" s="656" t="s">
        <v>1816</v>
      </c>
      <c r="B15" s="297">
        <v>1662.52</v>
      </c>
      <c r="C15" s="144">
        <v>1691.51</v>
      </c>
      <c r="D15" s="297">
        <v>1708.26</v>
      </c>
      <c r="E15" s="144">
        <v>1792.77</v>
      </c>
      <c r="F15" s="297">
        <v>1884.13</v>
      </c>
      <c r="G15" s="144">
        <v>2032.77</v>
      </c>
      <c r="H15" s="291">
        <v>2145.92</v>
      </c>
      <c r="I15" s="142">
        <v>2232.06</v>
      </c>
      <c r="J15" s="291">
        <v>2290.17</v>
      </c>
      <c r="K15" s="142">
        <v>2366.2199999999998</v>
      </c>
      <c r="L15" s="291">
        <v>2383.66</v>
      </c>
    </row>
    <row r="16" spans="1:12" ht="20" customHeight="1" thickBot="1">
      <c r="A16" s="656" t="s">
        <v>1817</v>
      </c>
      <c r="B16" s="297">
        <v>1528.63</v>
      </c>
      <c r="C16" s="144">
        <v>1671.86</v>
      </c>
      <c r="D16" s="297">
        <v>1674.73</v>
      </c>
      <c r="E16" s="144">
        <v>1732.84</v>
      </c>
      <c r="F16" s="297">
        <v>1798.83</v>
      </c>
      <c r="G16" s="144">
        <v>1932.71</v>
      </c>
      <c r="H16" s="291">
        <v>2101.9899999999998</v>
      </c>
      <c r="I16" s="142">
        <v>2241.66</v>
      </c>
      <c r="J16" s="291">
        <v>2287.27</v>
      </c>
      <c r="K16" s="142">
        <v>2348.75</v>
      </c>
      <c r="L16" s="291">
        <v>2377.7600000000002</v>
      </c>
    </row>
    <row r="17" spans="1:12" ht="20" customHeight="1" thickBot="1">
      <c r="A17" s="656" t="s">
        <v>1818</v>
      </c>
      <c r="B17" s="297">
        <v>2134.35</v>
      </c>
      <c r="C17" s="144">
        <v>2306.19</v>
      </c>
      <c r="D17" s="297">
        <v>2446.3200000000002</v>
      </c>
      <c r="E17" s="144">
        <v>2556.6999999999998</v>
      </c>
      <c r="F17" s="297">
        <v>2691.54</v>
      </c>
      <c r="G17" s="144">
        <v>2885.13</v>
      </c>
      <c r="H17" s="291">
        <v>3131.64</v>
      </c>
      <c r="I17" s="142">
        <v>3389.7</v>
      </c>
      <c r="J17" s="291">
        <v>3454.84</v>
      </c>
      <c r="K17" s="142">
        <v>3572</v>
      </c>
      <c r="L17" s="291">
        <v>3607.85</v>
      </c>
    </row>
    <row r="18" spans="1:12" ht="20" customHeight="1" thickBot="1">
      <c r="A18" s="656" t="s">
        <v>1819</v>
      </c>
      <c r="B18" s="297">
        <v>1756.37</v>
      </c>
      <c r="C18" s="144">
        <v>1850.43</v>
      </c>
      <c r="D18" s="297">
        <v>1846.14</v>
      </c>
      <c r="E18" s="144">
        <v>1899.24</v>
      </c>
      <c r="F18" s="297">
        <v>1967.11</v>
      </c>
      <c r="G18" s="144">
        <v>2139.59</v>
      </c>
      <c r="H18" s="291">
        <v>2334.69</v>
      </c>
      <c r="I18" s="142">
        <v>2504.48</v>
      </c>
      <c r="J18" s="291">
        <v>2542.48</v>
      </c>
      <c r="K18" s="142">
        <v>2624.88</v>
      </c>
      <c r="L18" s="291">
        <v>2668.04</v>
      </c>
    </row>
    <row r="19" spans="1:12" ht="20" customHeight="1" thickBot="1">
      <c r="A19" s="656" t="s">
        <v>1820</v>
      </c>
      <c r="B19" s="297">
        <v>1505.08</v>
      </c>
      <c r="C19" s="144">
        <v>1601.39</v>
      </c>
      <c r="D19" s="297">
        <v>1633.62</v>
      </c>
      <c r="E19" s="144">
        <v>1686.78</v>
      </c>
      <c r="F19" s="297">
        <v>1766.11</v>
      </c>
      <c r="G19" s="144">
        <v>1981.87</v>
      </c>
      <c r="H19" s="291">
        <v>2190.31</v>
      </c>
      <c r="I19" s="142">
        <v>2327.5</v>
      </c>
      <c r="J19" s="291">
        <v>2363.2399999999998</v>
      </c>
      <c r="K19" s="142">
        <v>2444.56</v>
      </c>
      <c r="L19" s="291">
        <v>2493.17</v>
      </c>
    </row>
    <row r="20" spans="1:12" ht="20" customHeight="1" thickBot="1">
      <c r="A20" s="656" t="s">
        <v>1821</v>
      </c>
      <c r="B20" s="297">
        <v>1258.0999999999999</v>
      </c>
      <c r="C20" s="144">
        <v>1328.57</v>
      </c>
      <c r="D20" s="297">
        <v>1316.4</v>
      </c>
      <c r="E20" s="144">
        <v>1345.5</v>
      </c>
      <c r="F20" s="297">
        <v>1414.62</v>
      </c>
      <c r="G20" s="144">
        <v>1544.03</v>
      </c>
      <c r="H20" s="291">
        <v>1703.59</v>
      </c>
      <c r="I20" s="142">
        <v>1786.16</v>
      </c>
      <c r="J20" s="291">
        <v>1841.02</v>
      </c>
      <c r="K20" s="142">
        <v>1925.49</v>
      </c>
      <c r="L20" s="291">
        <v>1947.56</v>
      </c>
    </row>
    <row r="21" spans="1:12" ht="20" customHeight="1" thickBot="1">
      <c r="A21" s="656" t="s">
        <v>1822</v>
      </c>
      <c r="B21" s="297">
        <v>1115.75</v>
      </c>
      <c r="C21" s="144">
        <v>1159.99</v>
      </c>
      <c r="D21" s="297">
        <v>1141.01</v>
      </c>
      <c r="E21" s="144">
        <v>1157.06</v>
      </c>
      <c r="F21" s="297">
        <v>1243.0999999999999</v>
      </c>
      <c r="G21" s="144">
        <v>1360.38</v>
      </c>
      <c r="H21" s="291">
        <v>1486.23</v>
      </c>
      <c r="I21" s="142">
        <v>1572.95</v>
      </c>
      <c r="J21" s="291">
        <v>1625.7</v>
      </c>
      <c r="K21" s="142">
        <v>1711.9</v>
      </c>
      <c r="L21" s="291">
        <v>1755.14</v>
      </c>
    </row>
    <row r="22" spans="1:12" ht="20" customHeight="1" thickBot="1">
      <c r="A22" s="656" t="s">
        <v>1823</v>
      </c>
      <c r="B22" s="297">
        <v>1298.1600000000001</v>
      </c>
      <c r="C22" s="144">
        <v>1383.71</v>
      </c>
      <c r="D22" s="297">
        <v>1410.02</v>
      </c>
      <c r="E22" s="144">
        <v>1446.47</v>
      </c>
      <c r="F22" s="297">
        <v>1514.53</v>
      </c>
      <c r="G22" s="144">
        <v>1649.28</v>
      </c>
      <c r="H22" s="291">
        <v>1789.76</v>
      </c>
      <c r="I22" s="142">
        <v>1926.47</v>
      </c>
      <c r="J22" s="291">
        <v>1987.94</v>
      </c>
      <c r="K22" s="142">
        <v>2078.19</v>
      </c>
      <c r="L22" s="291">
        <v>2110.17</v>
      </c>
    </row>
    <row r="23" spans="1:12" ht="20" customHeight="1" thickBot="1">
      <c r="A23" s="656" t="s">
        <v>1824</v>
      </c>
      <c r="B23" s="297">
        <v>1279.6500000000001</v>
      </c>
      <c r="C23" s="144">
        <v>1344.95</v>
      </c>
      <c r="D23" s="297">
        <v>1380.23</v>
      </c>
      <c r="E23" s="144">
        <v>1377.12</v>
      </c>
      <c r="F23" s="297">
        <v>1519.27</v>
      </c>
      <c r="G23" s="144">
        <v>1713.63</v>
      </c>
      <c r="H23" s="291">
        <v>1922.61</v>
      </c>
      <c r="I23" s="142">
        <v>2061.46</v>
      </c>
      <c r="J23" s="291">
        <v>2102.89</v>
      </c>
      <c r="K23" s="142">
        <v>2181.4699999999998</v>
      </c>
      <c r="L23" s="291">
        <v>2212.5500000000002</v>
      </c>
    </row>
    <row r="24" spans="1:12" ht="20" customHeight="1" thickBot="1">
      <c r="A24" s="656" t="s">
        <v>1825</v>
      </c>
      <c r="B24" s="297">
        <v>1297.99</v>
      </c>
      <c r="C24" s="144">
        <v>1393.43</v>
      </c>
      <c r="D24" s="297">
        <v>1471.71</v>
      </c>
      <c r="E24" s="144">
        <v>1544.48</v>
      </c>
      <c r="F24" s="297">
        <v>1656.78</v>
      </c>
      <c r="G24" s="144">
        <v>1837.97</v>
      </c>
      <c r="H24" s="291">
        <v>2013.78</v>
      </c>
      <c r="I24" s="142">
        <v>2145.9699999999998</v>
      </c>
      <c r="J24" s="291">
        <v>2187.8200000000002</v>
      </c>
      <c r="K24" s="142">
        <v>2271.02</v>
      </c>
      <c r="L24" s="291">
        <v>2322.1799999999998</v>
      </c>
    </row>
    <row r="25" spans="1:12" ht="20" customHeight="1" thickBot="1">
      <c r="A25" s="656" t="s">
        <v>1826</v>
      </c>
      <c r="B25" s="297">
        <v>1343.68</v>
      </c>
      <c r="C25" s="144">
        <v>1452.32</v>
      </c>
      <c r="D25" s="297">
        <v>1507.06</v>
      </c>
      <c r="E25" s="144">
        <v>1558.7</v>
      </c>
      <c r="F25" s="297">
        <v>1679.14</v>
      </c>
      <c r="G25" s="144">
        <v>1869.09</v>
      </c>
      <c r="H25" s="291">
        <v>2058.1999999999998</v>
      </c>
      <c r="I25" s="142">
        <v>2194.13</v>
      </c>
      <c r="J25" s="291">
        <v>2229.67</v>
      </c>
      <c r="K25" s="142">
        <v>2302.0500000000002</v>
      </c>
      <c r="L25" s="291">
        <v>2315.5100000000002</v>
      </c>
    </row>
    <row r="26" spans="1:12" ht="20" customHeight="1" thickBot="1">
      <c r="A26" s="656" t="s">
        <v>1827</v>
      </c>
      <c r="B26" s="297">
        <v>2095.4899999999998</v>
      </c>
      <c r="C26" s="144">
        <v>2211.92</v>
      </c>
      <c r="D26" s="297">
        <v>2198.02</v>
      </c>
      <c r="E26" s="144">
        <v>2220.3000000000002</v>
      </c>
      <c r="F26" s="297">
        <v>2271.73</v>
      </c>
      <c r="G26" s="144">
        <v>2467.0700000000002</v>
      </c>
      <c r="H26" s="291">
        <v>2676.85</v>
      </c>
      <c r="I26" s="142">
        <v>2936.03</v>
      </c>
      <c r="J26" s="291">
        <v>3024.2</v>
      </c>
      <c r="K26" s="142">
        <v>3163.51</v>
      </c>
      <c r="L26" s="291">
        <v>3188.19</v>
      </c>
    </row>
    <row r="27" spans="1:12" ht="20" customHeight="1" thickBot="1">
      <c r="A27" s="656" t="s">
        <v>1828</v>
      </c>
      <c r="B27" s="297">
        <v>2197.46</v>
      </c>
      <c r="C27" s="144">
        <v>2269.8000000000002</v>
      </c>
      <c r="D27" s="297">
        <v>2319.29</v>
      </c>
      <c r="E27" s="144">
        <v>2317.16</v>
      </c>
      <c r="F27" s="297">
        <v>2400.63</v>
      </c>
      <c r="G27" s="144">
        <v>2581.7199999999998</v>
      </c>
      <c r="H27" s="291">
        <v>2789.21</v>
      </c>
      <c r="I27" s="142">
        <v>2938.15</v>
      </c>
      <c r="J27" s="291">
        <v>2977.76</v>
      </c>
      <c r="K27" s="142">
        <v>3089.02</v>
      </c>
      <c r="L27" s="291">
        <v>3080.97</v>
      </c>
    </row>
    <row r="28" spans="1:12" ht="20" customHeight="1" thickBot="1">
      <c r="A28" s="656" t="s">
        <v>1829</v>
      </c>
      <c r="B28" s="297">
        <v>1574.86</v>
      </c>
      <c r="C28" s="144">
        <v>1544.82</v>
      </c>
      <c r="D28" s="297">
        <v>1554.32</v>
      </c>
      <c r="E28" s="144">
        <v>1580.24</v>
      </c>
      <c r="F28" s="297">
        <v>1621.59</v>
      </c>
      <c r="G28" s="144">
        <v>1747.44</v>
      </c>
      <c r="H28" s="291">
        <v>1911.96</v>
      </c>
      <c r="I28" s="142">
        <v>2070.33</v>
      </c>
      <c r="J28" s="291">
        <v>2154.77</v>
      </c>
      <c r="K28" s="142">
        <v>2233.69</v>
      </c>
      <c r="L28" s="291">
        <v>2289.7600000000002</v>
      </c>
    </row>
    <row r="29" spans="1:12" ht="20" customHeight="1" thickBot="1">
      <c r="A29" s="656" t="s">
        <v>1830</v>
      </c>
      <c r="B29" s="297">
        <v>1872.33</v>
      </c>
      <c r="C29" s="144">
        <v>2074.35</v>
      </c>
      <c r="D29" s="297">
        <v>2121.75</v>
      </c>
      <c r="E29" s="144">
        <v>2169.7199999999998</v>
      </c>
      <c r="F29" s="297">
        <v>2241.9899999999998</v>
      </c>
      <c r="G29" s="144">
        <v>2442.38</v>
      </c>
      <c r="H29" s="291">
        <v>2628.36</v>
      </c>
      <c r="I29" s="142">
        <v>2856.16</v>
      </c>
      <c r="J29" s="291">
        <v>2941.13</v>
      </c>
      <c r="K29" s="142">
        <v>3026.67</v>
      </c>
      <c r="L29" s="291">
        <v>3039.16</v>
      </c>
    </row>
    <row r="30" spans="1:12" ht="20" customHeight="1" thickBot="1">
      <c r="A30" s="656" t="s">
        <v>1831</v>
      </c>
      <c r="B30" s="297">
        <v>2490.64</v>
      </c>
      <c r="C30" s="144">
        <v>2600.92</v>
      </c>
      <c r="D30" s="297">
        <v>2618.6</v>
      </c>
      <c r="E30" s="144">
        <v>2755.39</v>
      </c>
      <c r="F30" s="297">
        <v>2906.95</v>
      </c>
      <c r="G30" s="144">
        <v>3137.29</v>
      </c>
      <c r="H30" s="291">
        <v>3318.18</v>
      </c>
      <c r="I30" s="142">
        <v>3499.12</v>
      </c>
      <c r="J30" s="291">
        <v>3545.51</v>
      </c>
      <c r="K30" s="142">
        <v>3664.36</v>
      </c>
      <c r="L30" s="291">
        <v>3642.38</v>
      </c>
    </row>
    <row r="31" spans="1:12" ht="20" customHeight="1" thickBot="1">
      <c r="A31" s="656" t="s">
        <v>1832</v>
      </c>
      <c r="B31" s="297">
        <v>1764.15</v>
      </c>
      <c r="C31" s="144">
        <v>1924.67</v>
      </c>
      <c r="D31" s="297">
        <v>1920.33</v>
      </c>
      <c r="E31" s="144">
        <v>2008.3</v>
      </c>
      <c r="F31" s="297">
        <v>2165.84</v>
      </c>
      <c r="G31" s="144">
        <v>2325.96</v>
      </c>
      <c r="H31" s="291">
        <v>2455.4699999999998</v>
      </c>
      <c r="I31" s="142">
        <v>2614.3200000000002</v>
      </c>
      <c r="J31" s="291">
        <v>2681.64</v>
      </c>
      <c r="K31" s="142">
        <v>2755.56</v>
      </c>
      <c r="L31" s="291">
        <v>2739.1</v>
      </c>
    </row>
    <row r="32" spans="1:12" ht="30" customHeight="1" thickBot="1">
      <c r="A32" s="657" t="s">
        <v>628</v>
      </c>
      <c r="B32" s="339">
        <v>1668.01</v>
      </c>
      <c r="C32" s="338">
        <v>1762.91</v>
      </c>
      <c r="D32" s="339">
        <v>1801.28</v>
      </c>
      <c r="E32" s="338">
        <v>1853.38</v>
      </c>
      <c r="F32" s="339">
        <v>1931.93</v>
      </c>
      <c r="G32" s="338">
        <v>2106.41</v>
      </c>
      <c r="H32" s="293">
        <v>2296.0300000000002</v>
      </c>
      <c r="I32" s="333">
        <v>2443.67</v>
      </c>
      <c r="J32" s="362">
        <v>2493.73</v>
      </c>
      <c r="K32" s="333">
        <v>2595.6</v>
      </c>
      <c r="L32" s="362">
        <v>2623.01</v>
      </c>
    </row>
    <row r="33" spans="1:8" ht="20" customHeight="1">
      <c r="A33" s="133" t="s">
        <v>1069</v>
      </c>
      <c r="B33" s="335"/>
      <c r="C33" s="335"/>
      <c r="D33" s="335"/>
      <c r="E33" s="335"/>
      <c r="F33" s="335"/>
      <c r="G33" s="335"/>
      <c r="H33" s="559"/>
    </row>
    <row r="34" spans="1:8" ht="15.75" customHeight="1">
      <c r="A34" s="3"/>
      <c r="B34" s="337"/>
      <c r="C34" s="337"/>
      <c r="D34" s="337"/>
      <c r="E34" s="337"/>
      <c r="F34" s="337"/>
      <c r="G34" s="337"/>
      <c r="H34" s="560"/>
    </row>
    <row r="35" spans="1:8" ht="14.25" customHeight="1">
      <c r="A35" s="3" t="s">
        <v>1014</v>
      </c>
      <c r="B35" s="337"/>
      <c r="C35" s="337"/>
      <c r="D35" s="337"/>
      <c r="E35" s="337"/>
      <c r="F35" s="337"/>
      <c r="G35" s="337"/>
      <c r="H35" s="560"/>
    </row>
    <row r="36" spans="1:8" ht="13.5" customHeight="1">
      <c r="A36" s="3"/>
      <c r="B36" s="337"/>
      <c r="C36" s="337"/>
      <c r="D36" s="337"/>
      <c r="E36" s="337"/>
      <c r="F36" s="337"/>
      <c r="G36" s="337"/>
      <c r="H36" s="560"/>
    </row>
    <row r="37" spans="1:8" ht="12.75" customHeight="1">
      <c r="A37" s="3" t="s">
        <v>1015</v>
      </c>
      <c r="B37" s="337"/>
      <c r="C37" s="337"/>
      <c r="D37" s="337"/>
      <c r="E37" s="337"/>
      <c r="F37" s="337"/>
      <c r="G37" s="337"/>
      <c r="H37" s="560"/>
    </row>
    <row r="39" spans="1:8">
      <c r="A39" s="3"/>
    </row>
    <row r="40" spans="1:8">
      <c r="A40" s="3" t="s">
        <v>634</v>
      </c>
    </row>
  </sheetData>
  <phoneticPr fontId="0" type="noConversion"/>
  <pageMargins left="0.45" right="0.49" top="0.78" bottom="0.49" header="0.5" footer="0.4921259845"/>
  <pageSetup paperSize="9" scale="74" orientation="portrait" horizontalDpi="4294967292" verticalDpi="4294967292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CF5C-411F-944F-9B8E-33619826CBBE}">
  <sheetPr>
    <pageSetUpPr fitToPage="1"/>
  </sheetPr>
  <dimension ref="A1:K26"/>
  <sheetViews>
    <sheetView zoomScale="75" workbookViewId="0"/>
  </sheetViews>
  <sheetFormatPr baseColWidth="10" defaultColWidth="11.3984375" defaultRowHeight="13"/>
  <cols>
    <col min="1" max="1" width="14.3984375" style="2" customWidth="1"/>
    <col min="2" max="2" width="17" style="2" customWidth="1"/>
    <col min="3" max="3" width="16.3984375" style="2" customWidth="1"/>
    <col min="4" max="4" width="15.796875" style="2" customWidth="1"/>
    <col min="5" max="5" width="17" style="2" customWidth="1"/>
    <col min="6" max="6" width="18" style="2" customWidth="1"/>
    <col min="7" max="7" width="13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09" t="s">
        <v>1962</v>
      </c>
      <c r="G2" s="321">
        <v>2007</v>
      </c>
    </row>
    <row r="3" spans="1:11" ht="24" customHeight="1">
      <c r="A3" s="110" t="s">
        <v>911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12" t="s">
        <v>1801</v>
      </c>
    </row>
    <row r="4" spans="1:11" ht="15" customHeight="1">
      <c r="A4" s="308"/>
      <c r="B4" s="114" t="s">
        <v>836</v>
      </c>
      <c r="C4" s="115" t="s">
        <v>837</v>
      </c>
      <c r="D4" s="114" t="s">
        <v>1334</v>
      </c>
      <c r="E4" s="279" t="s">
        <v>1335</v>
      </c>
      <c r="F4" s="114"/>
      <c r="G4" s="115" t="s">
        <v>1802</v>
      </c>
    </row>
    <row r="5" spans="1:11" ht="15" customHeight="1">
      <c r="A5" s="308"/>
      <c r="B5" s="114" t="s">
        <v>840</v>
      </c>
      <c r="C5" s="115" t="s">
        <v>841</v>
      </c>
      <c r="D5" s="114" t="s">
        <v>1336</v>
      </c>
      <c r="E5" s="279" t="s">
        <v>1337</v>
      </c>
      <c r="F5" s="114"/>
      <c r="G5" s="115" t="s">
        <v>1806</v>
      </c>
    </row>
    <row r="6" spans="1:11" ht="24" customHeight="1">
      <c r="A6" s="309"/>
      <c r="B6" s="120"/>
      <c r="C6" s="119"/>
      <c r="D6" s="120"/>
      <c r="E6" s="282" t="s">
        <v>843</v>
      </c>
      <c r="F6" s="120"/>
      <c r="G6" s="119"/>
    </row>
    <row r="7" spans="1:11" ht="2.25" customHeight="1" thickBot="1">
      <c r="A7" s="310">
        <v>1996</v>
      </c>
      <c r="B7" s="819">
        <v>7263.8791936000007</v>
      </c>
      <c r="C7" s="311">
        <v>3689.7169425000002</v>
      </c>
      <c r="D7" s="819">
        <v>38.020066050000004</v>
      </c>
      <c r="E7" s="311">
        <v>139.01961795</v>
      </c>
      <c r="F7" s="819">
        <v>11130.635820099998</v>
      </c>
      <c r="G7" s="143" t="s">
        <v>59</v>
      </c>
    </row>
    <row r="8" spans="1:11" ht="20" customHeight="1" thickBot="1">
      <c r="A8" s="312">
        <v>1997</v>
      </c>
      <c r="B8" s="820">
        <v>6540.5888779999996</v>
      </c>
      <c r="C8" s="821">
        <v>4995.2965729999996</v>
      </c>
      <c r="D8" s="820">
        <v>16.474356</v>
      </c>
      <c r="E8" s="821">
        <v>488.324321</v>
      </c>
      <c r="F8" s="820">
        <v>12040.684128000001</v>
      </c>
      <c r="G8" s="145">
        <v>8.1760675904660518E-2</v>
      </c>
      <c r="I8" s="9"/>
      <c r="J8" s="9"/>
      <c r="K8" s="9"/>
    </row>
    <row r="9" spans="1:11" ht="20" customHeight="1" thickBot="1">
      <c r="A9" s="312">
        <v>1998</v>
      </c>
      <c r="B9" s="820">
        <v>6687.4913850000003</v>
      </c>
      <c r="C9" s="821">
        <v>5281.0341630000003</v>
      </c>
      <c r="D9" s="820">
        <v>17.124804000000001</v>
      </c>
      <c r="E9" s="821">
        <v>722.61979599999995</v>
      </c>
      <c r="F9" s="820">
        <v>12708.270148</v>
      </c>
      <c r="G9" s="145">
        <v>5.5444193444752932E-2</v>
      </c>
    </row>
    <row r="10" spans="1:11" ht="20" customHeight="1" thickBot="1">
      <c r="A10" s="312">
        <v>1999</v>
      </c>
      <c r="B10" s="820">
        <v>6794.0647150000004</v>
      </c>
      <c r="C10" s="821">
        <v>5396.1932850000003</v>
      </c>
      <c r="D10" s="820">
        <v>15.330069999999999</v>
      </c>
      <c r="E10" s="821">
        <v>828.25470299999995</v>
      </c>
      <c r="F10" s="820">
        <v>13033.842773</v>
      </c>
      <c r="G10" s="145">
        <v>2.5618956884642552E-2</v>
      </c>
    </row>
    <row r="11" spans="1:11" ht="20" customHeight="1" thickBot="1">
      <c r="A11" s="312">
        <v>2000</v>
      </c>
      <c r="B11" s="820">
        <v>6892.0663969999996</v>
      </c>
      <c r="C11" s="821">
        <v>5620.0400929999996</v>
      </c>
      <c r="D11" s="820">
        <v>15.057027</v>
      </c>
      <c r="E11" s="821">
        <v>914.49116700000002</v>
      </c>
      <c r="F11" s="820">
        <v>13441.654683999999</v>
      </c>
      <c r="G11" s="145">
        <v>3.1288693450008065E-2</v>
      </c>
    </row>
    <row r="12" spans="1:11" ht="20" customHeight="1" thickBot="1">
      <c r="A12" s="312">
        <v>2001</v>
      </c>
      <c r="B12" s="820">
        <v>7135.0009239999999</v>
      </c>
      <c r="C12" s="821">
        <v>5862.0969020000002</v>
      </c>
      <c r="D12" s="820">
        <v>14.859370999999999</v>
      </c>
      <c r="E12" s="821">
        <v>985.35521000000006</v>
      </c>
      <c r="F12" s="820">
        <v>13997.312406999999</v>
      </c>
      <c r="G12" s="145">
        <v>4.1338491135426647E-2</v>
      </c>
    </row>
    <row r="13" spans="1:11" ht="20" customHeight="1" thickBot="1">
      <c r="A13" s="312">
        <v>2002</v>
      </c>
      <c r="B13" s="820">
        <v>7607.4934620000004</v>
      </c>
      <c r="C13" s="821">
        <v>6653.7724580000004</v>
      </c>
      <c r="D13" s="820">
        <v>15.940357000000001</v>
      </c>
      <c r="E13" s="821">
        <v>1077.8389540000001</v>
      </c>
      <c r="F13" s="820">
        <v>15355.045231</v>
      </c>
      <c r="G13" s="145">
        <v>9.6999537091206456E-2</v>
      </c>
    </row>
    <row r="14" spans="1:11" ht="20" customHeight="1" thickBot="1">
      <c r="A14" s="312">
        <v>2003</v>
      </c>
      <c r="B14" s="820">
        <v>8119.6939160000002</v>
      </c>
      <c r="C14" s="821">
        <v>7519.6442960000004</v>
      </c>
      <c r="D14" s="820">
        <v>16.399234</v>
      </c>
      <c r="E14" s="821">
        <v>1164.373707</v>
      </c>
      <c r="F14" s="820">
        <v>16820.111153000002</v>
      </c>
      <c r="G14" s="145">
        <v>9.541267381239682E-2</v>
      </c>
    </row>
    <row r="15" spans="1:11" ht="20" customHeight="1" thickBot="1">
      <c r="A15" s="312">
        <v>2004</v>
      </c>
      <c r="B15" s="820">
        <v>8488.1709709999996</v>
      </c>
      <c r="C15" s="821">
        <v>7961.8606556000004</v>
      </c>
      <c r="D15" s="820">
        <v>16.728842</v>
      </c>
      <c r="E15" s="821">
        <v>1562.9443670000001</v>
      </c>
      <c r="F15" s="820">
        <v>18029.704835599998</v>
      </c>
      <c r="G15" s="145">
        <v>7.1913536812998835E-2</v>
      </c>
    </row>
    <row r="16" spans="1:11" ht="20" customHeight="1" thickBot="1">
      <c r="A16" s="312">
        <v>2005</v>
      </c>
      <c r="B16" s="820">
        <v>8881.818765</v>
      </c>
      <c r="C16" s="821">
        <v>7722.8551509999998</v>
      </c>
      <c r="D16" s="820">
        <v>16.867663</v>
      </c>
      <c r="E16" s="821">
        <v>1874.8780380000001</v>
      </c>
      <c r="F16" s="820">
        <v>18496.419617</v>
      </c>
      <c r="G16" s="145">
        <v>2.588588031005723E-2</v>
      </c>
    </row>
    <row r="17" spans="1:7" ht="20" customHeight="1" thickBot="1">
      <c r="A17" s="312">
        <v>2006</v>
      </c>
      <c r="B17" s="820">
        <v>8791.2609179999999</v>
      </c>
      <c r="C17" s="821">
        <v>7672.0020180000001</v>
      </c>
      <c r="D17" s="820">
        <v>16.96679</v>
      </c>
      <c r="E17" s="821">
        <v>2834.4584479999999</v>
      </c>
      <c r="F17" s="820">
        <v>19314.688173999999</v>
      </c>
      <c r="G17" s="145">
        <v>4.4239294628022563E-2</v>
      </c>
    </row>
    <row r="18" spans="1:7" ht="30" customHeight="1" thickBot="1">
      <c r="A18" s="943">
        <v>2007</v>
      </c>
      <c r="B18" s="944">
        <v>8532.4678672199989</v>
      </c>
      <c r="C18" s="945">
        <v>7230.4641675700004</v>
      </c>
      <c r="D18" s="944">
        <v>16.854145679999998</v>
      </c>
      <c r="E18" s="945">
        <v>3909.3553057999998</v>
      </c>
      <c r="F18" s="944">
        <v>19689.14148627</v>
      </c>
      <c r="G18" s="147">
        <v>1.9386971660979802E-2</v>
      </c>
    </row>
    <row r="19" spans="1:7" ht="20" customHeight="1">
      <c r="A19" s="133" t="s">
        <v>1256</v>
      </c>
      <c r="B19" s="335"/>
      <c r="C19" s="335"/>
      <c r="D19" s="335"/>
      <c r="E19" s="335"/>
      <c r="F19" s="335"/>
      <c r="G19" s="559"/>
    </row>
    <row r="20" spans="1:7" ht="14.25" customHeight="1">
      <c r="A20" s="3"/>
      <c r="B20" s="337"/>
      <c r="C20" s="337"/>
      <c r="D20" s="337"/>
      <c r="E20" s="337"/>
      <c r="F20" s="337"/>
      <c r="G20" s="560"/>
    </row>
    <row r="21" spans="1:7" ht="12.75" customHeight="1">
      <c r="A21" s="515" t="s">
        <v>2122</v>
      </c>
    </row>
    <row r="23" spans="1:7">
      <c r="A23" s="2" t="s">
        <v>1963</v>
      </c>
    </row>
    <row r="26" spans="1:7">
      <c r="A26" s="2" t="s">
        <v>634</v>
      </c>
    </row>
  </sheetData>
  <phoneticPr fontId="0" type="noConversion"/>
  <pageMargins left="0.56000000000000005" right="0.51" top="0.94" bottom="0.49" header="0.51" footer="0.4921259845"/>
  <pageSetup paperSize="9" scale="83" orientation="portrait" horizontalDpi="4294967292" verticalDpi="4294967292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098B-C5F7-934A-ACF4-ACA1B72D173A}">
  <sheetPr>
    <pageSetUpPr fitToPage="1"/>
  </sheetPr>
  <dimension ref="A1:I17"/>
  <sheetViews>
    <sheetView zoomScale="75" workbookViewId="0">
      <selection activeCell="B7" sqref="B7"/>
    </sheetView>
  </sheetViews>
  <sheetFormatPr baseColWidth="10" defaultColWidth="11.3984375" defaultRowHeight="13"/>
  <cols>
    <col min="1" max="1" width="19.3984375" style="2" customWidth="1"/>
    <col min="2" max="3" width="17.19921875" style="2" customWidth="1"/>
    <col min="4" max="4" width="16.796875" style="2" customWidth="1"/>
    <col min="5" max="5" width="18.19921875" style="2" customWidth="1"/>
    <col min="6" max="7" width="13.3984375" style="2" customWidth="1"/>
    <col min="8" max="8" width="11.3984375" style="2"/>
    <col min="9" max="9" width="15.796875" style="2" hidden="1" customWidth="1"/>
    <col min="10" max="16384" width="11.3984375" style="2"/>
  </cols>
  <sheetData>
    <row r="1" spans="1:9" ht="14" customHeight="1">
      <c r="A1" s="490"/>
      <c r="B1" s="3"/>
      <c r="C1" s="3"/>
      <c r="D1" s="3"/>
      <c r="E1" s="3"/>
      <c r="F1" s="3"/>
      <c r="G1" s="3"/>
      <c r="I1" s="3"/>
    </row>
    <row r="2" spans="1:9" ht="28" customHeight="1">
      <c r="A2" s="56" t="s">
        <v>356</v>
      </c>
      <c r="B2" s="3"/>
      <c r="C2" s="3"/>
      <c r="D2" s="3"/>
      <c r="E2" s="3"/>
      <c r="F2" s="3"/>
      <c r="G2" s="321">
        <v>2007</v>
      </c>
      <c r="I2" s="3"/>
    </row>
    <row r="3" spans="1:9" ht="24" customHeight="1">
      <c r="A3" s="110" t="s">
        <v>1199</v>
      </c>
      <c r="B3" s="111" t="s">
        <v>891</v>
      </c>
      <c r="C3" s="112" t="s">
        <v>892</v>
      </c>
      <c r="D3" s="111" t="s">
        <v>1798</v>
      </c>
      <c r="E3" s="112" t="s">
        <v>629</v>
      </c>
      <c r="F3" s="111" t="s">
        <v>430</v>
      </c>
      <c r="G3" s="112" t="s">
        <v>1801</v>
      </c>
      <c r="I3" s="112" t="s">
        <v>629</v>
      </c>
    </row>
    <row r="4" spans="1:9" ht="15" customHeight="1">
      <c r="A4" s="308"/>
      <c r="B4" s="114"/>
      <c r="C4" s="115"/>
      <c r="D4" s="114"/>
      <c r="E4" s="279"/>
      <c r="F4" s="114" t="s">
        <v>431</v>
      </c>
      <c r="G4" s="115" t="s">
        <v>1802</v>
      </c>
      <c r="I4" s="279">
        <v>1999</v>
      </c>
    </row>
    <row r="5" spans="1:9" ht="15" customHeight="1">
      <c r="A5" s="113"/>
      <c r="B5" s="114"/>
      <c r="C5" s="115"/>
      <c r="D5" s="114"/>
      <c r="E5" s="115"/>
      <c r="F5" s="114" t="s">
        <v>493</v>
      </c>
      <c r="G5" s="115" t="s">
        <v>1806</v>
      </c>
      <c r="I5" s="115"/>
    </row>
    <row r="6" spans="1:9" ht="24" customHeight="1">
      <c r="A6" s="506"/>
      <c r="B6" s="535"/>
      <c r="C6" s="536"/>
      <c r="D6" s="535"/>
      <c r="E6" s="536"/>
      <c r="F6" s="120"/>
      <c r="G6" s="119"/>
      <c r="I6" s="536"/>
    </row>
    <row r="7" spans="1:9" ht="40.5" customHeight="1" thickBot="1">
      <c r="A7" s="593" t="s">
        <v>1200</v>
      </c>
      <c r="B7" s="594">
        <v>3275469897.1799998</v>
      </c>
      <c r="C7" s="595">
        <v>4369900653.96</v>
      </c>
      <c r="D7" s="594">
        <v>887097316.08000004</v>
      </c>
      <c r="E7" s="595">
        <v>8532467867.2199993</v>
      </c>
      <c r="F7" s="618">
        <v>0.43335906104235267</v>
      </c>
      <c r="G7" s="596">
        <v>-2.9437534978642831E-2</v>
      </c>
      <c r="I7" s="876">
        <v>6794064715</v>
      </c>
    </row>
    <row r="8" spans="1:9" ht="36.75" customHeight="1" thickBot="1">
      <c r="A8" s="593" t="s">
        <v>1201</v>
      </c>
      <c r="B8" s="594">
        <v>3595936537.0300002</v>
      </c>
      <c r="C8" s="595">
        <v>3541179539.1500001</v>
      </c>
      <c r="D8" s="594">
        <v>93348091.390000001</v>
      </c>
      <c r="E8" s="595">
        <v>7230464167.5700006</v>
      </c>
      <c r="F8" s="618">
        <v>0.36723105335050199</v>
      </c>
      <c r="G8" s="596">
        <v>-5.7551842321478301E-2</v>
      </c>
      <c r="I8" s="876">
        <v>5396193285</v>
      </c>
    </row>
    <row r="9" spans="1:9" ht="36.75" customHeight="1" thickBot="1">
      <c r="A9" s="593" t="s">
        <v>1202</v>
      </c>
      <c r="B9" s="594">
        <v>10753408.300000001</v>
      </c>
      <c r="C9" s="595">
        <v>6024987.9900000002</v>
      </c>
      <c r="D9" s="594">
        <v>75749.39</v>
      </c>
      <c r="E9" s="595">
        <v>16854145.68</v>
      </c>
      <c r="F9" s="618">
        <v>8.5601221829570613E-4</v>
      </c>
      <c r="G9" s="596">
        <v>-6.6391061597391313E-3</v>
      </c>
      <c r="I9" s="876">
        <v>15330070</v>
      </c>
    </row>
    <row r="10" spans="1:9" ht="36.75" customHeight="1" thickBot="1">
      <c r="A10" s="593" t="s">
        <v>357</v>
      </c>
      <c r="B10" s="594">
        <v>1737522890.22</v>
      </c>
      <c r="C10" s="595">
        <v>1901807550.8099999</v>
      </c>
      <c r="D10" s="594">
        <v>270024864.76999998</v>
      </c>
      <c r="E10" s="595">
        <v>3909355305.7999997</v>
      </c>
      <c r="F10" s="618">
        <v>0.19855387338884961</v>
      </c>
      <c r="G10" s="596">
        <v>0.37922477168732155</v>
      </c>
      <c r="I10" s="876">
        <v>828254703</v>
      </c>
    </row>
    <row r="11" spans="1:9" s="419" customFormat="1" ht="38.25" customHeight="1" thickBot="1">
      <c r="A11" s="546" t="s">
        <v>629</v>
      </c>
      <c r="B11" s="347">
        <v>8619682732.7199993</v>
      </c>
      <c r="C11" s="346">
        <v>9818912731.9200001</v>
      </c>
      <c r="D11" s="347">
        <v>1250546021.6099999</v>
      </c>
      <c r="E11" s="346">
        <v>19689141486.27</v>
      </c>
      <c r="F11" s="877">
        <v>1</v>
      </c>
      <c r="G11" s="598">
        <v>1.938697166097984E-2</v>
      </c>
      <c r="I11" s="878">
        <v>13033842773</v>
      </c>
    </row>
    <row r="12" spans="1:9" ht="19.5" customHeight="1">
      <c r="A12" s="133" t="s">
        <v>1256</v>
      </c>
      <c r="B12" s="133"/>
      <c r="C12" s="133"/>
      <c r="D12" s="133"/>
      <c r="E12" s="133"/>
      <c r="F12" s="133"/>
      <c r="G12" s="133"/>
      <c r="I12" s="133"/>
    </row>
    <row r="14" spans="1:9">
      <c r="A14" s="2" t="s">
        <v>358</v>
      </c>
    </row>
    <row r="17" spans="1:1">
      <c r="A17" s="2" t="s">
        <v>634</v>
      </c>
    </row>
  </sheetData>
  <phoneticPr fontId="0" type="noConversion"/>
  <pageMargins left="0.56000000000000005" right="0.57999999999999996" top="0.96" bottom="0.49" header="0.61" footer="0.4921259845"/>
  <pageSetup paperSize="9" scale="80" orientation="portrait" horizontalDpi="4294967292" verticalDpi="4294967292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68F8-BF5A-9C44-ADB1-D3183885192A}">
  <sheetPr>
    <pageSetUpPr fitToPage="1"/>
  </sheetPr>
  <dimension ref="A1:G19"/>
  <sheetViews>
    <sheetView topLeftCell="A4" zoomScale="75" workbookViewId="0">
      <selection activeCell="A15" sqref="A15"/>
    </sheetView>
  </sheetViews>
  <sheetFormatPr baseColWidth="10" defaultColWidth="11.3984375" defaultRowHeight="13"/>
  <cols>
    <col min="1" max="1" width="19.796875" style="2" customWidth="1"/>
    <col min="2" max="7" width="14.796875" style="2" customWidth="1"/>
    <col min="8" max="16384" width="11.3984375" style="2"/>
  </cols>
  <sheetData>
    <row r="1" spans="1:7" ht="14" customHeight="1">
      <c r="A1" s="490"/>
      <c r="B1" s="3"/>
      <c r="C1" s="3"/>
      <c r="D1" s="3"/>
      <c r="E1" s="3"/>
      <c r="F1" s="3"/>
      <c r="G1" s="3"/>
    </row>
    <row r="2" spans="1:7" ht="26.25" customHeight="1">
      <c r="A2" s="1800" t="s">
        <v>1969</v>
      </c>
      <c r="B2" s="1804"/>
      <c r="C2" s="1804"/>
      <c r="D2" s="1804"/>
      <c r="E2" s="1804"/>
      <c r="F2" s="1804"/>
      <c r="G2" s="321">
        <v>2007</v>
      </c>
    </row>
    <row r="3" spans="1:7" ht="24" customHeight="1">
      <c r="A3" s="110" t="s">
        <v>1199</v>
      </c>
      <c r="B3" s="111" t="s">
        <v>891</v>
      </c>
      <c r="C3" s="112" t="s">
        <v>892</v>
      </c>
      <c r="D3" s="111" t="s">
        <v>1798</v>
      </c>
      <c r="E3" s="112" t="s">
        <v>629</v>
      </c>
      <c r="F3" s="111" t="s">
        <v>1964</v>
      </c>
      <c r="G3" s="112" t="s">
        <v>1801</v>
      </c>
    </row>
    <row r="4" spans="1:7" ht="15" customHeight="1">
      <c r="A4" s="308"/>
      <c r="B4" s="114"/>
      <c r="C4" s="115"/>
      <c r="D4" s="114"/>
      <c r="E4" s="279"/>
      <c r="F4" s="114" t="s">
        <v>1965</v>
      </c>
      <c r="G4" s="115" t="s">
        <v>1802</v>
      </c>
    </row>
    <row r="5" spans="1:7" ht="15" customHeight="1">
      <c r="A5" s="113"/>
      <c r="B5" s="114"/>
      <c r="C5" s="115"/>
      <c r="D5" s="114"/>
      <c r="E5" s="115"/>
      <c r="F5" s="114" t="s">
        <v>1966</v>
      </c>
      <c r="G5" s="115" t="s">
        <v>1806</v>
      </c>
    </row>
    <row r="6" spans="1:7" ht="24" customHeight="1">
      <c r="A6" s="506"/>
      <c r="B6" s="535"/>
      <c r="C6" s="536"/>
      <c r="D6" s="535"/>
      <c r="E6" s="536"/>
      <c r="F6" s="120"/>
      <c r="G6" s="119"/>
    </row>
    <row r="7" spans="1:7" ht="38.25" customHeight="1" thickBot="1">
      <c r="A7" s="537" t="s">
        <v>1200</v>
      </c>
      <c r="B7" s="172">
        <v>3533.43</v>
      </c>
      <c r="C7" s="173">
        <v>3612.61</v>
      </c>
      <c r="D7" s="172">
        <v>897.86</v>
      </c>
      <c r="E7" s="173">
        <v>2723.42</v>
      </c>
      <c r="F7" s="172">
        <v>111.29</v>
      </c>
      <c r="G7" s="539">
        <v>3.5642984534298726E-2</v>
      </c>
    </row>
    <row r="8" spans="1:7" ht="37.5" customHeight="1" thickBot="1">
      <c r="A8" s="537" t="s">
        <v>1201</v>
      </c>
      <c r="B8" s="172">
        <v>2819.03</v>
      </c>
      <c r="C8" s="173">
        <v>3046.13</v>
      </c>
      <c r="D8" s="172">
        <v>681.47</v>
      </c>
      <c r="E8" s="173">
        <v>2817.48</v>
      </c>
      <c r="F8" s="172">
        <v>205.35</v>
      </c>
      <c r="G8" s="539">
        <v>1.96918644840702E-2</v>
      </c>
    </row>
    <row r="9" spans="1:7" ht="37.5" customHeight="1" thickBot="1">
      <c r="A9" s="537" t="s">
        <v>1202</v>
      </c>
      <c r="B9" s="172">
        <v>2431.42</v>
      </c>
      <c r="C9" s="173">
        <v>2552.31</v>
      </c>
      <c r="D9" s="172">
        <v>680.67</v>
      </c>
      <c r="E9" s="173">
        <v>2454.38</v>
      </c>
      <c r="F9" s="172">
        <v>-157.75</v>
      </c>
      <c r="G9" s="539">
        <v>4.0379463528773536E-2</v>
      </c>
    </row>
    <row r="10" spans="1:7" ht="37.5" customHeight="1" thickBot="1">
      <c r="A10" s="537" t="s">
        <v>357</v>
      </c>
      <c r="B10" s="172">
        <v>2429.4699999999998</v>
      </c>
      <c r="C10" s="173">
        <v>2603.62</v>
      </c>
      <c r="D10" s="172">
        <v>700.75</v>
      </c>
      <c r="E10" s="173">
        <v>2134.58</v>
      </c>
      <c r="F10" s="172">
        <v>-477.55</v>
      </c>
      <c r="G10" s="539">
        <v>1.7823765020026756E-2</v>
      </c>
    </row>
    <row r="11" spans="1:7" ht="36" customHeight="1" thickBot="1">
      <c r="A11" s="546" t="s">
        <v>629</v>
      </c>
      <c r="B11" s="347">
        <v>2949.73</v>
      </c>
      <c r="C11" s="346">
        <v>3162.34</v>
      </c>
      <c r="D11" s="347">
        <v>827.93</v>
      </c>
      <c r="E11" s="346">
        <v>2612.13</v>
      </c>
      <c r="F11" s="347">
        <v>0</v>
      </c>
      <c r="G11" s="598">
        <v>1.1387219675381114E-2</v>
      </c>
    </row>
    <row r="12" spans="1:7" ht="19.5" customHeight="1">
      <c r="A12" s="133" t="s">
        <v>1256</v>
      </c>
      <c r="B12" s="133"/>
      <c r="C12" s="133"/>
      <c r="D12" s="133"/>
      <c r="E12" s="133"/>
      <c r="F12" s="133"/>
      <c r="G12" s="133"/>
    </row>
    <row r="14" spans="1:7">
      <c r="A14" s="2" t="s">
        <v>1967</v>
      </c>
    </row>
    <row r="16" spans="1:7">
      <c r="A16" s="2" t="s">
        <v>1968</v>
      </c>
    </row>
    <row r="19" spans="1:1">
      <c r="A19" s="2" t="s">
        <v>634</v>
      </c>
    </row>
  </sheetData>
  <mergeCells count="1">
    <mergeCell ref="A2:F2"/>
  </mergeCells>
  <phoneticPr fontId="0" type="noConversion"/>
  <pageMargins left="0.6" right="0.57999999999999996" top="0.94" bottom="0.49" header="0.54" footer="0.4921259845"/>
  <pageSetup paperSize="9" scale="85" orientation="portrait" horizontalDpi="4294967292" verticalDpi="4294967292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DF6E-A8C6-4444-B399-E83E6424E3A1}">
  <sheetPr>
    <pageSetUpPr fitToPage="1"/>
  </sheetPr>
  <dimension ref="A1:K85"/>
  <sheetViews>
    <sheetView zoomScale="75" workbookViewId="0">
      <selection activeCell="H13" sqref="H13"/>
    </sheetView>
  </sheetViews>
  <sheetFormatPr baseColWidth="10" defaultColWidth="11.3984375" defaultRowHeight="13"/>
  <cols>
    <col min="1" max="1" width="21.59765625" style="2" customWidth="1"/>
    <col min="2" max="3" width="14.3984375" style="2" customWidth="1"/>
    <col min="4" max="4" width="13.796875" style="2" customWidth="1"/>
    <col min="5" max="6" width="13.19921875" style="2" customWidth="1"/>
    <col min="7" max="7" width="15.796875" style="2" customWidth="1"/>
    <col min="8" max="10" width="13.796875" style="2" customWidth="1"/>
    <col min="11" max="16384" width="11.3984375" style="2"/>
  </cols>
  <sheetData>
    <row r="1" spans="1:11" s="1" customFormat="1" ht="8.25" customHeight="1"/>
    <row r="2" spans="1:11" s="1" customFormat="1" ht="37.5" customHeight="1">
      <c r="A2" s="1800" t="s">
        <v>1970</v>
      </c>
      <c r="B2" s="1804"/>
      <c r="C2" s="1804"/>
      <c r="D2" s="1804"/>
      <c r="E2" s="1804"/>
      <c r="F2" s="109"/>
      <c r="G2" s="109">
        <v>2007</v>
      </c>
    </row>
    <row r="3" spans="1:11" ht="24" customHeight="1">
      <c r="A3" s="519" t="s">
        <v>2479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67" t="s">
        <v>1801</v>
      </c>
    </row>
    <row r="4" spans="1:11" ht="15" customHeight="1">
      <c r="A4" s="308"/>
      <c r="B4" s="114" t="s">
        <v>836</v>
      </c>
      <c r="C4" s="115" t="s">
        <v>837</v>
      </c>
      <c r="D4" s="114" t="s">
        <v>838</v>
      </c>
      <c r="E4" s="279" t="s">
        <v>839</v>
      </c>
      <c r="F4" s="114"/>
      <c r="G4" s="113" t="s">
        <v>1802</v>
      </c>
    </row>
    <row r="5" spans="1:11" ht="15" customHeight="1">
      <c r="A5" s="308" t="s">
        <v>533</v>
      </c>
      <c r="B5" s="114" t="s">
        <v>840</v>
      </c>
      <c r="C5" s="115" t="s">
        <v>841</v>
      </c>
      <c r="D5" s="114"/>
      <c r="E5" s="279" t="s">
        <v>842</v>
      </c>
      <c r="F5" s="114"/>
      <c r="G5" s="113" t="s">
        <v>1806</v>
      </c>
    </row>
    <row r="6" spans="1:11" ht="20.25" customHeight="1">
      <c r="A6" s="505"/>
      <c r="B6" s="120"/>
      <c r="C6" s="119"/>
      <c r="D6" s="120"/>
      <c r="E6" s="282" t="s">
        <v>843</v>
      </c>
      <c r="F6" s="120"/>
      <c r="G6" s="281"/>
    </row>
    <row r="7" spans="1:11" ht="20" customHeight="1" thickBot="1">
      <c r="A7" s="310">
        <v>1996</v>
      </c>
      <c r="B7" s="142">
        <v>1524.5463513417667</v>
      </c>
      <c r="C7" s="291">
        <v>1591.881526355354</v>
      </c>
      <c r="D7" s="142">
        <v>1359.088238474134</v>
      </c>
      <c r="E7" s="291">
        <v>1137.2770798904471</v>
      </c>
      <c r="F7" s="142">
        <v>1538.9405008830074</v>
      </c>
      <c r="G7" s="680" t="s">
        <v>59</v>
      </c>
    </row>
    <row r="8" spans="1:11" ht="20" customHeight="1" thickBot="1">
      <c r="A8" s="312">
        <v>1997</v>
      </c>
      <c r="B8" s="144">
        <v>1596.7748981305942</v>
      </c>
      <c r="C8" s="297">
        <v>1820.0543916502945</v>
      </c>
      <c r="D8" s="144">
        <v>1429.0086986460665</v>
      </c>
      <c r="E8" s="297">
        <v>1270.8735771137619</v>
      </c>
      <c r="F8" s="144">
        <v>1663.893341996396</v>
      </c>
      <c r="G8" s="667">
        <v>8.1194068933590158E-2</v>
      </c>
      <c r="I8" s="9"/>
      <c r="J8" s="9"/>
      <c r="K8" s="9"/>
    </row>
    <row r="9" spans="1:11" ht="20" customHeight="1" thickBot="1">
      <c r="A9" s="312">
        <v>1998</v>
      </c>
      <c r="B9" s="144">
        <v>1665.5565653402912</v>
      </c>
      <c r="C9" s="297">
        <v>1937.4811057809607</v>
      </c>
      <c r="D9" s="144">
        <v>1448.2169878271459</v>
      </c>
      <c r="E9" s="297">
        <v>1463.0710596518434</v>
      </c>
      <c r="F9" s="144">
        <v>1753.6807220915252</v>
      </c>
      <c r="G9" s="667">
        <v>5.3962220912188608E-2</v>
      </c>
    </row>
    <row r="10" spans="1:11" ht="20" customHeight="1" thickBot="1">
      <c r="A10" s="312">
        <v>1999</v>
      </c>
      <c r="B10" s="144">
        <v>1698.1180433399416</v>
      </c>
      <c r="C10" s="297">
        <v>1985.9900541831798</v>
      </c>
      <c r="D10" s="144">
        <v>1493.6302697798037</v>
      </c>
      <c r="E10" s="297">
        <v>1527.6216147396292</v>
      </c>
      <c r="F10" s="144">
        <v>1792.6961372402147</v>
      </c>
      <c r="G10" s="667">
        <v>2.2247729964299134E-2</v>
      </c>
    </row>
    <row r="11" spans="1:11" ht="20" customHeight="1" thickBot="1">
      <c r="A11" s="312">
        <v>2000</v>
      </c>
      <c r="B11" s="144">
        <v>1758.0451704632812</v>
      </c>
      <c r="C11" s="297">
        <v>2038.1607144334851</v>
      </c>
      <c r="D11" s="144">
        <v>1535.3433088803986</v>
      </c>
      <c r="E11" s="297">
        <v>1583.2530710258736</v>
      </c>
      <c r="F11" s="144">
        <v>1850.1631679231971</v>
      </c>
      <c r="G11" s="667">
        <v>3.2056202659894506E-2</v>
      </c>
    </row>
    <row r="12" spans="1:11" ht="20" customHeight="1" thickBot="1">
      <c r="A12" s="312">
        <v>2001</v>
      </c>
      <c r="B12" s="144">
        <v>1842.9742230994177</v>
      </c>
      <c r="C12" s="297">
        <v>2074.3537866389079</v>
      </c>
      <c r="D12" s="144">
        <v>1595.1792853069078</v>
      </c>
      <c r="E12" s="297">
        <v>1658.0330212983067</v>
      </c>
      <c r="F12" s="144">
        <v>1917.1693080707569</v>
      </c>
      <c r="G12" s="667">
        <v>3.6216340974279504E-2</v>
      </c>
    </row>
    <row r="13" spans="1:11" ht="20" customHeight="1" thickBot="1">
      <c r="A13" s="312">
        <v>2002</v>
      </c>
      <c r="B13" s="144">
        <v>1999.3225217818947</v>
      </c>
      <c r="C13" s="297">
        <v>2236.6776923608968</v>
      </c>
      <c r="D13" s="144">
        <v>1807.8492038743398</v>
      </c>
      <c r="E13" s="297">
        <v>1938.8414423486433</v>
      </c>
      <c r="F13" s="144">
        <v>2090.6453445046668</v>
      </c>
      <c r="G13" s="667">
        <v>9.0485506785250136E-2</v>
      </c>
    </row>
    <row r="14" spans="1:11" ht="20" customHeight="1" thickBot="1">
      <c r="A14" s="312">
        <v>2003</v>
      </c>
      <c r="B14" s="144">
        <v>2216.0796496496105</v>
      </c>
      <c r="C14" s="297">
        <v>2426.9395460837259</v>
      </c>
      <c r="D14" s="144">
        <v>1977.301650220651</v>
      </c>
      <c r="E14" s="297">
        <v>1934.7726722030034</v>
      </c>
      <c r="F14" s="144">
        <v>2281.4625632725915</v>
      </c>
      <c r="G14" s="667">
        <v>9.1271921978299364E-2</v>
      </c>
    </row>
    <row r="15" spans="1:11" ht="20" customHeight="1" thickBot="1">
      <c r="A15" s="312">
        <v>2004</v>
      </c>
      <c r="B15" s="144">
        <v>2343.8682619528158</v>
      </c>
      <c r="C15" s="297">
        <v>2645.1462345444088</v>
      </c>
      <c r="D15" s="144">
        <v>2075.9841086714919</v>
      </c>
      <c r="E15" s="297">
        <v>2100.4541508082671</v>
      </c>
      <c r="F15" s="144">
        <v>2441.8690220833437</v>
      </c>
      <c r="G15" s="667">
        <v>7.0308608781491921E-2</v>
      </c>
    </row>
    <row r="16" spans="1:11" ht="20" customHeight="1" thickBot="1">
      <c r="A16" s="312">
        <v>2005</v>
      </c>
      <c r="B16" s="144">
        <v>2470.8502609985521</v>
      </c>
      <c r="C16" s="297">
        <v>2635.6398124159059</v>
      </c>
      <c r="D16" s="144">
        <v>2194.1314013904234</v>
      </c>
      <c r="E16" s="297">
        <v>2075.4315686877048</v>
      </c>
      <c r="F16" s="144">
        <v>2487.4606144678528</v>
      </c>
      <c r="G16" s="667">
        <v>1.8670777167897112E-2</v>
      </c>
    </row>
    <row r="17" spans="1:7" ht="20" customHeight="1" thickBot="1">
      <c r="A17" s="312">
        <v>2006</v>
      </c>
      <c r="B17" s="144">
        <v>2629.69</v>
      </c>
      <c r="C17" s="297">
        <v>2763.07</v>
      </c>
      <c r="D17" s="144">
        <v>2359.12</v>
      </c>
      <c r="E17" s="297">
        <v>2097.1999999999998</v>
      </c>
      <c r="F17" s="144">
        <v>2582.7199999999998</v>
      </c>
      <c r="G17" s="667">
        <v>3.8295836717208154E-2</v>
      </c>
    </row>
    <row r="18" spans="1:7" ht="20.25" customHeight="1" thickBot="1">
      <c r="A18" s="396">
        <v>2007</v>
      </c>
      <c r="B18" s="338">
        <v>2723.42</v>
      </c>
      <c r="C18" s="339">
        <v>2817.48</v>
      </c>
      <c r="D18" s="338">
        <v>2454.38</v>
      </c>
      <c r="E18" s="339">
        <v>2134.58</v>
      </c>
      <c r="F18" s="338">
        <v>2612.13</v>
      </c>
      <c r="G18" s="936">
        <v>1.1387219675381033E-2</v>
      </c>
    </row>
    <row r="19" spans="1:7" ht="20" customHeight="1">
      <c r="A19" s="133" t="s">
        <v>1256</v>
      </c>
      <c r="B19" s="335"/>
      <c r="C19" s="335"/>
      <c r="D19" s="335"/>
      <c r="E19" s="335"/>
      <c r="F19" s="335"/>
      <c r="G19" s="675"/>
    </row>
    <row r="20" spans="1:7" ht="13.5" customHeight="1">
      <c r="A20" s="3"/>
      <c r="B20" s="337"/>
      <c r="C20" s="337"/>
      <c r="D20" s="337"/>
      <c r="E20" s="337"/>
      <c r="F20" s="337"/>
      <c r="G20" s="676"/>
    </row>
    <row r="21" spans="1:7">
      <c r="A21" s="2" t="s">
        <v>1971</v>
      </c>
      <c r="G21" s="676"/>
    </row>
    <row r="22" spans="1:7">
      <c r="G22" s="676"/>
    </row>
    <row r="23" spans="1:7">
      <c r="G23" s="676"/>
    </row>
    <row r="24" spans="1:7" ht="16">
      <c r="A24" s="946" t="s">
        <v>1972</v>
      </c>
      <c r="G24" s="676"/>
    </row>
    <row r="25" spans="1:7">
      <c r="G25" s="676"/>
    </row>
    <row r="26" spans="1:7" ht="19.5" customHeight="1">
      <c r="A26" s="519" t="s">
        <v>1798</v>
      </c>
      <c r="B26" s="111" t="s">
        <v>832</v>
      </c>
      <c r="C26" s="112" t="s">
        <v>833</v>
      </c>
      <c r="D26" s="111" t="s">
        <v>834</v>
      </c>
      <c r="E26" s="112" t="s">
        <v>835</v>
      </c>
      <c r="F26" s="111" t="s">
        <v>629</v>
      </c>
      <c r="G26" s="660" t="s">
        <v>1801</v>
      </c>
    </row>
    <row r="27" spans="1:7" ht="19.5" customHeight="1">
      <c r="A27" s="620" t="s">
        <v>1803</v>
      </c>
      <c r="B27" s="114" t="s">
        <v>836</v>
      </c>
      <c r="C27" s="115" t="s">
        <v>837</v>
      </c>
      <c r="D27" s="114" t="s">
        <v>838</v>
      </c>
      <c r="E27" s="279" t="s">
        <v>839</v>
      </c>
      <c r="F27" s="114"/>
      <c r="G27" s="661" t="s">
        <v>1802</v>
      </c>
    </row>
    <row r="28" spans="1:7" ht="19.5" customHeight="1">
      <c r="A28" s="308"/>
      <c r="B28" s="114" t="s">
        <v>840</v>
      </c>
      <c r="C28" s="115" t="s">
        <v>841</v>
      </c>
      <c r="D28" s="114"/>
      <c r="E28" s="279" t="s">
        <v>842</v>
      </c>
      <c r="F28" s="114"/>
      <c r="G28" s="661" t="s">
        <v>1806</v>
      </c>
    </row>
    <row r="29" spans="1:7" ht="19.5" customHeight="1">
      <c r="A29" s="309" t="s">
        <v>533</v>
      </c>
      <c r="B29" s="120"/>
      <c r="C29" s="119"/>
      <c r="D29" s="120"/>
      <c r="E29" s="282" t="s">
        <v>843</v>
      </c>
      <c r="F29" s="120"/>
      <c r="G29" s="662"/>
    </row>
    <row r="30" spans="1:7" ht="19.5" customHeight="1" thickBot="1">
      <c r="A30" s="310">
        <v>1996</v>
      </c>
      <c r="B30" s="142" t="s">
        <v>59</v>
      </c>
      <c r="C30" s="291" t="s">
        <v>59</v>
      </c>
      <c r="D30" s="142" t="s">
        <v>59</v>
      </c>
      <c r="E30" s="291" t="s">
        <v>59</v>
      </c>
      <c r="F30" s="142" t="s">
        <v>59</v>
      </c>
      <c r="G30" s="680" t="s">
        <v>59</v>
      </c>
    </row>
    <row r="31" spans="1:7" ht="19.5" customHeight="1" thickBot="1">
      <c r="A31" s="312">
        <v>1997</v>
      </c>
      <c r="B31" s="142">
        <v>580.09</v>
      </c>
      <c r="C31" s="291">
        <v>550.25</v>
      </c>
      <c r="D31" s="142">
        <v>481.77</v>
      </c>
      <c r="E31" s="291">
        <v>467.21</v>
      </c>
      <c r="F31" s="142">
        <v>571.27</v>
      </c>
      <c r="G31" s="667" t="s">
        <v>59</v>
      </c>
    </row>
    <row r="32" spans="1:7" ht="19.5" customHeight="1" thickBot="1">
      <c r="A32" s="312">
        <v>1998</v>
      </c>
      <c r="B32" s="144">
        <v>596.35</v>
      </c>
      <c r="C32" s="297">
        <v>598.24</v>
      </c>
      <c r="D32" s="144">
        <v>486.78</v>
      </c>
      <c r="E32" s="297">
        <v>475.12</v>
      </c>
      <c r="F32" s="144">
        <v>588.77</v>
      </c>
      <c r="G32" s="667">
        <v>3.0633500796471091E-2</v>
      </c>
    </row>
    <row r="33" spans="1:7" ht="19.5" customHeight="1" thickBot="1">
      <c r="A33" s="312">
        <v>1999</v>
      </c>
      <c r="B33" s="144">
        <v>613.13</v>
      </c>
      <c r="C33" s="297">
        <v>598.32000000000005</v>
      </c>
      <c r="D33" s="144">
        <v>530.1</v>
      </c>
      <c r="E33" s="297">
        <v>498.95</v>
      </c>
      <c r="F33" s="144">
        <v>603.19000000000005</v>
      </c>
      <c r="G33" s="667">
        <v>2.4491737011057113E-2</v>
      </c>
    </row>
    <row r="34" spans="1:7" ht="19.5" customHeight="1" thickBot="1">
      <c r="A34" s="312">
        <v>2000</v>
      </c>
      <c r="B34" s="144">
        <v>634.51</v>
      </c>
      <c r="C34" s="297">
        <v>602.96</v>
      </c>
      <c r="D34" s="144">
        <v>556.69000000000005</v>
      </c>
      <c r="E34" s="297">
        <v>513.95000000000005</v>
      </c>
      <c r="F34" s="144">
        <v>621.73</v>
      </c>
      <c r="G34" s="667">
        <v>3.073658382930744E-2</v>
      </c>
    </row>
    <row r="35" spans="1:7" ht="19.5" customHeight="1" thickBot="1">
      <c r="A35" s="312">
        <v>2001</v>
      </c>
      <c r="B35" s="144">
        <v>669.16</v>
      </c>
      <c r="C35" s="297">
        <v>610.58000000000004</v>
      </c>
      <c r="D35" s="144">
        <v>579.95000000000005</v>
      </c>
      <c r="E35" s="297">
        <v>545.02</v>
      </c>
      <c r="F35" s="144">
        <v>652.66999999999996</v>
      </c>
      <c r="G35" s="667">
        <v>4.9764367169028212E-2</v>
      </c>
    </row>
    <row r="36" spans="1:7" ht="19.5" customHeight="1" thickBot="1">
      <c r="A36" s="312">
        <v>2002</v>
      </c>
      <c r="B36" s="144">
        <v>733.02</v>
      </c>
      <c r="C36" s="297">
        <v>642.46</v>
      </c>
      <c r="D36" s="144">
        <v>644.12</v>
      </c>
      <c r="E36" s="297">
        <v>599.79999999999995</v>
      </c>
      <c r="F36" s="144">
        <v>712.31</v>
      </c>
      <c r="G36" s="667">
        <v>9.1378491427520858E-2</v>
      </c>
    </row>
    <row r="37" spans="1:7" ht="19.5" customHeight="1" thickBot="1">
      <c r="A37" s="312">
        <v>2003</v>
      </c>
      <c r="B37" s="144">
        <v>802.85</v>
      </c>
      <c r="C37" s="297">
        <v>678.78</v>
      </c>
      <c r="D37" s="144">
        <v>685.16</v>
      </c>
      <c r="E37" s="297">
        <v>639.15</v>
      </c>
      <c r="F37" s="144">
        <v>775.13</v>
      </c>
      <c r="G37" s="667">
        <v>8.8191938903005695E-2</v>
      </c>
    </row>
    <row r="38" spans="1:7" ht="19.5" customHeight="1" thickBot="1">
      <c r="A38" s="312">
        <v>2004</v>
      </c>
      <c r="B38" s="144">
        <v>842.54</v>
      </c>
      <c r="C38" s="297">
        <v>700.46</v>
      </c>
      <c r="D38" s="144">
        <v>714.47</v>
      </c>
      <c r="E38" s="297">
        <v>676.24</v>
      </c>
      <c r="F38" s="144">
        <v>811.85</v>
      </c>
      <c r="G38" s="667">
        <v>4.7372698773109123E-2</v>
      </c>
    </row>
    <row r="39" spans="1:7" ht="19.5" customHeight="1" thickBot="1">
      <c r="A39" s="312">
        <v>2005</v>
      </c>
      <c r="B39" s="144">
        <v>845.51</v>
      </c>
      <c r="C39" s="297">
        <v>667.58</v>
      </c>
      <c r="D39" s="144">
        <v>678.63</v>
      </c>
      <c r="E39" s="297">
        <v>696.17</v>
      </c>
      <c r="F39" s="144">
        <v>810.41</v>
      </c>
      <c r="G39" s="667">
        <v>-1.773726673646725E-3</v>
      </c>
    </row>
    <row r="40" spans="1:7" ht="19.5" customHeight="1" thickBot="1">
      <c r="A40" s="312">
        <v>2006</v>
      </c>
      <c r="B40" s="144">
        <v>877.42</v>
      </c>
      <c r="C40" s="297">
        <v>668.2</v>
      </c>
      <c r="D40" s="144">
        <v>628.72</v>
      </c>
      <c r="E40" s="297">
        <v>703.88</v>
      </c>
      <c r="F40" s="144">
        <v>831.45</v>
      </c>
      <c r="G40" s="667">
        <v>2.5962167298034355E-2</v>
      </c>
    </row>
    <row r="41" spans="1:7" ht="19.5" customHeight="1" thickBot="1">
      <c r="A41" s="947">
        <v>2007</v>
      </c>
      <c r="B41" s="333">
        <v>878.78</v>
      </c>
      <c r="C41" s="362">
        <v>658.41</v>
      </c>
      <c r="D41" s="333">
        <v>670.23</v>
      </c>
      <c r="E41" s="362">
        <v>724.49</v>
      </c>
      <c r="F41" s="333">
        <v>830.97</v>
      </c>
      <c r="G41" s="936">
        <v>-5.7730470864159056E-4</v>
      </c>
    </row>
    <row r="42" spans="1:7">
      <c r="A42" s="133"/>
      <c r="G42" s="676"/>
    </row>
    <row r="43" spans="1:7">
      <c r="G43" s="676"/>
    </row>
    <row r="44" spans="1:7" ht="18" customHeight="1">
      <c r="A44" s="519" t="s">
        <v>1135</v>
      </c>
      <c r="B44" s="111" t="s">
        <v>832</v>
      </c>
      <c r="C44" s="112" t="s">
        <v>833</v>
      </c>
      <c r="D44" s="111" t="s">
        <v>834</v>
      </c>
      <c r="E44" s="112" t="s">
        <v>835</v>
      </c>
      <c r="F44" s="111" t="s">
        <v>629</v>
      </c>
      <c r="G44" s="660" t="s">
        <v>1801</v>
      </c>
    </row>
    <row r="45" spans="1:7" ht="18" customHeight="1">
      <c r="A45" s="620" t="s">
        <v>1804</v>
      </c>
      <c r="B45" s="114" t="s">
        <v>836</v>
      </c>
      <c r="C45" s="115" t="s">
        <v>837</v>
      </c>
      <c r="D45" s="114" t="s">
        <v>838</v>
      </c>
      <c r="E45" s="279" t="s">
        <v>839</v>
      </c>
      <c r="F45" s="114"/>
      <c r="G45" s="661" t="s">
        <v>1802</v>
      </c>
    </row>
    <row r="46" spans="1:7" ht="18" customHeight="1">
      <c r="A46" s="308"/>
      <c r="B46" s="114" t="s">
        <v>840</v>
      </c>
      <c r="C46" s="115" t="s">
        <v>841</v>
      </c>
      <c r="D46" s="114"/>
      <c r="E46" s="279" t="s">
        <v>842</v>
      </c>
      <c r="F46" s="114"/>
      <c r="G46" s="661" t="s">
        <v>1806</v>
      </c>
    </row>
    <row r="47" spans="1:7" ht="18" customHeight="1">
      <c r="A47" s="309" t="s">
        <v>533</v>
      </c>
      <c r="B47" s="120"/>
      <c r="C47" s="119"/>
      <c r="D47" s="120"/>
      <c r="E47" s="282" t="s">
        <v>843</v>
      </c>
      <c r="F47" s="120"/>
      <c r="G47" s="662"/>
    </row>
    <row r="48" spans="1:7" ht="18" customHeight="1" thickBot="1">
      <c r="A48" s="310">
        <v>1996</v>
      </c>
      <c r="B48" s="142" t="s">
        <v>59</v>
      </c>
      <c r="C48" s="291" t="s">
        <v>59</v>
      </c>
      <c r="D48" s="142" t="s">
        <v>59</v>
      </c>
      <c r="E48" s="291" t="s">
        <v>59</v>
      </c>
      <c r="F48" s="142" t="s">
        <v>59</v>
      </c>
      <c r="G48" s="680" t="s">
        <v>59</v>
      </c>
    </row>
    <row r="49" spans="1:7" ht="18" customHeight="1" thickBot="1">
      <c r="A49" s="312">
        <v>1997</v>
      </c>
      <c r="B49" s="142">
        <v>1482.21</v>
      </c>
      <c r="C49" s="291">
        <v>1451.36</v>
      </c>
      <c r="D49" s="142">
        <v>1026.33</v>
      </c>
      <c r="E49" s="291">
        <v>1192.1400000000001</v>
      </c>
      <c r="F49" s="142">
        <v>1459.12</v>
      </c>
      <c r="G49" s="667" t="s">
        <v>59</v>
      </c>
    </row>
    <row r="50" spans="1:7" ht="18" customHeight="1" thickBot="1">
      <c r="A50" s="312">
        <v>1998</v>
      </c>
      <c r="B50" s="144">
        <v>1603.6</v>
      </c>
      <c r="C50" s="297">
        <v>1550.75</v>
      </c>
      <c r="D50" s="144">
        <v>1128.4000000000001</v>
      </c>
      <c r="E50" s="297">
        <v>1346.71</v>
      </c>
      <c r="F50" s="144">
        <v>1563.95</v>
      </c>
      <c r="G50" s="667">
        <v>7.1844673501836764E-2</v>
      </c>
    </row>
    <row r="51" spans="1:7" ht="18" customHeight="1" thickBot="1">
      <c r="A51" s="312">
        <v>1999</v>
      </c>
      <c r="B51" s="144">
        <v>1573.73</v>
      </c>
      <c r="C51" s="297">
        <v>1627.32</v>
      </c>
      <c r="D51" s="144">
        <v>1190.3499999999999</v>
      </c>
      <c r="E51" s="297">
        <v>1353.56</v>
      </c>
      <c r="F51" s="144">
        <v>1581.32</v>
      </c>
      <c r="G51" s="667">
        <v>1.1106493174334098E-2</v>
      </c>
    </row>
    <row r="52" spans="1:7" ht="18" customHeight="1" thickBot="1">
      <c r="A52" s="312">
        <v>2000</v>
      </c>
      <c r="B52" s="144">
        <v>1562.73</v>
      </c>
      <c r="C52" s="297">
        <v>1613.39</v>
      </c>
      <c r="D52" s="144">
        <v>1195.6199999999999</v>
      </c>
      <c r="E52" s="297">
        <v>1337.81</v>
      </c>
      <c r="F52" s="144">
        <v>1566.95</v>
      </c>
      <c r="G52" s="667">
        <v>-9.0873447499556503E-3</v>
      </c>
    </row>
    <row r="53" spans="1:7" ht="18" customHeight="1" thickBot="1">
      <c r="A53" s="312">
        <v>2001</v>
      </c>
      <c r="B53" s="144">
        <v>1634.37</v>
      </c>
      <c r="C53" s="297">
        <v>1563.11</v>
      </c>
      <c r="D53" s="144">
        <v>1089.92</v>
      </c>
      <c r="E53" s="297">
        <v>1329.03</v>
      </c>
      <c r="F53" s="144">
        <v>1580.79</v>
      </c>
      <c r="G53" s="667">
        <v>8.8324451960815065E-3</v>
      </c>
    </row>
    <row r="54" spans="1:7" ht="18" customHeight="1" thickBot="1">
      <c r="A54" s="312">
        <v>2002</v>
      </c>
      <c r="B54" s="144">
        <v>1877.87</v>
      </c>
      <c r="C54" s="297">
        <v>1730.62</v>
      </c>
      <c r="D54" s="144">
        <v>1097.75</v>
      </c>
      <c r="E54" s="297">
        <v>1513.19</v>
      </c>
      <c r="F54" s="144">
        <v>1782.56</v>
      </c>
      <c r="G54" s="667">
        <v>0.12763871228942492</v>
      </c>
    </row>
    <row r="55" spans="1:7" ht="18" customHeight="1" thickBot="1">
      <c r="A55" s="312">
        <v>2003</v>
      </c>
      <c r="B55" s="144">
        <v>2190.81</v>
      </c>
      <c r="C55" s="297">
        <v>1928.08</v>
      </c>
      <c r="D55" s="144" t="s">
        <v>59</v>
      </c>
      <c r="E55" s="297">
        <v>1700.21</v>
      </c>
      <c r="F55" s="144">
        <v>2027.01</v>
      </c>
      <c r="G55" s="667">
        <v>0.13713423391077995</v>
      </c>
    </row>
    <row r="56" spans="1:7" ht="18" customHeight="1" thickBot="1">
      <c r="A56" s="312">
        <v>2004</v>
      </c>
      <c r="B56" s="144">
        <v>2378.7399999999998</v>
      </c>
      <c r="C56" s="297">
        <v>2151.4699999999998</v>
      </c>
      <c r="D56" s="144" t="s">
        <v>59</v>
      </c>
      <c r="E56" s="297">
        <v>1884.42</v>
      </c>
      <c r="F56" s="144">
        <v>2229.4699999999998</v>
      </c>
      <c r="G56" s="667">
        <v>9.9881105667954273E-2</v>
      </c>
    </row>
    <row r="57" spans="1:7" ht="18" customHeight="1" thickBot="1">
      <c r="A57" s="312">
        <v>2005</v>
      </c>
      <c r="B57" s="144">
        <v>2507.23</v>
      </c>
      <c r="C57" s="297">
        <v>2168.7399999999998</v>
      </c>
      <c r="D57" s="144">
        <v>1851.68</v>
      </c>
      <c r="E57" s="297">
        <v>1944.77</v>
      </c>
      <c r="F57" s="144">
        <v>2295.98</v>
      </c>
      <c r="G57" s="667">
        <v>2.9832202272288999E-2</v>
      </c>
    </row>
    <row r="58" spans="1:7" ht="18" customHeight="1" thickBot="1">
      <c r="A58" s="312">
        <v>2006</v>
      </c>
      <c r="B58" s="144">
        <v>2691.66</v>
      </c>
      <c r="C58" s="297">
        <v>2245.9699999999998</v>
      </c>
      <c r="D58" s="144">
        <v>2055.88</v>
      </c>
      <c r="E58" s="297">
        <v>1999.33</v>
      </c>
      <c r="F58" s="144">
        <v>2397.42</v>
      </c>
      <c r="G58" s="667">
        <v>4.4181569525866937E-2</v>
      </c>
    </row>
    <row r="59" spans="1:7" ht="18" customHeight="1" thickBot="1">
      <c r="A59" s="947">
        <v>2007</v>
      </c>
      <c r="B59" s="333">
        <v>2749.34</v>
      </c>
      <c r="C59" s="362">
        <v>2222.66</v>
      </c>
      <c r="D59" s="333">
        <v>2080.37</v>
      </c>
      <c r="E59" s="362">
        <v>2056.11</v>
      </c>
      <c r="F59" s="333">
        <v>2410.9299999999998</v>
      </c>
      <c r="G59" s="936">
        <v>5.6352245330395512E-3</v>
      </c>
    </row>
    <row r="60" spans="1:7">
      <c r="D60" s="4"/>
      <c r="E60" s="4"/>
      <c r="F60" s="4"/>
      <c r="G60" s="676"/>
    </row>
    <row r="61" spans="1:7">
      <c r="D61" s="4"/>
      <c r="E61" s="4"/>
      <c r="F61" s="4"/>
      <c r="G61" s="676"/>
    </row>
    <row r="62" spans="1:7" ht="17.25" customHeight="1">
      <c r="A62" s="519" t="s">
        <v>1973</v>
      </c>
      <c r="B62" s="111" t="s">
        <v>832</v>
      </c>
      <c r="C62" s="112" t="s">
        <v>833</v>
      </c>
      <c r="D62" s="111" t="s">
        <v>834</v>
      </c>
      <c r="E62" s="112" t="s">
        <v>835</v>
      </c>
      <c r="F62" s="111" t="s">
        <v>629</v>
      </c>
      <c r="G62" s="660" t="s">
        <v>1801</v>
      </c>
    </row>
    <row r="63" spans="1:7" ht="17.25" customHeight="1">
      <c r="A63" s="620" t="s">
        <v>1974</v>
      </c>
      <c r="B63" s="114" t="s">
        <v>836</v>
      </c>
      <c r="C63" s="115" t="s">
        <v>837</v>
      </c>
      <c r="D63" s="114" t="s">
        <v>838</v>
      </c>
      <c r="E63" s="279" t="s">
        <v>839</v>
      </c>
      <c r="F63" s="114"/>
      <c r="G63" s="661" t="s">
        <v>1802</v>
      </c>
    </row>
    <row r="64" spans="1:7" ht="17.25" customHeight="1">
      <c r="A64" s="308"/>
      <c r="B64" s="114" t="s">
        <v>840</v>
      </c>
      <c r="C64" s="115" t="s">
        <v>841</v>
      </c>
      <c r="D64" s="114"/>
      <c r="E64" s="279" t="s">
        <v>842</v>
      </c>
      <c r="F64" s="114"/>
      <c r="G64" s="661" t="s">
        <v>1806</v>
      </c>
    </row>
    <row r="65" spans="1:7" ht="17.25" customHeight="1">
      <c r="A65" s="309" t="s">
        <v>533</v>
      </c>
      <c r="B65" s="120"/>
      <c r="C65" s="119"/>
      <c r="D65" s="120"/>
      <c r="E65" s="282" t="s">
        <v>843</v>
      </c>
      <c r="F65" s="120"/>
      <c r="G65" s="662"/>
    </row>
    <row r="66" spans="1:7" ht="18" customHeight="1" thickBot="1">
      <c r="A66" s="310">
        <v>1996</v>
      </c>
      <c r="B66" s="142" t="s">
        <v>59</v>
      </c>
      <c r="C66" s="291" t="s">
        <v>59</v>
      </c>
      <c r="D66" s="142" t="s">
        <v>59</v>
      </c>
      <c r="E66" s="291" t="s">
        <v>59</v>
      </c>
      <c r="F66" s="142" t="s">
        <v>59</v>
      </c>
      <c r="G66" s="680" t="s">
        <v>59</v>
      </c>
    </row>
    <row r="67" spans="1:7" ht="18" customHeight="1" thickBot="1">
      <c r="A67" s="312">
        <v>1997</v>
      </c>
      <c r="B67" s="142">
        <v>2126.5300000000002</v>
      </c>
      <c r="C67" s="291">
        <v>1958.46</v>
      </c>
      <c r="D67" s="142">
        <v>1504.55</v>
      </c>
      <c r="E67" s="291">
        <v>1682.8</v>
      </c>
      <c r="F67" s="142">
        <v>2024.73</v>
      </c>
      <c r="G67" s="667" t="s">
        <v>59</v>
      </c>
    </row>
    <row r="68" spans="1:7" ht="18" customHeight="1" thickBot="1">
      <c r="A68" s="312">
        <v>1998</v>
      </c>
      <c r="B68" s="144">
        <v>2235.63</v>
      </c>
      <c r="C68" s="297">
        <v>2101.02</v>
      </c>
      <c r="D68" s="144">
        <v>1540.56</v>
      </c>
      <c r="E68" s="297">
        <v>1785.82</v>
      </c>
      <c r="F68" s="144">
        <v>2142.38</v>
      </c>
      <c r="G68" s="667">
        <v>5.8106512967161184E-2</v>
      </c>
    </row>
    <row r="69" spans="1:7" ht="18" customHeight="1" thickBot="1">
      <c r="A69" s="312">
        <v>1999</v>
      </c>
      <c r="B69" s="144">
        <v>2291.9499999999998</v>
      </c>
      <c r="C69" s="297">
        <v>2146.02</v>
      </c>
      <c r="D69" s="144">
        <v>1573.36</v>
      </c>
      <c r="E69" s="297">
        <v>1836.75</v>
      </c>
      <c r="F69" s="144">
        <v>2190.21</v>
      </c>
      <c r="G69" s="667">
        <v>2.2325637842026014E-2</v>
      </c>
    </row>
    <row r="70" spans="1:7" ht="18" customHeight="1" thickBot="1">
      <c r="A70" s="312">
        <v>2000</v>
      </c>
      <c r="B70" s="144">
        <v>2391.3000000000002</v>
      </c>
      <c r="C70" s="297">
        <v>2189.4499999999998</v>
      </c>
      <c r="D70" s="144">
        <v>1603.82</v>
      </c>
      <c r="E70" s="297">
        <v>1892.01</v>
      </c>
      <c r="F70" s="144">
        <v>2256.67</v>
      </c>
      <c r="G70" s="667">
        <v>3.0344122253117334E-2</v>
      </c>
    </row>
    <row r="71" spans="1:7" ht="18" customHeight="1" thickBot="1">
      <c r="A71" s="312">
        <v>2001</v>
      </c>
      <c r="B71" s="144">
        <v>2526.09</v>
      </c>
      <c r="C71" s="297">
        <v>2257.6</v>
      </c>
      <c r="D71" s="144">
        <v>1672.86</v>
      </c>
      <c r="E71" s="297">
        <v>1970.97</v>
      </c>
      <c r="F71" s="144">
        <v>2352.56</v>
      </c>
      <c r="G71" s="667">
        <v>4.2491813158326064E-2</v>
      </c>
    </row>
    <row r="72" spans="1:7" ht="18" customHeight="1" thickBot="1">
      <c r="A72" s="312">
        <v>2002</v>
      </c>
      <c r="B72" s="144">
        <v>2766.22</v>
      </c>
      <c r="C72" s="297">
        <v>2437.5300000000002</v>
      </c>
      <c r="D72" s="144">
        <v>1880.68</v>
      </c>
      <c r="E72" s="297">
        <v>2141.06</v>
      </c>
      <c r="F72" s="144">
        <v>2553.98</v>
      </c>
      <c r="G72" s="667">
        <v>8.5617370013942207E-2</v>
      </c>
    </row>
    <row r="73" spans="1:7" ht="18" customHeight="1" thickBot="1">
      <c r="A73" s="312">
        <v>2003</v>
      </c>
      <c r="B73" s="144">
        <v>3047.08</v>
      </c>
      <c r="C73" s="297">
        <v>2613.56</v>
      </c>
      <c r="D73" s="144">
        <v>2034.73</v>
      </c>
      <c r="E73" s="297">
        <v>2312.13</v>
      </c>
      <c r="F73" s="144">
        <v>2767.57</v>
      </c>
      <c r="G73" s="667">
        <v>8.3630255522752828E-2</v>
      </c>
    </row>
    <row r="74" spans="1:7" ht="18" customHeight="1" thickBot="1">
      <c r="A74" s="312">
        <v>2004</v>
      </c>
      <c r="B74" s="144">
        <v>3173.07</v>
      </c>
      <c r="C74" s="297">
        <v>2831.45</v>
      </c>
      <c r="D74" s="144">
        <v>2136.08</v>
      </c>
      <c r="E74" s="297">
        <v>2495.14</v>
      </c>
      <c r="F74" s="144">
        <v>2944.97</v>
      </c>
      <c r="G74" s="667">
        <v>6.4099553037502144E-2</v>
      </c>
    </row>
    <row r="75" spans="1:7" ht="18" customHeight="1" thickBot="1">
      <c r="A75" s="312">
        <v>2005</v>
      </c>
      <c r="B75" s="144">
        <v>3301.13</v>
      </c>
      <c r="C75" s="297">
        <v>2823.32</v>
      </c>
      <c r="D75" s="144">
        <v>2250.2800000000002</v>
      </c>
      <c r="E75" s="297">
        <v>2555.81</v>
      </c>
      <c r="F75" s="144">
        <v>3001.01</v>
      </c>
      <c r="G75" s="667">
        <v>1.9029056323154547E-2</v>
      </c>
    </row>
    <row r="76" spans="1:7" ht="18" customHeight="1" thickBot="1">
      <c r="A76" s="312">
        <v>2006</v>
      </c>
      <c r="B76" s="144">
        <v>3486.08</v>
      </c>
      <c r="C76" s="297">
        <v>2931.77</v>
      </c>
      <c r="D76" s="144">
        <v>2407.8200000000002</v>
      </c>
      <c r="E76" s="297">
        <v>2641.79</v>
      </c>
      <c r="F76" s="144">
        <v>3120.11</v>
      </c>
      <c r="G76" s="667">
        <v>3.9686638831593291E-2</v>
      </c>
    </row>
    <row r="77" spans="1:7" ht="18" customHeight="1" thickBot="1">
      <c r="A77" s="947">
        <v>2007</v>
      </c>
      <c r="B77" s="333">
        <v>3545.25</v>
      </c>
      <c r="C77" s="362">
        <v>2957.11</v>
      </c>
      <c r="D77" s="333">
        <v>2497.71</v>
      </c>
      <c r="E77" s="362">
        <v>2693.38</v>
      </c>
      <c r="F77" s="333">
        <v>3148.34</v>
      </c>
      <c r="G77" s="936">
        <v>9.0477579316114998E-3</v>
      </c>
    </row>
    <row r="78" spans="1:7" ht="15" customHeight="1">
      <c r="A78" s="380" t="s">
        <v>1069</v>
      </c>
    </row>
    <row r="80" spans="1:7">
      <c r="A80" s="3" t="s">
        <v>1975</v>
      </c>
    </row>
    <row r="82" spans="1:7" ht="12" customHeight="1">
      <c r="A82" s="2" t="s">
        <v>2478</v>
      </c>
      <c r="B82" s="148"/>
      <c r="F82" s="148"/>
      <c r="G82" s="290"/>
    </row>
    <row r="85" spans="1:7">
      <c r="A85" s="2" t="s">
        <v>634</v>
      </c>
    </row>
  </sheetData>
  <mergeCells count="1">
    <mergeCell ref="A2:E2"/>
  </mergeCells>
  <phoneticPr fontId="0" type="noConversion"/>
  <pageMargins left="0.47244094488188981" right="0.43307086614173229" top="0.43" bottom="0.37" header="0.31" footer="0.28000000000000003"/>
  <pageSetup paperSize="9" scale="53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C6E6-F791-3C49-A984-4148F6577052}">
  <sheetPr>
    <pageSetUpPr fitToPage="1"/>
  </sheetPr>
  <dimension ref="A1:B16"/>
  <sheetViews>
    <sheetView workbookViewId="0">
      <selection activeCell="D19" sqref="D19"/>
    </sheetView>
  </sheetViews>
  <sheetFormatPr baseColWidth="10" defaultColWidth="11.3984375" defaultRowHeight="13"/>
  <cols>
    <col min="1" max="1" width="5.59765625" style="188" customWidth="1"/>
    <col min="2" max="16384" width="11.3984375" style="188"/>
  </cols>
  <sheetData>
    <row r="1" spans="1:2" ht="16">
      <c r="A1" s="187" t="s">
        <v>1770</v>
      </c>
    </row>
    <row r="2" spans="1:2" ht="16">
      <c r="A2" s="187"/>
    </row>
    <row r="3" spans="1:2">
      <c r="A3" s="188">
        <v>4.01</v>
      </c>
      <c r="B3" s="189" t="s">
        <v>1722</v>
      </c>
    </row>
    <row r="4" spans="1:2">
      <c r="A4" s="188">
        <v>4.0199999999999996</v>
      </c>
      <c r="B4" s="189" t="s">
        <v>1771</v>
      </c>
    </row>
    <row r="5" spans="1:2">
      <c r="A5" s="188">
        <v>4.03</v>
      </c>
      <c r="B5" s="189" t="s">
        <v>1772</v>
      </c>
    </row>
    <row r="6" spans="1:2">
      <c r="A6" s="188">
        <v>4.04</v>
      </c>
      <c r="B6" s="189" t="s">
        <v>1773</v>
      </c>
    </row>
    <row r="7" spans="1:2">
      <c r="A7" s="188">
        <v>4.05</v>
      </c>
      <c r="B7" s="189" t="s">
        <v>1774</v>
      </c>
    </row>
    <row r="8" spans="1:2">
      <c r="A8" s="188">
        <v>4.0599999999999996</v>
      </c>
      <c r="B8" s="189" t="s">
        <v>1775</v>
      </c>
    </row>
    <row r="9" spans="1:2">
      <c r="A9" s="188">
        <v>4.07</v>
      </c>
      <c r="B9" s="189" t="s">
        <v>1723</v>
      </c>
    </row>
    <row r="10" spans="1:2">
      <c r="A10" s="188">
        <v>4.08</v>
      </c>
      <c r="B10" s="189" t="s">
        <v>1776</v>
      </c>
    </row>
    <row r="11" spans="1:2">
      <c r="A11" s="188">
        <v>4.09</v>
      </c>
      <c r="B11" s="189" t="s">
        <v>1777</v>
      </c>
    </row>
    <row r="12" spans="1:2">
      <c r="A12" s="190">
        <v>4.0999999999999996</v>
      </c>
      <c r="B12" s="189" t="s">
        <v>1778</v>
      </c>
    </row>
    <row r="13" spans="1:2">
      <c r="A13" s="188">
        <v>4.1100000000000003</v>
      </c>
      <c r="B13" s="191" t="s">
        <v>1779</v>
      </c>
    </row>
    <row r="16" spans="1:2">
      <c r="A16" s="192" t="s">
        <v>634</v>
      </c>
    </row>
  </sheetData>
  <phoneticPr fontId="30" type="noConversion"/>
  <pageMargins left="0.46" right="0.35" top="0.78" bottom="0.984251969" header="0.38" footer="0.4921259845"/>
  <pageSetup paperSize="9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F4CE-1A6C-6246-B910-00EC906A5280}">
  <sheetPr>
    <pageSetUpPr fitToPage="1"/>
  </sheetPr>
  <dimension ref="A1:H39"/>
  <sheetViews>
    <sheetView zoomScale="75" workbookViewId="0">
      <selection activeCell="A3" sqref="A3"/>
    </sheetView>
  </sheetViews>
  <sheetFormatPr baseColWidth="10" defaultColWidth="11.3984375" defaultRowHeight="13"/>
  <cols>
    <col min="1" max="1" width="16.796875" style="2" customWidth="1"/>
    <col min="2" max="2" width="12.796875" style="2" customWidth="1"/>
    <col min="3" max="3" width="11.3984375" style="2"/>
    <col min="4" max="4" width="11.796875" style="2" customWidth="1"/>
    <col min="5" max="5" width="12.796875" style="2" customWidth="1"/>
    <col min="6" max="6" width="11.3984375" style="2"/>
    <col min="7" max="7" width="12.796875" style="2" customWidth="1"/>
    <col min="8" max="8" width="13.19921875" style="2" customWidth="1"/>
    <col min="9" max="16384" width="11.3984375" style="2"/>
  </cols>
  <sheetData>
    <row r="1" spans="1:8" s="1" customFormat="1" ht="14" customHeight="1"/>
    <row r="2" spans="1:8" s="1" customFormat="1" ht="37.5" customHeight="1">
      <c r="A2" s="1800" t="s">
        <v>603</v>
      </c>
      <c r="B2" s="1804"/>
      <c r="C2" s="1804"/>
      <c r="D2" s="1804"/>
      <c r="E2" s="1804"/>
      <c r="F2" s="1804"/>
      <c r="G2" s="1804"/>
      <c r="H2" s="321">
        <v>2007</v>
      </c>
    </row>
    <row r="3" spans="1:8" ht="24" customHeight="1">
      <c r="A3" s="110" t="s">
        <v>911</v>
      </c>
      <c r="B3" s="111" t="s">
        <v>999</v>
      </c>
      <c r="C3" s="112" t="s">
        <v>1801</v>
      </c>
      <c r="D3" s="111" t="s">
        <v>604</v>
      </c>
      <c r="E3" s="112" t="s">
        <v>605</v>
      </c>
      <c r="F3" s="111" t="s">
        <v>1801</v>
      </c>
      <c r="G3" s="112" t="s">
        <v>606</v>
      </c>
      <c r="H3" s="111" t="s">
        <v>606</v>
      </c>
    </row>
    <row r="4" spans="1:8" ht="15" customHeight="1">
      <c r="A4" s="308"/>
      <c r="B4" s="114" t="s">
        <v>604</v>
      </c>
      <c r="C4" s="115" t="s">
        <v>1802</v>
      </c>
      <c r="D4" s="114" t="s">
        <v>607</v>
      </c>
      <c r="E4" s="115" t="s">
        <v>608</v>
      </c>
      <c r="F4" s="114" t="s">
        <v>1802</v>
      </c>
      <c r="G4" s="115" t="s">
        <v>1269</v>
      </c>
      <c r="H4" s="114" t="s">
        <v>1270</v>
      </c>
    </row>
    <row r="5" spans="1:8" ht="15" customHeight="1">
      <c r="A5" s="308"/>
      <c r="B5" s="114" t="s">
        <v>609</v>
      </c>
      <c r="C5" s="115" t="s">
        <v>1806</v>
      </c>
      <c r="D5" s="114" t="s">
        <v>1900</v>
      </c>
      <c r="E5" s="115" t="s">
        <v>456</v>
      </c>
      <c r="F5" s="114" t="s">
        <v>1806</v>
      </c>
      <c r="G5" s="928" t="s">
        <v>494</v>
      </c>
      <c r="H5" s="391" t="s">
        <v>494</v>
      </c>
    </row>
    <row r="6" spans="1:8" ht="15" customHeight="1">
      <c r="A6" s="309"/>
      <c r="B6" s="120"/>
      <c r="C6" s="119"/>
      <c r="D6" s="120"/>
      <c r="E6" s="115"/>
      <c r="F6" s="120"/>
      <c r="G6" s="119"/>
      <c r="H6" s="120"/>
    </row>
    <row r="7" spans="1:8" ht="2.25" customHeight="1" thickBot="1">
      <c r="A7" s="356">
        <v>1996</v>
      </c>
      <c r="B7" s="326">
        <v>1656431</v>
      </c>
      <c r="C7" s="555" t="s">
        <v>407</v>
      </c>
      <c r="D7" s="358">
        <v>0.23300000000000001</v>
      </c>
      <c r="E7" s="327">
        <v>821972</v>
      </c>
      <c r="F7" s="358" t="s">
        <v>407</v>
      </c>
      <c r="G7" s="327">
        <v>1508.6632014229194</v>
      </c>
      <c r="H7" s="326">
        <v>901.63486133741753</v>
      </c>
    </row>
    <row r="8" spans="1:8" ht="22.5" customHeight="1" thickBot="1">
      <c r="A8" s="356">
        <v>1997</v>
      </c>
      <c r="B8" s="144">
        <v>1955994</v>
      </c>
      <c r="C8" s="145">
        <v>0.1808484627491275</v>
      </c>
      <c r="D8" s="416">
        <v>0.27500000000000002</v>
      </c>
      <c r="E8" s="297">
        <v>988940</v>
      </c>
      <c r="F8" s="416">
        <v>0.203131006895612</v>
      </c>
      <c r="G8" s="297">
        <v>2016.5343367646167</v>
      </c>
      <c r="H8" s="144">
        <v>1019.5488672255641</v>
      </c>
    </row>
    <row r="9" spans="1:8" ht="22.5" customHeight="1" thickBot="1">
      <c r="A9" s="356">
        <v>1998</v>
      </c>
      <c r="B9" s="144">
        <v>2240522</v>
      </c>
      <c r="C9" s="145">
        <v>0.14546465888954668</v>
      </c>
      <c r="D9" s="416">
        <v>0.314</v>
      </c>
      <c r="E9" s="297">
        <v>1178551</v>
      </c>
      <c r="F9" s="416">
        <v>0.19173155095354621</v>
      </c>
      <c r="G9" s="297">
        <v>2075.8295126812504</v>
      </c>
      <c r="H9" s="144">
        <v>1091.9200739827595</v>
      </c>
    </row>
    <row r="10" spans="1:8" ht="22.5" customHeight="1" thickBot="1">
      <c r="A10" s="356">
        <v>1999</v>
      </c>
      <c r="B10" s="144">
        <v>2334267</v>
      </c>
      <c r="C10" s="145">
        <v>4.1840696052080718E-2</v>
      </c>
      <c r="D10" s="416">
        <v>0.32570843248350928</v>
      </c>
      <c r="E10" s="297">
        <v>1230090</v>
      </c>
      <c r="F10" s="416">
        <v>4.3730818606916459E-2</v>
      </c>
      <c r="G10" s="297">
        <v>2186.5653545675523</v>
      </c>
      <c r="H10" s="144">
        <v>1152.2555804455958</v>
      </c>
    </row>
    <row r="11" spans="1:8" ht="22.5" customHeight="1" thickBot="1">
      <c r="A11" s="356">
        <v>2000</v>
      </c>
      <c r="B11" s="144">
        <v>2337717</v>
      </c>
      <c r="C11" s="145">
        <v>1.4779800254212565E-3</v>
      </c>
      <c r="D11" s="416">
        <v>0.32427568045795824</v>
      </c>
      <c r="E11" s="297">
        <v>1242695</v>
      </c>
      <c r="F11" s="416">
        <v>1.0247217683258949E-2</v>
      </c>
      <c r="G11" s="297">
        <v>2048</v>
      </c>
      <c r="H11" s="144">
        <v>1088.8085894058177</v>
      </c>
    </row>
    <row r="12" spans="1:8" s="419" customFormat="1" ht="22.5" customHeight="1" thickBot="1">
      <c r="A12" s="985">
        <v>2001</v>
      </c>
      <c r="B12" s="509">
        <v>2376421</v>
      </c>
      <c r="C12" s="986">
        <v>1.6556323969068969E-2</v>
      </c>
      <c r="D12" s="571">
        <v>0.32731543251630535</v>
      </c>
      <c r="E12" s="510">
        <v>1268943</v>
      </c>
      <c r="F12" s="571">
        <v>2.1121836009640339E-2</v>
      </c>
      <c r="G12" s="510">
        <v>2094.0647990098846</v>
      </c>
      <c r="H12" s="509">
        <v>1118.1520446082575</v>
      </c>
    </row>
    <row r="13" spans="1:8" s="419" customFormat="1" ht="22.5" customHeight="1" thickBot="1">
      <c r="A13" s="985">
        <v>2002</v>
      </c>
      <c r="B13" s="509">
        <v>2433822</v>
      </c>
      <c r="C13" s="986">
        <v>2.415439015224996E-2</v>
      </c>
      <c r="D13" s="571">
        <v>0.33123274136234532</v>
      </c>
      <c r="E13" s="510">
        <v>1289405</v>
      </c>
      <c r="F13" s="571">
        <v>1.6125231787401009E-2</v>
      </c>
      <c r="G13" s="510">
        <v>2242.922441746387</v>
      </c>
      <c r="H13" s="509">
        <v>1188.2690726766377</v>
      </c>
    </row>
    <row r="14" spans="1:8" s="419" customFormat="1" ht="22.5" customHeight="1" thickBot="1">
      <c r="A14" s="985">
        <v>2003</v>
      </c>
      <c r="B14" s="509">
        <v>2427518.2400000002</v>
      </c>
      <c r="C14" s="986">
        <v>-2.5900661593164071E-3</v>
      </c>
      <c r="D14" s="571">
        <v>0.32781924661963846</v>
      </c>
      <c r="E14" s="510">
        <v>1287365.05</v>
      </c>
      <c r="F14" s="571">
        <v>-1.5820863111279649E-3</v>
      </c>
      <c r="G14" s="510">
        <v>2381.2207531966164</v>
      </c>
      <c r="H14" s="509">
        <v>1262.8124985787954</v>
      </c>
    </row>
    <row r="15" spans="1:8" s="419" customFormat="1" ht="22.5" customHeight="1" thickBot="1">
      <c r="A15" s="985">
        <v>2004</v>
      </c>
      <c r="B15" s="509">
        <v>2361377</v>
      </c>
      <c r="C15" s="986">
        <v>-2.7246444088510832E-2</v>
      </c>
      <c r="D15" s="571">
        <v>0.31678850545846371</v>
      </c>
      <c r="E15" s="510">
        <v>1245875</v>
      </c>
      <c r="F15" s="571">
        <v>-3.2228659617565387E-2</v>
      </c>
      <c r="G15" s="510">
        <v>2544.2606213303907</v>
      </c>
      <c r="H15" s="509">
        <v>1342.3653663095729</v>
      </c>
    </row>
    <row r="16" spans="1:8" s="419" customFormat="1" ht="22.5" customHeight="1" thickBot="1">
      <c r="A16" s="985">
        <v>2005</v>
      </c>
      <c r="B16" s="509">
        <v>2262160</v>
      </c>
      <c r="C16" s="986">
        <v>-4.2016586085152907E-2</v>
      </c>
      <c r="D16" s="571">
        <v>0.30157087047434061</v>
      </c>
      <c r="E16" s="510">
        <v>1215989</v>
      </c>
      <c r="F16" s="571">
        <v>-2.3987960268887276E-2</v>
      </c>
      <c r="G16" s="510">
        <v>2633.0518524427443</v>
      </c>
      <c r="H16" s="509">
        <v>1415.3561591576192</v>
      </c>
    </row>
    <row r="17" spans="1:8" s="419" customFormat="1" ht="22.5" customHeight="1" thickBot="1">
      <c r="A17" s="985">
        <v>2006</v>
      </c>
      <c r="B17" s="509">
        <v>2178397</v>
      </c>
      <c r="C17" s="986">
        <v>-3.7027884853414461E-2</v>
      </c>
      <c r="D17" s="571">
        <v>0.28823891259788642</v>
      </c>
      <c r="E17" s="510">
        <v>1182675</v>
      </c>
      <c r="F17" s="571">
        <v>-2.7396629410298967E-2</v>
      </c>
      <c r="G17" s="510">
        <v>2797.6739949690323</v>
      </c>
      <c r="H17" s="509">
        <v>1518.8870954192464</v>
      </c>
    </row>
    <row r="18" spans="1:8" ht="27.75" customHeight="1" thickBot="1">
      <c r="A18" s="396">
        <v>2007</v>
      </c>
      <c r="B18" s="338">
        <v>2271950</v>
      </c>
      <c r="C18" s="987">
        <v>4.2945799135786444E-2</v>
      </c>
      <c r="D18" s="587">
        <v>0.29821099653623978</v>
      </c>
      <c r="E18" s="339">
        <v>1225436</v>
      </c>
      <c r="F18" s="988">
        <v>3.6156171391126035E-2</v>
      </c>
      <c r="G18" s="339">
        <v>2791.2678099876289</v>
      </c>
      <c r="H18" s="292">
        <v>1505.5437223530448</v>
      </c>
    </row>
    <row r="19" spans="1:8" ht="16.5" customHeight="1">
      <c r="A19" s="334" t="s">
        <v>581</v>
      </c>
      <c r="B19" s="133"/>
      <c r="C19" s="133"/>
      <c r="D19" s="133"/>
      <c r="E19" s="133"/>
      <c r="F19" s="133"/>
      <c r="G19" s="133"/>
      <c r="H19" s="133"/>
    </row>
    <row r="20" spans="1:8" ht="10.5" customHeight="1">
      <c r="A20" s="336"/>
      <c r="B20" s="3"/>
      <c r="C20" s="3"/>
      <c r="D20" s="3"/>
      <c r="E20" s="3"/>
      <c r="F20" s="3"/>
      <c r="G20" s="3"/>
      <c r="H20" s="3"/>
    </row>
    <row r="21" spans="1:8" ht="16.5" customHeight="1">
      <c r="A21" s="336" t="s">
        <v>610</v>
      </c>
      <c r="B21" s="3"/>
      <c r="C21" s="3"/>
      <c r="D21" s="3"/>
      <c r="E21" s="3"/>
      <c r="F21" s="3"/>
      <c r="G21" s="3"/>
      <c r="H21" s="3"/>
    </row>
    <row r="22" spans="1:8" ht="12.75" customHeight="1">
      <c r="A22" s="336"/>
      <c r="B22" s="3"/>
      <c r="C22" s="3"/>
      <c r="D22" s="3"/>
      <c r="E22" s="3"/>
      <c r="F22" s="3"/>
      <c r="G22" s="3"/>
      <c r="H22" s="3"/>
    </row>
    <row r="23" spans="1:8">
      <c r="A23" s="3" t="s">
        <v>611</v>
      </c>
      <c r="B23" s="3"/>
      <c r="C23" s="3"/>
      <c r="D23" s="3"/>
      <c r="E23" s="3"/>
      <c r="F23" s="3"/>
      <c r="G23" s="3"/>
      <c r="H23" s="3"/>
    </row>
    <row r="24" spans="1:8" ht="15" customHeight="1">
      <c r="A24" s="352" t="s">
        <v>612</v>
      </c>
    </row>
    <row r="25" spans="1:8" ht="15" customHeight="1"/>
    <row r="26" spans="1:8" ht="15" customHeight="1">
      <c r="A26" s="989"/>
    </row>
    <row r="27" spans="1:8" ht="15" customHeight="1">
      <c r="A27" s="289" t="s">
        <v>634</v>
      </c>
    </row>
    <row r="28" spans="1:8" ht="30" customHeight="1"/>
    <row r="29" spans="1:8" ht="30" customHeight="1"/>
    <row r="30" spans="1:8" ht="30" customHeight="1"/>
    <row r="31" spans="1:8" ht="30" customHeight="1"/>
    <row r="32" spans="1:8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</sheetData>
  <mergeCells count="1">
    <mergeCell ref="A2:G2"/>
  </mergeCells>
  <phoneticPr fontId="0" type="noConversion"/>
  <pageMargins left="0.57999999999999996" right="0.66" top="0.83" bottom="0.76" header="0.47" footer="0.47"/>
  <pageSetup paperSize="9" scale="88" orientation="portrait" horizontalDpi="4294967292" verticalDpi="4294967292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504B-E810-CC4D-8457-2D70556F06CF}">
  <sheetPr>
    <pageSetUpPr fitToPage="1"/>
  </sheetPr>
  <dimension ref="A1:H42"/>
  <sheetViews>
    <sheetView zoomScale="75" workbookViewId="0">
      <selection activeCell="A36" sqref="A36"/>
    </sheetView>
  </sheetViews>
  <sheetFormatPr baseColWidth="10" defaultColWidth="11.3984375" defaultRowHeight="13"/>
  <cols>
    <col min="1" max="3" width="13.19921875" style="2" customWidth="1"/>
    <col min="4" max="4" width="13.796875" style="2" customWidth="1"/>
    <col min="5" max="5" width="13.19921875" style="2" customWidth="1"/>
    <col min="6" max="7" width="14" style="156" customWidth="1"/>
    <col min="8" max="8" width="15" style="2" customWidth="1"/>
    <col min="9" max="16384" width="11.3984375" style="2"/>
  </cols>
  <sheetData>
    <row r="1" spans="1:8" s="1" customFormat="1" ht="14" customHeight="1">
      <c r="F1" s="136"/>
      <c r="G1" s="136"/>
    </row>
    <row r="2" spans="1:8" s="1" customFormat="1" ht="28" customHeight="1">
      <c r="A2" s="109" t="s">
        <v>410</v>
      </c>
      <c r="F2" s="136"/>
      <c r="G2" s="321"/>
      <c r="H2" s="321">
        <v>2007</v>
      </c>
    </row>
    <row r="3" spans="1:8" ht="24" customHeight="1">
      <c r="A3" s="110" t="s">
        <v>1797</v>
      </c>
      <c r="B3" s="1809" t="s">
        <v>425</v>
      </c>
      <c r="C3" s="1810"/>
      <c r="D3" s="1810"/>
      <c r="E3" s="110"/>
      <c r="F3" s="111"/>
      <c r="G3" s="322"/>
      <c r="H3" s="111" t="s">
        <v>411</v>
      </c>
    </row>
    <row r="4" spans="1:8" ht="15" customHeight="1">
      <c r="A4" s="308"/>
      <c r="B4" s="114" t="s">
        <v>412</v>
      </c>
      <c r="C4" s="279" t="s">
        <v>413</v>
      </c>
      <c r="D4" s="140" t="s">
        <v>629</v>
      </c>
      <c r="E4" s="279" t="s">
        <v>1801</v>
      </c>
      <c r="F4" s="140" t="s">
        <v>411</v>
      </c>
      <c r="G4" s="279" t="s">
        <v>411</v>
      </c>
      <c r="H4" s="323" t="s">
        <v>414</v>
      </c>
    </row>
    <row r="5" spans="1:8" ht="15" customHeight="1">
      <c r="A5" s="308"/>
      <c r="B5" s="114" t="s">
        <v>415</v>
      </c>
      <c r="C5" s="115" t="s">
        <v>415</v>
      </c>
      <c r="D5" s="114" t="s">
        <v>415</v>
      </c>
      <c r="E5" s="115" t="s">
        <v>1802</v>
      </c>
      <c r="F5" s="140" t="s">
        <v>416</v>
      </c>
      <c r="G5" s="279" t="s">
        <v>417</v>
      </c>
      <c r="H5" s="140" t="s">
        <v>418</v>
      </c>
    </row>
    <row r="6" spans="1:8" ht="15" customHeight="1">
      <c r="A6" s="308"/>
      <c r="B6" s="114"/>
      <c r="C6" s="115"/>
      <c r="D6" s="114"/>
      <c r="E6" s="115" t="s">
        <v>1806</v>
      </c>
      <c r="F6" s="140" t="s">
        <v>419</v>
      </c>
      <c r="G6" s="279" t="s">
        <v>420</v>
      </c>
      <c r="H6" s="140" t="s">
        <v>421</v>
      </c>
    </row>
    <row r="7" spans="1:8" ht="16" customHeight="1">
      <c r="A7" s="309"/>
      <c r="B7" s="120"/>
      <c r="C7" s="119"/>
      <c r="D7" s="120"/>
      <c r="E7" s="119"/>
      <c r="F7" s="140" t="s">
        <v>420</v>
      </c>
      <c r="G7" s="282"/>
      <c r="H7" s="323" t="s">
        <v>422</v>
      </c>
    </row>
    <row r="8" spans="1:8" ht="30" customHeight="1" thickBot="1">
      <c r="A8" s="324" t="s">
        <v>1807</v>
      </c>
      <c r="B8" s="123">
        <v>176113</v>
      </c>
      <c r="C8" s="124">
        <v>209844</v>
      </c>
      <c r="D8" s="123">
        <v>385957</v>
      </c>
      <c r="E8" s="325">
        <v>-1.7521128194684859E-2</v>
      </c>
      <c r="F8" s="326">
        <v>46571</v>
      </c>
      <c r="G8" s="327">
        <v>45969</v>
      </c>
      <c r="H8" s="326">
        <v>92540</v>
      </c>
    </row>
    <row r="9" spans="1:8" ht="20" customHeight="1" thickBot="1">
      <c r="A9" s="328" t="s">
        <v>1808</v>
      </c>
      <c r="B9" s="123">
        <v>147393</v>
      </c>
      <c r="C9" s="124">
        <v>175377</v>
      </c>
      <c r="D9" s="123">
        <v>322770</v>
      </c>
      <c r="E9" s="325">
        <v>0.18413811826339616</v>
      </c>
      <c r="F9" s="326">
        <v>41983</v>
      </c>
      <c r="G9" s="327">
        <v>35970</v>
      </c>
      <c r="H9" s="326">
        <v>35970</v>
      </c>
    </row>
    <row r="10" spans="1:8" ht="20" customHeight="1" thickBot="1">
      <c r="A10" s="328" t="s">
        <v>1809</v>
      </c>
      <c r="B10" s="123">
        <v>71914</v>
      </c>
      <c r="C10" s="124">
        <v>77067</v>
      </c>
      <c r="D10" s="123">
        <v>148981</v>
      </c>
      <c r="E10" s="325">
        <v>0.1747344682662966</v>
      </c>
      <c r="F10" s="326">
        <v>16755</v>
      </c>
      <c r="G10" s="327">
        <v>8465</v>
      </c>
      <c r="H10" s="326">
        <v>25220</v>
      </c>
    </row>
    <row r="11" spans="1:8" ht="20" customHeight="1" thickBot="1">
      <c r="A11" s="328" t="s">
        <v>1810</v>
      </c>
      <c r="B11" s="123">
        <v>7517</v>
      </c>
      <c r="C11" s="124">
        <v>7846</v>
      </c>
      <c r="D11" s="123">
        <v>15363</v>
      </c>
      <c r="E11" s="325">
        <v>3.6779592387636659E-2</v>
      </c>
      <c r="F11" s="326">
        <v>1050</v>
      </c>
      <c r="G11" s="327">
        <v>342</v>
      </c>
      <c r="H11" s="326" t="s">
        <v>59</v>
      </c>
    </row>
    <row r="12" spans="1:8" ht="20" customHeight="1" thickBot="1">
      <c r="A12" s="328" t="s">
        <v>1811</v>
      </c>
      <c r="B12" s="123">
        <v>15765</v>
      </c>
      <c r="C12" s="124">
        <v>17300</v>
      </c>
      <c r="D12" s="123">
        <v>33065</v>
      </c>
      <c r="E12" s="325">
        <v>-2.0209203781076837E-2</v>
      </c>
      <c r="F12" s="326">
        <v>3574</v>
      </c>
      <c r="G12" s="327">
        <v>1829</v>
      </c>
      <c r="H12" s="326">
        <v>5403</v>
      </c>
    </row>
    <row r="13" spans="1:8" ht="20" customHeight="1" thickBot="1">
      <c r="A13" s="328" t="s">
        <v>1812</v>
      </c>
      <c r="B13" s="123">
        <v>9349</v>
      </c>
      <c r="C13" s="124">
        <v>9924</v>
      </c>
      <c r="D13" s="123">
        <v>19273</v>
      </c>
      <c r="E13" s="325">
        <v>2.9320657979064302E-2</v>
      </c>
      <c r="F13" s="326">
        <v>1006</v>
      </c>
      <c r="G13" s="327">
        <v>361</v>
      </c>
      <c r="H13" s="326">
        <v>1326</v>
      </c>
    </row>
    <row r="14" spans="1:8" ht="20" customHeight="1" thickBot="1">
      <c r="A14" s="328" t="s">
        <v>1813</v>
      </c>
      <c r="B14" s="123">
        <v>8915</v>
      </c>
      <c r="C14" s="124">
        <v>9368</v>
      </c>
      <c r="D14" s="123">
        <v>18283</v>
      </c>
      <c r="E14" s="325">
        <v>0.40876868546771461</v>
      </c>
      <c r="F14" s="326">
        <v>711</v>
      </c>
      <c r="G14" s="327">
        <v>470</v>
      </c>
      <c r="H14" s="326" t="s">
        <v>59</v>
      </c>
    </row>
    <row r="15" spans="1:8" ht="20" customHeight="1" thickBot="1">
      <c r="A15" s="328" t="s">
        <v>1814</v>
      </c>
      <c r="B15" s="123">
        <v>3865</v>
      </c>
      <c r="C15" s="124">
        <v>4196</v>
      </c>
      <c r="D15" s="123">
        <v>8061</v>
      </c>
      <c r="E15" s="325">
        <v>-6.4632165235553499E-2</v>
      </c>
      <c r="F15" s="326">
        <v>992</v>
      </c>
      <c r="G15" s="327">
        <v>1177</v>
      </c>
      <c r="H15" s="326">
        <v>2169</v>
      </c>
    </row>
    <row r="16" spans="1:8" ht="20" customHeight="1" thickBot="1">
      <c r="A16" s="328" t="s">
        <v>1815</v>
      </c>
      <c r="B16" s="123">
        <v>15438</v>
      </c>
      <c r="C16" s="124">
        <v>17182</v>
      </c>
      <c r="D16" s="123">
        <v>32620</v>
      </c>
      <c r="E16" s="325">
        <v>-6.0267342705692555E-2</v>
      </c>
      <c r="F16" s="326">
        <v>2048</v>
      </c>
      <c r="G16" s="327">
        <v>1925</v>
      </c>
      <c r="H16" s="326" t="s">
        <v>59</v>
      </c>
    </row>
    <row r="17" spans="1:8" ht="20" customHeight="1" thickBot="1">
      <c r="A17" s="328" t="s">
        <v>1816</v>
      </c>
      <c r="B17" s="123">
        <v>36366</v>
      </c>
      <c r="C17" s="124">
        <v>43936</v>
      </c>
      <c r="D17" s="123">
        <v>80302</v>
      </c>
      <c r="E17" s="325">
        <v>-9.2991472299090758E-2</v>
      </c>
      <c r="F17" s="326">
        <v>9976</v>
      </c>
      <c r="G17" s="327">
        <v>6742</v>
      </c>
      <c r="H17" s="326">
        <v>16718</v>
      </c>
    </row>
    <row r="18" spans="1:8" ht="20" customHeight="1" thickBot="1">
      <c r="A18" s="328" t="s">
        <v>1817</v>
      </c>
      <c r="B18" s="123">
        <v>33435</v>
      </c>
      <c r="C18" s="124">
        <v>37173</v>
      </c>
      <c r="D18" s="123">
        <v>70608</v>
      </c>
      <c r="E18" s="325">
        <v>0.2586544974865414</v>
      </c>
      <c r="F18" s="326" t="s">
        <v>59</v>
      </c>
      <c r="G18" s="327">
        <v>7167</v>
      </c>
      <c r="H18" s="326" t="s">
        <v>59</v>
      </c>
    </row>
    <row r="19" spans="1:8" ht="20" customHeight="1" thickBot="1">
      <c r="A19" s="328" t="s">
        <v>1818</v>
      </c>
      <c r="B19" s="123">
        <v>26854</v>
      </c>
      <c r="C19" s="124">
        <v>30986</v>
      </c>
      <c r="D19" s="123">
        <v>57840</v>
      </c>
      <c r="E19" s="325">
        <v>-2.3451349845514866E-2</v>
      </c>
      <c r="F19" s="326">
        <v>13353</v>
      </c>
      <c r="G19" s="327">
        <v>11995</v>
      </c>
      <c r="H19" s="326">
        <v>571</v>
      </c>
    </row>
    <row r="20" spans="1:8" ht="20" customHeight="1" thickBot="1">
      <c r="A20" s="328" t="s">
        <v>1819</v>
      </c>
      <c r="B20" s="123">
        <v>30890</v>
      </c>
      <c r="C20" s="124">
        <v>32770</v>
      </c>
      <c r="D20" s="123">
        <v>63660</v>
      </c>
      <c r="E20" s="325">
        <v>-0.16583678389852718</v>
      </c>
      <c r="F20" s="326" t="s">
        <v>59</v>
      </c>
      <c r="G20" s="327" t="s">
        <v>59</v>
      </c>
      <c r="H20" s="326" t="s">
        <v>59</v>
      </c>
    </row>
    <row r="21" spans="1:8" ht="20" customHeight="1" thickBot="1">
      <c r="A21" s="328" t="s">
        <v>1820</v>
      </c>
      <c r="B21" s="123">
        <v>12049</v>
      </c>
      <c r="C21" s="124">
        <v>12860</v>
      </c>
      <c r="D21" s="123">
        <v>24909</v>
      </c>
      <c r="E21" s="325">
        <v>4.7961630695443645E-2</v>
      </c>
      <c r="F21" s="326" t="s">
        <v>59</v>
      </c>
      <c r="G21" s="327">
        <v>1856</v>
      </c>
      <c r="H21" s="326">
        <v>1856</v>
      </c>
    </row>
    <row r="22" spans="1:8" ht="20" customHeight="1" thickBot="1">
      <c r="A22" s="328" t="s">
        <v>1821</v>
      </c>
      <c r="B22" s="123">
        <v>6626</v>
      </c>
      <c r="C22" s="124">
        <v>6978</v>
      </c>
      <c r="D22" s="123">
        <v>13604</v>
      </c>
      <c r="E22" s="325">
        <v>-3.5314139838320803E-2</v>
      </c>
      <c r="F22" s="326">
        <v>1312</v>
      </c>
      <c r="G22" s="327">
        <v>381</v>
      </c>
      <c r="H22" s="326" t="s">
        <v>59</v>
      </c>
    </row>
    <row r="23" spans="1:8" ht="20" customHeight="1" thickBot="1">
      <c r="A23" s="328" t="s">
        <v>1822</v>
      </c>
      <c r="B23" s="123">
        <v>3827</v>
      </c>
      <c r="C23" s="124">
        <v>3624</v>
      </c>
      <c r="D23" s="123">
        <v>7451</v>
      </c>
      <c r="E23" s="325">
        <v>-1.9863193896343067E-2</v>
      </c>
      <c r="F23" s="326">
        <v>295</v>
      </c>
      <c r="G23" s="327">
        <v>157</v>
      </c>
      <c r="H23" s="326">
        <v>1777</v>
      </c>
    </row>
    <row r="24" spans="1:8" ht="20" customHeight="1" thickBot="1">
      <c r="A24" s="328" t="s">
        <v>1823</v>
      </c>
      <c r="B24" s="123">
        <v>67222</v>
      </c>
      <c r="C24" s="124">
        <v>71678</v>
      </c>
      <c r="D24" s="123">
        <v>138900</v>
      </c>
      <c r="E24" s="325">
        <v>0.10612950236117637</v>
      </c>
      <c r="F24" s="326">
        <v>17646</v>
      </c>
      <c r="G24" s="327">
        <v>21110</v>
      </c>
      <c r="H24" s="326" t="s">
        <v>59</v>
      </c>
    </row>
    <row r="25" spans="1:8" ht="20" customHeight="1" thickBot="1">
      <c r="A25" s="328" t="s">
        <v>1824</v>
      </c>
      <c r="B25" s="123">
        <v>27614</v>
      </c>
      <c r="C25" s="124">
        <v>30903</v>
      </c>
      <c r="D25" s="123">
        <v>58517</v>
      </c>
      <c r="E25" s="325">
        <v>6.0517493337917993E-3</v>
      </c>
      <c r="F25" s="326">
        <v>4748</v>
      </c>
      <c r="G25" s="327">
        <v>2447</v>
      </c>
      <c r="H25" s="326">
        <v>235</v>
      </c>
    </row>
    <row r="26" spans="1:8" ht="20" customHeight="1" thickBot="1">
      <c r="A26" s="328" t="s">
        <v>1825</v>
      </c>
      <c r="B26" s="123">
        <v>71560</v>
      </c>
      <c r="C26" s="124">
        <v>78963</v>
      </c>
      <c r="D26" s="123">
        <v>150523</v>
      </c>
      <c r="E26" s="325">
        <v>-1.1956875535568384E-4</v>
      </c>
      <c r="F26" s="326">
        <v>15991</v>
      </c>
      <c r="G26" s="327" t="s">
        <v>59</v>
      </c>
      <c r="H26" s="326">
        <v>3078</v>
      </c>
    </row>
    <row r="27" spans="1:8" ht="20" customHeight="1" thickBot="1">
      <c r="A27" s="328" t="s">
        <v>1826</v>
      </c>
      <c r="B27" s="123">
        <v>43021</v>
      </c>
      <c r="C27" s="124">
        <v>45893</v>
      </c>
      <c r="D27" s="123">
        <v>88914</v>
      </c>
      <c r="E27" s="325">
        <v>-2.2289176499048834E-2</v>
      </c>
      <c r="F27" s="326">
        <v>6702</v>
      </c>
      <c r="G27" s="327">
        <v>3099</v>
      </c>
      <c r="H27" s="326" t="s">
        <v>59</v>
      </c>
    </row>
    <row r="28" spans="1:8" ht="20" customHeight="1" thickBot="1">
      <c r="A28" s="328" t="s">
        <v>1827</v>
      </c>
      <c r="B28" s="123">
        <v>44508</v>
      </c>
      <c r="C28" s="124">
        <v>56884</v>
      </c>
      <c r="D28" s="123">
        <v>101392</v>
      </c>
      <c r="E28" s="325">
        <v>0.14656624939218146</v>
      </c>
      <c r="F28" s="326">
        <v>22262</v>
      </c>
      <c r="G28" s="327" t="s">
        <v>59</v>
      </c>
      <c r="H28" s="326" t="s">
        <v>59</v>
      </c>
    </row>
    <row r="29" spans="1:8" ht="20" customHeight="1" thickBot="1">
      <c r="A29" s="328" t="s">
        <v>1828</v>
      </c>
      <c r="B29" s="123">
        <v>64122</v>
      </c>
      <c r="C29" s="124">
        <v>79368</v>
      </c>
      <c r="D29" s="123">
        <v>143490</v>
      </c>
      <c r="E29" s="325">
        <v>8.4051330344216899E-3</v>
      </c>
      <c r="F29" s="326">
        <v>29882</v>
      </c>
      <c r="G29" s="327">
        <v>21422</v>
      </c>
      <c r="H29" s="326">
        <v>51304</v>
      </c>
    </row>
    <row r="30" spans="1:8" ht="20" customHeight="1" thickBot="1">
      <c r="A30" s="328" t="s">
        <v>1829</v>
      </c>
      <c r="B30" s="123">
        <v>39635</v>
      </c>
      <c r="C30" s="124">
        <v>48760</v>
      </c>
      <c r="D30" s="123">
        <v>88395</v>
      </c>
      <c r="E30" s="325">
        <v>-6.695307057358188E-2</v>
      </c>
      <c r="F30" s="326">
        <v>8051</v>
      </c>
      <c r="G30" s="327">
        <v>4329</v>
      </c>
      <c r="H30" s="326" t="s">
        <v>59</v>
      </c>
    </row>
    <row r="31" spans="1:8" ht="20" customHeight="1" thickBot="1">
      <c r="A31" s="328" t="s">
        <v>1830</v>
      </c>
      <c r="B31" s="123">
        <v>18008</v>
      </c>
      <c r="C31" s="124">
        <v>22428</v>
      </c>
      <c r="D31" s="123">
        <v>40436</v>
      </c>
      <c r="E31" s="325">
        <v>0.15468745538136441</v>
      </c>
      <c r="F31" s="326">
        <v>9241</v>
      </c>
      <c r="G31" s="327">
        <v>8335</v>
      </c>
      <c r="H31" s="326">
        <v>17576</v>
      </c>
    </row>
    <row r="32" spans="1:8" ht="20" customHeight="1" thickBot="1">
      <c r="A32" s="328" t="s">
        <v>1831</v>
      </c>
      <c r="B32" s="123">
        <v>62951</v>
      </c>
      <c r="C32" s="124">
        <v>70476</v>
      </c>
      <c r="D32" s="123">
        <v>133427</v>
      </c>
      <c r="E32" s="325">
        <v>4.8764767376967999E-2</v>
      </c>
      <c r="F32" s="326">
        <v>27095</v>
      </c>
      <c r="G32" s="327">
        <v>20487</v>
      </c>
      <c r="H32" s="326" t="s">
        <v>59</v>
      </c>
    </row>
    <row r="33" spans="1:8" ht="20" customHeight="1" thickBot="1">
      <c r="A33" s="328" t="s">
        <v>1832</v>
      </c>
      <c r="B33" s="123">
        <v>11011</v>
      </c>
      <c r="C33" s="124">
        <v>14198</v>
      </c>
      <c r="D33" s="123">
        <v>25209</v>
      </c>
      <c r="E33" s="325">
        <v>5.1031894934333959E-2</v>
      </c>
      <c r="F33" s="326">
        <v>4249</v>
      </c>
      <c r="G33" s="327">
        <v>1132</v>
      </c>
      <c r="H33" s="326" t="s">
        <v>59</v>
      </c>
    </row>
    <row r="34" spans="1:8" ht="30" customHeight="1" thickBot="1">
      <c r="A34" s="329" t="s">
        <v>628</v>
      </c>
      <c r="B34" s="130">
        <v>1055968</v>
      </c>
      <c r="C34" s="131">
        <v>1215982</v>
      </c>
      <c r="D34" s="130">
        <v>2271950</v>
      </c>
      <c r="E34" s="330">
        <v>4.2945799135786542E-2</v>
      </c>
      <c r="F34" s="331" t="s">
        <v>59</v>
      </c>
      <c r="G34" s="332" t="s">
        <v>59</v>
      </c>
      <c r="H34" s="333" t="s">
        <v>59</v>
      </c>
    </row>
    <row r="35" spans="1:8" ht="20" customHeight="1">
      <c r="A35" s="334" t="s">
        <v>409</v>
      </c>
      <c r="B35" s="335"/>
      <c r="C35" s="335"/>
      <c r="D35" s="335"/>
      <c r="E35" s="335"/>
      <c r="F35" s="335"/>
      <c r="G35" s="335"/>
    </row>
    <row r="36" spans="1:8" ht="14.25" customHeight="1">
      <c r="A36" s="336"/>
      <c r="B36" s="337"/>
      <c r="C36" s="337"/>
      <c r="D36" s="337"/>
      <c r="E36" s="337"/>
      <c r="F36" s="337"/>
      <c r="G36" s="337"/>
    </row>
    <row r="37" spans="1:8" ht="20" customHeight="1">
      <c r="A37" s="336" t="s">
        <v>423</v>
      </c>
      <c r="B37" s="337"/>
      <c r="C37" s="337"/>
      <c r="D37" s="337"/>
      <c r="E37" s="337"/>
      <c r="F37" s="337"/>
      <c r="G37" s="337"/>
    </row>
    <row r="38" spans="1:8" ht="15.75" customHeight="1">
      <c r="A38" s="336"/>
      <c r="B38" s="337"/>
      <c r="C38" s="337"/>
      <c r="D38" s="337"/>
      <c r="E38" s="337"/>
      <c r="F38" s="337"/>
      <c r="G38" s="337"/>
    </row>
    <row r="39" spans="1:8" ht="11.25" customHeight="1">
      <c r="A39" s="3" t="s">
        <v>424</v>
      </c>
      <c r="B39" s="337"/>
      <c r="C39" s="337"/>
      <c r="D39" s="337"/>
      <c r="E39" s="337"/>
      <c r="F39" s="337"/>
      <c r="G39" s="337"/>
    </row>
    <row r="41" spans="1:8">
      <c r="E41" s="8"/>
    </row>
    <row r="42" spans="1:8">
      <c r="A42" s="2" t="s">
        <v>634</v>
      </c>
    </row>
  </sheetData>
  <mergeCells count="1">
    <mergeCell ref="B3:D3"/>
  </mergeCells>
  <phoneticPr fontId="0" type="noConversion"/>
  <pageMargins left="0.56000000000000005" right="0.5" top="0.76" bottom="0.49" header="0.42" footer="0.4921259845"/>
  <pageSetup paperSize="9" scale="85" orientation="portrait" horizontalDpi="1200" verticalDpi="12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EF23-0485-8B4B-B8B4-87F860F0E634}">
  <sheetPr>
    <pageSetUpPr fitToPage="1"/>
  </sheetPr>
  <dimension ref="A1:I35"/>
  <sheetViews>
    <sheetView topLeftCell="A16" zoomScale="75" workbookViewId="0">
      <selection activeCell="A31" sqref="A31"/>
    </sheetView>
  </sheetViews>
  <sheetFormatPr baseColWidth="10" defaultColWidth="11.3984375" defaultRowHeight="13"/>
  <cols>
    <col min="1" max="5" width="17.796875" style="2" customWidth="1"/>
    <col min="6" max="6" width="15.796875" style="2" customWidth="1"/>
    <col min="7" max="16384" width="11.3984375" style="2"/>
  </cols>
  <sheetData>
    <row r="1" spans="1:9" s="1" customFormat="1" ht="14" customHeight="1"/>
    <row r="2" spans="1:9" s="1" customFormat="1" ht="28" customHeight="1">
      <c r="A2" s="109" t="s">
        <v>426</v>
      </c>
      <c r="E2" s="321">
        <v>2007</v>
      </c>
    </row>
    <row r="3" spans="1:9" ht="27" customHeight="1">
      <c r="A3" s="110" t="s">
        <v>427</v>
      </c>
      <c r="B3" s="111" t="s">
        <v>428</v>
      </c>
      <c r="C3" s="112" t="s">
        <v>429</v>
      </c>
      <c r="D3" s="111" t="s">
        <v>629</v>
      </c>
      <c r="E3" s="112" t="s">
        <v>430</v>
      </c>
    </row>
    <row r="4" spans="1:9" ht="15" customHeight="1">
      <c r="A4" s="113"/>
      <c r="B4" s="114"/>
      <c r="C4" s="115"/>
      <c r="D4" s="114"/>
      <c r="E4" s="115" t="s">
        <v>431</v>
      </c>
    </row>
    <row r="5" spans="1:9" ht="15" customHeight="1">
      <c r="A5" s="113"/>
      <c r="B5" s="114"/>
      <c r="C5" s="115"/>
      <c r="D5" s="114"/>
      <c r="E5" s="115" t="s">
        <v>432</v>
      </c>
    </row>
    <row r="6" spans="1:9" ht="24" customHeight="1">
      <c r="A6" s="117"/>
      <c r="B6" s="120"/>
      <c r="C6" s="119"/>
      <c r="D6" s="120"/>
      <c r="E6" s="119"/>
    </row>
    <row r="7" spans="1:9" ht="30" customHeight="1" thickBot="1">
      <c r="A7" s="122" t="s">
        <v>433</v>
      </c>
      <c r="B7" s="123">
        <v>89903</v>
      </c>
      <c r="C7" s="124">
        <v>85720</v>
      </c>
      <c r="D7" s="123">
        <v>175623</v>
      </c>
      <c r="E7" s="325">
        <v>7.7300556790422331E-2</v>
      </c>
      <c r="G7" s="126"/>
      <c r="H7" s="126"/>
      <c r="I7" s="126"/>
    </row>
    <row r="8" spans="1:9" ht="20" customHeight="1" thickBot="1">
      <c r="A8" s="127" t="s">
        <v>434</v>
      </c>
      <c r="B8" s="174">
        <v>96908</v>
      </c>
      <c r="C8" s="175">
        <v>91347</v>
      </c>
      <c r="D8" s="174">
        <v>188255</v>
      </c>
      <c r="E8" s="325">
        <v>8.2860538304100007E-2</v>
      </c>
      <c r="G8" s="126"/>
      <c r="H8" s="126"/>
      <c r="I8" s="126"/>
    </row>
    <row r="9" spans="1:9" ht="20" customHeight="1" thickBot="1">
      <c r="A9" s="127" t="s">
        <v>435</v>
      </c>
      <c r="B9" s="174">
        <v>99469</v>
      </c>
      <c r="C9" s="175">
        <v>93965</v>
      </c>
      <c r="D9" s="174">
        <v>193434</v>
      </c>
      <c r="E9" s="325">
        <v>8.5140077906644074E-2</v>
      </c>
      <c r="G9" s="126"/>
      <c r="H9" s="126"/>
      <c r="I9" s="126"/>
    </row>
    <row r="10" spans="1:9" ht="20" customHeight="1" thickBot="1">
      <c r="A10" s="127" t="s">
        <v>436</v>
      </c>
      <c r="B10" s="174">
        <v>55870</v>
      </c>
      <c r="C10" s="175">
        <v>53096</v>
      </c>
      <c r="D10" s="174">
        <v>108966</v>
      </c>
      <c r="E10" s="325">
        <v>4.7961442813442196E-2</v>
      </c>
      <c r="G10" s="126"/>
      <c r="H10" s="126"/>
      <c r="I10" s="126"/>
    </row>
    <row r="11" spans="1:9" ht="20" customHeight="1" thickBot="1">
      <c r="A11" s="127" t="s">
        <v>437</v>
      </c>
      <c r="B11" s="174">
        <v>44248</v>
      </c>
      <c r="C11" s="175">
        <v>43347</v>
      </c>
      <c r="D11" s="174">
        <v>87595</v>
      </c>
      <c r="E11" s="325">
        <v>3.855498580514536E-2</v>
      </c>
      <c r="G11" s="126"/>
      <c r="H11" s="126"/>
      <c r="I11" s="126"/>
    </row>
    <row r="12" spans="1:9" ht="20" customHeight="1" thickBot="1">
      <c r="A12" s="127" t="s">
        <v>438</v>
      </c>
      <c r="B12" s="174">
        <v>93599</v>
      </c>
      <c r="C12" s="175">
        <v>101460</v>
      </c>
      <c r="D12" s="174">
        <v>195059</v>
      </c>
      <c r="E12" s="325">
        <v>8.5855322520301938E-2</v>
      </c>
      <c r="G12" s="126"/>
      <c r="H12" s="126"/>
      <c r="I12" s="126"/>
    </row>
    <row r="13" spans="1:9" ht="20" customHeight="1" thickBot="1">
      <c r="A13" s="127" t="s">
        <v>439</v>
      </c>
      <c r="B13" s="174">
        <v>70205</v>
      </c>
      <c r="C13" s="175">
        <v>82623</v>
      </c>
      <c r="D13" s="174">
        <v>152828</v>
      </c>
      <c r="E13" s="325">
        <v>6.7267325425295454E-2</v>
      </c>
      <c r="G13" s="126"/>
      <c r="H13" s="126"/>
      <c r="I13" s="126"/>
    </row>
    <row r="14" spans="1:9" ht="20" customHeight="1" thickBot="1">
      <c r="A14" s="127" t="s">
        <v>440</v>
      </c>
      <c r="B14" s="174">
        <v>60787</v>
      </c>
      <c r="C14" s="175">
        <v>80050</v>
      </c>
      <c r="D14" s="174">
        <v>140837</v>
      </c>
      <c r="E14" s="325">
        <v>6.1989480402297584E-2</v>
      </c>
      <c r="G14" s="126"/>
      <c r="H14" s="126"/>
      <c r="I14" s="126"/>
    </row>
    <row r="15" spans="1:9" ht="20" customHeight="1" thickBot="1">
      <c r="A15" s="127" t="s">
        <v>441</v>
      </c>
      <c r="B15" s="174">
        <v>75112</v>
      </c>
      <c r="C15" s="175">
        <v>96414</v>
      </c>
      <c r="D15" s="174">
        <v>171526</v>
      </c>
      <c r="E15" s="325">
        <v>7.5497260062941524E-2</v>
      </c>
      <c r="G15" s="126"/>
      <c r="H15" s="126"/>
      <c r="I15" s="126"/>
    </row>
    <row r="16" spans="1:9" ht="20" customHeight="1" thickBot="1">
      <c r="A16" s="127" t="s">
        <v>442</v>
      </c>
      <c r="B16" s="174">
        <v>81169</v>
      </c>
      <c r="C16" s="175">
        <v>94102</v>
      </c>
      <c r="D16" s="174">
        <v>175271</v>
      </c>
      <c r="E16" s="325">
        <v>7.7145623803340738E-2</v>
      </c>
      <c r="G16" s="126"/>
      <c r="H16" s="126"/>
      <c r="I16" s="126"/>
    </row>
    <row r="17" spans="1:9" ht="20" customHeight="1" thickBot="1">
      <c r="A17" s="127" t="s">
        <v>443</v>
      </c>
      <c r="B17" s="174">
        <v>64437</v>
      </c>
      <c r="C17" s="175">
        <v>66383</v>
      </c>
      <c r="D17" s="174">
        <v>130820</v>
      </c>
      <c r="E17" s="325">
        <v>5.7580492528444729E-2</v>
      </c>
      <c r="G17" s="126"/>
      <c r="H17" s="126"/>
      <c r="I17" s="126"/>
    </row>
    <row r="18" spans="1:9" ht="20" customHeight="1" thickBot="1">
      <c r="A18" s="127" t="s">
        <v>444</v>
      </c>
      <c r="B18" s="174">
        <v>45533</v>
      </c>
      <c r="C18" s="175">
        <v>44924</v>
      </c>
      <c r="D18" s="174">
        <v>90457</v>
      </c>
      <c r="E18" s="325">
        <v>3.9814696626246177E-2</v>
      </c>
      <c r="G18" s="126"/>
      <c r="H18" s="126"/>
      <c r="I18" s="126"/>
    </row>
    <row r="19" spans="1:9" ht="20" customHeight="1" thickBot="1">
      <c r="A19" s="127" t="s">
        <v>445</v>
      </c>
      <c r="B19" s="174">
        <v>34596</v>
      </c>
      <c r="C19" s="175">
        <v>36557</v>
      </c>
      <c r="D19" s="174">
        <v>71153</v>
      </c>
      <c r="E19" s="325">
        <v>3.1318030766522148E-2</v>
      </c>
      <c r="G19" s="126"/>
      <c r="H19" s="126"/>
      <c r="I19" s="126"/>
    </row>
    <row r="20" spans="1:9" ht="20" customHeight="1" thickBot="1">
      <c r="A20" s="127" t="s">
        <v>446</v>
      </c>
      <c r="B20" s="174">
        <v>28538</v>
      </c>
      <c r="C20" s="175">
        <v>35583</v>
      </c>
      <c r="D20" s="174">
        <v>64121</v>
      </c>
      <c r="E20" s="325">
        <v>2.8222892229142368E-2</v>
      </c>
      <c r="G20" s="126"/>
      <c r="H20" s="126"/>
      <c r="I20" s="126"/>
    </row>
    <row r="21" spans="1:9" ht="20" customHeight="1" thickBot="1">
      <c r="A21" s="127" t="s">
        <v>447</v>
      </c>
      <c r="B21" s="174">
        <v>25019</v>
      </c>
      <c r="C21" s="175">
        <v>35320</v>
      </c>
      <c r="D21" s="174">
        <v>60339</v>
      </c>
      <c r="E21" s="325">
        <v>2.6558242919078323E-2</v>
      </c>
      <c r="G21" s="126"/>
      <c r="H21" s="126"/>
      <c r="I21" s="126"/>
    </row>
    <row r="22" spans="1:9" ht="20" customHeight="1" thickBot="1">
      <c r="A22" s="127" t="s">
        <v>448</v>
      </c>
      <c r="B22" s="174">
        <v>24852</v>
      </c>
      <c r="C22" s="175">
        <v>38950</v>
      </c>
      <c r="D22" s="174">
        <v>63802</v>
      </c>
      <c r="E22" s="325">
        <v>2.8082484209599683E-2</v>
      </c>
      <c r="G22" s="126"/>
      <c r="H22" s="126"/>
      <c r="I22" s="126"/>
    </row>
    <row r="23" spans="1:9" ht="20" customHeight="1" thickBot="1">
      <c r="A23" s="127" t="s">
        <v>449</v>
      </c>
      <c r="B23" s="174">
        <v>21321</v>
      </c>
      <c r="C23" s="175">
        <v>38957</v>
      </c>
      <c r="D23" s="174">
        <v>60278</v>
      </c>
      <c r="E23" s="325">
        <v>2.6531393736657936E-2</v>
      </c>
      <c r="G23" s="126"/>
      <c r="H23" s="126"/>
      <c r="I23" s="126"/>
    </row>
    <row r="24" spans="1:9" ht="20" customHeight="1" thickBot="1">
      <c r="A24" s="127" t="s">
        <v>450</v>
      </c>
      <c r="B24" s="174">
        <v>15547</v>
      </c>
      <c r="C24" s="175">
        <v>36551</v>
      </c>
      <c r="D24" s="174">
        <v>52098</v>
      </c>
      <c r="E24" s="325">
        <v>2.2930962389137086E-2</v>
      </c>
      <c r="G24" s="126"/>
      <c r="H24" s="126"/>
      <c r="I24" s="126"/>
    </row>
    <row r="25" spans="1:9" ht="20" customHeight="1" thickBot="1">
      <c r="A25" s="127" t="s">
        <v>451</v>
      </c>
      <c r="B25" s="174">
        <v>8937</v>
      </c>
      <c r="C25" s="175">
        <v>25819</v>
      </c>
      <c r="D25" s="174">
        <v>34756</v>
      </c>
      <c r="E25" s="325">
        <v>1.5297871872180286E-2</v>
      </c>
      <c r="G25" s="126"/>
      <c r="H25" s="126"/>
      <c r="I25" s="126"/>
    </row>
    <row r="26" spans="1:9" ht="20" customHeight="1" thickBot="1">
      <c r="A26" s="127" t="s">
        <v>452</v>
      </c>
      <c r="B26" s="174">
        <v>3282</v>
      </c>
      <c r="C26" s="175">
        <v>13318</v>
      </c>
      <c r="D26" s="174">
        <v>16600</v>
      </c>
      <c r="E26" s="325">
        <v>7.3064988225973286E-3</v>
      </c>
      <c r="G26" s="126"/>
      <c r="H26" s="126"/>
      <c r="I26" s="126"/>
    </row>
    <row r="27" spans="1:9" ht="20" customHeight="1" thickBot="1">
      <c r="A27" s="127" t="s">
        <v>453</v>
      </c>
      <c r="B27" s="174">
        <v>818</v>
      </c>
      <c r="C27" s="175">
        <v>4484</v>
      </c>
      <c r="D27" s="174">
        <v>5302</v>
      </c>
      <c r="E27" s="325">
        <v>2.3336781179163274E-3</v>
      </c>
      <c r="G27" s="126"/>
      <c r="H27" s="126"/>
      <c r="I27" s="126"/>
    </row>
    <row r="28" spans="1:9" ht="20" customHeight="1" thickBot="1">
      <c r="A28" s="127" t="s">
        <v>454</v>
      </c>
      <c r="B28" s="174">
        <v>15818</v>
      </c>
      <c r="C28" s="175">
        <v>17012</v>
      </c>
      <c r="D28" s="174">
        <v>32830</v>
      </c>
      <c r="E28" s="325">
        <v>1.4450141948546403E-2</v>
      </c>
      <c r="G28" s="126"/>
      <c r="H28" s="126"/>
      <c r="I28" s="126"/>
    </row>
    <row r="29" spans="1:9" ht="30" customHeight="1" thickBot="1">
      <c r="A29" s="129" t="s">
        <v>629</v>
      </c>
      <c r="B29" s="338">
        <v>1055968</v>
      </c>
      <c r="C29" s="339">
        <v>1215982</v>
      </c>
      <c r="D29" s="338">
        <v>2271950</v>
      </c>
      <c r="E29" s="330">
        <v>1</v>
      </c>
      <c r="G29" s="126"/>
      <c r="H29" s="126"/>
      <c r="I29" s="126"/>
    </row>
    <row r="30" spans="1:9" ht="20" customHeight="1">
      <c r="A30" s="334" t="s">
        <v>409</v>
      </c>
      <c r="B30" s="133"/>
      <c r="C30" s="133"/>
      <c r="D30" s="133"/>
      <c r="E30" s="133"/>
    </row>
    <row r="32" spans="1:9">
      <c r="A32" s="336" t="s">
        <v>423</v>
      </c>
    </row>
    <row r="35" spans="1:1">
      <c r="A35" s="2" t="s">
        <v>634</v>
      </c>
    </row>
  </sheetData>
  <phoneticPr fontId="0" type="noConversion"/>
  <pageMargins left="0.74" right="0.88" top="0.85" bottom="0.49" header="0.49" footer="0.4921259845"/>
  <pageSetup paperSize="9" scale="82" orientation="portrait" horizontalDpi="1200" verticalDpi="12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3D96-142D-C24E-ABB4-C445BB287DBD}">
  <sheetPr>
    <pageSetUpPr fitToPage="1"/>
  </sheetPr>
  <dimension ref="A1:K43"/>
  <sheetViews>
    <sheetView topLeftCell="A23" zoomScale="75" workbookViewId="0">
      <selection activeCell="A36" sqref="A36"/>
    </sheetView>
  </sheetViews>
  <sheetFormatPr baseColWidth="10" defaultColWidth="11.3984375" defaultRowHeight="13"/>
  <cols>
    <col min="1" max="1" width="11.796875" style="2" customWidth="1"/>
    <col min="2" max="6" width="11.3984375" style="2"/>
    <col min="7" max="7" width="13.19921875" style="2" customWidth="1"/>
    <col min="8" max="8" width="12.3984375" style="2" customWidth="1"/>
    <col min="9" max="9" width="13.19921875" style="2" customWidth="1"/>
    <col min="10" max="16384" width="11.3984375" style="2"/>
  </cols>
  <sheetData>
    <row r="1" spans="1:11" s="1" customFormat="1" ht="14" customHeight="1"/>
    <row r="2" spans="1:11" s="1" customFormat="1" ht="27" customHeight="1">
      <c r="A2" s="109" t="s">
        <v>473</v>
      </c>
      <c r="I2" s="321">
        <v>2007</v>
      </c>
    </row>
    <row r="3" spans="1:11" ht="24" customHeight="1">
      <c r="A3" s="110" t="s">
        <v>1797</v>
      </c>
      <c r="B3" s="1809" t="s">
        <v>455</v>
      </c>
      <c r="C3" s="1810"/>
      <c r="D3" s="1810"/>
      <c r="E3" s="1810"/>
      <c r="F3" s="1810"/>
      <c r="G3" s="340" t="s">
        <v>456</v>
      </c>
      <c r="H3" s="111"/>
      <c r="I3" s="112" t="s">
        <v>457</v>
      </c>
    </row>
    <row r="4" spans="1:11" ht="15" customHeight="1">
      <c r="A4" s="308"/>
      <c r="B4" s="114" t="s">
        <v>458</v>
      </c>
      <c r="C4" s="279" t="s">
        <v>459</v>
      </c>
      <c r="D4" s="140" t="s">
        <v>460</v>
      </c>
      <c r="E4" s="279" t="s">
        <v>461</v>
      </c>
      <c r="F4" s="140" t="s">
        <v>462</v>
      </c>
      <c r="G4" s="341" t="s">
        <v>629</v>
      </c>
      <c r="H4" s="116" t="s">
        <v>1801</v>
      </c>
      <c r="I4" s="279" t="s">
        <v>463</v>
      </c>
    </row>
    <row r="5" spans="1:11" ht="15" customHeight="1">
      <c r="A5" s="308"/>
      <c r="B5" s="114"/>
      <c r="C5" s="115" t="s">
        <v>464</v>
      </c>
      <c r="D5" s="114" t="s">
        <v>464</v>
      </c>
      <c r="E5" s="115" t="s">
        <v>464</v>
      </c>
      <c r="F5" s="140" t="s">
        <v>465</v>
      </c>
      <c r="G5" s="341"/>
      <c r="H5" s="116" t="s">
        <v>51</v>
      </c>
      <c r="I5" s="279" t="s">
        <v>466</v>
      </c>
    </row>
    <row r="6" spans="1:11" ht="17.25" customHeight="1">
      <c r="A6" s="308"/>
      <c r="B6" s="114"/>
      <c r="C6" s="115"/>
      <c r="D6" s="114"/>
      <c r="E6" s="115"/>
      <c r="F6" s="140" t="s">
        <v>467</v>
      </c>
      <c r="G6" s="341"/>
      <c r="H6" s="116" t="s">
        <v>1806</v>
      </c>
      <c r="I6" s="279" t="s">
        <v>474</v>
      </c>
    </row>
    <row r="7" spans="1:11" ht="13.5" customHeight="1">
      <c r="A7" s="309"/>
      <c r="B7" s="120"/>
      <c r="C7" s="119"/>
      <c r="D7" s="120"/>
      <c r="E7" s="119"/>
      <c r="F7" s="141"/>
      <c r="G7" s="342"/>
      <c r="H7" s="120"/>
      <c r="I7" s="282"/>
    </row>
    <row r="8" spans="1:11" ht="30" customHeight="1" thickBot="1">
      <c r="A8" s="324" t="s">
        <v>1807</v>
      </c>
      <c r="B8" s="123">
        <v>192054</v>
      </c>
      <c r="C8" s="124">
        <v>33278</v>
      </c>
      <c r="D8" s="123">
        <v>14303</v>
      </c>
      <c r="E8" s="124">
        <v>13124</v>
      </c>
      <c r="F8" s="123">
        <v>6127</v>
      </c>
      <c r="G8" s="343">
        <v>258886</v>
      </c>
      <c r="H8" s="125">
        <v>-1.77900028454899E-2</v>
      </c>
      <c r="I8" s="173">
        <v>17730</v>
      </c>
      <c r="K8" s="126"/>
    </row>
    <row r="9" spans="1:11" ht="20" customHeight="1" thickBot="1">
      <c r="A9" s="328" t="s">
        <v>1808</v>
      </c>
      <c r="B9" s="174">
        <v>89447</v>
      </c>
      <c r="C9" s="175">
        <v>22149</v>
      </c>
      <c r="D9" s="174">
        <v>11340</v>
      </c>
      <c r="E9" s="175">
        <v>13896</v>
      </c>
      <c r="F9" s="174">
        <v>8464</v>
      </c>
      <c r="G9" s="344">
        <v>145296</v>
      </c>
      <c r="H9" s="125">
        <v>1.831332394188516E-2</v>
      </c>
      <c r="I9" s="175">
        <v>14606</v>
      </c>
      <c r="K9" s="126"/>
    </row>
    <row r="10" spans="1:11" ht="20" customHeight="1" thickBot="1">
      <c r="A10" s="328" t="s">
        <v>1809</v>
      </c>
      <c r="B10" s="174">
        <v>31280</v>
      </c>
      <c r="C10" s="175">
        <v>8773</v>
      </c>
      <c r="D10" s="174">
        <v>11371</v>
      </c>
      <c r="E10" s="175">
        <v>15721</v>
      </c>
      <c r="F10" s="174">
        <v>8380</v>
      </c>
      <c r="G10" s="344">
        <v>75525</v>
      </c>
      <c r="H10" s="125">
        <v>0.3081999584286011</v>
      </c>
      <c r="I10" s="175">
        <v>2104</v>
      </c>
      <c r="K10" s="126"/>
    </row>
    <row r="11" spans="1:11" ht="20" customHeight="1" thickBot="1">
      <c r="A11" s="328" t="s">
        <v>1810</v>
      </c>
      <c r="B11" s="174">
        <v>2745</v>
      </c>
      <c r="C11" s="175">
        <v>1469</v>
      </c>
      <c r="D11" s="174">
        <v>637</v>
      </c>
      <c r="E11" s="175">
        <v>1113</v>
      </c>
      <c r="F11" s="174">
        <v>685</v>
      </c>
      <c r="G11" s="344">
        <v>6649</v>
      </c>
      <c r="H11" s="125">
        <v>6.4180537772087071E-2</v>
      </c>
      <c r="I11" s="175">
        <v>227</v>
      </c>
      <c r="K11" s="126"/>
    </row>
    <row r="12" spans="1:11" ht="20" customHeight="1" thickBot="1">
      <c r="A12" s="328" t="s">
        <v>1811</v>
      </c>
      <c r="B12" s="174">
        <v>12626</v>
      </c>
      <c r="C12" s="175">
        <v>1319</v>
      </c>
      <c r="D12" s="174">
        <v>1444</v>
      </c>
      <c r="E12" s="175">
        <v>1791</v>
      </c>
      <c r="F12" s="174">
        <v>1086</v>
      </c>
      <c r="G12" s="344">
        <v>18266</v>
      </c>
      <c r="H12" s="125">
        <v>-8.6833821773580813E-3</v>
      </c>
      <c r="I12" s="175">
        <v>1360</v>
      </c>
      <c r="K12" s="126"/>
    </row>
    <row r="13" spans="1:11" ht="20" customHeight="1" thickBot="1">
      <c r="A13" s="328" t="s">
        <v>1812</v>
      </c>
      <c r="B13" s="174">
        <v>5176</v>
      </c>
      <c r="C13" s="175">
        <v>2052</v>
      </c>
      <c r="D13" s="174">
        <v>852</v>
      </c>
      <c r="E13" s="175">
        <v>1145</v>
      </c>
      <c r="F13" s="174">
        <v>500</v>
      </c>
      <c r="G13" s="344">
        <v>9725</v>
      </c>
      <c r="H13" s="125">
        <v>0.10813582497721057</v>
      </c>
      <c r="I13" s="175">
        <v>488</v>
      </c>
      <c r="K13" s="126"/>
    </row>
    <row r="14" spans="1:11" ht="20" customHeight="1" thickBot="1">
      <c r="A14" s="328" t="s">
        <v>1813</v>
      </c>
      <c r="B14" s="174">
        <v>4335</v>
      </c>
      <c r="C14" s="175">
        <v>1396</v>
      </c>
      <c r="D14" s="174">
        <v>946</v>
      </c>
      <c r="E14" s="175">
        <v>1220</v>
      </c>
      <c r="F14" s="174">
        <v>514</v>
      </c>
      <c r="G14" s="344">
        <v>8411</v>
      </c>
      <c r="H14" s="125">
        <v>0.2385510234133412</v>
      </c>
      <c r="I14" s="175">
        <v>573</v>
      </c>
      <c r="K14" s="126"/>
    </row>
    <row r="15" spans="1:11" ht="20" customHeight="1" thickBot="1">
      <c r="A15" s="328" t="s">
        <v>1814</v>
      </c>
      <c r="B15" s="174">
        <v>2381</v>
      </c>
      <c r="C15" s="175">
        <v>680</v>
      </c>
      <c r="D15" s="174">
        <v>345</v>
      </c>
      <c r="E15" s="175">
        <v>398</v>
      </c>
      <c r="F15" s="174">
        <v>317</v>
      </c>
      <c r="G15" s="344">
        <v>4121</v>
      </c>
      <c r="H15" s="125">
        <v>6.1019567456230689E-2</v>
      </c>
      <c r="I15" s="175">
        <v>389</v>
      </c>
      <c r="K15" s="126"/>
    </row>
    <row r="16" spans="1:11" ht="20" customHeight="1" thickBot="1">
      <c r="A16" s="328" t="s">
        <v>1815</v>
      </c>
      <c r="B16" s="174">
        <v>7065</v>
      </c>
      <c r="C16" s="175">
        <v>2578</v>
      </c>
      <c r="D16" s="174">
        <v>1540</v>
      </c>
      <c r="E16" s="175">
        <v>2016</v>
      </c>
      <c r="F16" s="174">
        <v>835</v>
      </c>
      <c r="G16" s="344">
        <v>14034</v>
      </c>
      <c r="H16" s="125">
        <v>-0.16909413854351688</v>
      </c>
      <c r="I16" s="175">
        <v>994</v>
      </c>
      <c r="K16" s="126"/>
    </row>
    <row r="17" spans="1:11" ht="20" customHeight="1" thickBot="1">
      <c r="A17" s="328" t="s">
        <v>468</v>
      </c>
      <c r="B17" s="174">
        <v>23405</v>
      </c>
      <c r="C17" s="175">
        <v>6426</v>
      </c>
      <c r="D17" s="174">
        <v>3685</v>
      </c>
      <c r="E17" s="175">
        <v>5028</v>
      </c>
      <c r="F17" s="174">
        <v>2834</v>
      </c>
      <c r="G17" s="344">
        <v>41378</v>
      </c>
      <c r="H17" s="125">
        <v>0.13383021866608211</v>
      </c>
      <c r="I17" s="175">
        <v>4518</v>
      </c>
      <c r="K17" s="126"/>
    </row>
    <row r="18" spans="1:11" ht="20" customHeight="1" thickBot="1">
      <c r="A18" s="328" t="s">
        <v>469</v>
      </c>
      <c r="B18" s="174">
        <v>12475</v>
      </c>
      <c r="C18" s="175">
        <v>5432</v>
      </c>
      <c r="D18" s="174">
        <v>4394</v>
      </c>
      <c r="E18" s="175">
        <v>5240</v>
      </c>
      <c r="F18" s="174">
        <v>2479</v>
      </c>
      <c r="G18" s="344">
        <v>30020</v>
      </c>
      <c r="H18" s="125">
        <v>0.2399322621948701</v>
      </c>
      <c r="I18" s="175">
        <v>5002</v>
      </c>
      <c r="K18" s="126"/>
    </row>
    <row r="19" spans="1:11" ht="20" customHeight="1" thickBot="1">
      <c r="A19" s="328" t="s">
        <v>1818</v>
      </c>
      <c r="B19" s="174">
        <v>23094</v>
      </c>
      <c r="C19" s="175">
        <v>5238</v>
      </c>
      <c r="D19" s="174">
        <v>2777</v>
      </c>
      <c r="E19" s="175">
        <v>2460</v>
      </c>
      <c r="F19" s="174">
        <v>1118</v>
      </c>
      <c r="G19" s="344">
        <v>34687</v>
      </c>
      <c r="H19" s="125">
        <v>-2.8593032373697772E-2</v>
      </c>
      <c r="I19" s="175">
        <v>2616</v>
      </c>
      <c r="K19" s="126"/>
    </row>
    <row r="20" spans="1:11" ht="20" customHeight="1" thickBot="1">
      <c r="A20" s="328" t="s">
        <v>1819</v>
      </c>
      <c r="B20" s="144">
        <v>19668</v>
      </c>
      <c r="C20" s="297">
        <v>4165</v>
      </c>
      <c r="D20" s="174">
        <v>3121</v>
      </c>
      <c r="E20" s="175">
        <v>4177</v>
      </c>
      <c r="F20" s="144">
        <v>1845</v>
      </c>
      <c r="G20" s="345">
        <v>32976</v>
      </c>
      <c r="H20" s="125">
        <v>-0.10017191038829917</v>
      </c>
      <c r="I20" s="297">
        <v>3458</v>
      </c>
      <c r="K20" s="126"/>
    </row>
    <row r="21" spans="1:11" ht="20" customHeight="1" thickBot="1">
      <c r="A21" s="328" t="s">
        <v>1820</v>
      </c>
      <c r="B21" s="174">
        <v>5689</v>
      </c>
      <c r="C21" s="175">
        <v>2125</v>
      </c>
      <c r="D21" s="174">
        <v>1204</v>
      </c>
      <c r="E21" s="175">
        <v>1737</v>
      </c>
      <c r="F21" s="174">
        <v>833</v>
      </c>
      <c r="G21" s="344">
        <v>11588</v>
      </c>
      <c r="H21" s="125">
        <v>6.4095500459136825E-2</v>
      </c>
      <c r="I21" s="175">
        <v>1201</v>
      </c>
      <c r="K21" s="126"/>
    </row>
    <row r="22" spans="1:11" ht="20" customHeight="1" thickBot="1">
      <c r="A22" s="328" t="s">
        <v>1821</v>
      </c>
      <c r="B22" s="174">
        <v>2007</v>
      </c>
      <c r="C22" s="175">
        <v>773</v>
      </c>
      <c r="D22" s="174">
        <v>607</v>
      </c>
      <c r="E22" s="175">
        <v>984</v>
      </c>
      <c r="F22" s="174">
        <v>792</v>
      </c>
      <c r="G22" s="344">
        <v>5163</v>
      </c>
      <c r="H22" s="125">
        <v>-3.0968468468468468E-2</v>
      </c>
      <c r="I22" s="175">
        <v>776</v>
      </c>
      <c r="K22" s="126"/>
    </row>
    <row r="23" spans="1:11" ht="20" customHeight="1" thickBot="1">
      <c r="A23" s="328" t="s">
        <v>1822</v>
      </c>
      <c r="B23" s="174">
        <v>801</v>
      </c>
      <c r="C23" s="175">
        <v>510</v>
      </c>
      <c r="D23" s="174">
        <v>283</v>
      </c>
      <c r="E23" s="175">
        <v>475</v>
      </c>
      <c r="F23" s="174">
        <v>477</v>
      </c>
      <c r="G23" s="344">
        <v>2546</v>
      </c>
      <c r="H23" s="125">
        <v>-0.12957264957264958</v>
      </c>
      <c r="I23" s="175">
        <v>123</v>
      </c>
      <c r="K23" s="126"/>
    </row>
    <row r="24" spans="1:11" ht="20" customHeight="1" thickBot="1">
      <c r="A24" s="328" t="s">
        <v>1823</v>
      </c>
      <c r="B24" s="174">
        <v>27869</v>
      </c>
      <c r="C24" s="175">
        <v>12993</v>
      </c>
      <c r="D24" s="174">
        <v>7328</v>
      </c>
      <c r="E24" s="175">
        <v>10027</v>
      </c>
      <c r="F24" s="174">
        <v>6581</v>
      </c>
      <c r="G24" s="344">
        <v>64798</v>
      </c>
      <c r="H24" s="125">
        <v>0.11805507626475258</v>
      </c>
      <c r="I24" s="175">
        <v>8584</v>
      </c>
      <c r="K24" s="126"/>
    </row>
    <row r="25" spans="1:11" ht="20" customHeight="1" thickBot="1">
      <c r="A25" s="328" t="s">
        <v>1824</v>
      </c>
      <c r="B25" s="174">
        <v>14318</v>
      </c>
      <c r="C25" s="175">
        <v>4518</v>
      </c>
      <c r="D25" s="174">
        <v>3017</v>
      </c>
      <c r="E25" s="175">
        <v>4159</v>
      </c>
      <c r="F25" s="174">
        <v>1826</v>
      </c>
      <c r="G25" s="344">
        <v>27838</v>
      </c>
      <c r="H25" s="125">
        <v>-4.6741773105502857E-2</v>
      </c>
      <c r="I25" s="175">
        <v>2759</v>
      </c>
      <c r="K25" s="126"/>
    </row>
    <row r="26" spans="1:11" ht="20" customHeight="1" thickBot="1">
      <c r="A26" s="328" t="s">
        <v>1825</v>
      </c>
      <c r="B26" s="174">
        <v>24918</v>
      </c>
      <c r="C26" s="175">
        <v>11279</v>
      </c>
      <c r="D26" s="174">
        <v>7010</v>
      </c>
      <c r="E26" s="175">
        <v>10738</v>
      </c>
      <c r="F26" s="174">
        <v>5789</v>
      </c>
      <c r="G26" s="344">
        <v>59734</v>
      </c>
      <c r="H26" s="125">
        <v>2.9790021721890839E-2</v>
      </c>
      <c r="I26" s="175">
        <v>5236</v>
      </c>
      <c r="K26" s="126"/>
    </row>
    <row r="27" spans="1:11" ht="20" customHeight="1" thickBot="1">
      <c r="A27" s="328" t="s">
        <v>1826</v>
      </c>
      <c r="B27" s="174">
        <v>30573</v>
      </c>
      <c r="C27" s="175">
        <v>12617</v>
      </c>
      <c r="D27" s="174">
        <v>4444</v>
      </c>
      <c r="E27" s="175">
        <v>2665</v>
      </c>
      <c r="F27" s="174">
        <v>1687</v>
      </c>
      <c r="G27" s="344">
        <v>51986</v>
      </c>
      <c r="H27" s="125">
        <v>-1.4800917239941631E-2</v>
      </c>
      <c r="I27" s="175">
        <v>3461</v>
      </c>
      <c r="K27" s="126"/>
    </row>
    <row r="28" spans="1:11" ht="20" customHeight="1" thickBot="1">
      <c r="A28" s="328" t="s">
        <v>1827</v>
      </c>
      <c r="B28" s="174">
        <v>36128</v>
      </c>
      <c r="C28" s="175">
        <v>11847</v>
      </c>
      <c r="D28" s="174">
        <v>5852</v>
      </c>
      <c r="E28" s="175">
        <v>6247</v>
      </c>
      <c r="F28" s="174">
        <v>2029</v>
      </c>
      <c r="G28" s="344">
        <v>62103</v>
      </c>
      <c r="H28" s="125">
        <v>0.12501358646425853</v>
      </c>
      <c r="I28" s="175">
        <v>5323</v>
      </c>
      <c r="K28" s="126"/>
    </row>
    <row r="29" spans="1:11" ht="20" customHeight="1" thickBot="1">
      <c r="A29" s="328" t="s">
        <v>1828</v>
      </c>
      <c r="B29" s="174">
        <v>46352</v>
      </c>
      <c r="C29" s="175">
        <v>14608</v>
      </c>
      <c r="D29" s="174">
        <v>7374</v>
      </c>
      <c r="E29" s="175">
        <v>6636</v>
      </c>
      <c r="F29" s="174">
        <v>3618</v>
      </c>
      <c r="G29" s="344">
        <v>78588</v>
      </c>
      <c r="H29" s="125">
        <v>2.6877997151481099E-2</v>
      </c>
      <c r="I29" s="175">
        <v>8592</v>
      </c>
      <c r="K29" s="126"/>
    </row>
    <row r="30" spans="1:11" ht="20" customHeight="1" thickBot="1">
      <c r="A30" s="328" t="s">
        <v>1829</v>
      </c>
      <c r="B30" s="174">
        <v>33013</v>
      </c>
      <c r="C30" s="175">
        <v>6126</v>
      </c>
      <c r="D30" s="174">
        <v>3488</v>
      </c>
      <c r="E30" s="175">
        <v>4713</v>
      </c>
      <c r="F30" s="174">
        <v>2605</v>
      </c>
      <c r="G30" s="344">
        <v>49945</v>
      </c>
      <c r="H30" s="125">
        <v>-5.6234765027115892E-2</v>
      </c>
      <c r="I30" s="175">
        <v>4429</v>
      </c>
      <c r="K30" s="126"/>
    </row>
    <row r="31" spans="1:11" ht="20" customHeight="1" thickBot="1">
      <c r="A31" s="328" t="s">
        <v>1830</v>
      </c>
      <c r="B31" s="174">
        <v>14952</v>
      </c>
      <c r="C31" s="175">
        <v>3527</v>
      </c>
      <c r="D31" s="174">
        <v>2085</v>
      </c>
      <c r="E31" s="175">
        <v>1885</v>
      </c>
      <c r="F31" s="174">
        <v>875</v>
      </c>
      <c r="G31" s="344">
        <v>23324</v>
      </c>
      <c r="H31" s="125">
        <v>9.1896446795562012E-2</v>
      </c>
      <c r="I31" s="175">
        <v>2670</v>
      </c>
      <c r="K31" s="126"/>
    </row>
    <row r="32" spans="1:11" ht="20" customHeight="1" thickBot="1">
      <c r="A32" s="328" t="s">
        <v>1831</v>
      </c>
      <c r="B32" s="174">
        <v>57444</v>
      </c>
      <c r="C32" s="175">
        <v>18363</v>
      </c>
      <c r="D32" s="174">
        <v>9256</v>
      </c>
      <c r="E32" s="175">
        <v>5817</v>
      </c>
      <c r="F32" s="174">
        <v>2899</v>
      </c>
      <c r="G32" s="344">
        <v>93779</v>
      </c>
      <c r="H32" s="125">
        <v>6.3820856919219987E-2</v>
      </c>
      <c r="I32" s="175">
        <v>12598</v>
      </c>
      <c r="K32" s="126"/>
    </row>
    <row r="33" spans="1:11" ht="20" customHeight="1" thickBot="1">
      <c r="A33" s="328" t="s">
        <v>1832</v>
      </c>
      <c r="B33" s="174">
        <v>9091</v>
      </c>
      <c r="C33" s="175">
        <v>2244</v>
      </c>
      <c r="D33" s="174">
        <v>897</v>
      </c>
      <c r="E33" s="175">
        <v>968</v>
      </c>
      <c r="F33" s="174">
        <v>870</v>
      </c>
      <c r="G33" s="344">
        <v>14070</v>
      </c>
      <c r="H33" s="125">
        <v>5.2592204683174985E-2</v>
      </c>
      <c r="I33" s="175">
        <v>1612</v>
      </c>
      <c r="J33" s="9"/>
      <c r="K33" s="126"/>
    </row>
    <row r="34" spans="1:11" ht="30" customHeight="1" thickBot="1">
      <c r="A34" s="346" t="s">
        <v>628</v>
      </c>
      <c r="B34" s="347">
        <v>728906</v>
      </c>
      <c r="C34" s="346">
        <v>196485</v>
      </c>
      <c r="D34" s="347">
        <v>109600</v>
      </c>
      <c r="E34" s="346">
        <v>124380</v>
      </c>
      <c r="F34" s="347">
        <v>66065</v>
      </c>
      <c r="G34" s="346">
        <v>1225436</v>
      </c>
      <c r="H34" s="132">
        <v>3.6156171391126049E-2</v>
      </c>
      <c r="I34" s="346">
        <v>111429</v>
      </c>
      <c r="K34" s="126"/>
    </row>
    <row r="35" spans="1:11" ht="19.5" customHeight="1">
      <c r="A35" s="334" t="s">
        <v>409</v>
      </c>
      <c r="B35" s="335"/>
      <c r="C35" s="335"/>
      <c r="D35" s="335"/>
      <c r="E35" s="335"/>
      <c r="F35" s="335"/>
      <c r="G35" s="335"/>
      <c r="H35" s="335"/>
      <c r="I35" s="335"/>
    </row>
    <row r="36" spans="1:11" ht="13.5" customHeight="1">
      <c r="A36" s="336"/>
      <c r="B36" s="337"/>
      <c r="C36" s="337"/>
      <c r="D36" s="337"/>
      <c r="E36" s="337"/>
      <c r="F36" s="337"/>
      <c r="G36" s="337"/>
      <c r="H36" s="337"/>
      <c r="I36" s="337"/>
    </row>
    <row r="37" spans="1:11" ht="15.75" customHeight="1">
      <c r="A37" s="336" t="s">
        <v>470</v>
      </c>
      <c r="B37" s="337"/>
      <c r="C37" s="337"/>
      <c r="D37" s="337"/>
      <c r="E37" s="337"/>
      <c r="F37" s="337"/>
      <c r="G37" s="337"/>
      <c r="H37" s="337"/>
      <c r="I37" s="337"/>
    </row>
    <row r="38" spans="1:11" ht="13.5" customHeight="1">
      <c r="A38" s="336"/>
      <c r="B38" s="337"/>
      <c r="C38" s="337"/>
      <c r="D38" s="337"/>
      <c r="E38" s="337"/>
      <c r="F38" s="337"/>
      <c r="G38" s="337"/>
      <c r="H38" s="337"/>
      <c r="I38" s="337"/>
    </row>
    <row r="39" spans="1:11" ht="11.25" customHeight="1">
      <c r="A39" s="3" t="s">
        <v>471</v>
      </c>
      <c r="B39" s="337"/>
      <c r="C39" s="337"/>
      <c r="D39" s="337"/>
      <c r="E39" s="337"/>
      <c r="F39" s="337"/>
      <c r="G39" s="337"/>
      <c r="H39" s="337"/>
      <c r="I39" s="337"/>
    </row>
    <row r="40" spans="1:11">
      <c r="A40" s="348" t="s">
        <v>472</v>
      </c>
    </row>
    <row r="43" spans="1:11">
      <c r="A43" s="2" t="s">
        <v>634</v>
      </c>
    </row>
  </sheetData>
  <mergeCells count="1">
    <mergeCell ref="B3:F3"/>
  </mergeCells>
  <phoneticPr fontId="0" type="noConversion"/>
  <pageMargins left="0.65" right="0.72" top="0.92" bottom="0.49" header="0.52" footer="0.4921259845"/>
  <pageSetup paperSize="9" scale="83" orientation="portrait" horizontalDpi="1200" verticalDpi="120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93CD-941E-BD43-85B5-C8F2865FA2FB}">
  <sheetPr>
    <pageSetUpPr fitToPage="1"/>
  </sheetPr>
  <dimension ref="A1:I42"/>
  <sheetViews>
    <sheetView topLeftCell="A2" zoomScale="75" workbookViewId="0">
      <selection activeCell="H6" sqref="H6"/>
    </sheetView>
  </sheetViews>
  <sheetFormatPr baseColWidth="10" defaultColWidth="11.3984375" defaultRowHeight="13"/>
  <cols>
    <col min="1" max="7" width="12.19921875" style="2" customWidth="1"/>
    <col min="8" max="8" width="13.3984375" style="2" customWidth="1"/>
    <col min="9" max="9" width="13" style="2" customWidth="1"/>
    <col min="10" max="16384" width="11.3984375" style="2"/>
  </cols>
  <sheetData>
    <row r="1" spans="1:9" s="1" customFormat="1" ht="14" customHeight="1"/>
    <row r="2" spans="1:9" s="1" customFormat="1" ht="28" customHeight="1">
      <c r="A2" s="109" t="s">
        <v>488</v>
      </c>
      <c r="I2" s="321">
        <v>2007</v>
      </c>
    </row>
    <row r="3" spans="1:9" ht="24" customHeight="1">
      <c r="A3" s="110" t="s">
        <v>1797</v>
      </c>
      <c r="B3" s="349" t="s">
        <v>475</v>
      </c>
      <c r="C3" s="112"/>
      <c r="D3" s="111"/>
      <c r="E3" s="110"/>
      <c r="F3" s="349"/>
      <c r="G3" s="112"/>
      <c r="H3" s="349"/>
      <c r="I3" s="340" t="s">
        <v>456</v>
      </c>
    </row>
    <row r="4" spans="1:9" ht="15" customHeight="1">
      <c r="A4" s="308"/>
      <c r="B4" s="114" t="s">
        <v>476</v>
      </c>
      <c r="C4" s="279" t="s">
        <v>477</v>
      </c>
      <c r="D4" s="140" t="s">
        <v>478</v>
      </c>
      <c r="E4" s="279" t="s">
        <v>479</v>
      </c>
      <c r="F4" s="140" t="s">
        <v>480</v>
      </c>
      <c r="G4" s="279" t="s">
        <v>481</v>
      </c>
      <c r="H4" s="140" t="s">
        <v>482</v>
      </c>
      <c r="I4" s="350" t="s">
        <v>629</v>
      </c>
    </row>
    <row r="5" spans="1:9" ht="15" customHeight="1">
      <c r="A5" s="308"/>
      <c r="B5" s="114"/>
      <c r="C5" s="115" t="s">
        <v>483</v>
      </c>
      <c r="D5" s="114" t="s">
        <v>484</v>
      </c>
      <c r="E5" s="115" t="s">
        <v>485</v>
      </c>
      <c r="F5" s="140" t="s">
        <v>486</v>
      </c>
      <c r="G5" s="279" t="s">
        <v>486</v>
      </c>
      <c r="H5" s="140" t="s">
        <v>487</v>
      </c>
      <c r="I5" s="350"/>
    </row>
    <row r="6" spans="1:9" ht="15" customHeight="1">
      <c r="A6" s="308"/>
      <c r="B6" s="114"/>
      <c r="C6" s="115"/>
      <c r="D6" s="114"/>
      <c r="E6" s="115"/>
      <c r="F6" s="140"/>
      <c r="G6" s="279"/>
      <c r="H6" s="140"/>
      <c r="I6" s="350"/>
    </row>
    <row r="7" spans="1:9" ht="16" customHeight="1">
      <c r="A7" s="309"/>
      <c r="B7" s="120"/>
      <c r="C7" s="119"/>
      <c r="D7" s="120"/>
      <c r="E7" s="119"/>
      <c r="F7" s="141"/>
      <c r="G7" s="282"/>
      <c r="H7" s="141"/>
      <c r="I7" s="351"/>
    </row>
    <row r="8" spans="1:9" ht="30" customHeight="1" thickBot="1">
      <c r="A8" s="324" t="s">
        <v>1807</v>
      </c>
      <c r="B8" s="123">
        <v>30479</v>
      </c>
      <c r="C8" s="124">
        <v>76307</v>
      </c>
      <c r="D8" s="123">
        <v>84158</v>
      </c>
      <c r="E8" s="124">
        <v>29371</v>
      </c>
      <c r="F8" s="123">
        <v>29149</v>
      </c>
      <c r="G8" s="124">
        <v>8672</v>
      </c>
      <c r="H8" s="123">
        <v>750</v>
      </c>
      <c r="I8" s="343">
        <v>258886</v>
      </c>
    </row>
    <row r="9" spans="1:9" ht="20" customHeight="1" thickBot="1">
      <c r="A9" s="328" t="s">
        <v>1808</v>
      </c>
      <c r="B9" s="174">
        <v>40670</v>
      </c>
      <c r="C9" s="175">
        <v>41539</v>
      </c>
      <c r="D9" s="174">
        <v>38294</v>
      </c>
      <c r="E9" s="175">
        <v>15320</v>
      </c>
      <c r="F9" s="174">
        <v>5949</v>
      </c>
      <c r="G9" s="175">
        <v>3524</v>
      </c>
      <c r="H9" s="174" t="s">
        <v>489</v>
      </c>
      <c r="I9" s="344">
        <v>145296</v>
      </c>
    </row>
    <row r="10" spans="1:9" ht="20" customHeight="1" thickBot="1">
      <c r="A10" s="328" t="s">
        <v>1809</v>
      </c>
      <c r="B10" s="174">
        <v>8234</v>
      </c>
      <c r="C10" s="175">
        <v>21131</v>
      </c>
      <c r="D10" s="174">
        <v>20327</v>
      </c>
      <c r="E10" s="175">
        <v>18285</v>
      </c>
      <c r="F10" s="174">
        <v>2920</v>
      </c>
      <c r="G10" s="175">
        <v>4628</v>
      </c>
      <c r="H10" s="174" t="s">
        <v>489</v>
      </c>
      <c r="I10" s="344">
        <v>75525</v>
      </c>
    </row>
    <row r="11" spans="1:9" ht="20" customHeight="1" thickBot="1">
      <c r="A11" s="328" t="s">
        <v>1810</v>
      </c>
      <c r="B11" s="174">
        <v>965</v>
      </c>
      <c r="C11" s="175">
        <v>1155</v>
      </c>
      <c r="D11" s="174">
        <v>1771</v>
      </c>
      <c r="E11" s="175">
        <v>1915</v>
      </c>
      <c r="F11" s="174">
        <v>396</v>
      </c>
      <c r="G11" s="175">
        <v>447</v>
      </c>
      <c r="H11" s="174" t="s">
        <v>489</v>
      </c>
      <c r="I11" s="344">
        <v>6649</v>
      </c>
    </row>
    <row r="12" spans="1:9" ht="20" customHeight="1" thickBot="1">
      <c r="A12" s="328" t="s">
        <v>1811</v>
      </c>
      <c r="B12" s="174">
        <v>1276</v>
      </c>
      <c r="C12" s="175">
        <v>1864</v>
      </c>
      <c r="D12" s="174">
        <v>5852</v>
      </c>
      <c r="E12" s="175">
        <v>2832</v>
      </c>
      <c r="F12" s="174">
        <v>1282</v>
      </c>
      <c r="G12" s="175">
        <v>1192</v>
      </c>
      <c r="H12" s="174">
        <v>3968</v>
      </c>
      <c r="I12" s="344">
        <v>18266</v>
      </c>
    </row>
    <row r="13" spans="1:9" ht="20" customHeight="1" thickBot="1">
      <c r="A13" s="328" t="s">
        <v>1812</v>
      </c>
      <c r="B13" s="174">
        <v>1844</v>
      </c>
      <c r="C13" s="175">
        <v>1941</v>
      </c>
      <c r="D13" s="174">
        <v>3689</v>
      </c>
      <c r="E13" s="175">
        <v>1437</v>
      </c>
      <c r="F13" s="174">
        <v>577</v>
      </c>
      <c r="G13" s="175">
        <v>237</v>
      </c>
      <c r="H13" s="174" t="s">
        <v>489</v>
      </c>
      <c r="I13" s="344">
        <v>9725</v>
      </c>
    </row>
    <row r="14" spans="1:9" ht="20" customHeight="1" thickBot="1">
      <c r="A14" s="328" t="s">
        <v>1813</v>
      </c>
      <c r="B14" s="174">
        <v>1861</v>
      </c>
      <c r="C14" s="175">
        <v>2743</v>
      </c>
      <c r="D14" s="174">
        <v>2974</v>
      </c>
      <c r="E14" s="175">
        <v>654</v>
      </c>
      <c r="F14" s="174">
        <v>115</v>
      </c>
      <c r="G14" s="175">
        <v>64</v>
      </c>
      <c r="H14" s="174" t="s">
        <v>489</v>
      </c>
      <c r="I14" s="344">
        <v>8411</v>
      </c>
    </row>
    <row r="15" spans="1:9" ht="20" customHeight="1" thickBot="1">
      <c r="A15" s="328" t="s">
        <v>1814</v>
      </c>
      <c r="B15" s="174">
        <v>780</v>
      </c>
      <c r="C15" s="175">
        <v>607</v>
      </c>
      <c r="D15" s="174">
        <v>1325</v>
      </c>
      <c r="E15" s="175">
        <v>892</v>
      </c>
      <c r="F15" s="174">
        <v>234</v>
      </c>
      <c r="G15" s="175">
        <v>283</v>
      </c>
      <c r="H15" s="174" t="s">
        <v>489</v>
      </c>
      <c r="I15" s="344">
        <v>4121</v>
      </c>
    </row>
    <row r="16" spans="1:9" ht="20" customHeight="1" thickBot="1">
      <c r="A16" s="328" t="s">
        <v>1815</v>
      </c>
      <c r="B16" s="174">
        <v>2021</v>
      </c>
      <c r="C16" s="175">
        <v>2231</v>
      </c>
      <c r="D16" s="174">
        <v>4562</v>
      </c>
      <c r="E16" s="175">
        <v>3102</v>
      </c>
      <c r="F16" s="174">
        <v>1128</v>
      </c>
      <c r="G16" s="175">
        <v>990</v>
      </c>
      <c r="H16" s="174" t="s">
        <v>489</v>
      </c>
      <c r="I16" s="344">
        <v>14034</v>
      </c>
    </row>
    <row r="17" spans="1:9" ht="20" customHeight="1" thickBot="1">
      <c r="A17" s="328" t="s">
        <v>1816</v>
      </c>
      <c r="B17" s="174">
        <v>572</v>
      </c>
      <c r="C17" s="175">
        <v>4760</v>
      </c>
      <c r="D17" s="174">
        <v>12468</v>
      </c>
      <c r="E17" s="175">
        <v>12787</v>
      </c>
      <c r="F17" s="174">
        <v>6242</v>
      </c>
      <c r="G17" s="175">
        <v>4549</v>
      </c>
      <c r="H17" s="174" t="s">
        <v>489</v>
      </c>
      <c r="I17" s="344">
        <v>41378</v>
      </c>
    </row>
    <row r="18" spans="1:9" ht="20" customHeight="1" thickBot="1">
      <c r="A18" s="328" t="s">
        <v>1817</v>
      </c>
      <c r="B18" s="174">
        <v>4124</v>
      </c>
      <c r="C18" s="175">
        <v>7346</v>
      </c>
      <c r="D18" s="174">
        <v>9084</v>
      </c>
      <c r="E18" s="175">
        <v>5737</v>
      </c>
      <c r="F18" s="174">
        <v>1955</v>
      </c>
      <c r="G18" s="175">
        <v>1774</v>
      </c>
      <c r="H18" s="174" t="s">
        <v>489</v>
      </c>
      <c r="I18" s="344">
        <v>30020</v>
      </c>
    </row>
    <row r="19" spans="1:9" ht="20" customHeight="1" thickBot="1">
      <c r="A19" s="328" t="s">
        <v>1818</v>
      </c>
      <c r="B19" s="174">
        <v>5507</v>
      </c>
      <c r="C19" s="175">
        <v>3148</v>
      </c>
      <c r="D19" s="174">
        <v>4978</v>
      </c>
      <c r="E19" s="175">
        <v>4829</v>
      </c>
      <c r="F19" s="174">
        <v>5323</v>
      </c>
      <c r="G19" s="175">
        <v>10813</v>
      </c>
      <c r="H19" s="174">
        <v>89</v>
      </c>
      <c r="I19" s="344">
        <v>34687</v>
      </c>
    </row>
    <row r="20" spans="1:9" ht="20" customHeight="1" thickBot="1">
      <c r="A20" s="328" t="s">
        <v>1819</v>
      </c>
      <c r="B20" s="144">
        <v>1918</v>
      </c>
      <c r="C20" s="297">
        <v>7381</v>
      </c>
      <c r="D20" s="174">
        <v>18175</v>
      </c>
      <c r="E20" s="175">
        <v>3246</v>
      </c>
      <c r="F20" s="144">
        <v>1464</v>
      </c>
      <c r="G20" s="297">
        <v>792</v>
      </c>
      <c r="H20" s="144" t="s">
        <v>489</v>
      </c>
      <c r="I20" s="344">
        <v>32976</v>
      </c>
    </row>
    <row r="21" spans="1:9" ht="20" customHeight="1" thickBot="1">
      <c r="A21" s="328" t="s">
        <v>1820</v>
      </c>
      <c r="B21" s="174">
        <v>1433</v>
      </c>
      <c r="C21" s="175">
        <v>1429</v>
      </c>
      <c r="D21" s="174">
        <v>5027</v>
      </c>
      <c r="E21" s="175">
        <v>1782</v>
      </c>
      <c r="F21" s="174">
        <v>1001</v>
      </c>
      <c r="G21" s="175">
        <v>916</v>
      </c>
      <c r="H21" s="174" t="s">
        <v>489</v>
      </c>
      <c r="I21" s="344">
        <v>11588</v>
      </c>
    </row>
    <row r="22" spans="1:9" ht="20" customHeight="1" thickBot="1">
      <c r="A22" s="328" t="s">
        <v>1821</v>
      </c>
      <c r="B22" s="174">
        <v>254</v>
      </c>
      <c r="C22" s="175">
        <v>295</v>
      </c>
      <c r="D22" s="174">
        <v>660</v>
      </c>
      <c r="E22" s="175">
        <v>1958</v>
      </c>
      <c r="F22" s="174">
        <v>521</v>
      </c>
      <c r="G22" s="175">
        <v>1475</v>
      </c>
      <c r="H22" s="174" t="s">
        <v>489</v>
      </c>
      <c r="I22" s="344">
        <v>5163</v>
      </c>
    </row>
    <row r="23" spans="1:9" ht="20" customHeight="1" thickBot="1">
      <c r="A23" s="328" t="s">
        <v>1822</v>
      </c>
      <c r="B23" s="174">
        <v>670</v>
      </c>
      <c r="C23" s="175">
        <v>515</v>
      </c>
      <c r="D23" s="174">
        <v>502</v>
      </c>
      <c r="E23" s="175">
        <v>440</v>
      </c>
      <c r="F23" s="174">
        <v>58</v>
      </c>
      <c r="G23" s="175">
        <v>361</v>
      </c>
      <c r="H23" s="174" t="s">
        <v>489</v>
      </c>
      <c r="I23" s="344">
        <v>2546</v>
      </c>
    </row>
    <row r="24" spans="1:9" ht="20" customHeight="1" thickBot="1">
      <c r="A24" s="328" t="s">
        <v>1823</v>
      </c>
      <c r="B24" s="174">
        <v>12219</v>
      </c>
      <c r="C24" s="175">
        <v>9546</v>
      </c>
      <c r="D24" s="174">
        <v>31149</v>
      </c>
      <c r="E24" s="175">
        <v>6644</v>
      </c>
      <c r="F24" s="174">
        <v>2748</v>
      </c>
      <c r="G24" s="175">
        <v>2492</v>
      </c>
      <c r="H24" s="174" t="s">
        <v>489</v>
      </c>
      <c r="I24" s="344">
        <v>64798</v>
      </c>
    </row>
    <row r="25" spans="1:9" ht="20" customHeight="1" thickBot="1">
      <c r="A25" s="328" t="s">
        <v>1824</v>
      </c>
      <c r="B25" s="174">
        <v>3534</v>
      </c>
      <c r="C25" s="175">
        <v>5173</v>
      </c>
      <c r="D25" s="174">
        <v>7888</v>
      </c>
      <c r="E25" s="175">
        <v>8148</v>
      </c>
      <c r="F25" s="174">
        <v>1602</v>
      </c>
      <c r="G25" s="175">
        <v>1493</v>
      </c>
      <c r="H25" s="174" t="s">
        <v>489</v>
      </c>
      <c r="I25" s="344">
        <v>27838</v>
      </c>
    </row>
    <row r="26" spans="1:9" ht="20" customHeight="1" thickBot="1">
      <c r="A26" s="328" t="s">
        <v>1825</v>
      </c>
      <c r="B26" s="174">
        <v>4541</v>
      </c>
      <c r="C26" s="175">
        <v>7472</v>
      </c>
      <c r="D26" s="174">
        <v>17155</v>
      </c>
      <c r="E26" s="175">
        <v>19651</v>
      </c>
      <c r="F26" s="174">
        <v>5060</v>
      </c>
      <c r="G26" s="175">
        <v>5855</v>
      </c>
      <c r="H26" s="174" t="s">
        <v>489</v>
      </c>
      <c r="I26" s="344">
        <v>59734</v>
      </c>
    </row>
    <row r="27" spans="1:9" ht="20" customHeight="1" thickBot="1">
      <c r="A27" s="328" t="s">
        <v>1826</v>
      </c>
      <c r="B27" s="174">
        <v>6208</v>
      </c>
      <c r="C27" s="175">
        <v>12623</v>
      </c>
      <c r="D27" s="174">
        <v>26533</v>
      </c>
      <c r="E27" s="175">
        <v>4141</v>
      </c>
      <c r="F27" s="174">
        <v>2247</v>
      </c>
      <c r="G27" s="175">
        <v>234</v>
      </c>
      <c r="H27" s="174" t="s">
        <v>489</v>
      </c>
      <c r="I27" s="344">
        <v>51986</v>
      </c>
    </row>
    <row r="28" spans="1:9" ht="20" customHeight="1" thickBot="1">
      <c r="A28" s="328" t="s">
        <v>1827</v>
      </c>
      <c r="B28" s="174">
        <v>21362</v>
      </c>
      <c r="C28" s="175">
        <v>4082</v>
      </c>
      <c r="D28" s="174">
        <v>10135</v>
      </c>
      <c r="E28" s="175">
        <v>16108</v>
      </c>
      <c r="F28" s="174">
        <v>3194</v>
      </c>
      <c r="G28" s="175">
        <v>7222</v>
      </c>
      <c r="H28" s="174" t="s">
        <v>489</v>
      </c>
      <c r="I28" s="344">
        <v>62103</v>
      </c>
    </row>
    <row r="29" spans="1:9" ht="20" customHeight="1" thickBot="1">
      <c r="A29" s="328" t="s">
        <v>1828</v>
      </c>
      <c r="B29" s="174">
        <v>6805</v>
      </c>
      <c r="C29" s="175">
        <v>6171</v>
      </c>
      <c r="D29" s="174">
        <v>9570</v>
      </c>
      <c r="E29" s="175">
        <v>12039</v>
      </c>
      <c r="F29" s="174">
        <v>27835</v>
      </c>
      <c r="G29" s="175">
        <v>16168</v>
      </c>
      <c r="H29" s="174" t="s">
        <v>489</v>
      </c>
      <c r="I29" s="344">
        <v>78588</v>
      </c>
    </row>
    <row r="30" spans="1:9" ht="20" customHeight="1" thickBot="1">
      <c r="A30" s="328" t="s">
        <v>1829</v>
      </c>
      <c r="B30" s="174">
        <v>756</v>
      </c>
      <c r="C30" s="175">
        <v>5106</v>
      </c>
      <c r="D30" s="174">
        <v>16409</v>
      </c>
      <c r="E30" s="175">
        <v>18547</v>
      </c>
      <c r="F30" s="174">
        <v>3230</v>
      </c>
      <c r="G30" s="175">
        <v>5897</v>
      </c>
      <c r="H30" s="174" t="s">
        <v>489</v>
      </c>
      <c r="I30" s="344">
        <v>49945</v>
      </c>
    </row>
    <row r="31" spans="1:9" ht="20" customHeight="1" thickBot="1">
      <c r="A31" s="328" t="s">
        <v>1830</v>
      </c>
      <c r="B31" s="174">
        <v>2104</v>
      </c>
      <c r="C31" s="175">
        <v>3066</v>
      </c>
      <c r="D31" s="174">
        <v>4235</v>
      </c>
      <c r="E31" s="175">
        <v>2527</v>
      </c>
      <c r="F31" s="174">
        <v>8276</v>
      </c>
      <c r="G31" s="175">
        <v>3116</v>
      </c>
      <c r="H31" s="174" t="s">
        <v>489</v>
      </c>
      <c r="I31" s="344">
        <v>23324</v>
      </c>
    </row>
    <row r="32" spans="1:9" ht="20" customHeight="1" thickBot="1">
      <c r="A32" s="328" t="s">
        <v>1831</v>
      </c>
      <c r="B32" s="174">
        <v>15700</v>
      </c>
      <c r="C32" s="175">
        <v>23034</v>
      </c>
      <c r="D32" s="174">
        <v>14053</v>
      </c>
      <c r="E32" s="175">
        <v>8472</v>
      </c>
      <c r="F32" s="174">
        <v>8125</v>
      </c>
      <c r="G32" s="175">
        <v>23739</v>
      </c>
      <c r="H32" s="174">
        <v>656</v>
      </c>
      <c r="I32" s="344">
        <v>93779</v>
      </c>
    </row>
    <row r="33" spans="1:9" ht="20" customHeight="1" thickBot="1">
      <c r="A33" s="328" t="s">
        <v>1832</v>
      </c>
      <c r="B33" s="174">
        <v>2744</v>
      </c>
      <c r="C33" s="175">
        <v>2417</v>
      </c>
      <c r="D33" s="174">
        <v>3634</v>
      </c>
      <c r="E33" s="175">
        <v>1197</v>
      </c>
      <c r="F33" s="174">
        <v>2944</v>
      </c>
      <c r="G33" s="175">
        <v>1134</v>
      </c>
      <c r="H33" s="174" t="s">
        <v>489</v>
      </c>
      <c r="I33" s="344">
        <v>14070</v>
      </c>
    </row>
    <row r="34" spans="1:9" ht="30" customHeight="1" thickBot="1">
      <c r="A34" s="346" t="s">
        <v>628</v>
      </c>
      <c r="B34" s="347">
        <v>178581</v>
      </c>
      <c r="C34" s="346">
        <v>253082</v>
      </c>
      <c r="D34" s="347">
        <v>354607</v>
      </c>
      <c r="E34" s="346">
        <v>202061</v>
      </c>
      <c r="F34" s="347">
        <v>123575</v>
      </c>
      <c r="G34" s="346">
        <v>108067</v>
      </c>
      <c r="H34" s="347">
        <v>5463</v>
      </c>
      <c r="I34" s="346">
        <v>1225436</v>
      </c>
    </row>
    <row r="35" spans="1:9" ht="20" customHeight="1">
      <c r="A35" s="334" t="s">
        <v>409</v>
      </c>
      <c r="B35" s="335"/>
      <c r="C35" s="335"/>
      <c r="D35" s="335"/>
      <c r="E35" s="335"/>
      <c r="F35" s="335"/>
      <c r="G35" s="335"/>
      <c r="H35" s="335"/>
      <c r="I35" s="335"/>
    </row>
    <row r="36" spans="1:9" ht="14.25" customHeight="1">
      <c r="A36" s="336"/>
      <c r="B36" s="337"/>
      <c r="C36" s="337"/>
      <c r="D36" s="337"/>
      <c r="E36" s="337"/>
      <c r="F36" s="337"/>
      <c r="G36" s="337"/>
      <c r="H36" s="337"/>
      <c r="I36" s="337"/>
    </row>
    <row r="37" spans="1:9" ht="20" customHeight="1">
      <c r="A37" s="336" t="s">
        <v>470</v>
      </c>
      <c r="B37" s="337"/>
      <c r="C37" s="337"/>
      <c r="D37" s="337"/>
      <c r="E37" s="337"/>
      <c r="F37" s="337"/>
      <c r="G37" s="337"/>
      <c r="H37" s="337"/>
      <c r="I37" s="337"/>
    </row>
    <row r="38" spans="1:9" ht="13.5" customHeight="1">
      <c r="A38" s="336"/>
      <c r="B38" s="337"/>
      <c r="C38" s="337"/>
      <c r="D38" s="337"/>
      <c r="E38" s="337"/>
      <c r="F38" s="337"/>
      <c r="G38" s="337"/>
      <c r="H38" s="337"/>
      <c r="I38" s="337"/>
    </row>
    <row r="39" spans="1:9" ht="11.25" customHeight="1">
      <c r="A39" s="3" t="s">
        <v>471</v>
      </c>
      <c r="B39" s="337"/>
      <c r="C39" s="337"/>
      <c r="D39" s="337"/>
      <c r="E39" s="337"/>
      <c r="F39" s="337"/>
      <c r="G39" s="337"/>
      <c r="H39" s="337"/>
      <c r="I39" s="337"/>
    </row>
    <row r="40" spans="1:9" ht="11.25" customHeight="1">
      <c r="A40" s="3"/>
      <c r="B40" s="337"/>
      <c r="C40" s="337"/>
      <c r="D40" s="337"/>
      <c r="E40" s="337"/>
      <c r="F40" s="337"/>
      <c r="G40" s="337"/>
      <c r="H40" s="337"/>
      <c r="I40" s="337"/>
    </row>
    <row r="41" spans="1:9" ht="11.25" customHeight="1">
      <c r="A41" s="3"/>
      <c r="B41" s="337"/>
      <c r="C41" s="337"/>
      <c r="D41" s="337"/>
      <c r="E41" s="337"/>
      <c r="F41" s="337"/>
      <c r="G41" s="337"/>
      <c r="H41" s="337"/>
      <c r="I41" s="337"/>
    </row>
    <row r="42" spans="1:9">
      <c r="A42" s="352" t="s">
        <v>634</v>
      </c>
    </row>
  </sheetData>
  <phoneticPr fontId="0" type="noConversion"/>
  <pageMargins left="0.6" right="0.69" top="0.83" bottom="0.49" header="0.51" footer="0.4921259845"/>
  <pageSetup paperSize="9" scale="80" orientation="portrait" horizontalDpi="4294967292" verticalDpi="4294967292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10EF-81C0-E847-BF79-00B04E42AF16}">
  <sheetPr>
    <pageSetUpPr fitToPage="1"/>
  </sheetPr>
  <dimension ref="A1:I43"/>
  <sheetViews>
    <sheetView topLeftCell="A22" zoomScale="75" workbookViewId="0">
      <selection activeCell="A41" sqref="A41"/>
    </sheetView>
  </sheetViews>
  <sheetFormatPr baseColWidth="10" defaultColWidth="11.3984375" defaultRowHeight="13"/>
  <cols>
    <col min="1" max="9" width="13.3984375" style="2" customWidth="1"/>
    <col min="10" max="10" width="16.19921875" style="2" customWidth="1"/>
    <col min="11" max="16384" width="11.3984375" style="2"/>
  </cols>
  <sheetData>
    <row r="1" spans="1:9" s="1" customFormat="1" ht="14" customHeight="1"/>
    <row r="2" spans="1:9" s="1" customFormat="1" ht="28" customHeight="1">
      <c r="A2" s="109" t="s">
        <v>381</v>
      </c>
      <c r="I2" s="321">
        <v>2007</v>
      </c>
    </row>
    <row r="3" spans="1:9" ht="24" customHeight="1">
      <c r="A3" s="110" t="s">
        <v>1797</v>
      </c>
      <c r="B3" s="349"/>
      <c r="C3" s="112"/>
      <c r="D3" s="349" t="s">
        <v>1976</v>
      </c>
      <c r="E3" s="110"/>
      <c r="F3" s="349"/>
      <c r="G3" s="112"/>
      <c r="H3" s="349"/>
      <c r="I3" s="112"/>
    </row>
    <row r="4" spans="1:9" ht="15" customHeight="1">
      <c r="A4" s="308"/>
      <c r="B4" s="653" t="s">
        <v>1977</v>
      </c>
      <c r="C4" s="279"/>
      <c r="D4" s="140"/>
      <c r="E4" s="279"/>
      <c r="F4" s="1068" t="s">
        <v>1978</v>
      </c>
      <c r="G4" s="279"/>
      <c r="H4" s="140"/>
      <c r="I4" s="115"/>
    </row>
    <row r="5" spans="1:9" ht="15" customHeight="1">
      <c r="A5" s="308"/>
      <c r="B5" s="114" t="s">
        <v>1979</v>
      </c>
      <c r="C5" s="115" t="s">
        <v>1980</v>
      </c>
      <c r="D5" s="114" t="s">
        <v>1981</v>
      </c>
      <c r="E5" s="115" t="s">
        <v>1982</v>
      </c>
      <c r="F5" s="140" t="s">
        <v>1979</v>
      </c>
      <c r="G5" s="279" t="s">
        <v>1980</v>
      </c>
      <c r="H5" s="140" t="s">
        <v>1981</v>
      </c>
      <c r="I5" s="115" t="s">
        <v>1982</v>
      </c>
    </row>
    <row r="6" spans="1:9" ht="31" customHeight="1">
      <c r="A6" s="309"/>
      <c r="B6" s="120" t="s">
        <v>1798</v>
      </c>
      <c r="C6" s="119"/>
      <c r="D6" s="120"/>
      <c r="E6" s="119"/>
      <c r="F6" s="141" t="s">
        <v>1798</v>
      </c>
      <c r="G6" s="282"/>
      <c r="H6" s="141"/>
      <c r="I6" s="119"/>
    </row>
    <row r="7" spans="1:9" ht="30" customHeight="1" thickBot="1">
      <c r="A7" s="1069" t="s">
        <v>1807</v>
      </c>
      <c r="B7" s="172">
        <v>36000</v>
      </c>
      <c r="C7" s="173">
        <v>47500</v>
      </c>
      <c r="D7" s="172">
        <v>47500</v>
      </c>
      <c r="E7" s="173">
        <v>47500</v>
      </c>
      <c r="F7" s="1070">
        <v>47500</v>
      </c>
      <c r="G7" s="173">
        <v>47500</v>
      </c>
      <c r="H7" s="172">
        <v>47500</v>
      </c>
      <c r="I7" s="173">
        <v>47500</v>
      </c>
    </row>
    <row r="8" spans="1:9" ht="20" customHeight="1" thickBot="1">
      <c r="A8" s="328" t="s">
        <v>1808</v>
      </c>
      <c r="B8" s="174">
        <v>36200</v>
      </c>
      <c r="C8" s="175">
        <v>50500</v>
      </c>
      <c r="D8" s="174">
        <v>60500</v>
      </c>
      <c r="E8" s="175">
        <v>70500</v>
      </c>
      <c r="F8" s="1071">
        <v>47000</v>
      </c>
      <c r="G8" s="175">
        <v>57000</v>
      </c>
      <c r="H8" s="174">
        <v>67000</v>
      </c>
      <c r="I8" s="175">
        <v>77000</v>
      </c>
    </row>
    <row r="9" spans="1:9" ht="20" customHeight="1" thickBot="1">
      <c r="A9" s="328" t="s">
        <v>382</v>
      </c>
      <c r="B9" s="174">
        <v>20855</v>
      </c>
      <c r="C9" s="297" t="s">
        <v>59</v>
      </c>
      <c r="D9" s="144" t="s">
        <v>59</v>
      </c>
      <c r="E9" s="297" t="s">
        <v>59</v>
      </c>
      <c r="F9" s="1071">
        <v>43779</v>
      </c>
      <c r="G9" s="297" t="s">
        <v>59</v>
      </c>
      <c r="H9" s="144" t="s">
        <v>59</v>
      </c>
      <c r="I9" s="297" t="s">
        <v>59</v>
      </c>
    </row>
    <row r="10" spans="1:9" ht="20" customHeight="1" thickBot="1">
      <c r="A10" s="328" t="s">
        <v>1810</v>
      </c>
      <c r="B10" s="174">
        <v>27700</v>
      </c>
      <c r="C10" s="175">
        <v>70000</v>
      </c>
      <c r="D10" s="174">
        <v>70000</v>
      </c>
      <c r="E10" s="175">
        <v>70000</v>
      </c>
      <c r="F10" s="1071">
        <v>55500</v>
      </c>
      <c r="G10" s="175">
        <v>70000</v>
      </c>
      <c r="H10" s="174">
        <v>71100</v>
      </c>
      <c r="I10" s="175">
        <v>78800</v>
      </c>
    </row>
    <row r="11" spans="1:9" ht="20" customHeight="1" thickBot="1">
      <c r="A11" s="328" t="s">
        <v>1811</v>
      </c>
      <c r="B11" s="174">
        <v>30000</v>
      </c>
      <c r="C11" s="175">
        <v>48000</v>
      </c>
      <c r="D11" s="174">
        <v>52500</v>
      </c>
      <c r="E11" s="175">
        <v>64000</v>
      </c>
      <c r="F11" s="1071">
        <v>40000</v>
      </c>
      <c r="G11" s="175">
        <v>72000</v>
      </c>
      <c r="H11" s="174">
        <v>76500</v>
      </c>
      <c r="I11" s="175">
        <v>82000</v>
      </c>
    </row>
    <row r="12" spans="1:9" ht="20" customHeight="1" thickBot="1">
      <c r="A12" s="328" t="s">
        <v>1812</v>
      </c>
      <c r="B12" s="174">
        <v>36200</v>
      </c>
      <c r="C12" s="175">
        <v>45400</v>
      </c>
      <c r="D12" s="174">
        <v>54700</v>
      </c>
      <c r="E12" s="175">
        <v>64000</v>
      </c>
      <c r="F12" s="1071">
        <v>73700</v>
      </c>
      <c r="G12" s="175">
        <v>83000</v>
      </c>
      <c r="H12" s="174">
        <v>92300</v>
      </c>
      <c r="I12" s="175">
        <v>101500</v>
      </c>
    </row>
    <row r="13" spans="1:9" ht="20" customHeight="1" thickBot="1">
      <c r="A13" s="328" t="s">
        <v>1813</v>
      </c>
      <c r="B13" s="174">
        <v>32300</v>
      </c>
      <c r="C13" s="175">
        <v>36600</v>
      </c>
      <c r="D13" s="174">
        <v>40650</v>
      </c>
      <c r="E13" s="175">
        <v>44700</v>
      </c>
      <c r="F13" s="1071">
        <v>64850</v>
      </c>
      <c r="G13" s="175">
        <v>69150</v>
      </c>
      <c r="H13" s="174">
        <v>73200</v>
      </c>
      <c r="I13" s="175">
        <v>77250</v>
      </c>
    </row>
    <row r="14" spans="1:9" ht="20" customHeight="1" thickBot="1">
      <c r="A14" s="328" t="s">
        <v>1814</v>
      </c>
      <c r="B14" s="174">
        <v>34400</v>
      </c>
      <c r="C14" s="175">
        <v>50001</v>
      </c>
      <c r="D14" s="174">
        <v>50001</v>
      </c>
      <c r="E14" s="175">
        <v>50001</v>
      </c>
      <c r="F14" s="1071">
        <v>56300</v>
      </c>
      <c r="G14" s="175">
        <v>60001</v>
      </c>
      <c r="H14" s="174">
        <v>64200</v>
      </c>
      <c r="I14" s="175">
        <v>70001</v>
      </c>
    </row>
    <row r="15" spans="1:9" ht="20" customHeight="1" thickBot="1">
      <c r="A15" s="328" t="s">
        <v>1815</v>
      </c>
      <c r="B15" s="174">
        <v>37400</v>
      </c>
      <c r="C15" s="175">
        <v>46900</v>
      </c>
      <c r="D15" s="174">
        <v>56300</v>
      </c>
      <c r="E15" s="175">
        <v>65800</v>
      </c>
      <c r="F15" s="1071">
        <v>75500</v>
      </c>
      <c r="G15" s="175">
        <v>80000</v>
      </c>
      <c r="H15" s="174">
        <v>80000</v>
      </c>
      <c r="I15" s="175">
        <v>80000</v>
      </c>
    </row>
    <row r="16" spans="1:9" ht="20" customHeight="1" thickBot="1">
      <c r="A16" s="328" t="s">
        <v>1816</v>
      </c>
      <c r="B16" s="174">
        <v>37400</v>
      </c>
      <c r="C16" s="175">
        <v>56200</v>
      </c>
      <c r="D16" s="174">
        <v>66500</v>
      </c>
      <c r="E16" s="175">
        <v>76800</v>
      </c>
      <c r="F16" s="1071">
        <v>55400</v>
      </c>
      <c r="G16" s="175">
        <v>65700</v>
      </c>
      <c r="H16" s="174">
        <v>76000</v>
      </c>
      <c r="I16" s="175">
        <v>86300</v>
      </c>
    </row>
    <row r="17" spans="1:9" ht="20" customHeight="1" thickBot="1">
      <c r="A17" s="328" t="s">
        <v>1817</v>
      </c>
      <c r="B17" s="174">
        <v>28900</v>
      </c>
      <c r="C17" s="175">
        <v>72000</v>
      </c>
      <c r="D17" s="174">
        <v>72000</v>
      </c>
      <c r="E17" s="175">
        <v>72000</v>
      </c>
      <c r="F17" s="1071">
        <v>47900</v>
      </c>
      <c r="G17" s="175">
        <v>72000</v>
      </c>
      <c r="H17" s="174">
        <v>72000</v>
      </c>
      <c r="I17" s="175">
        <v>72000</v>
      </c>
    </row>
    <row r="18" spans="1:9" ht="20" customHeight="1" thickBot="1">
      <c r="A18" s="328" t="s">
        <v>1818</v>
      </c>
      <c r="B18" s="174">
        <v>39000</v>
      </c>
      <c r="C18" s="175">
        <v>74000</v>
      </c>
      <c r="D18" s="174">
        <v>82000</v>
      </c>
      <c r="E18" s="175">
        <v>88000</v>
      </c>
      <c r="F18" s="1071">
        <v>64000</v>
      </c>
      <c r="G18" s="175">
        <v>74000</v>
      </c>
      <c r="H18" s="174">
        <v>82000</v>
      </c>
      <c r="I18" s="175">
        <v>88000</v>
      </c>
    </row>
    <row r="19" spans="1:9" ht="20" customHeight="1" thickBot="1">
      <c r="A19" s="328" t="s">
        <v>1819</v>
      </c>
      <c r="B19" s="144">
        <v>25001</v>
      </c>
      <c r="C19" s="297">
        <v>40001</v>
      </c>
      <c r="D19" s="174">
        <v>50001</v>
      </c>
      <c r="E19" s="175">
        <v>55001</v>
      </c>
      <c r="F19" s="1072">
        <v>45001</v>
      </c>
      <c r="G19" s="297">
        <v>60001</v>
      </c>
      <c r="H19" s="144">
        <v>70001</v>
      </c>
      <c r="I19" s="175">
        <v>75001</v>
      </c>
    </row>
    <row r="20" spans="1:9" ht="20" customHeight="1" thickBot="1">
      <c r="A20" s="328" t="s">
        <v>1820</v>
      </c>
      <c r="B20" s="174">
        <v>25750</v>
      </c>
      <c r="C20" s="175">
        <v>32000</v>
      </c>
      <c r="D20" s="174">
        <v>38250</v>
      </c>
      <c r="E20" s="175">
        <v>44500</v>
      </c>
      <c r="F20" s="1071">
        <v>51750</v>
      </c>
      <c r="G20" s="175">
        <v>58000</v>
      </c>
      <c r="H20" s="174">
        <v>64250</v>
      </c>
      <c r="I20" s="175">
        <v>70500</v>
      </c>
    </row>
    <row r="21" spans="1:9" ht="20" customHeight="1" thickBot="1">
      <c r="A21" s="328" t="s">
        <v>1821</v>
      </c>
      <c r="B21" s="174">
        <v>29884</v>
      </c>
      <c r="C21" s="175">
        <v>47301</v>
      </c>
      <c r="D21" s="174">
        <v>55651</v>
      </c>
      <c r="E21" s="175">
        <v>64002</v>
      </c>
      <c r="F21" s="1071">
        <v>50652</v>
      </c>
      <c r="G21" s="175">
        <v>59002</v>
      </c>
      <c r="H21" s="174">
        <v>67352</v>
      </c>
      <c r="I21" s="175">
        <v>75702</v>
      </c>
    </row>
    <row r="22" spans="1:9" ht="20" customHeight="1" thickBot="1">
      <c r="A22" s="328" t="s">
        <v>1822</v>
      </c>
      <c r="B22" s="174">
        <v>34900</v>
      </c>
      <c r="C22" s="175">
        <v>43600</v>
      </c>
      <c r="D22" s="174">
        <v>52200</v>
      </c>
      <c r="E22" s="175">
        <v>60800</v>
      </c>
      <c r="F22" s="1071">
        <v>69800</v>
      </c>
      <c r="G22" s="175">
        <v>78400</v>
      </c>
      <c r="H22" s="174">
        <v>87100</v>
      </c>
      <c r="I22" s="175">
        <v>95700</v>
      </c>
    </row>
    <row r="23" spans="1:9" ht="20" customHeight="1" thickBot="1">
      <c r="A23" s="328" t="s">
        <v>1823</v>
      </c>
      <c r="B23" s="174">
        <v>23111</v>
      </c>
      <c r="C23" s="175">
        <v>40000</v>
      </c>
      <c r="D23" s="174">
        <v>48600</v>
      </c>
      <c r="E23" s="175">
        <v>62500</v>
      </c>
      <c r="F23" s="1071">
        <v>46222</v>
      </c>
      <c r="G23" s="175">
        <v>70000</v>
      </c>
      <c r="H23" s="174">
        <v>72500</v>
      </c>
      <c r="I23" s="175">
        <v>83300</v>
      </c>
    </row>
    <row r="24" spans="1:9" ht="20" customHeight="1" thickBot="1">
      <c r="A24" s="328" t="s">
        <v>1824</v>
      </c>
      <c r="B24" s="174">
        <v>33000</v>
      </c>
      <c r="C24" s="175">
        <v>80001</v>
      </c>
      <c r="D24" s="174">
        <v>80001</v>
      </c>
      <c r="E24" s="175">
        <v>80001</v>
      </c>
      <c r="F24" s="1071">
        <v>60000</v>
      </c>
      <c r="G24" s="175">
        <v>80001</v>
      </c>
      <c r="H24" s="174">
        <v>80001</v>
      </c>
      <c r="I24" s="175">
        <v>82000</v>
      </c>
    </row>
    <row r="25" spans="1:9" ht="20" customHeight="1" thickBot="1">
      <c r="A25" s="328" t="s">
        <v>1825</v>
      </c>
      <c r="B25" s="174">
        <v>24800</v>
      </c>
      <c r="C25" s="175">
        <v>32000</v>
      </c>
      <c r="D25" s="174">
        <v>39300</v>
      </c>
      <c r="E25" s="175">
        <v>46600</v>
      </c>
      <c r="F25" s="1071">
        <v>50700</v>
      </c>
      <c r="G25" s="175">
        <v>57900</v>
      </c>
      <c r="H25" s="174">
        <v>65200</v>
      </c>
      <c r="I25" s="175">
        <v>72500</v>
      </c>
    </row>
    <row r="26" spans="1:9" ht="20" customHeight="1" thickBot="1">
      <c r="A26" s="328" t="s">
        <v>1826</v>
      </c>
      <c r="B26" s="174">
        <v>27400</v>
      </c>
      <c r="C26" s="175">
        <v>41900</v>
      </c>
      <c r="D26" s="174">
        <v>41900</v>
      </c>
      <c r="E26" s="175">
        <v>41900</v>
      </c>
      <c r="F26" s="1071">
        <v>41900</v>
      </c>
      <c r="G26" s="175">
        <v>41900</v>
      </c>
      <c r="H26" s="174">
        <v>41900</v>
      </c>
      <c r="I26" s="175">
        <v>41900</v>
      </c>
    </row>
    <row r="27" spans="1:9" ht="20" customHeight="1" thickBot="1">
      <c r="A27" s="328" t="s">
        <v>1827</v>
      </c>
      <c r="B27" s="174">
        <v>20000</v>
      </c>
      <c r="C27" s="175">
        <v>60000</v>
      </c>
      <c r="D27" s="174">
        <v>60000</v>
      </c>
      <c r="E27" s="175">
        <v>60000</v>
      </c>
      <c r="F27" s="1071">
        <v>32000</v>
      </c>
      <c r="G27" s="175">
        <v>60000</v>
      </c>
      <c r="H27" s="174">
        <v>60000</v>
      </c>
      <c r="I27" s="175">
        <v>60000</v>
      </c>
    </row>
    <row r="28" spans="1:9" ht="20" customHeight="1" thickBot="1">
      <c r="A28" s="328" t="s">
        <v>1828</v>
      </c>
      <c r="B28" s="174">
        <v>30000</v>
      </c>
      <c r="C28" s="175">
        <v>52000</v>
      </c>
      <c r="D28" s="174">
        <v>59000</v>
      </c>
      <c r="E28" s="175">
        <v>66000</v>
      </c>
      <c r="F28" s="1071">
        <v>45000</v>
      </c>
      <c r="G28" s="175">
        <v>52000</v>
      </c>
      <c r="H28" s="174">
        <v>59000</v>
      </c>
      <c r="I28" s="175">
        <v>66000</v>
      </c>
    </row>
    <row r="29" spans="1:9" ht="20" customHeight="1" thickBot="1">
      <c r="A29" s="328" t="s">
        <v>1829</v>
      </c>
      <c r="B29" s="174">
        <v>32000</v>
      </c>
      <c r="C29" s="175">
        <v>55700</v>
      </c>
      <c r="D29" s="174">
        <v>68200</v>
      </c>
      <c r="E29" s="175">
        <v>80700</v>
      </c>
      <c r="F29" s="1071">
        <v>48000</v>
      </c>
      <c r="G29" s="175">
        <v>60500</v>
      </c>
      <c r="H29" s="174">
        <v>73000</v>
      </c>
      <c r="I29" s="175">
        <v>85500</v>
      </c>
    </row>
    <row r="30" spans="1:9" ht="20" customHeight="1" thickBot="1">
      <c r="A30" s="328" t="s">
        <v>1830</v>
      </c>
      <c r="B30" s="174">
        <v>29600</v>
      </c>
      <c r="C30" s="175">
        <v>54600</v>
      </c>
      <c r="D30" s="174">
        <v>63600</v>
      </c>
      <c r="E30" s="175">
        <v>71600</v>
      </c>
      <c r="F30" s="1071">
        <v>44400</v>
      </c>
      <c r="G30" s="175">
        <v>69400</v>
      </c>
      <c r="H30" s="174">
        <v>78400</v>
      </c>
      <c r="I30" s="175">
        <v>86400</v>
      </c>
    </row>
    <row r="31" spans="1:9" ht="20" customHeight="1" thickBot="1">
      <c r="A31" s="328" t="s">
        <v>1831</v>
      </c>
      <c r="B31" s="174">
        <v>38000</v>
      </c>
      <c r="C31" s="175">
        <v>67000</v>
      </c>
      <c r="D31" s="174">
        <v>73000</v>
      </c>
      <c r="E31" s="175">
        <v>79000</v>
      </c>
      <c r="F31" s="1071">
        <v>61000</v>
      </c>
      <c r="G31" s="175">
        <v>67000</v>
      </c>
      <c r="H31" s="174">
        <v>73000</v>
      </c>
      <c r="I31" s="175">
        <v>79000</v>
      </c>
    </row>
    <row r="32" spans="1:9" ht="23.25" customHeight="1" thickBot="1">
      <c r="A32" s="1073" t="s">
        <v>1832</v>
      </c>
      <c r="B32" s="1074">
        <v>33000</v>
      </c>
      <c r="C32" s="1075">
        <v>47000</v>
      </c>
      <c r="D32" s="1074">
        <v>51000</v>
      </c>
      <c r="E32" s="1075">
        <v>57000</v>
      </c>
      <c r="F32" s="1076">
        <v>38000</v>
      </c>
      <c r="G32" s="1075">
        <v>47000</v>
      </c>
      <c r="H32" s="1074">
        <v>51000</v>
      </c>
      <c r="I32" s="1075">
        <v>57000</v>
      </c>
    </row>
    <row r="33" spans="1:9" ht="17.25" customHeight="1">
      <c r="A33" s="336" t="s">
        <v>409</v>
      </c>
      <c r="B33" s="337"/>
      <c r="C33" s="337"/>
      <c r="D33" s="337"/>
      <c r="E33" s="337"/>
      <c r="F33" s="337"/>
      <c r="G33" s="337"/>
      <c r="H33" s="337"/>
      <c r="I33" s="337"/>
    </row>
    <row r="34" spans="1:9" ht="12" customHeight="1">
      <c r="A34" s="336"/>
      <c r="B34" s="337"/>
      <c r="C34" s="337"/>
      <c r="D34" s="337"/>
      <c r="E34" s="337"/>
      <c r="F34" s="337"/>
      <c r="G34" s="337"/>
      <c r="H34" s="337"/>
      <c r="I34" s="337"/>
    </row>
    <row r="35" spans="1:9" ht="17.25" customHeight="1">
      <c r="A35" s="336" t="s">
        <v>376</v>
      </c>
      <c r="B35" s="337"/>
      <c r="C35" s="337"/>
      <c r="D35" s="337"/>
      <c r="E35" s="337"/>
      <c r="F35" s="337"/>
      <c r="G35" s="337"/>
      <c r="H35" s="337"/>
      <c r="I35" s="337"/>
    </row>
    <row r="36" spans="1:9" ht="12" customHeight="1">
      <c r="A36" s="336"/>
      <c r="B36" s="337"/>
      <c r="C36" s="337"/>
      <c r="D36" s="337"/>
      <c r="E36" s="337"/>
      <c r="F36" s="337"/>
      <c r="G36" s="337"/>
      <c r="H36" s="337"/>
      <c r="I36" s="337"/>
    </row>
    <row r="37" spans="1:9" ht="12" customHeight="1">
      <c r="A37" s="336" t="s">
        <v>377</v>
      </c>
      <c r="B37" s="337"/>
      <c r="C37" s="337"/>
      <c r="D37" s="337"/>
      <c r="E37" s="337"/>
      <c r="F37" s="337"/>
      <c r="G37" s="337"/>
      <c r="H37" s="337"/>
      <c r="I37" s="337"/>
    </row>
    <row r="38" spans="1:9" ht="14.25" customHeight="1">
      <c r="A38" s="3" t="s">
        <v>378</v>
      </c>
      <c r="B38" s="337"/>
      <c r="C38" s="337"/>
      <c r="D38" s="337"/>
      <c r="E38" s="337"/>
      <c r="F38" s="337"/>
      <c r="G38" s="337"/>
      <c r="H38" s="337"/>
      <c r="I38" s="337"/>
    </row>
    <row r="39" spans="1:9">
      <c r="A39" s="352" t="s">
        <v>379</v>
      </c>
    </row>
    <row r="40" spans="1:9">
      <c r="A40" s="352" t="s">
        <v>380</v>
      </c>
    </row>
    <row r="41" spans="1:9">
      <c r="A41" s="352"/>
    </row>
    <row r="43" spans="1:9">
      <c r="A43" s="2" t="s">
        <v>634</v>
      </c>
    </row>
  </sheetData>
  <phoneticPr fontId="0" type="noConversion"/>
  <pageMargins left="0.57999999999999996" right="0.59" top="0.78" bottom="0.49" header="0.4" footer="0.4921259845"/>
  <pageSetup paperSize="9" scale="76" orientation="portrait" horizontalDpi="4294967292" verticalDpi="4294967292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8BA7-F76B-0B4E-A5E5-BF4046373595}">
  <sheetPr>
    <pageSetUpPr fitToPage="1"/>
  </sheetPr>
  <dimension ref="A1:L35"/>
  <sheetViews>
    <sheetView topLeftCell="A11" zoomScale="75" workbookViewId="0">
      <selection activeCell="C22" sqref="C22"/>
    </sheetView>
  </sheetViews>
  <sheetFormatPr baseColWidth="10" defaultColWidth="11.3984375" defaultRowHeight="13"/>
  <cols>
    <col min="1" max="3" width="12.3984375" style="2" customWidth="1"/>
    <col min="4" max="4" width="12.796875" style="2" customWidth="1"/>
    <col min="5" max="5" width="13.19921875" style="2" customWidth="1"/>
    <col min="6" max="6" width="13.3984375" style="2" customWidth="1"/>
    <col min="7" max="7" width="13.19921875" style="2" customWidth="1"/>
    <col min="8" max="8" width="13.3984375" style="414" customWidth="1"/>
    <col min="9" max="16384" width="11.3984375" style="2"/>
  </cols>
  <sheetData>
    <row r="1" spans="1:12" s="1" customFormat="1" ht="14" customHeight="1">
      <c r="H1" s="562"/>
    </row>
    <row r="2" spans="1:12" s="1" customFormat="1" ht="28" customHeight="1">
      <c r="A2" s="56" t="s">
        <v>582</v>
      </c>
      <c r="B2" s="56"/>
      <c r="H2" s="321">
        <v>2007</v>
      </c>
    </row>
    <row r="3" spans="1:12" ht="24" customHeight="1">
      <c r="A3" s="110" t="s">
        <v>533</v>
      </c>
      <c r="B3" s="111" t="s">
        <v>583</v>
      </c>
      <c r="C3" s="167" t="s">
        <v>1801</v>
      </c>
      <c r="D3" s="503" t="s">
        <v>584</v>
      </c>
      <c r="E3" s="112" t="s">
        <v>1667</v>
      </c>
      <c r="F3" s="503"/>
      <c r="G3" s="112" t="s">
        <v>585</v>
      </c>
      <c r="H3" s="824"/>
    </row>
    <row r="4" spans="1:12" ht="15" customHeight="1">
      <c r="A4" s="308"/>
      <c r="B4" s="114" t="s">
        <v>599</v>
      </c>
      <c r="C4" s="113" t="s">
        <v>1802</v>
      </c>
      <c r="D4" s="116" t="s">
        <v>600</v>
      </c>
      <c r="E4" s="115" t="s">
        <v>586</v>
      </c>
      <c r="F4" s="959" t="s">
        <v>1267</v>
      </c>
      <c r="G4" s="115" t="s">
        <v>587</v>
      </c>
      <c r="H4" s="959" t="s">
        <v>1267</v>
      </c>
    </row>
    <row r="5" spans="1:12" ht="15" customHeight="1">
      <c r="A5" s="308"/>
      <c r="B5" s="114" t="s">
        <v>1058</v>
      </c>
      <c r="C5" s="113" t="s">
        <v>1806</v>
      </c>
      <c r="D5" s="116" t="s">
        <v>588</v>
      </c>
      <c r="E5" s="115" t="s">
        <v>601</v>
      </c>
      <c r="F5" s="959" t="s">
        <v>1268</v>
      </c>
      <c r="G5" s="115" t="s">
        <v>602</v>
      </c>
      <c r="H5" s="959" t="s">
        <v>1268</v>
      </c>
    </row>
    <row r="6" spans="1:12" ht="24" customHeight="1">
      <c r="A6" s="309"/>
      <c r="B6" s="120"/>
      <c r="C6" s="117"/>
      <c r="D6" s="118" t="s">
        <v>589</v>
      </c>
      <c r="E6" s="119" t="s">
        <v>1058</v>
      </c>
      <c r="F6" s="977" t="s">
        <v>870</v>
      </c>
      <c r="G6" s="119" t="s">
        <v>1058</v>
      </c>
      <c r="H6" s="977" t="s">
        <v>870</v>
      </c>
    </row>
    <row r="7" spans="1:12" ht="2.25" customHeight="1" thickBot="1">
      <c r="A7" s="356">
        <v>1996</v>
      </c>
      <c r="B7" s="978">
        <v>2470.5</v>
      </c>
      <c r="C7" s="979" t="s">
        <v>59</v>
      </c>
      <c r="D7" s="125">
        <v>0.26510074357417535</v>
      </c>
      <c r="E7" s="980">
        <v>1815.5686129999999</v>
      </c>
      <c r="F7" s="125">
        <v>0.2482836813614821</v>
      </c>
      <c r="G7" s="980">
        <v>1467.1668685500001</v>
      </c>
      <c r="H7" s="125">
        <v>0.19641864881833015</v>
      </c>
      <c r="J7" s="9"/>
      <c r="K7" s="9"/>
      <c r="L7" s="9"/>
    </row>
    <row r="8" spans="1:12" ht="20" customHeight="1" thickBot="1">
      <c r="A8" s="312">
        <v>1997</v>
      </c>
      <c r="B8" s="981">
        <v>2716.0039999999999</v>
      </c>
      <c r="C8" s="667">
        <v>9.9374215745800409E-2</v>
      </c>
      <c r="D8" s="828">
        <v>0.23152856917736497</v>
      </c>
      <c r="E8" s="821">
        <v>2087.17148</v>
      </c>
      <c r="F8" s="828">
        <v>0.26871138542004225</v>
      </c>
      <c r="G8" s="821">
        <v>1994.2314670000001</v>
      </c>
      <c r="H8" s="828">
        <v>0.32454456351229566</v>
      </c>
    </row>
    <row r="9" spans="1:12" ht="20" customHeight="1" thickBot="1">
      <c r="A9" s="312">
        <v>1998</v>
      </c>
      <c r="B9" s="981">
        <v>2972.5</v>
      </c>
      <c r="C9" s="667">
        <v>9.4438741621882774E-2</v>
      </c>
      <c r="D9" s="828">
        <v>0.23858957510513035</v>
      </c>
      <c r="E9" s="821">
        <v>2263.292488</v>
      </c>
      <c r="F9" s="828">
        <v>0.29253266403277173</v>
      </c>
      <c r="G9" s="821">
        <v>2446.4709480000001</v>
      </c>
      <c r="H9" s="828">
        <v>0.3175521493515443</v>
      </c>
    </row>
    <row r="10" spans="1:12" ht="20" customHeight="1" thickBot="1">
      <c r="A10" s="312">
        <v>1999</v>
      </c>
      <c r="B10" s="981">
        <v>3270</v>
      </c>
      <c r="C10" s="667">
        <v>0.10008410428931876</v>
      </c>
      <c r="D10" s="828">
        <v>0.24261539724770631</v>
      </c>
      <c r="E10" s="821">
        <v>2476.6476510000002</v>
      </c>
      <c r="F10" s="828">
        <v>0.31373131445899005</v>
      </c>
      <c r="G10" s="821">
        <v>2689.6721769999999</v>
      </c>
      <c r="H10" s="828">
        <v>0.33145279359936858</v>
      </c>
    </row>
    <row r="11" spans="1:12" ht="20" customHeight="1" thickBot="1">
      <c r="A11" s="312">
        <v>2000</v>
      </c>
      <c r="B11" s="981">
        <v>3319.5</v>
      </c>
      <c r="C11" s="667">
        <v>1.5137614678899083E-2</v>
      </c>
      <c r="D11" s="828">
        <v>0.23698356288597677</v>
      </c>
      <c r="E11" s="821">
        <v>2532.833063</v>
      </c>
      <c r="F11" s="828">
        <v>0.31286862956128064</v>
      </c>
      <c r="G11" s="821">
        <v>2545.3263492000001</v>
      </c>
      <c r="H11" s="828">
        <v>0.3246756501223273</v>
      </c>
    </row>
    <row r="12" spans="1:12" s="148" customFormat="1" ht="20" customHeight="1" thickBot="1">
      <c r="A12" s="312">
        <v>2001</v>
      </c>
      <c r="B12" s="981">
        <v>3369</v>
      </c>
      <c r="C12" s="667">
        <v>1.4911884319927699E-2</v>
      </c>
      <c r="D12" s="828">
        <v>0.20699731491831064</v>
      </c>
      <c r="E12" s="821">
        <v>2671.6260460402113</v>
      </c>
      <c r="F12" s="828">
        <v>0.31892270100585679</v>
      </c>
      <c r="G12" s="821">
        <v>2657.2</v>
      </c>
      <c r="H12" s="828">
        <v>0.32313659872418687</v>
      </c>
    </row>
    <row r="13" spans="1:12" ht="20" customHeight="1" thickBot="1">
      <c r="A13" s="312">
        <v>2002</v>
      </c>
      <c r="B13" s="981">
        <v>3420</v>
      </c>
      <c r="C13" s="667">
        <v>1.5138023152270703E-2</v>
      </c>
      <c r="D13" s="828">
        <v>0.16712682076023389</v>
      </c>
      <c r="E13" s="821">
        <v>2848.426273</v>
      </c>
      <c r="F13" s="828">
        <v>0.32754041548755747</v>
      </c>
      <c r="G13" s="821">
        <v>2892</v>
      </c>
      <c r="H13" s="828">
        <v>0.33503586516078104</v>
      </c>
    </row>
    <row r="14" spans="1:12" s="148" customFormat="1" ht="21.75" customHeight="1" thickBot="1">
      <c r="A14" s="312">
        <v>2003</v>
      </c>
      <c r="B14" s="981">
        <v>3471</v>
      </c>
      <c r="C14" s="667">
        <v>1.4912280701754385E-2</v>
      </c>
      <c r="D14" s="828">
        <v>0.14690290982425813</v>
      </c>
      <c r="E14" s="821">
        <v>2961.1</v>
      </c>
      <c r="F14" s="828">
        <v>0.3270202057873508</v>
      </c>
      <c r="G14" s="821">
        <v>3065.5</v>
      </c>
      <c r="H14" s="828">
        <v>0.34986041988328265</v>
      </c>
    </row>
    <row r="15" spans="1:12" ht="20" customHeight="1" thickBot="1">
      <c r="A15" s="312">
        <v>2004</v>
      </c>
      <c r="B15" s="981">
        <v>3523.5</v>
      </c>
      <c r="C15" s="667">
        <v>1.512532411408816E-2</v>
      </c>
      <c r="D15" s="828">
        <v>0.14139350078047386</v>
      </c>
      <c r="E15" s="821">
        <v>3025.3</v>
      </c>
      <c r="F15" s="828">
        <v>0.32786069857980232</v>
      </c>
      <c r="G15" s="821">
        <v>3169.8</v>
      </c>
      <c r="H15" s="828">
        <v>0.35221732419197194</v>
      </c>
    </row>
    <row r="16" spans="1:12" ht="21.75" customHeight="1" thickBot="1">
      <c r="A16" s="312">
        <v>2005</v>
      </c>
      <c r="B16" s="981">
        <v>3576</v>
      </c>
      <c r="C16" s="667">
        <v>1.489995742869306E-2</v>
      </c>
      <c r="D16" s="828">
        <v>0.12762163310961971</v>
      </c>
      <c r="E16" s="821">
        <v>3119.6250399999999</v>
      </c>
      <c r="F16" s="828">
        <v>0.32919981434691908</v>
      </c>
      <c r="G16" s="821">
        <v>3201.7620889999998</v>
      </c>
      <c r="H16" s="828">
        <v>0.35637005695084922</v>
      </c>
    </row>
    <row r="17" spans="1:8" s="148" customFormat="1" ht="21.75" customHeight="1" thickBot="1">
      <c r="A17" s="312">
        <v>2006</v>
      </c>
      <c r="B17" s="981">
        <v>3780</v>
      </c>
      <c r="C17" s="667">
        <v>5.7046979865771813E-2</v>
      </c>
      <c r="D17" s="828">
        <v>0.14549879814814826</v>
      </c>
      <c r="E17" s="821">
        <v>3230.0145429999998</v>
      </c>
      <c r="F17" s="828">
        <v>0.32827053311505788</v>
      </c>
      <c r="G17" s="821">
        <v>3308.7390919999998</v>
      </c>
      <c r="H17" s="828">
        <v>0.35384170478437954</v>
      </c>
    </row>
    <row r="18" spans="1:8" ht="25.5" customHeight="1" thickBot="1">
      <c r="A18" s="418">
        <v>2007</v>
      </c>
      <c r="B18" s="982">
        <v>3987</v>
      </c>
      <c r="C18" s="681">
        <v>5.4761904761904762E-2</v>
      </c>
      <c r="D18" s="829">
        <v>0.13915572259844489</v>
      </c>
      <c r="E18" s="823">
        <v>3432.186134</v>
      </c>
      <c r="F18" s="829">
        <v>0.32889884112561363</v>
      </c>
      <c r="G18" s="823">
        <v>3420.5200599999998</v>
      </c>
      <c r="H18" s="829">
        <v>0.35134625317765278</v>
      </c>
    </row>
    <row r="19" spans="1:8" ht="20" customHeight="1">
      <c r="A19" s="983" t="s">
        <v>1275</v>
      </c>
      <c r="B19" s="133"/>
      <c r="C19" s="133"/>
      <c r="D19" s="133"/>
      <c r="E19" s="133"/>
      <c r="F19" s="133"/>
      <c r="G19" s="133"/>
      <c r="H19" s="599"/>
    </row>
    <row r="20" spans="1:8" ht="13.5" customHeight="1">
      <c r="A20" s="984"/>
      <c r="B20" s="3"/>
      <c r="C20" s="3"/>
      <c r="D20" s="3"/>
      <c r="E20" s="3"/>
      <c r="F20" s="3"/>
      <c r="G20" s="3"/>
      <c r="H20" s="600"/>
    </row>
    <row r="21" spans="1:8" ht="20" customHeight="1">
      <c r="A21" s="336" t="s">
        <v>590</v>
      </c>
      <c r="B21" s="3"/>
      <c r="C21" s="3"/>
      <c r="D21" s="3"/>
      <c r="E21" s="3"/>
      <c r="F21" s="3"/>
      <c r="G21" s="3"/>
      <c r="H21" s="600"/>
    </row>
    <row r="22" spans="1:8" ht="12.75" customHeight="1">
      <c r="A22" s="984"/>
      <c r="B22" s="3"/>
      <c r="C22" s="3"/>
      <c r="D22" s="3"/>
      <c r="E22" s="3"/>
      <c r="F22" s="3"/>
      <c r="G22" s="3"/>
      <c r="H22" s="600"/>
    </row>
    <row r="23" spans="1:8" ht="14.25" customHeight="1">
      <c r="A23" s="984" t="s">
        <v>591</v>
      </c>
      <c r="B23" s="3"/>
      <c r="C23" s="3"/>
      <c r="D23" s="3"/>
      <c r="E23" s="3"/>
      <c r="F23" s="3"/>
      <c r="G23" s="3"/>
      <c r="H23" s="600"/>
    </row>
    <row r="24" spans="1:8" ht="14.25" customHeight="1">
      <c r="A24" s="984" t="s">
        <v>592</v>
      </c>
      <c r="B24" s="3"/>
      <c r="C24" s="3"/>
      <c r="D24" s="3"/>
      <c r="E24" s="3"/>
      <c r="F24" s="3"/>
      <c r="G24" s="3"/>
      <c r="H24" s="600"/>
    </row>
    <row r="25" spans="1:8" ht="14.25" customHeight="1">
      <c r="A25" s="994" t="s">
        <v>1576</v>
      </c>
      <c r="B25" s="3"/>
      <c r="C25" s="3"/>
      <c r="D25" s="3"/>
      <c r="E25" s="3"/>
      <c r="F25" s="3"/>
      <c r="G25" s="3"/>
      <c r="H25" s="600"/>
    </row>
    <row r="26" spans="1:8" ht="14.25" customHeight="1">
      <c r="A26" s="995" t="s">
        <v>1577</v>
      </c>
      <c r="B26" s="3"/>
      <c r="C26" s="3"/>
      <c r="D26" s="3"/>
      <c r="E26" s="3"/>
      <c r="F26" s="3"/>
      <c r="G26" s="3"/>
      <c r="H26" s="600"/>
    </row>
    <row r="27" spans="1:8" ht="12" customHeight="1">
      <c r="A27" s="352" t="s">
        <v>593</v>
      </c>
    </row>
    <row r="28" spans="1:8" ht="12" customHeight="1">
      <c r="A28" s="352" t="s">
        <v>594</v>
      </c>
    </row>
    <row r="29" spans="1:8">
      <c r="A29" s="352" t="s">
        <v>595</v>
      </c>
      <c r="B29" s="352"/>
    </row>
    <row r="30" spans="1:8">
      <c r="A30" s="352" t="s">
        <v>596</v>
      </c>
    </row>
    <row r="31" spans="1:8">
      <c r="A31" s="352" t="s">
        <v>597</v>
      </c>
    </row>
    <row r="32" spans="1:8">
      <c r="A32" s="352" t="s">
        <v>598</v>
      </c>
    </row>
    <row r="35" spans="1:1">
      <c r="A35" s="2" t="s">
        <v>634</v>
      </c>
    </row>
  </sheetData>
  <phoneticPr fontId="0" type="noConversion"/>
  <pageMargins left="0.6" right="0.7" top="0.81" bottom="0.49" header="0.49" footer="0.4921259845"/>
  <pageSetup paperSize="9" scale="78" orientation="portrait" horizontalDpi="4294967292" verticalDpi="4294967292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A97C-CD83-7747-A8D5-B5EEE6872174}">
  <sheetPr>
    <pageSetUpPr fitToPage="1"/>
  </sheetPr>
  <dimension ref="A1:M50"/>
  <sheetViews>
    <sheetView zoomScale="75" workbookViewId="0">
      <selection activeCell="A44" sqref="A44"/>
    </sheetView>
  </sheetViews>
  <sheetFormatPr baseColWidth="10" defaultColWidth="11.3984375" defaultRowHeight="13"/>
  <cols>
    <col min="1" max="1" width="9.796875" style="2" customWidth="1"/>
    <col min="2" max="3" width="11" style="2" customWidth="1"/>
    <col min="4" max="4" width="11.19921875" style="95" customWidth="1"/>
    <col min="5" max="5" width="15.3984375" style="2" customWidth="1"/>
    <col min="6" max="6" width="14.796875" style="2" customWidth="1"/>
    <col min="7" max="7" width="11" style="2" customWidth="1"/>
    <col min="8" max="8" width="15" style="148" customWidth="1"/>
    <col min="9" max="9" width="10.796875" style="2" customWidth="1"/>
    <col min="10" max="16384" width="11.3984375" style="2"/>
  </cols>
  <sheetData>
    <row r="1" spans="1:10" s="1" customFormat="1" ht="14" customHeight="1">
      <c r="D1" s="166"/>
      <c r="H1" s="17"/>
    </row>
    <row r="2" spans="1:10" s="1" customFormat="1" ht="28" customHeight="1">
      <c r="A2" s="109" t="s">
        <v>1571</v>
      </c>
      <c r="D2" s="166"/>
      <c r="H2" s="17"/>
      <c r="I2" s="321">
        <v>2007</v>
      </c>
    </row>
    <row r="3" spans="1:10" ht="24" customHeight="1">
      <c r="A3" s="110" t="s">
        <v>1797</v>
      </c>
      <c r="B3" s="111" t="s">
        <v>1507</v>
      </c>
      <c r="C3" s="112" t="s">
        <v>1508</v>
      </c>
      <c r="D3" s="503" t="s">
        <v>1509</v>
      </c>
      <c r="E3" s="110" t="s">
        <v>2476</v>
      </c>
      <c r="F3" s="349"/>
      <c r="G3" s="112"/>
      <c r="H3" s="385"/>
      <c r="I3" s="112"/>
    </row>
    <row r="4" spans="1:10" ht="18" customHeight="1">
      <c r="A4" s="308"/>
      <c r="B4" s="114" t="s">
        <v>1510</v>
      </c>
      <c r="C4" s="279" t="s">
        <v>1511</v>
      </c>
      <c r="D4" s="278" t="s">
        <v>1572</v>
      </c>
      <c r="E4" s="279" t="s">
        <v>1665</v>
      </c>
      <c r="F4" s="140" t="s">
        <v>1666</v>
      </c>
      <c r="G4" s="277" t="s">
        <v>1666</v>
      </c>
      <c r="H4" s="958" t="s">
        <v>629</v>
      </c>
      <c r="I4" s="113" t="s">
        <v>1801</v>
      </c>
    </row>
    <row r="5" spans="1:10" ht="18.75" customHeight="1">
      <c r="A5" s="308"/>
      <c r="B5" s="114" t="s">
        <v>1573</v>
      </c>
      <c r="C5" s="115" t="s">
        <v>1512</v>
      </c>
      <c r="D5" s="116"/>
      <c r="E5" s="115" t="s">
        <v>1513</v>
      </c>
      <c r="F5" s="140" t="s">
        <v>1513</v>
      </c>
      <c r="G5" s="277" t="s">
        <v>1513</v>
      </c>
      <c r="H5" s="958" t="s">
        <v>1514</v>
      </c>
      <c r="I5" s="113" t="s">
        <v>51</v>
      </c>
    </row>
    <row r="6" spans="1:10" ht="15" customHeight="1">
      <c r="A6" s="308"/>
      <c r="B6" s="114"/>
      <c r="C6" s="115" t="s">
        <v>2477</v>
      </c>
      <c r="D6" s="116"/>
      <c r="E6" s="115" t="s">
        <v>494</v>
      </c>
      <c r="F6" s="140" t="s">
        <v>494</v>
      </c>
      <c r="G6" s="277" t="s">
        <v>705</v>
      </c>
      <c r="H6" s="958" t="s">
        <v>1515</v>
      </c>
      <c r="I6" s="113" t="s">
        <v>1806</v>
      </c>
    </row>
    <row r="7" spans="1:10" ht="18" customHeight="1">
      <c r="A7" s="308"/>
      <c r="B7" s="114"/>
      <c r="C7" s="115"/>
      <c r="D7" s="116"/>
      <c r="E7" s="115"/>
      <c r="F7" s="140"/>
      <c r="G7" s="277" t="s">
        <v>1665</v>
      </c>
      <c r="H7" s="958" t="s">
        <v>1574</v>
      </c>
      <c r="I7" s="115"/>
    </row>
    <row r="8" spans="1:10" ht="23.25" customHeight="1">
      <c r="A8" s="309"/>
      <c r="B8" s="120"/>
      <c r="C8" s="119"/>
      <c r="D8" s="118"/>
      <c r="E8" s="119"/>
      <c r="F8" s="141"/>
      <c r="G8" s="281" t="s">
        <v>1575</v>
      </c>
      <c r="H8" s="507"/>
      <c r="I8" s="119"/>
    </row>
    <row r="9" spans="1:10" ht="30" customHeight="1" thickBot="1">
      <c r="A9" s="324" t="s">
        <v>1807</v>
      </c>
      <c r="B9" s="123">
        <v>1281895</v>
      </c>
      <c r="C9" s="124">
        <v>147</v>
      </c>
      <c r="D9" s="949" t="s">
        <v>59</v>
      </c>
      <c r="E9" s="124">
        <v>351762331.67421246</v>
      </c>
      <c r="F9" s="123">
        <v>333048227.00370693</v>
      </c>
      <c r="G9" s="168">
        <v>0.94679900891765256</v>
      </c>
      <c r="H9" s="961">
        <v>684810558.67791939</v>
      </c>
      <c r="I9" s="168">
        <v>5.4248055315186505E-2</v>
      </c>
      <c r="J9" s="8"/>
    </row>
    <row r="10" spans="1:10" ht="20" customHeight="1" thickBot="1">
      <c r="A10" s="328" t="s">
        <v>1808</v>
      </c>
      <c r="B10" s="174">
        <v>961694.99333333329</v>
      </c>
      <c r="C10" s="175">
        <v>68</v>
      </c>
      <c r="D10" s="950" t="s">
        <v>59</v>
      </c>
      <c r="E10" s="175">
        <v>392653718.85586131</v>
      </c>
      <c r="F10" s="174">
        <v>121100438.5925709</v>
      </c>
      <c r="G10" s="667">
        <v>0.30841536136583869</v>
      </c>
      <c r="H10" s="316">
        <v>513754157.44843221</v>
      </c>
      <c r="I10" s="667">
        <v>5.4534796400347751E-2</v>
      </c>
      <c r="J10" s="8"/>
    </row>
    <row r="11" spans="1:10" ht="20" customHeight="1" thickBot="1">
      <c r="A11" s="328" t="s">
        <v>1809</v>
      </c>
      <c r="B11" s="174">
        <v>353911.01666666666</v>
      </c>
      <c r="C11" s="175">
        <v>64</v>
      </c>
      <c r="D11" s="950" t="s">
        <v>59</v>
      </c>
      <c r="E11" s="175">
        <v>147436305.87733355</v>
      </c>
      <c r="F11" s="174">
        <v>41629102.01158905</v>
      </c>
      <c r="G11" s="667">
        <v>0.28235312709356886</v>
      </c>
      <c r="H11" s="316">
        <v>189065407.8889226</v>
      </c>
      <c r="I11" s="667">
        <v>5.4557737652127791E-2</v>
      </c>
      <c r="J11" s="8"/>
    </row>
    <row r="12" spans="1:10" ht="20" customHeight="1" thickBot="1">
      <c r="A12" s="328" t="s">
        <v>1810</v>
      </c>
      <c r="B12" s="174">
        <v>34768</v>
      </c>
      <c r="C12" s="175">
        <v>40</v>
      </c>
      <c r="D12" s="950" t="s">
        <v>59</v>
      </c>
      <c r="E12" s="175">
        <v>16342483.781306209</v>
      </c>
      <c r="F12" s="174">
        <v>2231185.2821614724</v>
      </c>
      <c r="G12" s="667">
        <v>0.13652669398477077</v>
      </c>
      <c r="H12" s="316">
        <v>18573669.063467681</v>
      </c>
      <c r="I12" s="667">
        <v>5.454576908739428E-2</v>
      </c>
      <c r="J12" s="8"/>
    </row>
    <row r="13" spans="1:10" ht="20" customHeight="1" thickBot="1">
      <c r="A13" s="328" t="s">
        <v>1811</v>
      </c>
      <c r="B13" s="174">
        <v>135185.07999999999</v>
      </c>
      <c r="C13" s="175">
        <v>110</v>
      </c>
      <c r="D13" s="950" t="s">
        <v>59</v>
      </c>
      <c r="E13" s="175">
        <v>44684009.123939097</v>
      </c>
      <c r="F13" s="174">
        <v>27534207.001187548</v>
      </c>
      <c r="G13" s="667">
        <v>0.61619822260837198</v>
      </c>
      <c r="H13" s="316">
        <v>72218216.125126645</v>
      </c>
      <c r="I13" s="667">
        <v>5.4522991373057383E-2</v>
      </c>
      <c r="J13" s="8"/>
    </row>
    <row r="14" spans="1:10" ht="20" customHeight="1" thickBot="1">
      <c r="A14" s="328" t="s">
        <v>1812</v>
      </c>
      <c r="B14" s="174">
        <v>33050</v>
      </c>
      <c r="C14" s="175">
        <v>30</v>
      </c>
      <c r="D14" s="950" t="s">
        <v>59</v>
      </c>
      <c r="E14" s="175">
        <v>16336341.942308281</v>
      </c>
      <c r="F14" s="174">
        <v>1319541.7020660527</v>
      </c>
      <c r="G14" s="667">
        <v>8.0773388970799484E-2</v>
      </c>
      <c r="H14" s="316">
        <v>17655883.644374333</v>
      </c>
      <c r="I14" s="667">
        <v>5.4545769087394058E-2</v>
      </c>
      <c r="J14" s="8"/>
    </row>
    <row r="15" spans="1:10" ht="20" customHeight="1" thickBot="1">
      <c r="A15" s="328" t="s">
        <v>1813</v>
      </c>
      <c r="B15" s="174">
        <v>38743</v>
      </c>
      <c r="C15" s="175">
        <v>128</v>
      </c>
      <c r="D15" s="950" t="s">
        <v>59</v>
      </c>
      <c r="E15" s="175">
        <v>11697569.119216058</v>
      </c>
      <c r="F15" s="174">
        <v>8999613.9377883226</v>
      </c>
      <c r="G15" s="667">
        <v>0.76935762003785058</v>
      </c>
      <c r="H15" s="316">
        <v>20697183.057004381</v>
      </c>
      <c r="I15" s="667">
        <v>5.4545769087394058E-2</v>
      </c>
      <c r="J15" s="8"/>
    </row>
    <row r="16" spans="1:10" ht="20" customHeight="1" thickBot="1">
      <c r="A16" s="328" t="s">
        <v>1814</v>
      </c>
      <c r="B16" s="174">
        <v>38275</v>
      </c>
      <c r="C16" s="175">
        <v>77</v>
      </c>
      <c r="D16" s="950" t="s">
        <v>59</v>
      </c>
      <c r="E16" s="175">
        <v>14935750.885394178</v>
      </c>
      <c r="F16" s="174">
        <v>5511418.4485975802</v>
      </c>
      <c r="G16" s="667">
        <v>0.36900846103340224</v>
      </c>
      <c r="H16" s="316">
        <v>20447169.333991759</v>
      </c>
      <c r="I16" s="667">
        <v>5.454576908739428E-2</v>
      </c>
      <c r="J16" s="8"/>
    </row>
    <row r="17" spans="1:10" ht="20" customHeight="1" thickBot="1">
      <c r="A17" s="328" t="s">
        <v>1815</v>
      </c>
      <c r="B17" s="174">
        <v>104699.5</v>
      </c>
      <c r="C17" s="175">
        <v>224</v>
      </c>
      <c r="D17" s="950" t="s">
        <v>59</v>
      </c>
      <c r="E17" s="175">
        <v>19504508.138410315</v>
      </c>
      <c r="F17" s="174">
        <v>36427782.016632661</v>
      </c>
      <c r="G17" s="667">
        <v>1.8676596076214436</v>
      </c>
      <c r="H17" s="316">
        <v>55932290.155042976</v>
      </c>
      <c r="I17" s="667">
        <v>5.4550805170685557E-2</v>
      </c>
      <c r="J17" s="8"/>
    </row>
    <row r="18" spans="1:10" ht="20" customHeight="1" thickBot="1">
      <c r="A18" s="328" t="s">
        <v>1816</v>
      </c>
      <c r="B18" s="174">
        <v>251955.50333333333</v>
      </c>
      <c r="C18" s="175">
        <v>47</v>
      </c>
      <c r="D18" s="950" t="s">
        <v>59</v>
      </c>
      <c r="E18" s="175">
        <v>114332764.3661759</v>
      </c>
      <c r="F18" s="174">
        <v>20266238.672042027</v>
      </c>
      <c r="G18" s="667">
        <v>0.17725661392332759</v>
      </c>
      <c r="H18" s="316">
        <v>134599003.03821793</v>
      </c>
      <c r="I18" s="667">
        <v>5.4572989130544203E-2</v>
      </c>
      <c r="J18" s="8"/>
    </row>
    <row r="19" spans="1:10" ht="20" customHeight="1" thickBot="1">
      <c r="A19" s="328" t="s">
        <v>1817</v>
      </c>
      <c r="B19" s="174">
        <v>246178.85333333333</v>
      </c>
      <c r="C19" s="175">
        <v>76</v>
      </c>
      <c r="D19" s="950" t="s">
        <v>59</v>
      </c>
      <c r="E19" s="175">
        <v>96548850.224583507</v>
      </c>
      <c r="F19" s="174">
        <v>34964166.119102672</v>
      </c>
      <c r="G19" s="667">
        <v>0.36213964265521631</v>
      </c>
      <c r="H19" s="316">
        <v>131513016.34368618</v>
      </c>
      <c r="I19" s="667">
        <v>5.4587979077190152E-2</v>
      </c>
      <c r="J19" s="8"/>
    </row>
    <row r="20" spans="1:10" ht="20" customHeight="1" thickBot="1">
      <c r="A20" s="328" t="s">
        <v>1818</v>
      </c>
      <c r="B20" s="174">
        <v>193130.50666666665</v>
      </c>
      <c r="C20" s="175">
        <v>173</v>
      </c>
      <c r="D20" s="950" t="s">
        <v>59</v>
      </c>
      <c r="E20" s="175">
        <v>46499765.580159456</v>
      </c>
      <c r="F20" s="174">
        <v>56673903.221224144</v>
      </c>
      <c r="G20" s="667">
        <v>1.2187997619800002</v>
      </c>
      <c r="H20" s="316">
        <v>103173668.8013836</v>
      </c>
      <c r="I20" s="667">
        <v>5.6528877651052634E-2</v>
      </c>
      <c r="J20" s="8"/>
    </row>
    <row r="21" spans="1:10" ht="20" customHeight="1" thickBot="1">
      <c r="A21" s="328" t="s">
        <v>1819</v>
      </c>
      <c r="B21" s="144">
        <v>264543.09000000003</v>
      </c>
      <c r="C21" s="297">
        <v>109</v>
      </c>
      <c r="D21" s="950" t="s">
        <v>59</v>
      </c>
      <c r="E21" s="175">
        <v>87882882.132494479</v>
      </c>
      <c r="F21" s="144">
        <v>53440628.184093952</v>
      </c>
      <c r="G21" s="667">
        <v>0.60808916238688548</v>
      </c>
      <c r="H21" s="314">
        <v>141323510.31658843</v>
      </c>
      <c r="I21" s="667">
        <v>5.5036670073389971E-2</v>
      </c>
      <c r="J21" s="8"/>
    </row>
    <row r="22" spans="1:10" ht="20" customHeight="1" thickBot="1">
      <c r="A22" s="328" t="s">
        <v>1820</v>
      </c>
      <c r="B22" s="174">
        <v>74794.649999999994</v>
      </c>
      <c r="C22" s="175">
        <v>94</v>
      </c>
      <c r="D22" s="950" t="s">
        <v>59</v>
      </c>
      <c r="E22" s="175">
        <v>26794514.979609109</v>
      </c>
      <c r="F22" s="174">
        <v>13162085.25100217</v>
      </c>
      <c r="G22" s="667">
        <v>0.49122312014300862</v>
      </c>
      <c r="H22" s="316">
        <v>39956600.23061128</v>
      </c>
      <c r="I22" s="667">
        <v>5.6943138463952714E-2</v>
      </c>
      <c r="J22" s="8"/>
    </row>
    <row r="23" spans="1:10" ht="20" customHeight="1" thickBot="1">
      <c r="A23" s="328" t="s">
        <v>1821</v>
      </c>
      <c r="B23" s="174">
        <v>52549.096666666665</v>
      </c>
      <c r="C23" s="175">
        <v>61</v>
      </c>
      <c r="D23" s="950" t="s">
        <v>59</v>
      </c>
      <c r="E23" s="175">
        <v>22224352.315500505</v>
      </c>
      <c r="F23" s="174">
        <v>5848287.2113874182</v>
      </c>
      <c r="G23" s="667">
        <v>0.26314770070075322</v>
      </c>
      <c r="H23" s="316">
        <v>28072639.526887923</v>
      </c>
      <c r="I23" s="667">
        <v>5.4527641469035659E-2</v>
      </c>
      <c r="J23" s="8"/>
    </row>
    <row r="24" spans="1:10" ht="20" customHeight="1" thickBot="1">
      <c r="A24" s="328" t="s">
        <v>1822</v>
      </c>
      <c r="B24" s="174">
        <v>14678.133333333333</v>
      </c>
      <c r="C24" s="175">
        <v>61</v>
      </c>
      <c r="D24" s="950" t="s">
        <v>59</v>
      </c>
      <c r="E24" s="175">
        <v>6207756.6928151799</v>
      </c>
      <c r="F24" s="174">
        <v>1633556.9002240254</v>
      </c>
      <c r="G24" s="667">
        <v>0.263147700700753</v>
      </c>
      <c r="H24" s="316">
        <v>7841313.5930392053</v>
      </c>
      <c r="I24" s="667">
        <v>5.4555348464867093E-2</v>
      </c>
      <c r="J24" s="8"/>
    </row>
    <row r="25" spans="1:10" ht="20" customHeight="1" thickBot="1">
      <c r="A25" s="328" t="s">
        <v>1823</v>
      </c>
      <c r="B25" s="174">
        <v>459479.1</v>
      </c>
      <c r="C25" s="175">
        <v>79</v>
      </c>
      <c r="D25" s="950" t="s">
        <v>59</v>
      </c>
      <c r="E25" s="175">
        <v>177504196.17516553</v>
      </c>
      <c r="F25" s="174">
        <v>67957514.161350012</v>
      </c>
      <c r="G25" s="667">
        <v>0.38285018397135723</v>
      </c>
      <c r="H25" s="316">
        <v>245461710.33651555</v>
      </c>
      <c r="I25" s="667">
        <v>5.4568950003337946E-2</v>
      </c>
      <c r="J25" s="8"/>
    </row>
    <row r="26" spans="1:10" ht="20" customHeight="1" thickBot="1">
      <c r="A26" s="328" t="s">
        <v>1824</v>
      </c>
      <c r="B26" s="174">
        <v>191658.08666666667</v>
      </c>
      <c r="C26" s="175">
        <v>58</v>
      </c>
      <c r="D26" s="950" t="s">
        <v>59</v>
      </c>
      <c r="E26" s="175">
        <v>82289515.62274538</v>
      </c>
      <c r="F26" s="174">
        <v>20097560.858043686</v>
      </c>
      <c r="G26" s="667">
        <v>0.24422990834191499</v>
      </c>
      <c r="H26" s="316">
        <v>102387076.48078907</v>
      </c>
      <c r="I26" s="667">
        <v>5.4474721818733363E-2</v>
      </c>
      <c r="J26" s="8"/>
    </row>
    <row r="27" spans="1:10" ht="20" customHeight="1" thickBot="1">
      <c r="A27" s="328" t="s">
        <v>1825</v>
      </c>
      <c r="B27" s="174">
        <v>564532.41666666663</v>
      </c>
      <c r="C27" s="175">
        <v>108</v>
      </c>
      <c r="D27" s="950" t="s">
        <v>59</v>
      </c>
      <c r="E27" s="175">
        <v>188486935.73322582</v>
      </c>
      <c r="F27" s="174">
        <v>113096079.76281399</v>
      </c>
      <c r="G27" s="667">
        <v>0.6000207882995352</v>
      </c>
      <c r="H27" s="316">
        <v>301583015.49603981</v>
      </c>
      <c r="I27" s="667">
        <v>5.5226938622033206E-2</v>
      </c>
      <c r="J27" s="8"/>
    </row>
    <row r="28" spans="1:10" ht="20" customHeight="1" thickBot="1">
      <c r="A28" s="328" t="s">
        <v>1826</v>
      </c>
      <c r="B28" s="174">
        <v>233382.13333333333</v>
      </c>
      <c r="C28" s="175">
        <v>86</v>
      </c>
      <c r="D28" s="950" t="s">
        <v>59</v>
      </c>
      <c r="E28" s="175">
        <v>87040017.448194578</v>
      </c>
      <c r="F28" s="174">
        <v>37636768.960555509</v>
      </c>
      <c r="G28" s="667">
        <v>0.43240764494281692</v>
      </c>
      <c r="H28" s="316">
        <v>124676786.40875009</v>
      </c>
      <c r="I28" s="667">
        <v>5.4813032951131158E-2</v>
      </c>
      <c r="J28" s="8"/>
    </row>
    <row r="29" spans="1:10" ht="20" customHeight="1" thickBot="1">
      <c r="A29" s="328" t="s">
        <v>1827</v>
      </c>
      <c r="B29" s="174">
        <v>319529.93333333335</v>
      </c>
      <c r="C29" s="175">
        <v>88</v>
      </c>
      <c r="D29" s="950" t="s">
        <v>59</v>
      </c>
      <c r="E29" s="175">
        <v>117976066.83412176</v>
      </c>
      <c r="F29" s="174">
        <v>52722369.590326697</v>
      </c>
      <c r="G29" s="667">
        <v>0.44689038213535365</v>
      </c>
      <c r="H29" s="316">
        <v>170698436.42444846</v>
      </c>
      <c r="I29" s="667">
        <v>5.4601657189046415E-2</v>
      </c>
      <c r="J29" s="8"/>
    </row>
    <row r="30" spans="1:10" ht="20" customHeight="1" thickBot="1">
      <c r="A30" s="328" t="s">
        <v>1828</v>
      </c>
      <c r="B30" s="174">
        <v>656609.21666666667</v>
      </c>
      <c r="C30" s="175">
        <v>99</v>
      </c>
      <c r="D30" s="950" t="s">
        <v>59</v>
      </c>
      <c r="E30" s="175">
        <v>229382267.47373003</v>
      </c>
      <c r="F30" s="174">
        <v>121389772.7468583</v>
      </c>
      <c r="G30" s="667">
        <v>0.52920295053217414</v>
      </c>
      <c r="H30" s="316">
        <v>350772040.22058833</v>
      </c>
      <c r="I30" s="667">
        <v>5.4628031917395736E-2</v>
      </c>
      <c r="J30" s="8"/>
    </row>
    <row r="31" spans="1:10" ht="20" customHeight="1" thickBot="1">
      <c r="A31" s="328" t="s">
        <v>1829</v>
      </c>
      <c r="B31" s="174">
        <v>286570.87666666665</v>
      </c>
      <c r="C31" s="175">
        <v>32</v>
      </c>
      <c r="D31" s="950" t="s">
        <v>59</v>
      </c>
      <c r="E31" s="175">
        <v>140231766.25502184</v>
      </c>
      <c r="F31" s="174">
        <v>12859370.032210052</v>
      </c>
      <c r="G31" s="667">
        <v>9.1700834808172746E-2</v>
      </c>
      <c r="H31" s="316">
        <v>153091136.28723189</v>
      </c>
      <c r="I31" s="667">
        <v>5.4596835995975423E-2</v>
      </c>
      <c r="J31" s="8"/>
    </row>
    <row r="32" spans="1:10" ht="20" customHeight="1" thickBot="1">
      <c r="A32" s="328" t="s">
        <v>1830</v>
      </c>
      <c r="B32" s="174">
        <v>168748.70666666667</v>
      </c>
      <c r="C32" s="175">
        <v>63</v>
      </c>
      <c r="D32" s="950" t="s">
        <v>59</v>
      </c>
      <c r="E32" s="175">
        <v>70653765.376564503</v>
      </c>
      <c r="F32" s="174">
        <v>19494722.673218325</v>
      </c>
      <c r="G32" s="667">
        <v>0.2759190903601102</v>
      </c>
      <c r="H32" s="316">
        <v>90148488.049782827</v>
      </c>
      <c r="I32" s="667">
        <v>5.4675185234834167E-2</v>
      </c>
      <c r="J32" s="8"/>
    </row>
    <row r="33" spans="1:13" ht="20" customHeight="1" thickBot="1">
      <c r="A33" s="328" t="s">
        <v>1831</v>
      </c>
      <c r="B33" s="174">
        <v>434765.50333333336</v>
      </c>
      <c r="C33" s="175">
        <v>152</v>
      </c>
      <c r="D33" s="950" t="s">
        <v>59</v>
      </c>
      <c r="E33" s="175">
        <v>116340106.33116615</v>
      </c>
      <c r="F33" s="174">
        <v>115919171.71546549</v>
      </c>
      <c r="G33" s="667">
        <v>0.99638186151813846</v>
      </c>
      <c r="H33" s="316">
        <v>232259278.04663163</v>
      </c>
      <c r="I33" s="667">
        <v>5.6245184108679513E-2</v>
      </c>
    </row>
    <row r="34" spans="1:13" ht="20" customHeight="1" thickBot="1">
      <c r="A34" s="328" t="s">
        <v>1832</v>
      </c>
      <c r="B34" s="174">
        <v>67926.929999999993</v>
      </c>
      <c r="C34" s="175">
        <v>38</v>
      </c>
      <c r="D34" s="950" t="s">
        <v>59</v>
      </c>
      <c r="E34" s="175">
        <v>32251457.060745306</v>
      </c>
      <c r="F34" s="174">
        <v>4036287.9437799677</v>
      </c>
      <c r="G34" s="667">
        <v>0.12515056098636593</v>
      </c>
      <c r="H34" s="316">
        <v>36287745.004525274</v>
      </c>
      <c r="I34" s="667">
        <v>5.4637838644831405E-2</v>
      </c>
      <c r="K34" s="9"/>
      <c r="L34" s="9"/>
      <c r="M34" s="9"/>
    </row>
    <row r="35" spans="1:13" s="148" customFormat="1" ht="30" customHeight="1" thickBot="1">
      <c r="A35" s="329" t="s">
        <v>628</v>
      </c>
      <c r="B35" s="347">
        <v>7463254.3266666681</v>
      </c>
      <c r="C35" s="346">
        <v>100</v>
      </c>
      <c r="D35" s="866" t="s">
        <v>59</v>
      </c>
      <c r="E35" s="346">
        <v>2658000000</v>
      </c>
      <c r="F35" s="347">
        <v>1328999999.999999</v>
      </c>
      <c r="G35" s="993">
        <v>0.5</v>
      </c>
      <c r="H35" s="347">
        <v>3986999999.9999995</v>
      </c>
      <c r="I35" s="993">
        <v>5.4761904761904567E-2</v>
      </c>
    </row>
    <row r="36" spans="1:13" ht="20" customHeight="1">
      <c r="A36" s="334" t="s">
        <v>1275</v>
      </c>
      <c r="B36" s="335"/>
      <c r="C36" s="335"/>
      <c r="D36" s="953"/>
      <c r="E36" s="335"/>
      <c r="F36" s="335"/>
      <c r="G36" s="335"/>
      <c r="H36" s="378"/>
      <c r="I36" s="335"/>
    </row>
    <row r="37" spans="1:13" ht="14.25" customHeight="1">
      <c r="A37" s="336"/>
      <c r="B37" s="337"/>
      <c r="C37" s="337"/>
      <c r="D37" s="954"/>
      <c r="E37" s="337"/>
      <c r="F37" s="337"/>
      <c r="G37" s="337"/>
      <c r="H37" s="379"/>
      <c r="I37" s="337"/>
    </row>
    <row r="38" spans="1:13" ht="15.75" customHeight="1">
      <c r="A38" s="336" t="s">
        <v>1516</v>
      </c>
      <c r="B38" s="337"/>
      <c r="C38" s="337"/>
      <c r="D38" s="954"/>
      <c r="E38" s="337"/>
      <c r="F38" s="337"/>
      <c r="G38" s="337"/>
      <c r="H38" s="379"/>
      <c r="I38" s="337"/>
    </row>
    <row r="39" spans="1:13" ht="13.5" customHeight="1">
      <c r="A39" s="336"/>
      <c r="B39" s="337"/>
      <c r="C39" s="337"/>
      <c r="D39" s="954"/>
      <c r="E39" s="337"/>
      <c r="F39" s="337"/>
      <c r="G39" s="337"/>
      <c r="H39" s="379"/>
      <c r="I39" s="337"/>
    </row>
    <row r="40" spans="1:13" ht="11.25" customHeight="1">
      <c r="A40" s="3" t="s">
        <v>1517</v>
      </c>
      <c r="B40" s="337"/>
      <c r="C40" s="337"/>
      <c r="D40" s="954"/>
      <c r="E40" s="337"/>
      <c r="F40" s="337"/>
      <c r="G40" s="337"/>
      <c r="H40" s="379"/>
      <c r="I40" s="337"/>
    </row>
    <row r="41" spans="1:13">
      <c r="A41" s="2" t="s">
        <v>1564</v>
      </c>
    </row>
    <row r="42" spans="1:13">
      <c r="A42" s="2" t="s">
        <v>1565</v>
      </c>
    </row>
    <row r="43" spans="1:13">
      <c r="A43" s="2" t="s">
        <v>1566</v>
      </c>
    </row>
    <row r="44" spans="1:13">
      <c r="A44" s="2" t="s">
        <v>1567</v>
      </c>
    </row>
    <row r="45" spans="1:13">
      <c r="A45" s="2" t="s">
        <v>1568</v>
      </c>
    </row>
    <row r="46" spans="1:13">
      <c r="A46" s="2" t="s">
        <v>1569</v>
      </c>
    </row>
    <row r="47" spans="1:13">
      <c r="A47" s="984" t="s">
        <v>1570</v>
      </c>
    </row>
    <row r="50" spans="1:1">
      <c r="A50" s="2" t="s">
        <v>634</v>
      </c>
    </row>
  </sheetData>
  <phoneticPr fontId="0" type="noConversion"/>
  <pageMargins left="0.56000000000000005" right="0.51" top="0.81" bottom="0.49" header="0.42" footer="0.4921259845"/>
  <pageSetup paperSize="9" scale="83" orientation="portrait" horizontalDpi="1200" verticalDpi="12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D508-57D9-FF43-9078-5BA60F8907B9}">
  <sheetPr>
    <pageSetUpPr fitToPage="1"/>
  </sheetPr>
  <dimension ref="A1:I47"/>
  <sheetViews>
    <sheetView topLeftCell="A26" zoomScale="75" workbookViewId="0">
      <selection activeCell="A38" sqref="A38"/>
    </sheetView>
  </sheetViews>
  <sheetFormatPr baseColWidth="10" defaultColWidth="11.3984375" defaultRowHeight="13"/>
  <cols>
    <col min="1" max="1" width="12.59765625" style="2" customWidth="1"/>
    <col min="2" max="2" width="12.59765625" style="95" customWidth="1"/>
    <col min="3" max="3" width="14.796875" style="148" customWidth="1"/>
    <col min="4" max="4" width="14.796875" style="8" customWidth="1"/>
    <col min="5" max="5" width="15.796875" style="2" customWidth="1"/>
    <col min="6" max="6" width="12.796875" style="95" customWidth="1"/>
    <col min="7" max="7" width="14.19921875" style="95" customWidth="1"/>
    <col min="8" max="16384" width="11.3984375" style="2"/>
  </cols>
  <sheetData>
    <row r="1" spans="1:9" s="1" customFormat="1" ht="14" customHeight="1">
      <c r="B1" s="166"/>
      <c r="D1" s="274"/>
      <c r="E1" s="17"/>
      <c r="F1" s="274"/>
      <c r="H1" s="166"/>
      <c r="I1" s="166"/>
    </row>
    <row r="2" spans="1:9" s="1" customFormat="1" ht="28" customHeight="1">
      <c r="A2" s="109" t="s">
        <v>1663</v>
      </c>
      <c r="B2" s="166"/>
      <c r="D2" s="274"/>
      <c r="E2" s="17"/>
      <c r="F2" s="166"/>
      <c r="G2" s="321">
        <v>2007</v>
      </c>
    </row>
    <row r="3" spans="1:9" ht="24" customHeight="1">
      <c r="A3" s="110" t="s">
        <v>1797</v>
      </c>
      <c r="B3" s="503" t="s">
        <v>1664</v>
      </c>
      <c r="C3" s="112" t="s">
        <v>1665</v>
      </c>
      <c r="D3" s="695" t="s">
        <v>1666</v>
      </c>
      <c r="E3" s="340" t="s">
        <v>1667</v>
      </c>
      <c r="F3" s="503" t="s">
        <v>1668</v>
      </c>
      <c r="G3" s="167" t="s">
        <v>1801</v>
      </c>
    </row>
    <row r="4" spans="1:9" ht="15" customHeight="1">
      <c r="A4" s="308"/>
      <c r="B4" s="116" t="s">
        <v>1669</v>
      </c>
      <c r="C4" s="279" t="s">
        <v>1670</v>
      </c>
      <c r="D4" s="278" t="s">
        <v>1670</v>
      </c>
      <c r="E4" s="341" t="s">
        <v>1671</v>
      </c>
      <c r="F4" s="116" t="s">
        <v>629</v>
      </c>
      <c r="G4" s="113" t="s">
        <v>872</v>
      </c>
    </row>
    <row r="5" spans="1:9" ht="15.75" customHeight="1">
      <c r="A5" s="308"/>
      <c r="B5" s="116" t="s">
        <v>1259</v>
      </c>
      <c r="C5" s="115" t="s">
        <v>1672</v>
      </c>
      <c r="D5" s="278" t="s">
        <v>1672</v>
      </c>
      <c r="E5" s="341" t="s">
        <v>1672</v>
      </c>
      <c r="F5" s="116" t="s">
        <v>1673</v>
      </c>
      <c r="G5" s="113" t="s">
        <v>51</v>
      </c>
    </row>
    <row r="6" spans="1:9" ht="15" customHeight="1">
      <c r="A6" s="308"/>
      <c r="B6" s="116"/>
      <c r="C6" s="115" t="s">
        <v>1674</v>
      </c>
      <c r="D6" s="278" t="s">
        <v>1674</v>
      </c>
      <c r="E6" s="341" t="s">
        <v>1674</v>
      </c>
      <c r="F6" s="116" t="s">
        <v>1675</v>
      </c>
      <c r="G6" s="113" t="s">
        <v>1806</v>
      </c>
    </row>
    <row r="7" spans="1:9" ht="21" customHeight="1">
      <c r="A7" s="309"/>
      <c r="B7" s="118"/>
      <c r="C7" s="119" t="s">
        <v>1260</v>
      </c>
      <c r="D7" s="280" t="s">
        <v>1260</v>
      </c>
      <c r="E7" s="342" t="s">
        <v>1261</v>
      </c>
      <c r="F7" s="280" t="s">
        <v>1262</v>
      </c>
      <c r="G7" s="277"/>
    </row>
    <row r="8" spans="1:9" ht="30" customHeight="1" thickBot="1">
      <c r="A8" s="324" t="s">
        <v>1807</v>
      </c>
      <c r="B8" s="125">
        <v>0.17260000036522583</v>
      </c>
      <c r="C8" s="124">
        <v>291048153.09877068</v>
      </c>
      <c r="D8" s="949">
        <v>275564102.90122932</v>
      </c>
      <c r="E8" s="343">
        <v>566612256</v>
      </c>
      <c r="F8" s="125">
        <v>0.82739999963477417</v>
      </c>
      <c r="G8" s="168">
        <v>9.0356049567375862E-2</v>
      </c>
    </row>
    <row r="9" spans="1:9" ht="20" customHeight="1" thickBot="1">
      <c r="A9" s="328" t="s">
        <v>1808</v>
      </c>
      <c r="B9" s="828">
        <v>8.7285367822431681E-10</v>
      </c>
      <c r="C9" s="175">
        <v>392653718.51313204</v>
      </c>
      <c r="D9" s="950">
        <v>121100438.48686793</v>
      </c>
      <c r="E9" s="344">
        <v>513754157</v>
      </c>
      <c r="F9" s="125">
        <v>0.99999999912714632</v>
      </c>
      <c r="G9" s="168">
        <v>5.4534794318249924E-2</v>
      </c>
    </row>
    <row r="10" spans="1:9" ht="20" customHeight="1" thickBot="1">
      <c r="A10" s="328" t="s">
        <v>1809</v>
      </c>
      <c r="B10" s="828">
        <v>0.20662377282614186</v>
      </c>
      <c r="C10" s="175">
        <v>116972460.10540982</v>
      </c>
      <c r="D10" s="950">
        <v>33027539.894590188</v>
      </c>
      <c r="E10" s="344">
        <v>150000000</v>
      </c>
      <c r="F10" s="125">
        <v>0.79337622717385814</v>
      </c>
      <c r="G10" s="168">
        <v>3.1636863823933936E-2</v>
      </c>
    </row>
    <row r="11" spans="1:9" ht="20" customHeight="1" thickBot="1">
      <c r="A11" s="328" t="s">
        <v>1810</v>
      </c>
      <c r="B11" s="828">
        <v>0.21999999297418249</v>
      </c>
      <c r="C11" s="175">
        <v>12747137.464238152</v>
      </c>
      <c r="D11" s="950">
        <v>1740324.535761849</v>
      </c>
      <c r="E11" s="344">
        <v>14487462</v>
      </c>
      <c r="F11" s="125">
        <v>0.78000000702581751</v>
      </c>
      <c r="G11" s="168">
        <v>6.8241156875579412E-2</v>
      </c>
    </row>
    <row r="12" spans="1:9" ht="20" customHeight="1" thickBot="1">
      <c r="A12" s="328" t="s">
        <v>1811</v>
      </c>
      <c r="B12" s="828">
        <v>0.32150082584286388</v>
      </c>
      <c r="C12" s="175">
        <v>30318063.288622614</v>
      </c>
      <c r="D12" s="950">
        <v>18681936.711377386</v>
      </c>
      <c r="E12" s="344">
        <v>49000000</v>
      </c>
      <c r="F12" s="125">
        <v>0.67849917415713612</v>
      </c>
      <c r="G12" s="168">
        <v>2.0833333333333259E-2</v>
      </c>
    </row>
    <row r="13" spans="1:9" ht="20" customHeight="1" thickBot="1">
      <c r="A13" s="328" t="s">
        <v>1812</v>
      </c>
      <c r="B13" s="828">
        <v>-2.0142048695603876E-8</v>
      </c>
      <c r="C13" s="175">
        <v>16336342.271355676</v>
      </c>
      <c r="D13" s="950">
        <v>1319541.7286443259</v>
      </c>
      <c r="E13" s="344">
        <v>17655884</v>
      </c>
      <c r="F13" s="125">
        <v>1.0000000201420487</v>
      </c>
      <c r="G13" s="168">
        <v>5.4545808567978193E-2</v>
      </c>
    </row>
    <row r="14" spans="1:9" ht="20" customHeight="1" thickBot="1">
      <c r="A14" s="328" t="s">
        <v>1813</v>
      </c>
      <c r="B14" s="828">
        <v>0.39605307806514634</v>
      </c>
      <c r="C14" s="175">
        <v>7064710.8636707356</v>
      </c>
      <c r="D14" s="950">
        <v>5435289.1363292653</v>
      </c>
      <c r="E14" s="344">
        <v>12500000</v>
      </c>
      <c r="F14" s="125">
        <v>0.60394692193485366</v>
      </c>
      <c r="G14" s="168">
        <v>0.1013215859030836</v>
      </c>
    </row>
    <row r="15" spans="1:9" ht="20" customHeight="1" thickBot="1">
      <c r="A15" s="328" t="s">
        <v>1814</v>
      </c>
      <c r="B15" s="828">
        <v>0.29999997719949589</v>
      </c>
      <c r="C15" s="175">
        <v>10455025.960318575</v>
      </c>
      <c r="D15" s="950">
        <v>3857993.0396814253</v>
      </c>
      <c r="E15" s="344">
        <v>14313019</v>
      </c>
      <c r="F15" s="125">
        <v>0.70000002280050411</v>
      </c>
      <c r="G15" s="168">
        <v>5.454572112360645E-2</v>
      </c>
    </row>
    <row r="16" spans="1:9" ht="20" customHeight="1" thickBot="1">
      <c r="A16" s="328" t="s">
        <v>1815</v>
      </c>
      <c r="B16" s="828">
        <v>0.26520001440895014</v>
      </c>
      <c r="C16" s="175">
        <v>14331912.299064415</v>
      </c>
      <c r="D16" s="950">
        <v>26767133.700935584</v>
      </c>
      <c r="E16" s="344">
        <v>41099046</v>
      </c>
      <c r="F16" s="125">
        <v>0.73479998559104986</v>
      </c>
      <c r="G16" s="168">
        <v>2.701643176972901E-2</v>
      </c>
    </row>
    <row r="17" spans="1:7" ht="20" customHeight="1" thickBot="1">
      <c r="A17" s="328" t="s">
        <v>1816</v>
      </c>
      <c r="B17" s="828">
        <v>2.839392054809764E-10</v>
      </c>
      <c r="C17" s="175">
        <v>114332764.33371235</v>
      </c>
      <c r="D17" s="950">
        <v>20266238.666287646</v>
      </c>
      <c r="E17" s="344">
        <v>134599003</v>
      </c>
      <c r="F17" s="125">
        <v>0.99999999971606079</v>
      </c>
      <c r="G17" s="168">
        <v>5.457298946070277E-2</v>
      </c>
    </row>
    <row r="18" spans="1:7" ht="20" customHeight="1" thickBot="1">
      <c r="A18" s="328" t="s">
        <v>1817</v>
      </c>
      <c r="B18" s="828">
        <v>0.26999999947450759</v>
      </c>
      <c r="C18" s="175">
        <v>70480660.714681655</v>
      </c>
      <c r="D18" s="950">
        <v>25523841.285318356</v>
      </c>
      <c r="E18" s="344">
        <v>96004502</v>
      </c>
      <c r="F18" s="125">
        <v>0.73000000052549241</v>
      </c>
      <c r="G18" s="168">
        <v>9.978460926594046E-2</v>
      </c>
    </row>
    <row r="19" spans="1:7" ht="20" customHeight="1" thickBot="1">
      <c r="A19" s="328" t="s">
        <v>1818</v>
      </c>
      <c r="B19" s="828">
        <v>-1.925068771058136E-9</v>
      </c>
      <c r="C19" s="175">
        <v>46499765.669674702</v>
      </c>
      <c r="D19" s="950">
        <v>56673903.330325305</v>
      </c>
      <c r="E19" s="344">
        <v>103173669</v>
      </c>
      <c r="F19" s="125">
        <v>1.0000000019250688</v>
      </c>
      <c r="G19" s="168">
        <v>5.6528879733154236E-2</v>
      </c>
    </row>
    <row r="20" spans="1:7" ht="20" customHeight="1" thickBot="1">
      <c r="A20" s="328" t="s">
        <v>1819</v>
      </c>
      <c r="B20" s="828">
        <v>0.36316328544072485</v>
      </c>
      <c r="C20" s="175">
        <v>55967045.923257813</v>
      </c>
      <c r="D20" s="950">
        <v>34032954.076742195</v>
      </c>
      <c r="E20" s="345">
        <v>90000000</v>
      </c>
      <c r="F20" s="125">
        <v>0.63683671455927515</v>
      </c>
      <c r="G20" s="168">
        <v>0</v>
      </c>
    </row>
    <row r="21" spans="1:7" ht="20" customHeight="1" thickBot="1">
      <c r="A21" s="328" t="s">
        <v>1820</v>
      </c>
      <c r="B21" s="828">
        <v>3.6454558751356392E-2</v>
      </c>
      <c r="C21" s="175">
        <v>25817732.759070851</v>
      </c>
      <c r="D21" s="950">
        <v>12682267.240929151</v>
      </c>
      <c r="E21" s="344">
        <v>38500000</v>
      </c>
      <c r="F21" s="125">
        <v>0.96354544124864361</v>
      </c>
      <c r="G21" s="168">
        <v>8.4507042253521236E-2</v>
      </c>
    </row>
    <row r="22" spans="1:7" ht="20" customHeight="1" thickBot="1">
      <c r="A22" s="328" t="s">
        <v>1821</v>
      </c>
      <c r="B22" s="828">
        <v>0.17719497028854447</v>
      </c>
      <c r="C22" s="175">
        <v>18286308.867273249</v>
      </c>
      <c r="D22" s="950">
        <v>4812000.1327267503</v>
      </c>
      <c r="E22" s="344">
        <v>23098309</v>
      </c>
      <c r="F22" s="125">
        <v>0.82280502971145553</v>
      </c>
      <c r="G22" s="168">
        <v>1.1465357064266435E-4</v>
      </c>
    </row>
    <row r="23" spans="1:7" ht="20" customHeight="1" thickBot="1">
      <c r="A23" s="328" t="s">
        <v>1822</v>
      </c>
      <c r="B23" s="828">
        <v>0.14427602972587161</v>
      </c>
      <c r="C23" s="175">
        <v>5312126.2036715988</v>
      </c>
      <c r="D23" s="950">
        <v>1397873.7963284012</v>
      </c>
      <c r="E23" s="344">
        <v>6710000</v>
      </c>
      <c r="F23" s="125">
        <v>0.85572397027412839</v>
      </c>
      <c r="G23" s="168">
        <v>6.2549485352335621E-2</v>
      </c>
    </row>
    <row r="24" spans="1:7" ht="20" customHeight="1" thickBot="1">
      <c r="A24" s="328" t="s">
        <v>1823</v>
      </c>
      <c r="B24" s="828">
        <v>0.34999999885413946</v>
      </c>
      <c r="C24" s="175">
        <v>115377727.71725266</v>
      </c>
      <c r="D24" s="950">
        <v>44172384.282747343</v>
      </c>
      <c r="E24" s="344">
        <v>159550112</v>
      </c>
      <c r="F24" s="125">
        <v>0.65000000114586054</v>
      </c>
      <c r="G24" s="168">
        <v>9.6751711046608069E-2</v>
      </c>
    </row>
    <row r="25" spans="1:7" ht="20" customHeight="1" thickBot="1">
      <c r="A25" s="328" t="s">
        <v>1824</v>
      </c>
      <c r="B25" s="828">
        <v>0.26362968265681108</v>
      </c>
      <c r="C25" s="175">
        <v>60595556.733138315</v>
      </c>
      <c r="D25" s="950">
        <v>14799247.266861681</v>
      </c>
      <c r="E25" s="344">
        <v>75394804</v>
      </c>
      <c r="F25" s="125">
        <v>0.73637031734318892</v>
      </c>
      <c r="G25" s="168">
        <v>4.2329224982830871E-2</v>
      </c>
    </row>
    <row r="26" spans="1:7" ht="20" customHeight="1" thickBot="1">
      <c r="A26" s="328" t="s">
        <v>1825</v>
      </c>
      <c r="B26" s="828">
        <v>0.44360261892068176</v>
      </c>
      <c r="C26" s="175">
        <v>104873637.40963261</v>
      </c>
      <c r="D26" s="950">
        <v>62926362.590367384</v>
      </c>
      <c r="E26" s="344">
        <v>167800000</v>
      </c>
      <c r="F26" s="125">
        <v>0.55639738107931824</v>
      </c>
      <c r="G26" s="168">
        <v>8.1882656350741545E-2</v>
      </c>
    </row>
    <row r="27" spans="1:7" ht="20" customHeight="1" thickBot="1">
      <c r="A27" s="328" t="s">
        <v>1826</v>
      </c>
      <c r="B27" s="828">
        <v>3.2784779335770509E-9</v>
      </c>
      <c r="C27" s="175">
        <v>87040017.162835807</v>
      </c>
      <c r="D27" s="950">
        <v>37636768.837164193</v>
      </c>
      <c r="E27" s="344">
        <v>124676786</v>
      </c>
      <c r="F27" s="125">
        <v>0.99999999672152207</v>
      </c>
      <c r="G27" s="168">
        <v>5.4813027456066088E-2</v>
      </c>
    </row>
    <row r="28" spans="1:7" ht="20" customHeight="1" thickBot="1">
      <c r="A28" s="328" t="s">
        <v>1827</v>
      </c>
      <c r="B28" s="828">
        <v>-3.3717446612513413E-9</v>
      </c>
      <c r="C28" s="175">
        <v>117976067.23190694</v>
      </c>
      <c r="D28" s="950">
        <v>52722369.768093064</v>
      </c>
      <c r="E28" s="344">
        <v>170698437</v>
      </c>
      <c r="F28" s="125">
        <v>1.0000000033717447</v>
      </c>
      <c r="G28" s="168">
        <v>5.4601663975255788E-2</v>
      </c>
    </row>
    <row r="29" spans="1:7" ht="20" customHeight="1" thickBot="1">
      <c r="A29" s="328" t="s">
        <v>1828</v>
      </c>
      <c r="B29" s="828">
        <v>6.2886518215066189E-10</v>
      </c>
      <c r="C29" s="175">
        <v>229382267.32947952</v>
      </c>
      <c r="D29" s="950">
        <v>121389772.6705205</v>
      </c>
      <c r="E29" s="344">
        <v>350772040</v>
      </c>
      <c r="F29" s="125">
        <v>0.99999999937113482</v>
      </c>
      <c r="G29" s="168">
        <v>5.4628031275785416E-2</v>
      </c>
    </row>
    <row r="30" spans="1:7" ht="20" customHeight="1" thickBot="1">
      <c r="A30" s="328" t="s">
        <v>1829</v>
      </c>
      <c r="B30" s="828">
        <v>1.8762150721940429E-9</v>
      </c>
      <c r="C30" s="175">
        <v>140231765.99191689</v>
      </c>
      <c r="D30" s="950">
        <v>12859370.008083109</v>
      </c>
      <c r="E30" s="344">
        <v>153091136</v>
      </c>
      <c r="F30" s="125">
        <v>0.99999999812378493</v>
      </c>
      <c r="G30" s="168">
        <v>5.4596835629520779E-2</v>
      </c>
    </row>
    <row r="31" spans="1:7" ht="20" customHeight="1" thickBot="1">
      <c r="A31" s="328" t="s">
        <v>1830</v>
      </c>
      <c r="B31" s="828">
        <v>5.5223137174209569E-10</v>
      </c>
      <c r="C31" s="175">
        <v>70653765.337547272</v>
      </c>
      <c r="D31" s="950">
        <v>19494722.662452728</v>
      </c>
      <c r="E31" s="344">
        <v>90148488</v>
      </c>
      <c r="F31" s="125">
        <v>0.99999999944776863</v>
      </c>
      <c r="G31" s="168">
        <v>9.9372367971212849E-2</v>
      </c>
    </row>
    <row r="32" spans="1:7" ht="20" customHeight="1" thickBot="1">
      <c r="A32" s="328" t="s">
        <v>1831</v>
      </c>
      <c r="B32" s="828">
        <v>2.0077406404084286E-10</v>
      </c>
      <c r="C32" s="175">
        <v>116340106.30780807</v>
      </c>
      <c r="D32" s="950">
        <v>115919171.69219193</v>
      </c>
      <c r="E32" s="344">
        <v>232259278</v>
      </c>
      <c r="F32" s="125">
        <v>0.99999999979922594</v>
      </c>
      <c r="G32" s="168">
        <v>5.6245185493643879E-2</v>
      </c>
    </row>
    <row r="33" spans="1:9" ht="20" customHeight="1" thickBot="1">
      <c r="A33" s="328" t="s">
        <v>1832</v>
      </c>
      <c r="B33" s="828">
        <v>-2.7432807581106999E-8</v>
      </c>
      <c r="C33" s="175">
        <v>32251457.945493322</v>
      </c>
      <c r="D33" s="950">
        <v>4036288.0545066781</v>
      </c>
      <c r="E33" s="344">
        <v>36287746</v>
      </c>
      <c r="F33" s="125">
        <v>1.0000000274328076</v>
      </c>
      <c r="G33" s="168">
        <v>5.4637878679640428E-2</v>
      </c>
      <c r="H33" s="9"/>
      <c r="I33" s="9"/>
    </row>
    <row r="34" spans="1:9" s="285" customFormat="1" ht="30" customHeight="1" thickBot="1">
      <c r="A34" s="329" t="s">
        <v>1263</v>
      </c>
      <c r="B34" s="951">
        <v>0.13915572259844489</v>
      </c>
      <c r="C34" s="346">
        <v>2303346297.5029364</v>
      </c>
      <c r="D34" s="866">
        <v>1128839836.4970639</v>
      </c>
      <c r="E34" s="346">
        <v>3432186134</v>
      </c>
      <c r="F34" s="830">
        <v>0.86084427740155511</v>
      </c>
      <c r="G34" s="936">
        <v>6.2591542022044644E-2</v>
      </c>
      <c r="H34" s="952"/>
    </row>
    <row r="35" spans="1:9" ht="20" customHeight="1">
      <c r="A35" s="334" t="s">
        <v>1275</v>
      </c>
      <c r="B35" s="953"/>
      <c r="C35" s="378"/>
      <c r="D35" s="335"/>
      <c r="E35" s="335"/>
      <c r="F35" s="954"/>
    </row>
    <row r="36" spans="1:9" ht="11.25" customHeight="1">
      <c r="A36" s="336"/>
      <c r="B36" s="954"/>
      <c r="C36" s="379"/>
      <c r="D36" s="337"/>
      <c r="E36" s="337"/>
      <c r="F36" s="954"/>
    </row>
    <row r="37" spans="1:9" ht="15.75" customHeight="1">
      <c r="A37" s="336" t="s">
        <v>1676</v>
      </c>
      <c r="B37" s="954"/>
      <c r="C37" s="379"/>
      <c r="D37" s="337"/>
      <c r="E37" s="337"/>
      <c r="F37" s="954"/>
    </row>
    <row r="38" spans="1:9" ht="10.5" customHeight="1">
      <c r="A38" s="336"/>
      <c r="B38" s="954"/>
      <c r="C38" s="379"/>
      <c r="D38" s="337"/>
      <c r="E38" s="337"/>
      <c r="F38" s="954"/>
    </row>
    <row r="39" spans="1:9" ht="11.25" customHeight="1">
      <c r="A39" s="3" t="s">
        <v>1677</v>
      </c>
      <c r="B39" s="954"/>
      <c r="C39" s="379"/>
      <c r="D39" s="337"/>
      <c r="E39" s="337"/>
      <c r="F39" s="954"/>
    </row>
    <row r="40" spans="1:9">
      <c r="A40" s="2" t="s">
        <v>1678</v>
      </c>
    </row>
    <row r="41" spans="1:9">
      <c r="A41" s="2" t="s">
        <v>1679</v>
      </c>
    </row>
    <row r="42" spans="1:9">
      <c r="A42" s="2" t="s">
        <v>1680</v>
      </c>
    </row>
    <row r="43" spans="1:9">
      <c r="A43" s="2" t="s">
        <v>1257</v>
      </c>
    </row>
    <row r="44" spans="1:9">
      <c r="A44" s="2" t="s">
        <v>1258</v>
      </c>
    </row>
    <row r="47" spans="1:9">
      <c r="A47" s="2" t="s">
        <v>634</v>
      </c>
    </row>
  </sheetData>
  <phoneticPr fontId="0" type="noConversion"/>
  <pageMargins left="0.53" right="0.64" top="0.67" bottom="0.49" header="0.38" footer="0.4921259845"/>
  <pageSetup paperSize="9" scale="90" orientation="portrait" horizontalDpi="1200" verticalDpi="12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1D0B-CE45-E840-9D9A-B76F5A3F6EDD}">
  <sheetPr>
    <pageSetUpPr fitToPage="1"/>
  </sheetPr>
  <dimension ref="A1:L42"/>
  <sheetViews>
    <sheetView topLeftCell="A22" zoomScale="75" workbookViewId="0">
      <selection activeCell="A3" sqref="A3"/>
    </sheetView>
  </sheetViews>
  <sheetFormatPr baseColWidth="10" defaultColWidth="11.3984375" defaultRowHeight="13"/>
  <cols>
    <col min="1" max="1" width="11.796875" style="2" customWidth="1"/>
    <col min="2" max="3" width="17.19921875" style="2" customWidth="1"/>
    <col min="4" max="4" width="17.19921875" style="148" customWidth="1"/>
    <col min="5" max="5" width="16" style="95" customWidth="1"/>
    <col min="6" max="6" width="13.796875" style="969" customWidth="1"/>
    <col min="7" max="7" width="13.19921875" style="95" customWidth="1"/>
    <col min="8" max="8" width="14.59765625" style="95" customWidth="1"/>
    <col min="9" max="9" width="7.3984375" style="2" customWidth="1"/>
    <col min="10" max="10" width="11.59765625" style="2" customWidth="1"/>
    <col min="11" max="16384" width="11.3984375" style="2"/>
  </cols>
  <sheetData>
    <row r="1" spans="1:10" s="1" customFormat="1" ht="14" customHeight="1">
      <c r="D1" s="17"/>
      <c r="E1" s="166"/>
      <c r="F1" s="956"/>
      <c r="G1" s="166"/>
      <c r="H1" s="166"/>
    </row>
    <row r="2" spans="1:10" s="1" customFormat="1" ht="28" customHeight="1">
      <c r="A2" s="109" t="s">
        <v>1264</v>
      </c>
      <c r="D2" s="17"/>
      <c r="E2" s="166"/>
      <c r="F2" s="956"/>
      <c r="G2" s="166"/>
      <c r="H2" s="321">
        <v>2007</v>
      </c>
    </row>
    <row r="3" spans="1:10" ht="24" customHeight="1">
      <c r="A3" s="110" t="s">
        <v>1797</v>
      </c>
      <c r="B3" s="111" t="s">
        <v>535</v>
      </c>
      <c r="C3" s="112" t="s">
        <v>535</v>
      </c>
      <c r="D3" s="385" t="s">
        <v>629</v>
      </c>
      <c r="E3" s="167" t="s">
        <v>1801</v>
      </c>
      <c r="F3" s="957"/>
      <c r="G3" s="167" t="s">
        <v>629</v>
      </c>
      <c r="H3" s="503" t="s">
        <v>629</v>
      </c>
    </row>
    <row r="4" spans="1:10" ht="15" customHeight="1">
      <c r="A4" s="308"/>
      <c r="B4" s="140" t="s">
        <v>1265</v>
      </c>
      <c r="C4" s="279" t="s">
        <v>1265</v>
      </c>
      <c r="D4" s="958" t="s">
        <v>1266</v>
      </c>
      <c r="E4" s="113" t="s">
        <v>1802</v>
      </c>
      <c r="F4" s="959" t="s">
        <v>1267</v>
      </c>
      <c r="G4" s="277" t="s">
        <v>535</v>
      </c>
      <c r="H4" s="116" t="s">
        <v>535</v>
      </c>
    </row>
    <row r="5" spans="1:10" ht="15.75" customHeight="1">
      <c r="A5" s="308"/>
      <c r="B5" s="114" t="s">
        <v>1276</v>
      </c>
      <c r="C5" s="115" t="s">
        <v>1277</v>
      </c>
      <c r="D5" s="958" t="s">
        <v>1274</v>
      </c>
      <c r="E5" s="113" t="s">
        <v>1806</v>
      </c>
      <c r="F5" s="959" t="s">
        <v>1268</v>
      </c>
      <c r="G5" s="277" t="s">
        <v>1269</v>
      </c>
      <c r="H5" s="116" t="s">
        <v>1270</v>
      </c>
    </row>
    <row r="6" spans="1:10" ht="15" customHeight="1">
      <c r="A6" s="308"/>
      <c r="B6" s="114" t="s">
        <v>494</v>
      </c>
      <c r="C6" s="115" t="s">
        <v>1271</v>
      </c>
      <c r="D6" s="958" t="s">
        <v>494</v>
      </c>
      <c r="E6" s="113"/>
      <c r="F6" s="959" t="s">
        <v>870</v>
      </c>
      <c r="G6" s="277" t="s">
        <v>494</v>
      </c>
      <c r="H6" s="116" t="s">
        <v>494</v>
      </c>
    </row>
    <row r="7" spans="1:10" ht="24" customHeight="1">
      <c r="A7" s="309"/>
      <c r="B7" s="120"/>
      <c r="C7" s="119" t="s">
        <v>494</v>
      </c>
      <c r="D7" s="507"/>
      <c r="E7" s="281"/>
      <c r="F7" s="960"/>
      <c r="G7" s="281"/>
      <c r="H7" s="280"/>
    </row>
    <row r="8" spans="1:10" ht="30" customHeight="1" thickBot="1">
      <c r="A8" s="324" t="s">
        <v>1807</v>
      </c>
      <c r="B8" s="123">
        <v>539470396</v>
      </c>
      <c r="C8" s="124">
        <v>7623222</v>
      </c>
      <c r="D8" s="961">
        <v>547093618</v>
      </c>
      <c r="E8" s="168">
        <v>6.7759548650685439E-2</v>
      </c>
      <c r="F8" s="962">
        <v>0.48633629281341756</v>
      </c>
      <c r="G8" s="700">
        <v>2113.2607325231957</v>
      </c>
      <c r="H8" s="949">
        <v>1417.4988871817327</v>
      </c>
      <c r="I8" s="8"/>
      <c r="J8" s="126"/>
    </row>
    <row r="9" spans="1:10" ht="20" customHeight="1" thickBot="1">
      <c r="A9" s="328" t="s">
        <v>1808</v>
      </c>
      <c r="B9" s="174">
        <v>432105562</v>
      </c>
      <c r="C9" s="175">
        <v>56966049</v>
      </c>
      <c r="D9" s="316">
        <v>489071611</v>
      </c>
      <c r="E9" s="168">
        <v>5.0504357340671643E-5</v>
      </c>
      <c r="F9" s="963">
        <v>0.23571675682479962</v>
      </c>
      <c r="G9" s="964">
        <v>3366.0363051976656</v>
      </c>
      <c r="H9" s="949">
        <v>1515.2325525916287</v>
      </c>
      <c r="I9" s="8"/>
      <c r="J9" s="126"/>
    </row>
    <row r="10" spans="1:10" ht="20" customHeight="1" thickBot="1">
      <c r="A10" s="328" t="s">
        <v>1809</v>
      </c>
      <c r="B10" s="174">
        <v>158231240</v>
      </c>
      <c r="C10" s="175">
        <v>0</v>
      </c>
      <c r="D10" s="316">
        <v>158231240</v>
      </c>
      <c r="E10" s="168">
        <v>8.975084722247427E-2</v>
      </c>
      <c r="F10" s="963">
        <v>0.22018359964821105</v>
      </c>
      <c r="G10" s="964">
        <v>2095.0842767295599</v>
      </c>
      <c r="H10" s="949">
        <v>1062.0900651760962</v>
      </c>
      <c r="I10" s="8"/>
      <c r="J10" s="126"/>
    </row>
    <row r="11" spans="1:10" ht="20" customHeight="1" thickBot="1">
      <c r="A11" s="328" t="s">
        <v>1810</v>
      </c>
      <c r="B11" s="174">
        <v>14132044</v>
      </c>
      <c r="C11" s="175">
        <v>512136</v>
      </c>
      <c r="D11" s="316">
        <v>14644180</v>
      </c>
      <c r="E11" s="168">
        <v>8.5348040838942082E-2</v>
      </c>
      <c r="F11" s="963">
        <v>0.12012622079215088</v>
      </c>
      <c r="G11" s="964">
        <v>2202.4635283501279</v>
      </c>
      <c r="H11" s="949">
        <v>953.21096140076804</v>
      </c>
      <c r="I11" s="8"/>
      <c r="J11" s="126"/>
    </row>
    <row r="12" spans="1:10" ht="20" customHeight="1" thickBot="1">
      <c r="A12" s="328" t="s">
        <v>1811</v>
      </c>
      <c r="B12" s="174">
        <v>44058674</v>
      </c>
      <c r="C12" s="175">
        <v>970716</v>
      </c>
      <c r="D12" s="316">
        <v>45029390</v>
      </c>
      <c r="E12" s="168">
        <v>3.3696909716290316E-2</v>
      </c>
      <c r="F12" s="963">
        <v>0.38126401445811281</v>
      </c>
      <c r="G12" s="964">
        <v>2465.2025621373041</v>
      </c>
      <c r="H12" s="949">
        <v>1361.8445486163616</v>
      </c>
      <c r="I12" s="8"/>
      <c r="J12" s="126"/>
    </row>
    <row r="13" spans="1:10" ht="20" customHeight="1" thickBot="1">
      <c r="A13" s="328" t="s">
        <v>1812</v>
      </c>
      <c r="B13" s="174">
        <v>19398431</v>
      </c>
      <c r="C13" s="175">
        <v>0</v>
      </c>
      <c r="D13" s="316">
        <v>19398431</v>
      </c>
      <c r="E13" s="168">
        <v>8.4543419210215215E-2</v>
      </c>
      <c r="F13" s="963">
        <v>0.15777167751350613</v>
      </c>
      <c r="G13" s="964">
        <v>1994.6972750642674</v>
      </c>
      <c r="H13" s="949">
        <v>1006.5081201681108</v>
      </c>
      <c r="I13" s="8"/>
      <c r="J13" s="126"/>
    </row>
    <row r="14" spans="1:10" ht="20" customHeight="1" thickBot="1">
      <c r="A14" s="328" t="s">
        <v>1813</v>
      </c>
      <c r="B14" s="174">
        <v>12596455</v>
      </c>
      <c r="C14" s="175">
        <v>143624</v>
      </c>
      <c r="D14" s="316">
        <v>12740079</v>
      </c>
      <c r="E14" s="168">
        <v>0.13375351959761789</v>
      </c>
      <c r="F14" s="963">
        <v>0.43482312786286492</v>
      </c>
      <c r="G14" s="964">
        <v>1514.6925454761622</v>
      </c>
      <c r="H14" s="949">
        <v>696.8265054969097</v>
      </c>
      <c r="I14" s="8"/>
      <c r="J14" s="126"/>
    </row>
    <row r="15" spans="1:10" ht="20" customHeight="1" thickBot="1">
      <c r="A15" s="328" t="s">
        <v>1814</v>
      </c>
      <c r="B15" s="174">
        <v>12888083</v>
      </c>
      <c r="C15" s="175">
        <v>0</v>
      </c>
      <c r="D15" s="316">
        <v>12888083</v>
      </c>
      <c r="E15" s="168">
        <v>4.3301847752738404E-2</v>
      </c>
      <c r="F15" s="963">
        <v>0.26954427590200963</v>
      </c>
      <c r="G15" s="964">
        <v>3127.4164037854889</v>
      </c>
      <c r="H15" s="949">
        <v>1598.8193772484804</v>
      </c>
      <c r="I15" s="8"/>
      <c r="J15" s="126"/>
    </row>
    <row r="16" spans="1:10" ht="20" customHeight="1" thickBot="1">
      <c r="A16" s="328" t="s">
        <v>1815</v>
      </c>
      <c r="B16" s="174">
        <v>36683103</v>
      </c>
      <c r="C16" s="175">
        <v>2242068</v>
      </c>
      <c r="D16" s="316">
        <v>38925171</v>
      </c>
      <c r="E16" s="168">
        <v>-5.0157653615430592E-2</v>
      </c>
      <c r="F16" s="963">
        <v>0.65128358716779944</v>
      </c>
      <c r="G16" s="964">
        <v>2773.6333903377513</v>
      </c>
      <c r="H16" s="949">
        <v>1193.2915695892091</v>
      </c>
      <c r="I16" s="8"/>
      <c r="J16" s="126"/>
    </row>
    <row r="17" spans="1:10" ht="20" customHeight="1" thickBot="1">
      <c r="A17" s="328" t="s">
        <v>1816</v>
      </c>
      <c r="B17" s="174">
        <v>122361886</v>
      </c>
      <c r="C17" s="175">
        <v>0</v>
      </c>
      <c r="D17" s="316">
        <v>122361886</v>
      </c>
      <c r="E17" s="168">
        <v>-2.7331631423098329E-2</v>
      </c>
      <c r="F17" s="963">
        <v>0.15057019470915969</v>
      </c>
      <c r="G17" s="964">
        <v>2957.1725554642562</v>
      </c>
      <c r="H17" s="949">
        <v>1523.7713381983015</v>
      </c>
      <c r="I17" s="8"/>
      <c r="J17" s="126"/>
    </row>
    <row r="18" spans="1:10" ht="20" customHeight="1" thickBot="1">
      <c r="A18" s="328" t="s">
        <v>1817</v>
      </c>
      <c r="B18" s="174">
        <v>85941627</v>
      </c>
      <c r="C18" s="175">
        <v>4147845</v>
      </c>
      <c r="D18" s="316">
        <v>90089472</v>
      </c>
      <c r="E18" s="168">
        <v>3.521761087726491E-2</v>
      </c>
      <c r="F18" s="963">
        <v>0.26586087661830232</v>
      </c>
      <c r="G18" s="964">
        <v>3000.9817455029979</v>
      </c>
      <c r="H18" s="949">
        <v>1275.9102651257647</v>
      </c>
      <c r="I18" s="8"/>
      <c r="J18" s="126"/>
    </row>
    <row r="19" spans="1:10" ht="20" customHeight="1" thickBot="1">
      <c r="A19" s="328" t="s">
        <v>1818</v>
      </c>
      <c r="B19" s="174">
        <v>150462670</v>
      </c>
      <c r="C19" s="175">
        <v>165769</v>
      </c>
      <c r="D19" s="316">
        <v>150628439</v>
      </c>
      <c r="E19" s="168">
        <v>0.22710997445372186</v>
      </c>
      <c r="F19" s="963">
        <v>0.69129490879209077</v>
      </c>
      <c r="G19" s="964">
        <v>4342.5040793380804</v>
      </c>
      <c r="H19" s="949">
        <v>2604.2261237897646</v>
      </c>
      <c r="I19" s="8"/>
      <c r="J19" s="126"/>
    </row>
    <row r="20" spans="1:10" ht="20" customHeight="1" thickBot="1">
      <c r="A20" s="328" t="s">
        <v>1819</v>
      </c>
      <c r="B20" s="174">
        <v>88244315</v>
      </c>
      <c r="C20" s="175">
        <v>4613036</v>
      </c>
      <c r="D20" s="314">
        <v>92857351</v>
      </c>
      <c r="E20" s="168">
        <v>3.7405895127181371E-2</v>
      </c>
      <c r="F20" s="963">
        <v>0.37814393391428969</v>
      </c>
      <c r="G20" s="964">
        <v>2815.9070536147501</v>
      </c>
      <c r="H20" s="949">
        <v>1458.6451617970467</v>
      </c>
      <c r="I20" s="8"/>
      <c r="J20" s="126"/>
    </row>
    <row r="21" spans="1:10" ht="20" customHeight="1" thickBot="1">
      <c r="A21" s="328" t="s">
        <v>1820</v>
      </c>
      <c r="B21" s="174">
        <v>35710062</v>
      </c>
      <c r="C21" s="175">
        <v>1197811</v>
      </c>
      <c r="D21" s="316">
        <v>36907873</v>
      </c>
      <c r="E21" s="168">
        <v>6.0477692423862452E-2</v>
      </c>
      <c r="F21" s="963">
        <v>0.32940952733851664</v>
      </c>
      <c r="G21" s="964">
        <v>3185.008025543666</v>
      </c>
      <c r="H21" s="949">
        <v>1481.7083383515999</v>
      </c>
      <c r="I21" s="8"/>
      <c r="J21" s="126"/>
    </row>
    <row r="22" spans="1:10" ht="20" customHeight="1" thickBot="1">
      <c r="A22" s="328" t="s">
        <v>1821</v>
      </c>
      <c r="B22" s="174">
        <v>23767605</v>
      </c>
      <c r="C22" s="175">
        <v>420414</v>
      </c>
      <c r="D22" s="316">
        <v>24188019</v>
      </c>
      <c r="E22" s="168">
        <v>2.4491937024375927E-2</v>
      </c>
      <c r="F22" s="963">
        <v>0.20832694070564439</v>
      </c>
      <c r="G22" s="964">
        <v>4684.8768158047651</v>
      </c>
      <c r="H22" s="949">
        <v>1778.0078653337255</v>
      </c>
      <c r="I22" s="8"/>
      <c r="J22" s="126"/>
    </row>
    <row r="23" spans="1:10" ht="20" customHeight="1" thickBot="1">
      <c r="A23" s="328" t="s">
        <v>1822</v>
      </c>
      <c r="B23" s="174">
        <v>6411442</v>
      </c>
      <c r="C23" s="175">
        <v>104751</v>
      </c>
      <c r="D23" s="316">
        <v>6516193</v>
      </c>
      <c r="E23" s="168">
        <v>3.6049182577272493E-2</v>
      </c>
      <c r="F23" s="963">
        <v>0.20832700934425977</v>
      </c>
      <c r="G23" s="964">
        <v>2559.3845247446975</v>
      </c>
      <c r="H23" s="949">
        <v>874.53939068581394</v>
      </c>
      <c r="I23" s="8"/>
      <c r="J23" s="126"/>
    </row>
    <row r="24" spans="1:10" ht="20" customHeight="1" thickBot="1">
      <c r="A24" s="328" t="s">
        <v>1823</v>
      </c>
      <c r="B24" s="174">
        <v>138856826</v>
      </c>
      <c r="C24" s="175">
        <v>0</v>
      </c>
      <c r="D24" s="316">
        <v>138856826</v>
      </c>
      <c r="E24" s="168">
        <v>4.735461345982378E-3</v>
      </c>
      <c r="F24" s="963">
        <v>0.27685586735217466</v>
      </c>
      <c r="G24" s="964">
        <v>2142.9183925429797</v>
      </c>
      <c r="H24" s="949">
        <v>999.68917206623473</v>
      </c>
      <c r="I24" s="8"/>
      <c r="J24" s="126"/>
    </row>
    <row r="25" spans="1:10" ht="20" customHeight="1" thickBot="1">
      <c r="A25" s="328" t="s">
        <v>1824</v>
      </c>
      <c r="B25" s="174">
        <v>55364406</v>
      </c>
      <c r="C25" s="175">
        <v>6146038</v>
      </c>
      <c r="D25" s="316">
        <v>61510444</v>
      </c>
      <c r="E25" s="168">
        <v>-8.100545972343888E-2</v>
      </c>
      <c r="F25" s="963">
        <v>0.19629001539966123</v>
      </c>
      <c r="G25" s="964">
        <v>2209.5856024139666</v>
      </c>
      <c r="H25" s="949">
        <v>1051.1551173163355</v>
      </c>
      <c r="I25" s="8"/>
      <c r="J25" s="126"/>
    </row>
    <row r="26" spans="1:10" ht="20" customHeight="1" thickBot="1">
      <c r="A26" s="328" t="s">
        <v>1825</v>
      </c>
      <c r="B26" s="174">
        <v>158762054</v>
      </c>
      <c r="C26" s="175">
        <v>6917007</v>
      </c>
      <c r="D26" s="316">
        <v>165679061</v>
      </c>
      <c r="E26" s="168">
        <v>9.5637784169269532E-2</v>
      </c>
      <c r="F26" s="963">
        <v>0.37500811885938923</v>
      </c>
      <c r="G26" s="964">
        <v>2773.614038905816</v>
      </c>
      <c r="H26" s="949">
        <v>1100.6893365133567</v>
      </c>
      <c r="I26" s="8"/>
      <c r="J26" s="126"/>
    </row>
    <row r="27" spans="1:10" ht="20" customHeight="1" thickBot="1">
      <c r="A27" s="328" t="s">
        <v>1826</v>
      </c>
      <c r="B27" s="174">
        <v>102208419</v>
      </c>
      <c r="C27" s="175">
        <v>3687368</v>
      </c>
      <c r="D27" s="316">
        <v>105895787</v>
      </c>
      <c r="E27" s="168">
        <v>3.4697534202046791E-2</v>
      </c>
      <c r="F27" s="963">
        <v>0.30187707089801408</v>
      </c>
      <c r="G27" s="964">
        <v>2037.0058669641826</v>
      </c>
      <c r="H27" s="949">
        <v>1190.991148750478</v>
      </c>
      <c r="I27" s="8"/>
      <c r="J27" s="126"/>
    </row>
    <row r="28" spans="1:10" ht="20" customHeight="1" thickBot="1">
      <c r="A28" s="328" t="s">
        <v>1827</v>
      </c>
      <c r="B28" s="174">
        <v>192579581</v>
      </c>
      <c r="C28" s="175">
        <v>1718473</v>
      </c>
      <c r="D28" s="316">
        <v>194298054</v>
      </c>
      <c r="E28" s="168">
        <v>-0.13757967109249558</v>
      </c>
      <c r="F28" s="963">
        <v>0.39280880805939516</v>
      </c>
      <c r="G28" s="964">
        <v>3128.6419979711127</v>
      </c>
      <c r="H28" s="949">
        <v>1916.3055665141235</v>
      </c>
      <c r="I28" s="8"/>
      <c r="J28" s="126"/>
    </row>
    <row r="29" spans="1:10" ht="20" customHeight="1" thickBot="1">
      <c r="A29" s="328" t="s">
        <v>1828</v>
      </c>
      <c r="B29" s="174">
        <v>346754920</v>
      </c>
      <c r="C29" s="175">
        <v>3264791</v>
      </c>
      <c r="D29" s="316">
        <v>350019711</v>
      </c>
      <c r="E29" s="168">
        <v>1.8580919469116535E-2</v>
      </c>
      <c r="F29" s="963">
        <v>0.35689118090838035</v>
      </c>
      <c r="G29" s="964">
        <v>4453.8569628950981</v>
      </c>
      <c r="H29" s="949">
        <v>2439.3317374033036</v>
      </c>
      <c r="I29" s="8"/>
      <c r="J29" s="126"/>
    </row>
    <row r="30" spans="1:10" ht="20" customHeight="1" thickBot="1">
      <c r="A30" s="328" t="s">
        <v>1829</v>
      </c>
      <c r="B30" s="174">
        <v>141381293</v>
      </c>
      <c r="C30" s="175">
        <v>11752695</v>
      </c>
      <c r="D30" s="316">
        <v>153133988</v>
      </c>
      <c r="E30" s="168">
        <v>5.488756054604485E-2</v>
      </c>
      <c r="F30" s="963">
        <v>8.4254463483312406E-2</v>
      </c>
      <c r="G30" s="964">
        <v>3066.0524176594254</v>
      </c>
      <c r="H30" s="949">
        <v>1732.3829175858364</v>
      </c>
      <c r="I30" s="8"/>
      <c r="J30" s="126"/>
    </row>
    <row r="31" spans="1:10" ht="20" customHeight="1" thickBot="1">
      <c r="A31" s="328" t="s">
        <v>1830</v>
      </c>
      <c r="B31" s="174">
        <v>85685636</v>
      </c>
      <c r="C31" s="175">
        <v>11187524</v>
      </c>
      <c r="D31" s="316">
        <v>96873160</v>
      </c>
      <c r="E31" s="168">
        <v>0.1748281980470886</v>
      </c>
      <c r="F31" s="963">
        <v>0.27065696009090651</v>
      </c>
      <c r="G31" s="964">
        <v>4153.368204424627</v>
      </c>
      <c r="H31" s="949">
        <v>2395.7156988821844</v>
      </c>
      <c r="I31" s="8"/>
      <c r="J31" s="126"/>
    </row>
    <row r="32" spans="1:10" ht="20" customHeight="1" thickBot="1">
      <c r="A32" s="328" t="s">
        <v>1831</v>
      </c>
      <c r="B32" s="174">
        <v>217032459</v>
      </c>
      <c r="C32" s="175">
        <v>38652083</v>
      </c>
      <c r="D32" s="316">
        <v>255684542</v>
      </c>
      <c r="E32" s="168">
        <v>5.2648466804479592E-2</v>
      </c>
      <c r="F32" s="963">
        <v>0.54498576609296934</v>
      </c>
      <c r="G32" s="964">
        <v>2726.458396869235</v>
      </c>
      <c r="H32" s="949">
        <v>1916.2878727693794</v>
      </c>
      <c r="J32" s="126"/>
    </row>
    <row r="33" spans="1:12" ht="20" customHeight="1" thickBot="1">
      <c r="A33" s="328" t="s">
        <v>1832</v>
      </c>
      <c r="B33" s="174">
        <v>34149926</v>
      </c>
      <c r="C33" s="175">
        <v>2847525</v>
      </c>
      <c r="D33" s="316">
        <v>36997451</v>
      </c>
      <c r="E33" s="168">
        <v>6.6997618297235953E-2</v>
      </c>
      <c r="F33" s="963">
        <v>0.12827891845846354</v>
      </c>
      <c r="G33" s="964">
        <v>2629.5274342572852</v>
      </c>
      <c r="H33" s="949">
        <v>1467.6286643659012</v>
      </c>
      <c r="J33" s="9"/>
      <c r="K33" s="9"/>
      <c r="L33" s="9"/>
    </row>
    <row r="34" spans="1:12" ht="30" customHeight="1" thickBot="1">
      <c r="A34" s="329" t="s">
        <v>628</v>
      </c>
      <c r="B34" s="347">
        <v>3255239115</v>
      </c>
      <c r="C34" s="346">
        <v>165280945</v>
      </c>
      <c r="D34" s="347">
        <v>3420520060</v>
      </c>
      <c r="E34" s="169">
        <v>3.3783554668988088E-2</v>
      </c>
      <c r="F34" s="965">
        <v>0.35134625317765278</v>
      </c>
      <c r="G34" s="864">
        <v>2791.2678099876289</v>
      </c>
      <c r="H34" s="966">
        <v>1505.5437223530448</v>
      </c>
      <c r="J34" s="126"/>
    </row>
    <row r="35" spans="1:12" ht="20" customHeight="1">
      <c r="A35" s="334" t="s">
        <v>1275</v>
      </c>
      <c r="B35" s="335"/>
      <c r="C35" s="335"/>
      <c r="D35" s="378"/>
      <c r="E35" s="953"/>
      <c r="F35" s="967"/>
      <c r="G35" s="953"/>
      <c r="H35" s="953"/>
    </row>
    <row r="36" spans="1:12" ht="8.25" customHeight="1">
      <c r="A36" s="336"/>
      <c r="B36" s="337"/>
      <c r="C36" s="337"/>
      <c r="D36" s="379"/>
      <c r="E36" s="954"/>
      <c r="F36" s="968"/>
      <c r="G36" s="954"/>
      <c r="H36" s="954"/>
    </row>
    <row r="37" spans="1:12" ht="14.25" customHeight="1">
      <c r="A37" s="336" t="s">
        <v>1272</v>
      </c>
      <c r="B37" s="337"/>
      <c r="C37" s="337"/>
      <c r="D37" s="379"/>
      <c r="E37" s="954"/>
      <c r="F37" s="968"/>
      <c r="G37" s="954"/>
      <c r="H37" s="954"/>
    </row>
    <row r="38" spans="1:12" ht="12.75" customHeight="1">
      <c r="A38" s="336"/>
      <c r="B38" s="337"/>
      <c r="C38" s="337"/>
      <c r="D38" s="379"/>
      <c r="E38" s="954"/>
      <c r="F38" s="968"/>
      <c r="G38" s="954"/>
      <c r="H38" s="954"/>
    </row>
    <row r="39" spans="1:12" ht="11.25" customHeight="1">
      <c r="A39" s="3" t="s">
        <v>1273</v>
      </c>
      <c r="B39" s="337"/>
      <c r="C39" s="337"/>
      <c r="D39" s="379"/>
      <c r="E39" s="954"/>
      <c r="F39" s="968"/>
      <c r="G39" s="954"/>
      <c r="H39" s="954"/>
    </row>
    <row r="42" spans="1:12">
      <c r="A42" s="2" t="s">
        <v>634</v>
      </c>
    </row>
  </sheetData>
  <phoneticPr fontId="0" type="noConversion"/>
  <pageMargins left="0.59" right="0.56999999999999995" top="0.87" bottom="0.49" header="0.42" footer="0.4921259845"/>
  <pageSetup paperSize="9" scale="76" orientation="portrait" horizontalDpi="4294967292" verticalDpi="4294967292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29EC-E48B-E04C-83BD-0D1DD191662A}">
  <sheetPr>
    <pageSetUpPr fitToPage="1"/>
  </sheetPr>
  <dimension ref="A1:I49"/>
  <sheetViews>
    <sheetView zoomScale="75" workbookViewId="0">
      <selection activeCell="A36" sqref="A36"/>
    </sheetView>
  </sheetViews>
  <sheetFormatPr baseColWidth="10" defaultColWidth="11.3984375" defaultRowHeight="13"/>
  <cols>
    <col min="1" max="7" width="13.19921875" style="2" customWidth="1"/>
    <col min="8" max="8" width="12.796875" style="2" customWidth="1"/>
    <col min="9" max="9" width="13.796875" style="95" customWidth="1"/>
    <col min="10" max="16384" width="11.3984375" style="2"/>
  </cols>
  <sheetData>
    <row r="1" spans="1:9" s="1" customFormat="1" ht="14" customHeight="1">
      <c r="I1" s="166"/>
    </row>
    <row r="2" spans="1:9" s="1" customFormat="1" ht="28" customHeight="1">
      <c r="A2" s="109" t="s">
        <v>1278</v>
      </c>
      <c r="H2" s="796"/>
      <c r="I2" s="550">
        <v>2007</v>
      </c>
    </row>
    <row r="3" spans="1:9" ht="24" customHeight="1">
      <c r="A3" s="110" t="s">
        <v>1797</v>
      </c>
      <c r="B3" s="1809" t="s">
        <v>577</v>
      </c>
      <c r="C3" s="1810"/>
      <c r="D3" s="1810"/>
      <c r="E3" s="1811" t="s">
        <v>578</v>
      </c>
      <c r="F3" s="1810"/>
      <c r="G3" s="1810"/>
      <c r="H3" s="970" t="s">
        <v>1279</v>
      </c>
      <c r="I3" s="971" t="s">
        <v>1280</v>
      </c>
    </row>
    <row r="4" spans="1:9" ht="15" customHeight="1">
      <c r="A4" s="308"/>
      <c r="B4" s="114" t="s">
        <v>412</v>
      </c>
      <c r="C4" s="279" t="s">
        <v>413</v>
      </c>
      <c r="D4" s="140" t="s">
        <v>629</v>
      </c>
      <c r="E4" s="279" t="s">
        <v>412</v>
      </c>
      <c r="F4" s="140" t="s">
        <v>413</v>
      </c>
      <c r="G4" s="115" t="s">
        <v>629</v>
      </c>
      <c r="H4" s="278" t="s">
        <v>1281</v>
      </c>
      <c r="I4" s="113" t="s">
        <v>456</v>
      </c>
    </row>
    <row r="5" spans="1:9" ht="18.75" customHeight="1">
      <c r="A5" s="308"/>
      <c r="B5" s="114" t="s">
        <v>415</v>
      </c>
      <c r="C5" s="115" t="s">
        <v>415</v>
      </c>
      <c r="D5" s="114" t="s">
        <v>415</v>
      </c>
      <c r="E5" s="279" t="s">
        <v>415</v>
      </c>
      <c r="F5" s="140" t="s">
        <v>415</v>
      </c>
      <c r="G5" s="115" t="s">
        <v>415</v>
      </c>
      <c r="H5" s="278" t="s">
        <v>579</v>
      </c>
      <c r="I5" s="113" t="s">
        <v>580</v>
      </c>
    </row>
    <row r="6" spans="1:9" ht="15" customHeight="1">
      <c r="A6" s="308"/>
      <c r="B6" s="114"/>
      <c r="C6" s="115"/>
      <c r="D6" s="114"/>
      <c r="E6" s="279"/>
      <c r="F6" s="140"/>
      <c r="G6" s="115"/>
      <c r="H6" s="972">
        <v>2000</v>
      </c>
      <c r="I6" s="113" t="s">
        <v>1282</v>
      </c>
    </row>
    <row r="7" spans="1:9" ht="16" customHeight="1">
      <c r="A7" s="309"/>
      <c r="B7" s="120"/>
      <c r="C7" s="119"/>
      <c r="D7" s="120"/>
      <c r="E7" s="282"/>
      <c r="F7" s="141"/>
      <c r="G7" s="119"/>
      <c r="H7" s="141"/>
      <c r="I7" s="117"/>
    </row>
    <row r="8" spans="1:9" ht="30" customHeight="1" thickBot="1">
      <c r="A8" s="324" t="s">
        <v>1807</v>
      </c>
      <c r="B8" s="123">
        <v>653787</v>
      </c>
      <c r="C8" s="124">
        <v>669055</v>
      </c>
      <c r="D8" s="123">
        <v>1322842</v>
      </c>
      <c r="E8" s="325">
        <v>0.2693736645115305</v>
      </c>
      <c r="F8" s="566">
        <v>0.31364237618730895</v>
      </c>
      <c r="G8" s="325">
        <v>0.29176349102916299</v>
      </c>
      <c r="H8" s="123">
        <v>567573</v>
      </c>
      <c r="I8" s="973">
        <v>0.45612811039284812</v>
      </c>
    </row>
    <row r="9" spans="1:9" ht="20" customHeight="1" thickBot="1">
      <c r="A9" s="328" t="s">
        <v>1808</v>
      </c>
      <c r="B9" s="123">
        <v>473354</v>
      </c>
      <c r="C9" s="124">
        <v>496553</v>
      </c>
      <c r="D9" s="123">
        <v>969907</v>
      </c>
      <c r="E9" s="325">
        <v>0.31138006650413858</v>
      </c>
      <c r="F9" s="566">
        <v>0.35318888416745042</v>
      </c>
      <c r="G9" s="325">
        <v>0.33278448346078543</v>
      </c>
      <c r="H9" s="123">
        <v>415901</v>
      </c>
      <c r="I9" s="973">
        <v>0.34935236991495572</v>
      </c>
    </row>
    <row r="10" spans="1:9" ht="20" customHeight="1" thickBot="1">
      <c r="A10" s="328" t="s">
        <v>1809</v>
      </c>
      <c r="B10" s="123">
        <v>178688</v>
      </c>
      <c r="C10" s="124">
        <v>183236</v>
      </c>
      <c r="D10" s="123">
        <v>361924</v>
      </c>
      <c r="E10" s="325">
        <v>0.40245567693409739</v>
      </c>
      <c r="F10" s="566">
        <v>0.42058874893579862</v>
      </c>
      <c r="G10" s="325">
        <v>0.41163614460494469</v>
      </c>
      <c r="H10" s="123">
        <v>140594</v>
      </c>
      <c r="I10" s="973">
        <v>0.53718508613454341</v>
      </c>
    </row>
    <row r="11" spans="1:9" ht="20" customHeight="1" thickBot="1">
      <c r="A11" s="328" t="s">
        <v>1810</v>
      </c>
      <c r="B11" s="123">
        <v>17478</v>
      </c>
      <c r="C11" s="124">
        <v>16969</v>
      </c>
      <c r="D11" s="123">
        <v>34447</v>
      </c>
      <c r="E11" s="325">
        <v>0.43008353358507839</v>
      </c>
      <c r="F11" s="566">
        <v>0.4623725617302139</v>
      </c>
      <c r="G11" s="325">
        <v>0.44598949110227304</v>
      </c>
      <c r="H11" s="123">
        <v>13430</v>
      </c>
      <c r="I11" s="973">
        <v>0.49508562918838422</v>
      </c>
    </row>
    <row r="12" spans="1:9" ht="20" customHeight="1" thickBot="1">
      <c r="A12" s="328" t="s">
        <v>1811</v>
      </c>
      <c r="B12" s="123">
        <v>71105</v>
      </c>
      <c r="C12" s="124">
        <v>68769</v>
      </c>
      <c r="D12" s="123">
        <v>139874</v>
      </c>
      <c r="E12" s="325">
        <v>0.22171436607833486</v>
      </c>
      <c r="F12" s="566">
        <v>0.25156683970975297</v>
      </c>
      <c r="G12" s="325">
        <v>0.23639132361982929</v>
      </c>
      <c r="H12" s="123">
        <v>50089</v>
      </c>
      <c r="I12" s="973">
        <v>0.36467088582323465</v>
      </c>
    </row>
    <row r="13" spans="1:9" ht="20" customHeight="1" thickBot="1">
      <c r="A13" s="328" t="s">
        <v>1812</v>
      </c>
      <c r="B13" s="123">
        <v>17009</v>
      </c>
      <c r="C13" s="124">
        <v>16776</v>
      </c>
      <c r="D13" s="123">
        <v>33785</v>
      </c>
      <c r="E13" s="325">
        <v>0.54965018519607267</v>
      </c>
      <c r="F13" s="566">
        <v>0.59155937052932761</v>
      </c>
      <c r="G13" s="325">
        <v>0.57046026343051648</v>
      </c>
      <c r="H13" s="123">
        <v>12445</v>
      </c>
      <c r="I13" s="973">
        <v>0.78143832864604257</v>
      </c>
    </row>
    <row r="14" spans="1:9" ht="20" customHeight="1" thickBot="1">
      <c r="A14" s="328" t="s">
        <v>1813</v>
      </c>
      <c r="B14" s="123">
        <v>20219</v>
      </c>
      <c r="C14" s="124">
        <v>19347</v>
      </c>
      <c r="D14" s="123">
        <v>39566</v>
      </c>
      <c r="E14" s="325">
        <v>0.44092190513873092</v>
      </c>
      <c r="F14" s="566">
        <v>0.48420943815578643</v>
      </c>
      <c r="G14" s="325">
        <v>0.46208866198251025</v>
      </c>
      <c r="H14" s="123">
        <v>15153</v>
      </c>
      <c r="I14" s="973">
        <v>0.5550716029829077</v>
      </c>
    </row>
    <row r="15" spans="1:9" ht="20" customHeight="1" thickBot="1">
      <c r="A15" s="328" t="s">
        <v>1814</v>
      </c>
      <c r="B15" s="123">
        <v>18971</v>
      </c>
      <c r="C15" s="124">
        <v>19063</v>
      </c>
      <c r="D15" s="123">
        <v>38034</v>
      </c>
      <c r="E15" s="325">
        <v>0.20373201201834379</v>
      </c>
      <c r="F15" s="566">
        <v>0.22011225935057441</v>
      </c>
      <c r="G15" s="325">
        <v>0.21194194667928695</v>
      </c>
      <c r="H15" s="123">
        <v>15382</v>
      </c>
      <c r="I15" s="973">
        <v>0.26791054479261472</v>
      </c>
    </row>
    <row r="16" spans="1:9" ht="20" customHeight="1" thickBot="1">
      <c r="A16" s="328" t="s">
        <v>1815</v>
      </c>
      <c r="B16" s="123">
        <v>55039</v>
      </c>
      <c r="C16" s="124">
        <v>53787</v>
      </c>
      <c r="D16" s="123">
        <v>108826</v>
      </c>
      <c r="E16" s="325">
        <v>0.28049201475317503</v>
      </c>
      <c r="F16" s="566">
        <v>0.31944521910498819</v>
      </c>
      <c r="G16" s="325">
        <v>0.29974454634002906</v>
      </c>
      <c r="H16" s="123">
        <v>40819</v>
      </c>
      <c r="I16" s="973">
        <v>0.3438104804135329</v>
      </c>
    </row>
    <row r="17" spans="1:9" ht="20" customHeight="1" thickBot="1">
      <c r="A17" s="328" t="s">
        <v>1816</v>
      </c>
      <c r="B17" s="123">
        <v>131100</v>
      </c>
      <c r="C17" s="124">
        <v>133051</v>
      </c>
      <c r="D17" s="123">
        <v>264151</v>
      </c>
      <c r="E17" s="325">
        <v>0.27739130434782611</v>
      </c>
      <c r="F17" s="566">
        <v>0.33021923923908875</v>
      </c>
      <c r="G17" s="325">
        <v>0.30400036342849357</v>
      </c>
      <c r="H17" s="123">
        <v>94093</v>
      </c>
      <c r="I17" s="973">
        <v>0.43975641121018566</v>
      </c>
    </row>
    <row r="18" spans="1:9" ht="20" customHeight="1" thickBot="1">
      <c r="A18" s="328" t="s">
        <v>1817</v>
      </c>
      <c r="B18" s="123">
        <v>122957</v>
      </c>
      <c r="C18" s="124">
        <v>126048</v>
      </c>
      <c r="D18" s="123">
        <v>249005</v>
      </c>
      <c r="E18" s="325">
        <v>0.27192433127028148</v>
      </c>
      <c r="F18" s="566">
        <v>0.29491146230007614</v>
      </c>
      <c r="G18" s="325">
        <v>0.28356057107287003</v>
      </c>
      <c r="H18" s="123">
        <v>102584</v>
      </c>
      <c r="I18" s="973">
        <v>0.29263822818373236</v>
      </c>
    </row>
    <row r="19" spans="1:9" ht="20" customHeight="1" thickBot="1">
      <c r="A19" s="328" t="s">
        <v>1818</v>
      </c>
      <c r="B19" s="123">
        <v>90434</v>
      </c>
      <c r="C19" s="124">
        <v>99343</v>
      </c>
      <c r="D19" s="123">
        <v>189777</v>
      </c>
      <c r="E19" s="325">
        <v>0.29694583895437554</v>
      </c>
      <c r="F19" s="566">
        <v>0.31190924373131473</v>
      </c>
      <c r="G19" s="325">
        <v>0.30477876665770881</v>
      </c>
      <c r="H19" s="123">
        <v>95999</v>
      </c>
      <c r="I19" s="973">
        <v>0.36132668048625505</v>
      </c>
    </row>
    <row r="20" spans="1:9" ht="20" customHeight="1" thickBot="1">
      <c r="A20" s="328" t="s">
        <v>1819</v>
      </c>
      <c r="B20" s="123">
        <v>130740</v>
      </c>
      <c r="C20" s="124">
        <v>136507</v>
      </c>
      <c r="D20" s="123">
        <v>267247</v>
      </c>
      <c r="E20" s="325">
        <v>0.23627046045586661</v>
      </c>
      <c r="F20" s="566">
        <v>0.24006094925534954</v>
      </c>
      <c r="G20" s="325">
        <v>0.23820660288048134</v>
      </c>
      <c r="H20" s="123">
        <v>111675</v>
      </c>
      <c r="I20" s="973">
        <v>0.29528542646071188</v>
      </c>
    </row>
    <row r="21" spans="1:9" ht="20" customHeight="1" thickBot="1">
      <c r="A21" s="328" t="s">
        <v>1820</v>
      </c>
      <c r="B21" s="123">
        <v>36627</v>
      </c>
      <c r="C21" s="124">
        <v>37971</v>
      </c>
      <c r="D21" s="123">
        <v>74598</v>
      </c>
      <c r="E21" s="325">
        <v>0.32896497119611218</v>
      </c>
      <c r="F21" s="566">
        <v>0.33867951857996892</v>
      </c>
      <c r="G21" s="325">
        <v>0.33390975629373443</v>
      </c>
      <c r="H21" s="123">
        <v>31427</v>
      </c>
      <c r="I21" s="973">
        <v>0.36872752728545516</v>
      </c>
    </row>
    <row r="22" spans="1:9" ht="20" customHeight="1" thickBot="1">
      <c r="A22" s="328" t="s">
        <v>1821</v>
      </c>
      <c r="B22" s="123">
        <v>26162</v>
      </c>
      <c r="C22" s="124">
        <v>26183</v>
      </c>
      <c r="D22" s="123">
        <v>52345</v>
      </c>
      <c r="E22" s="325">
        <v>0.25326809876920725</v>
      </c>
      <c r="F22" s="566">
        <v>0.26650880342206773</v>
      </c>
      <c r="G22" s="325">
        <v>0.25989110707803992</v>
      </c>
      <c r="H22" s="123">
        <v>21572</v>
      </c>
      <c r="I22" s="973">
        <v>0.23933803078064156</v>
      </c>
    </row>
    <row r="23" spans="1:9" ht="20" customHeight="1" thickBot="1">
      <c r="A23" s="328" t="s">
        <v>1822</v>
      </c>
      <c r="B23" s="123">
        <v>7711</v>
      </c>
      <c r="C23" s="124">
        <v>7317</v>
      </c>
      <c r="D23" s="123">
        <v>15028</v>
      </c>
      <c r="E23" s="325">
        <v>0.49630398132537934</v>
      </c>
      <c r="F23" s="566">
        <v>0.4952849528495285</v>
      </c>
      <c r="G23" s="325">
        <v>0.49580782539260049</v>
      </c>
      <c r="H23" s="123">
        <v>5290</v>
      </c>
      <c r="I23" s="973">
        <v>0.48128544423440456</v>
      </c>
    </row>
    <row r="24" spans="1:9" ht="20" customHeight="1" thickBot="1">
      <c r="A24" s="328" t="s">
        <v>1823</v>
      </c>
      <c r="B24" s="123">
        <v>231424</v>
      </c>
      <c r="C24" s="124">
        <v>234428</v>
      </c>
      <c r="D24" s="123">
        <v>465852</v>
      </c>
      <c r="E24" s="325">
        <v>0.29047116980088494</v>
      </c>
      <c r="F24" s="566">
        <v>0.30575699148565871</v>
      </c>
      <c r="G24" s="325">
        <v>0.29816336518894415</v>
      </c>
      <c r="H24" s="123">
        <v>183750</v>
      </c>
      <c r="I24" s="973">
        <v>0.35264217687074828</v>
      </c>
    </row>
    <row r="25" spans="1:9" ht="20" customHeight="1" thickBot="1">
      <c r="A25" s="328" t="s">
        <v>1824</v>
      </c>
      <c r="B25" s="123">
        <v>95413</v>
      </c>
      <c r="C25" s="124">
        <v>96465</v>
      </c>
      <c r="D25" s="123">
        <v>191878</v>
      </c>
      <c r="E25" s="325">
        <v>0.28941548845545156</v>
      </c>
      <c r="F25" s="566">
        <v>0.32035453273207898</v>
      </c>
      <c r="G25" s="325">
        <v>0.30496982457603267</v>
      </c>
      <c r="H25" s="123">
        <v>77781</v>
      </c>
      <c r="I25" s="973">
        <v>0.35790231547550172</v>
      </c>
    </row>
    <row r="26" spans="1:9" ht="20" customHeight="1" thickBot="1">
      <c r="A26" s="328" t="s">
        <v>1825</v>
      </c>
      <c r="B26" s="123">
        <v>289361</v>
      </c>
      <c r="C26" s="124">
        <v>289429</v>
      </c>
      <c r="D26" s="123">
        <v>578790</v>
      </c>
      <c r="E26" s="325">
        <v>0.24730354125123979</v>
      </c>
      <c r="F26" s="566">
        <v>0.27282338673733453</v>
      </c>
      <c r="G26" s="325">
        <v>0.26006496311270061</v>
      </c>
      <c r="H26" s="123">
        <v>224128</v>
      </c>
      <c r="I26" s="973">
        <v>0.26651734723015419</v>
      </c>
    </row>
    <row r="27" spans="1:9" ht="20" customHeight="1" thickBot="1">
      <c r="A27" s="328" t="s">
        <v>1826</v>
      </c>
      <c r="B27" s="123">
        <v>118953</v>
      </c>
      <c r="C27" s="124">
        <v>119188</v>
      </c>
      <c r="D27" s="123">
        <v>238141</v>
      </c>
      <c r="E27" s="325">
        <v>0.36166385042832044</v>
      </c>
      <c r="F27" s="566">
        <v>0.38504715239789239</v>
      </c>
      <c r="G27" s="325">
        <v>0.37336703885513206</v>
      </c>
      <c r="H27" s="123">
        <v>91537</v>
      </c>
      <c r="I27" s="973">
        <v>0.56792335339807942</v>
      </c>
    </row>
    <row r="28" spans="1:9" ht="20" customHeight="1" thickBot="1">
      <c r="A28" s="328" t="s">
        <v>1827</v>
      </c>
      <c r="B28" s="123">
        <v>157278</v>
      </c>
      <c r="C28" s="124">
        <v>170354</v>
      </c>
      <c r="D28" s="123">
        <v>327632</v>
      </c>
      <c r="E28" s="325">
        <v>0.28298935642620077</v>
      </c>
      <c r="F28" s="566">
        <v>0.33391643283985112</v>
      </c>
      <c r="G28" s="325">
        <v>0.30946916052156076</v>
      </c>
      <c r="H28" s="123">
        <v>134916</v>
      </c>
      <c r="I28" s="973">
        <v>0.46030863648492393</v>
      </c>
    </row>
    <row r="29" spans="1:9" ht="20" customHeight="1" thickBot="1">
      <c r="A29" s="328" t="s">
        <v>1828</v>
      </c>
      <c r="B29" s="123">
        <v>329989</v>
      </c>
      <c r="C29" s="124">
        <v>348154</v>
      </c>
      <c r="D29" s="123">
        <v>678143</v>
      </c>
      <c r="E29" s="325">
        <v>0.19431556809469405</v>
      </c>
      <c r="F29" s="566">
        <v>0.22796808308966721</v>
      </c>
      <c r="G29" s="325">
        <v>0.21159254021644402</v>
      </c>
      <c r="H29" s="123">
        <v>278752</v>
      </c>
      <c r="I29" s="973">
        <v>0.28192802204109746</v>
      </c>
    </row>
    <row r="30" spans="1:9" ht="20" customHeight="1" thickBot="1">
      <c r="A30" s="328" t="s">
        <v>1829</v>
      </c>
      <c r="B30" s="123">
        <v>146842</v>
      </c>
      <c r="C30" s="124">
        <v>150081</v>
      </c>
      <c r="D30" s="123">
        <v>296923</v>
      </c>
      <c r="E30" s="325">
        <v>0.26991596409746532</v>
      </c>
      <c r="F30" s="566">
        <v>0.32489122540494797</v>
      </c>
      <c r="G30" s="325">
        <v>0.29770344500089246</v>
      </c>
      <c r="H30" s="123">
        <v>107378</v>
      </c>
      <c r="I30" s="973">
        <v>0.46513252249064052</v>
      </c>
    </row>
    <row r="31" spans="1:9" ht="20" customHeight="1" thickBot="1">
      <c r="A31" s="328" t="s">
        <v>1830</v>
      </c>
      <c r="B31" s="123">
        <v>82397</v>
      </c>
      <c r="C31" s="124">
        <v>87498</v>
      </c>
      <c r="D31" s="123">
        <v>169895</v>
      </c>
      <c r="E31" s="325">
        <v>0.2185516462978021</v>
      </c>
      <c r="F31" s="566">
        <v>0.25632585887677434</v>
      </c>
      <c r="G31" s="325">
        <v>0.23800582712852056</v>
      </c>
      <c r="H31" s="123">
        <v>74049</v>
      </c>
      <c r="I31" s="973">
        <v>0.31498062094018825</v>
      </c>
    </row>
    <row r="32" spans="1:9" ht="20" customHeight="1" thickBot="1">
      <c r="A32" s="328" t="s">
        <v>1831</v>
      </c>
      <c r="B32" s="123">
        <v>212062</v>
      </c>
      <c r="C32" s="124">
        <v>229694</v>
      </c>
      <c r="D32" s="123">
        <v>441756</v>
      </c>
      <c r="E32" s="325">
        <v>0.29685186407748676</v>
      </c>
      <c r="F32" s="566">
        <v>0.30682560275845255</v>
      </c>
      <c r="G32" s="325">
        <v>0.30203777651010966</v>
      </c>
      <c r="H32" s="123">
        <v>181611</v>
      </c>
      <c r="I32" s="973">
        <v>0.51637290692744386</v>
      </c>
    </row>
    <row r="33" spans="1:9" ht="20" customHeight="1" thickBot="1">
      <c r="A33" s="328" t="s">
        <v>1832</v>
      </c>
      <c r="B33" s="123">
        <v>33487</v>
      </c>
      <c r="C33" s="124">
        <v>34746</v>
      </c>
      <c r="D33" s="123">
        <v>68233</v>
      </c>
      <c r="E33" s="325">
        <v>0.32881416669155195</v>
      </c>
      <c r="F33" s="566">
        <v>0.40862257526046164</v>
      </c>
      <c r="G33" s="325">
        <v>0.36945466269986665</v>
      </c>
      <c r="H33" s="123">
        <v>27471</v>
      </c>
      <c r="I33" s="973">
        <v>0.51217647701212188</v>
      </c>
    </row>
    <row r="34" spans="1:9" ht="30" customHeight="1" thickBot="1">
      <c r="A34" s="329" t="s">
        <v>628</v>
      </c>
      <c r="B34" s="347">
        <v>3748587</v>
      </c>
      <c r="C34" s="346">
        <v>3870012</v>
      </c>
      <c r="D34" s="347">
        <v>7618599</v>
      </c>
      <c r="E34" s="330">
        <v>0.28169761032623758</v>
      </c>
      <c r="F34" s="974">
        <v>0.31420626085913944</v>
      </c>
      <c r="G34" s="330">
        <v>0.29821099653623978</v>
      </c>
      <c r="H34" s="584">
        <v>3115399</v>
      </c>
      <c r="I34" s="975">
        <v>0.39334801096103583</v>
      </c>
    </row>
    <row r="35" spans="1:9" ht="20" customHeight="1">
      <c r="A35" s="334" t="s">
        <v>581</v>
      </c>
      <c r="B35" s="335"/>
      <c r="C35" s="335"/>
      <c r="D35" s="335"/>
      <c r="E35" s="335"/>
      <c r="F35" s="335"/>
      <c r="G35" s="335"/>
    </row>
    <row r="36" spans="1:9" ht="14.25" customHeight="1">
      <c r="A36" s="336"/>
      <c r="B36" s="337"/>
      <c r="C36" s="337"/>
      <c r="D36" s="337"/>
      <c r="E36" s="337"/>
      <c r="F36" s="337"/>
      <c r="G36" s="337"/>
    </row>
    <row r="37" spans="1:9" ht="20" customHeight="1">
      <c r="A37" s="336" t="s">
        <v>568</v>
      </c>
      <c r="B37" s="337"/>
      <c r="C37" s="337"/>
      <c r="D37" s="337"/>
      <c r="E37" s="337"/>
      <c r="F37" s="337"/>
      <c r="G37" s="337"/>
    </row>
    <row r="38" spans="1:9" ht="15.75" customHeight="1">
      <c r="A38" s="336"/>
      <c r="B38" s="337"/>
      <c r="C38" s="337"/>
      <c r="D38" s="337"/>
      <c r="E38" s="337"/>
      <c r="F38" s="337"/>
      <c r="G38" s="337"/>
    </row>
    <row r="39" spans="1:9" ht="11.25" customHeight="1">
      <c r="A39" s="3" t="s">
        <v>569</v>
      </c>
      <c r="B39" s="337"/>
      <c r="C39" s="337"/>
      <c r="D39" s="337"/>
      <c r="E39" s="337"/>
      <c r="F39" s="337"/>
      <c r="G39" s="337"/>
    </row>
    <row r="40" spans="1:9">
      <c r="A40" s="2" t="s">
        <v>570</v>
      </c>
    </row>
    <row r="41" spans="1:9">
      <c r="A41" s="2" t="s">
        <v>571</v>
      </c>
    </row>
    <row r="42" spans="1:9">
      <c r="A42" s="2" t="s">
        <v>572</v>
      </c>
    </row>
    <row r="43" spans="1:9">
      <c r="A43" s="2" t="s">
        <v>573</v>
      </c>
    </row>
    <row r="44" spans="1:9">
      <c r="A44" s="2" t="s">
        <v>574</v>
      </c>
    </row>
    <row r="45" spans="1:9">
      <c r="A45" s="976" t="s">
        <v>575</v>
      </c>
    </row>
    <row r="46" spans="1:9">
      <c r="A46" s="976" t="s">
        <v>576</v>
      </c>
    </row>
    <row r="49" spans="1:1">
      <c r="A49" s="2" t="s">
        <v>634</v>
      </c>
    </row>
  </sheetData>
  <mergeCells count="2">
    <mergeCell ref="B3:D3"/>
    <mergeCell ref="E3:G3"/>
  </mergeCells>
  <phoneticPr fontId="0" type="noConversion"/>
  <pageMargins left="0.57999999999999996" right="0.51" top="0.87" bottom="0.49" header="0.51" footer="0.4921259845"/>
  <pageSetup paperSize="9" scale="78" orientation="portrait" horizontalDpi="1200" verticalDpi="120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4D09-BCF2-7441-B0F6-2952BFB6510C}">
  <dimension ref="A1:B9"/>
  <sheetViews>
    <sheetView workbookViewId="0">
      <selection activeCell="A10" sqref="A10"/>
    </sheetView>
  </sheetViews>
  <sheetFormatPr baseColWidth="10" defaultColWidth="11.3984375" defaultRowHeight="13"/>
  <cols>
    <col min="1" max="1" width="5.59765625" style="49" customWidth="1"/>
    <col min="2" max="16384" width="11.3984375" style="49"/>
  </cols>
  <sheetData>
    <row r="1" spans="1:2" ht="16">
      <c r="A1" s="48" t="s">
        <v>265</v>
      </c>
    </row>
    <row r="2" spans="1:2" ht="16">
      <c r="A2" s="48"/>
    </row>
    <row r="3" spans="1:2">
      <c r="A3" s="49">
        <v>5.01</v>
      </c>
      <c r="B3" s="50" t="s">
        <v>266</v>
      </c>
    </row>
    <row r="4" spans="1:2">
      <c r="A4" s="49">
        <v>5.0199999999999996</v>
      </c>
      <c r="B4" s="50" t="s">
        <v>267</v>
      </c>
    </row>
    <row r="5" spans="1:2">
      <c r="A5" s="49">
        <v>5.03</v>
      </c>
      <c r="B5" s="49" t="s">
        <v>1649</v>
      </c>
    </row>
    <row r="6" spans="1:2">
      <c r="A6" s="49">
        <v>5.04</v>
      </c>
      <c r="B6" s="49" t="s">
        <v>1650</v>
      </c>
    </row>
    <row r="9" spans="1:2">
      <c r="A9" s="51" t="s">
        <v>634</v>
      </c>
    </row>
  </sheetData>
  <phoneticPr fontId="30" type="noConversion"/>
  <pageMargins left="0.54" right="0.51" top="0.78" bottom="0.984251969" header="0.36" footer="0.4921259845"/>
  <pageSetup paperSize="9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FB84-599E-D44C-81E7-87B5AC11FCD3}">
  <dimension ref="A1:AD109"/>
  <sheetViews>
    <sheetView topLeftCell="A83" zoomScale="75" workbookViewId="0">
      <selection activeCell="D109" sqref="D109"/>
    </sheetView>
  </sheetViews>
  <sheetFormatPr baseColWidth="10" defaultColWidth="11.3984375" defaultRowHeight="13"/>
  <cols>
    <col min="1" max="1" width="6.19921875" style="95" customWidth="1"/>
    <col min="2" max="2" width="38.59765625" style="95" customWidth="1"/>
    <col min="3" max="3" width="10.796875" style="95" customWidth="1"/>
    <col min="4" max="4" width="11.796875" style="95" customWidth="1"/>
    <col min="5" max="6" width="10.796875" style="2" customWidth="1"/>
    <col min="7" max="7" width="11.19921875" style="2" customWidth="1"/>
    <col min="8" max="9" width="11.19921875" style="8" customWidth="1"/>
    <col min="10" max="16" width="10.796875" style="2" customWidth="1"/>
    <col min="17" max="17" width="3" style="2" customWidth="1"/>
    <col min="18" max="18" width="10.796875" style="2" customWidth="1"/>
    <col min="19" max="19" width="11.796875" style="818" customWidth="1"/>
    <col min="20" max="20" width="11.3984375" style="2"/>
    <col min="21" max="22" width="12.19921875" style="2" customWidth="1"/>
    <col min="23" max="28" width="11.3984375" style="2"/>
    <col min="29" max="29" width="11.796875" style="2" customWidth="1"/>
    <col min="30" max="30" width="12.3984375" style="2" customWidth="1"/>
    <col min="31" max="16384" width="11.3984375" style="2"/>
  </cols>
  <sheetData>
    <row r="1" spans="1:30" s="1" customFormat="1" ht="14" customHeight="1">
      <c r="A1" s="166"/>
      <c r="B1" s="166"/>
      <c r="C1" s="166"/>
      <c r="D1" s="166"/>
      <c r="H1" s="274"/>
      <c r="I1" s="274"/>
      <c r="S1" s="793"/>
    </row>
    <row r="2" spans="1:30" s="1" customFormat="1" ht="32.25" customHeight="1">
      <c r="A2" s="1813" t="s">
        <v>683</v>
      </c>
      <c r="B2" s="1803"/>
      <c r="C2" s="53"/>
      <c r="D2" s="53"/>
      <c r="E2" s="52"/>
      <c r="F2" s="52"/>
      <c r="G2" s="52"/>
      <c r="H2" s="54"/>
      <c r="I2" s="274"/>
      <c r="J2" s="17"/>
      <c r="V2" s="794"/>
      <c r="AD2" s="794">
        <v>2007</v>
      </c>
    </row>
    <row r="3" spans="1:30" s="1" customFormat="1" ht="12" customHeight="1">
      <c r="A3" s="166"/>
      <c r="B3" s="166"/>
      <c r="C3" s="166"/>
      <c r="D3" s="166"/>
      <c r="H3" s="274"/>
      <c r="I3" s="274"/>
      <c r="S3" s="795"/>
      <c r="W3" s="796"/>
      <c r="X3" s="796"/>
      <c r="Y3" s="796"/>
      <c r="Z3" s="796"/>
      <c r="AA3" s="796"/>
      <c r="AB3" s="796"/>
      <c r="AC3" s="796"/>
      <c r="AD3" s="796"/>
    </row>
    <row r="4" spans="1:30" ht="18" customHeight="1">
      <c r="A4" s="58" t="s">
        <v>1652</v>
      </c>
      <c r="B4" s="58" t="s">
        <v>684</v>
      </c>
      <c r="C4" s="59" t="s">
        <v>685</v>
      </c>
      <c r="D4" s="60" t="s">
        <v>1488</v>
      </c>
      <c r="E4" s="60" t="s">
        <v>535</v>
      </c>
      <c r="F4" s="60" t="s">
        <v>686</v>
      </c>
      <c r="G4" s="60" t="s">
        <v>687</v>
      </c>
      <c r="H4" s="62" t="s">
        <v>688</v>
      </c>
      <c r="I4" s="62" t="s">
        <v>852</v>
      </c>
      <c r="J4" s="60" t="s">
        <v>689</v>
      </c>
      <c r="K4" s="60" t="s">
        <v>853</v>
      </c>
      <c r="L4" s="60" t="s">
        <v>853</v>
      </c>
      <c r="M4" s="59" t="s">
        <v>690</v>
      </c>
      <c r="N4" s="61" t="s">
        <v>688</v>
      </c>
      <c r="O4" s="61" t="s">
        <v>852</v>
      </c>
      <c r="P4" s="61" t="s">
        <v>2043</v>
      </c>
      <c r="Q4" s="60"/>
      <c r="R4" s="62" t="s">
        <v>691</v>
      </c>
      <c r="S4" s="66" t="s">
        <v>692</v>
      </c>
      <c r="T4" s="62" t="s">
        <v>1488</v>
      </c>
      <c r="U4" s="60" t="s">
        <v>535</v>
      </c>
      <c r="V4" s="62" t="s">
        <v>686</v>
      </c>
      <c r="W4" s="16" t="s">
        <v>687</v>
      </c>
      <c r="X4" s="16" t="s">
        <v>693</v>
      </c>
      <c r="Y4" s="16" t="s">
        <v>853</v>
      </c>
      <c r="Z4" s="16" t="s">
        <v>853</v>
      </c>
      <c r="AA4" s="16" t="s">
        <v>1090</v>
      </c>
      <c r="AB4" s="16" t="s">
        <v>694</v>
      </c>
      <c r="AC4" s="16" t="s">
        <v>695</v>
      </c>
      <c r="AD4" s="16" t="s">
        <v>696</v>
      </c>
    </row>
    <row r="5" spans="1:30" ht="15" customHeight="1">
      <c r="A5" s="64" t="s">
        <v>621</v>
      </c>
      <c r="B5" s="64"/>
      <c r="C5" s="65" t="s">
        <v>697</v>
      </c>
      <c r="D5" s="66" t="s">
        <v>698</v>
      </c>
      <c r="E5" s="66" t="s">
        <v>699</v>
      </c>
      <c r="F5" s="66" t="s">
        <v>700</v>
      </c>
      <c r="G5" s="66" t="s">
        <v>701</v>
      </c>
      <c r="H5" s="68" t="s">
        <v>702</v>
      </c>
      <c r="I5" s="68" t="s">
        <v>1112</v>
      </c>
      <c r="J5" s="66" t="s">
        <v>703</v>
      </c>
      <c r="K5" s="66" t="s">
        <v>2042</v>
      </c>
      <c r="L5" s="66" t="s">
        <v>2043</v>
      </c>
      <c r="M5" s="65" t="s">
        <v>400</v>
      </c>
      <c r="N5" s="67" t="s">
        <v>704</v>
      </c>
      <c r="O5" s="67" t="s">
        <v>1112</v>
      </c>
      <c r="P5" s="67" t="s">
        <v>705</v>
      </c>
      <c r="Q5" s="66"/>
      <c r="R5" s="68" t="s">
        <v>629</v>
      </c>
      <c r="S5" s="66" t="s">
        <v>629</v>
      </c>
      <c r="T5" s="68" t="s">
        <v>1058</v>
      </c>
      <c r="U5" s="66" t="s">
        <v>699</v>
      </c>
      <c r="V5" s="68" t="s">
        <v>700</v>
      </c>
      <c r="W5" s="16" t="s">
        <v>701</v>
      </c>
      <c r="X5" s="16" t="s">
        <v>706</v>
      </c>
      <c r="Y5" s="16" t="s">
        <v>2042</v>
      </c>
      <c r="Z5" s="16" t="s">
        <v>2043</v>
      </c>
      <c r="AA5" s="16" t="s">
        <v>1086</v>
      </c>
      <c r="AB5" s="16" t="s">
        <v>707</v>
      </c>
      <c r="AC5" s="16" t="s">
        <v>708</v>
      </c>
      <c r="AD5" s="16" t="s">
        <v>708</v>
      </c>
    </row>
    <row r="6" spans="1:30" ht="15" customHeight="1">
      <c r="A6" s="64"/>
      <c r="B6" s="64"/>
      <c r="C6" s="65" t="s">
        <v>709</v>
      </c>
      <c r="D6" s="66" t="s">
        <v>710</v>
      </c>
      <c r="E6" s="66" t="s">
        <v>711</v>
      </c>
      <c r="F6" s="66" t="s">
        <v>712</v>
      </c>
      <c r="G6" s="66" t="s">
        <v>712</v>
      </c>
      <c r="H6" s="68" t="s">
        <v>712</v>
      </c>
      <c r="I6" s="68" t="s">
        <v>2045</v>
      </c>
      <c r="J6" s="66" t="s">
        <v>713</v>
      </c>
      <c r="K6" s="66" t="s">
        <v>714</v>
      </c>
      <c r="L6" s="66" t="s">
        <v>698</v>
      </c>
      <c r="M6" s="65" t="s">
        <v>715</v>
      </c>
      <c r="N6" s="67" t="s">
        <v>716</v>
      </c>
      <c r="O6" s="67" t="s">
        <v>2045</v>
      </c>
      <c r="P6" s="67" t="s">
        <v>1488</v>
      </c>
      <c r="Q6" s="66"/>
      <c r="R6" s="68" t="s">
        <v>1058</v>
      </c>
      <c r="S6" s="66" t="s">
        <v>1058</v>
      </c>
      <c r="T6" s="68"/>
      <c r="U6" s="66" t="s">
        <v>711</v>
      </c>
      <c r="V6" s="68" t="s">
        <v>1058</v>
      </c>
      <c r="W6" s="16" t="s">
        <v>1058</v>
      </c>
      <c r="X6" s="16" t="s">
        <v>1058</v>
      </c>
      <c r="Y6" s="16" t="s">
        <v>2046</v>
      </c>
      <c r="Z6" s="16" t="s">
        <v>717</v>
      </c>
      <c r="AA6" s="16" t="s">
        <v>718</v>
      </c>
      <c r="AB6" s="16" t="s">
        <v>719</v>
      </c>
      <c r="AC6" s="16" t="s">
        <v>707</v>
      </c>
      <c r="AD6" s="16" t="s">
        <v>707</v>
      </c>
    </row>
    <row r="7" spans="1:30" ht="15" customHeight="1">
      <c r="A7" s="64"/>
      <c r="B7" s="64"/>
      <c r="C7" s="797" t="s">
        <v>720</v>
      </c>
      <c r="D7" s="66" t="s">
        <v>494</v>
      </c>
      <c r="E7" s="66" t="s">
        <v>698</v>
      </c>
      <c r="F7" s="66" t="s">
        <v>710</v>
      </c>
      <c r="G7" s="66" t="s">
        <v>710</v>
      </c>
      <c r="H7" s="68" t="s">
        <v>710</v>
      </c>
      <c r="I7" s="68" t="s">
        <v>721</v>
      </c>
      <c r="J7" s="66" t="s">
        <v>722</v>
      </c>
      <c r="K7" s="66" t="s">
        <v>713</v>
      </c>
      <c r="L7" s="66" t="s">
        <v>710</v>
      </c>
      <c r="M7" s="65" t="s">
        <v>1488</v>
      </c>
      <c r="N7" s="67" t="s">
        <v>723</v>
      </c>
      <c r="O7" s="67" t="s">
        <v>2049</v>
      </c>
      <c r="P7" s="67"/>
      <c r="Q7" s="66"/>
      <c r="R7" s="68"/>
      <c r="S7" s="66"/>
      <c r="T7" s="68"/>
      <c r="U7" s="66" t="s">
        <v>717</v>
      </c>
      <c r="V7" s="68"/>
      <c r="W7" s="16"/>
      <c r="X7" s="16"/>
      <c r="Y7" s="16" t="s">
        <v>717</v>
      </c>
      <c r="Z7" s="16"/>
      <c r="AA7" s="16" t="s">
        <v>1488</v>
      </c>
      <c r="AB7" s="16" t="s">
        <v>1058</v>
      </c>
      <c r="AC7" s="16" t="s">
        <v>719</v>
      </c>
      <c r="AD7" s="16" t="s">
        <v>719</v>
      </c>
    </row>
    <row r="8" spans="1:30" ht="15" customHeight="1">
      <c r="A8" s="64"/>
      <c r="B8" s="64"/>
      <c r="C8" s="797"/>
      <c r="D8" s="66"/>
      <c r="E8" s="66" t="s">
        <v>710</v>
      </c>
      <c r="F8" s="66" t="s">
        <v>494</v>
      </c>
      <c r="G8" s="66" t="s">
        <v>494</v>
      </c>
      <c r="H8" s="68" t="s">
        <v>494</v>
      </c>
      <c r="I8" s="68" t="s">
        <v>713</v>
      </c>
      <c r="J8" s="66" t="s">
        <v>494</v>
      </c>
      <c r="K8" s="66" t="s">
        <v>724</v>
      </c>
      <c r="L8" s="66" t="s">
        <v>494</v>
      </c>
      <c r="M8" s="65" t="s">
        <v>870</v>
      </c>
      <c r="N8" s="67"/>
      <c r="O8" s="67" t="s">
        <v>725</v>
      </c>
      <c r="P8" s="67"/>
      <c r="Q8" s="66"/>
      <c r="R8" s="68"/>
      <c r="S8" s="66"/>
      <c r="T8" s="68"/>
      <c r="U8" s="66"/>
      <c r="V8" s="68"/>
      <c r="W8" s="16"/>
      <c r="X8" s="16"/>
      <c r="Y8" s="16"/>
      <c r="Z8" s="16"/>
      <c r="AA8" s="16" t="s">
        <v>1058</v>
      </c>
      <c r="AB8" s="16"/>
      <c r="AC8" s="16" t="s">
        <v>726</v>
      </c>
      <c r="AD8" s="16" t="s">
        <v>727</v>
      </c>
    </row>
    <row r="9" spans="1:30" ht="15" customHeight="1">
      <c r="A9" s="64"/>
      <c r="B9" s="64"/>
      <c r="C9" s="65"/>
      <c r="D9" s="66"/>
      <c r="E9" s="66" t="s">
        <v>494</v>
      </c>
      <c r="F9" s="66"/>
      <c r="G9" s="66"/>
      <c r="H9" s="68"/>
      <c r="I9" s="68" t="s">
        <v>728</v>
      </c>
      <c r="J9" s="66"/>
      <c r="K9" s="66" t="s">
        <v>494</v>
      </c>
      <c r="L9" s="66"/>
      <c r="M9" s="798"/>
      <c r="N9" s="67"/>
      <c r="O9" s="67" t="s">
        <v>692</v>
      </c>
      <c r="P9" s="67"/>
      <c r="Q9" s="66"/>
      <c r="R9" s="68"/>
      <c r="S9" s="66"/>
      <c r="T9" s="68"/>
      <c r="U9" s="66"/>
      <c r="V9" s="68"/>
      <c r="W9" s="16"/>
      <c r="X9" s="16"/>
      <c r="Y9" s="16"/>
      <c r="Z9" s="16"/>
      <c r="AA9" s="16"/>
      <c r="AB9" s="16"/>
      <c r="AC9" s="16"/>
      <c r="AD9" s="16"/>
    </row>
    <row r="10" spans="1:30" ht="21" customHeight="1">
      <c r="A10" s="799">
        <v>0</v>
      </c>
      <c r="B10" s="799"/>
      <c r="C10" s="800">
        <v>1</v>
      </c>
      <c r="D10" s="801" t="s">
        <v>1433</v>
      </c>
      <c r="E10" s="801" t="s">
        <v>669</v>
      </c>
      <c r="F10" s="801" t="s">
        <v>1888</v>
      </c>
      <c r="G10" s="801" t="s">
        <v>1886</v>
      </c>
      <c r="H10" s="802" t="s">
        <v>658</v>
      </c>
      <c r="I10" s="802" t="s">
        <v>1874</v>
      </c>
      <c r="J10" s="801">
        <v>7</v>
      </c>
      <c r="K10" s="801" t="s">
        <v>1881</v>
      </c>
      <c r="L10" s="801" t="s">
        <v>1883</v>
      </c>
      <c r="M10" s="800">
        <v>15</v>
      </c>
      <c r="N10" s="803" t="s">
        <v>661</v>
      </c>
      <c r="O10" s="803" t="s">
        <v>1890</v>
      </c>
      <c r="P10" s="803" t="s">
        <v>653</v>
      </c>
      <c r="Q10" s="799"/>
      <c r="R10" s="802">
        <v>2</v>
      </c>
      <c r="S10" s="801">
        <v>14</v>
      </c>
      <c r="T10" s="802" t="s">
        <v>1431</v>
      </c>
      <c r="U10" s="801" t="s">
        <v>665</v>
      </c>
      <c r="V10" s="802" t="s">
        <v>344</v>
      </c>
      <c r="W10" s="801" t="s">
        <v>341</v>
      </c>
      <c r="X10" s="801" t="s">
        <v>655</v>
      </c>
      <c r="Y10" s="801" t="s">
        <v>1893</v>
      </c>
      <c r="Z10" s="801" t="s">
        <v>1895</v>
      </c>
      <c r="AA10" s="801">
        <v>10</v>
      </c>
      <c r="AB10" s="801" t="s">
        <v>660</v>
      </c>
      <c r="AC10" s="801" t="s">
        <v>663</v>
      </c>
      <c r="AD10" s="801" t="s">
        <v>667</v>
      </c>
    </row>
    <row r="11" spans="1:30" ht="14" thickBot="1">
      <c r="A11" s="78">
        <v>8</v>
      </c>
      <c r="B11" s="79" t="s">
        <v>730</v>
      </c>
      <c r="C11" s="804">
        <v>939684.29</v>
      </c>
      <c r="D11" s="805">
        <v>2446.7036094537666</v>
      </c>
      <c r="E11" s="805">
        <v>2488.6484000174141</v>
      </c>
      <c r="F11" s="805">
        <v>408.30031321477128</v>
      </c>
      <c r="G11" s="805">
        <v>2896.9487132321856</v>
      </c>
      <c r="H11" s="805">
        <v>-141.71170191639578</v>
      </c>
      <c r="I11" s="806">
        <v>135.85080277334421</v>
      </c>
      <c r="J11" s="805">
        <v>-9.2038790070652556</v>
      </c>
      <c r="K11" s="806">
        <v>688.74196034500051</v>
      </c>
      <c r="L11" s="805">
        <v>413.41958526304614</v>
      </c>
      <c r="M11" s="807">
        <v>1.0171433885173413</v>
      </c>
      <c r="N11" s="807">
        <v>-5.6735435396511463E-2</v>
      </c>
      <c r="O11" s="807">
        <v>5.418929730998738E-2</v>
      </c>
      <c r="P11" s="807">
        <v>0.16897003121491419</v>
      </c>
      <c r="Q11" s="805"/>
      <c r="R11" s="742">
        <v>2347.1091579600002</v>
      </c>
      <c r="S11" s="742">
        <v>2355.75789846</v>
      </c>
      <c r="T11" s="742">
        <v>2299.12894409</v>
      </c>
      <c r="U11" s="742">
        <v>2338.5438048299998</v>
      </c>
      <c r="V11" s="742">
        <v>383.67338992999998</v>
      </c>
      <c r="W11" s="742">
        <v>2722.21719476</v>
      </c>
      <c r="X11" s="742">
        <v>-133.16426000000001</v>
      </c>
      <c r="Y11" s="742">
        <v>647.20000000000005</v>
      </c>
      <c r="Z11" s="742">
        <v>388.48388944999999</v>
      </c>
      <c r="AA11" s="742" t="s">
        <v>59</v>
      </c>
      <c r="AB11" s="742">
        <v>298.8867627317</v>
      </c>
      <c r="AC11" s="742">
        <v>89.59712671829999</v>
      </c>
      <c r="AD11" s="742" t="s">
        <v>489</v>
      </c>
    </row>
    <row r="12" spans="1:30" ht="14" thickBot="1">
      <c r="A12" s="78">
        <v>32</v>
      </c>
      <c r="B12" s="79" t="s">
        <v>731</v>
      </c>
      <c r="C12" s="804">
        <v>32411</v>
      </c>
      <c r="D12" s="805">
        <v>2445.9389404831695</v>
      </c>
      <c r="E12" s="805">
        <v>2406.9032257566878</v>
      </c>
      <c r="F12" s="805">
        <v>394.9362160994724</v>
      </c>
      <c r="G12" s="805">
        <v>2801.8394418561602</v>
      </c>
      <c r="H12" s="805">
        <v>-110.76954243929531</v>
      </c>
      <c r="I12" s="806">
        <v>115.53650057079386</v>
      </c>
      <c r="J12" s="805">
        <v>74.756942704637297</v>
      </c>
      <c r="K12" s="806">
        <v>688.03801178612196</v>
      </c>
      <c r="L12" s="805">
        <v>709.22640893523794</v>
      </c>
      <c r="M12" s="807">
        <v>0.98404060130839954</v>
      </c>
      <c r="N12" s="807">
        <v>-4.475312954547235E-2</v>
      </c>
      <c r="O12" s="807">
        <v>4.8132848260782374E-2</v>
      </c>
      <c r="P12" s="807">
        <v>0.28996079877412551</v>
      </c>
      <c r="Q12" s="805"/>
      <c r="R12" s="742">
        <v>80.221242099999998</v>
      </c>
      <c r="S12" s="742">
        <v>77.798294830000003</v>
      </c>
      <c r="T12" s="747">
        <v>79.275327000000004</v>
      </c>
      <c r="U12" s="747">
        <v>78.010140450000009</v>
      </c>
      <c r="V12" s="747">
        <v>12.800277699999999</v>
      </c>
      <c r="W12" s="742">
        <v>90.810418150000004</v>
      </c>
      <c r="X12" s="742">
        <v>-3.5901516400000002</v>
      </c>
      <c r="Y12" s="747">
        <v>22.3</v>
      </c>
      <c r="Z12" s="742">
        <v>22.986737139999999</v>
      </c>
      <c r="AA12" s="742">
        <v>34.662166599999999</v>
      </c>
      <c r="AB12" s="747">
        <v>15.855065400000001</v>
      </c>
      <c r="AC12" s="747">
        <v>7.131671739999998</v>
      </c>
      <c r="AD12" s="747" t="s">
        <v>489</v>
      </c>
    </row>
    <row r="13" spans="1:30" ht="14" thickBot="1">
      <c r="A13" s="78">
        <v>57</v>
      </c>
      <c r="B13" s="79" t="s">
        <v>200</v>
      </c>
      <c r="C13" s="804">
        <v>10827.83</v>
      </c>
      <c r="D13" s="805">
        <v>3713.0891785334647</v>
      </c>
      <c r="E13" s="805">
        <v>3932.212340792199</v>
      </c>
      <c r="F13" s="805">
        <v>520.15052415858031</v>
      </c>
      <c r="G13" s="805">
        <v>4452.3628649507791</v>
      </c>
      <c r="H13" s="805">
        <v>-400.12345964057437</v>
      </c>
      <c r="I13" s="806">
        <v>209.72930033072186</v>
      </c>
      <c r="J13" s="805">
        <v>502.08572170047006</v>
      </c>
      <c r="K13" s="806">
        <v>1108.2553013854115</v>
      </c>
      <c r="L13" s="805">
        <v>786.43095338585852</v>
      </c>
      <c r="M13" s="807">
        <v>1.0590137084575169</v>
      </c>
      <c r="N13" s="807">
        <v>-0.10083020098615782</v>
      </c>
      <c r="O13" s="807">
        <v>6.0506910346815372E-2</v>
      </c>
      <c r="P13" s="807">
        <v>0.21179964056141254</v>
      </c>
      <c r="Q13" s="805"/>
      <c r="R13" s="742">
        <v>42.967967510000008</v>
      </c>
      <c r="S13" s="742">
        <v>37.531468670000002</v>
      </c>
      <c r="T13" s="747">
        <v>40.204698400000005</v>
      </c>
      <c r="U13" s="747">
        <v>42.577326749999997</v>
      </c>
      <c r="V13" s="747">
        <v>5.6321014500000004</v>
      </c>
      <c r="W13" s="742">
        <v>48.209428199999998</v>
      </c>
      <c r="X13" s="742">
        <v>-4.3324688</v>
      </c>
      <c r="Y13" s="747">
        <v>12</v>
      </c>
      <c r="Z13" s="742">
        <v>8.5153406700000005</v>
      </c>
      <c r="AA13" s="742" t="s">
        <v>59</v>
      </c>
      <c r="AB13" s="747">
        <v>8.040939680000001</v>
      </c>
      <c r="AC13" s="747">
        <v>0.47440098999999947</v>
      </c>
      <c r="AD13" s="747" t="s">
        <v>489</v>
      </c>
    </row>
    <row r="14" spans="1:30" ht="14" thickBot="1">
      <c r="A14" s="78">
        <v>62</v>
      </c>
      <c r="B14" s="79" t="s">
        <v>732</v>
      </c>
      <c r="C14" s="804">
        <v>44825.83</v>
      </c>
      <c r="D14" s="805">
        <v>3820.9412073351455</v>
      </c>
      <c r="E14" s="805">
        <v>4273.7693254090336</v>
      </c>
      <c r="F14" s="805">
        <v>580.80036934062343</v>
      </c>
      <c r="G14" s="805">
        <v>4854.5696947496563</v>
      </c>
      <c r="H14" s="805">
        <v>-1049.8013890651887</v>
      </c>
      <c r="I14" s="806">
        <v>276.19681174894032</v>
      </c>
      <c r="J14" s="805">
        <v>143.92128645470706</v>
      </c>
      <c r="K14" s="806">
        <v>1478.9906701114069</v>
      </c>
      <c r="L14" s="805">
        <v>1652.9846641991901</v>
      </c>
      <c r="M14" s="807">
        <v>1.1185121920234167</v>
      </c>
      <c r="N14" s="807">
        <v>-0.30666739698151163</v>
      </c>
      <c r="O14" s="807">
        <v>8.4223396166566544E-2</v>
      </c>
      <c r="P14" s="807">
        <v>0.43261190751271417</v>
      </c>
      <c r="Q14" s="805"/>
      <c r="R14" s="742">
        <v>153.45034739000002</v>
      </c>
      <c r="S14" s="742">
        <v>146.99895627000001</v>
      </c>
      <c r="T14" s="747">
        <v>171.276861</v>
      </c>
      <c r="U14" s="747">
        <v>191.57525724000001</v>
      </c>
      <c r="V14" s="747">
        <v>26.034858619999998</v>
      </c>
      <c r="W14" s="742">
        <v>217.61011586000001</v>
      </c>
      <c r="X14" s="742">
        <v>-47.058218600000004</v>
      </c>
      <c r="Y14" s="747">
        <v>66.296984350000002</v>
      </c>
      <c r="Z14" s="742">
        <v>74.09640954999999</v>
      </c>
      <c r="AA14" s="742" t="s">
        <v>59</v>
      </c>
      <c r="AB14" s="747">
        <v>34.255372200000004</v>
      </c>
      <c r="AC14" s="747">
        <v>39.841037349999986</v>
      </c>
      <c r="AD14" s="747" t="s">
        <v>489</v>
      </c>
    </row>
    <row r="15" spans="1:30" ht="14" thickBot="1">
      <c r="A15" s="78">
        <v>97</v>
      </c>
      <c r="B15" s="79" t="s">
        <v>733</v>
      </c>
      <c r="C15" s="804">
        <v>938.25</v>
      </c>
      <c r="D15" s="805">
        <v>2077.8839328537169</v>
      </c>
      <c r="E15" s="805">
        <v>1743.6872901678657</v>
      </c>
      <c r="F15" s="805">
        <v>350.08936850519586</v>
      </c>
      <c r="G15" s="805">
        <v>2093.7766586730618</v>
      </c>
      <c r="H15" s="805">
        <v>132.75102584598989</v>
      </c>
      <c r="I15" s="806">
        <v>91.108745003996802</v>
      </c>
      <c r="J15" s="805">
        <v>72.979344524380494</v>
      </c>
      <c r="K15" s="806">
        <v>373.03490540900611</v>
      </c>
      <c r="L15" s="805">
        <v>656.60551025845996</v>
      </c>
      <c r="M15" s="807">
        <v>0.83916491320721975</v>
      </c>
      <c r="N15" s="807">
        <v>6.814778383664008E-2</v>
      </c>
      <c r="O15" s="807">
        <v>4.8591121302737662E-2</v>
      </c>
      <c r="P15" s="807">
        <v>0.31599720267180342</v>
      </c>
      <c r="Q15" s="805"/>
      <c r="R15" s="742">
        <v>1.8276992000000001</v>
      </c>
      <c r="S15" s="742">
        <v>1.7592263300000002</v>
      </c>
      <c r="T15" s="747">
        <v>1.9495745999999998</v>
      </c>
      <c r="U15" s="747">
        <v>1.6360146</v>
      </c>
      <c r="V15" s="747">
        <v>0.32847135</v>
      </c>
      <c r="W15" s="742">
        <v>1.96448595</v>
      </c>
      <c r="X15" s="742">
        <v>0.12455365</v>
      </c>
      <c r="Y15" s="747">
        <v>0.35</v>
      </c>
      <c r="Z15" s="742">
        <v>0.61606011999999999</v>
      </c>
      <c r="AA15" s="742">
        <v>0.168048</v>
      </c>
      <c r="AB15" s="747">
        <v>0.38991492</v>
      </c>
      <c r="AC15" s="747">
        <v>0.22614519999999999</v>
      </c>
      <c r="AD15" s="747" t="s">
        <v>489</v>
      </c>
    </row>
    <row r="16" spans="1:30" ht="14" thickBot="1">
      <c r="A16" s="78">
        <v>134</v>
      </c>
      <c r="B16" s="79" t="s">
        <v>734</v>
      </c>
      <c r="C16" s="804">
        <v>3604</v>
      </c>
      <c r="D16" s="805">
        <v>1907.0771642619309</v>
      </c>
      <c r="E16" s="805">
        <v>1772.0702830188682</v>
      </c>
      <c r="F16" s="805">
        <v>342.25052719200886</v>
      </c>
      <c r="G16" s="805">
        <v>2114.3208102108774</v>
      </c>
      <c r="H16" s="805">
        <v>40.097946725860155</v>
      </c>
      <c r="I16" s="806">
        <v>81.476939511653725</v>
      </c>
      <c r="J16" s="805">
        <v>70.122577691453941</v>
      </c>
      <c r="K16" s="806">
        <v>721.42064372918981</v>
      </c>
      <c r="L16" s="805">
        <v>851.19567425083233</v>
      </c>
      <c r="M16" s="807">
        <v>0.92920743650385407</v>
      </c>
      <c r="N16" s="807">
        <v>2.1489495966253581E-2</v>
      </c>
      <c r="O16" s="807">
        <v>4.5370583577590405E-2</v>
      </c>
      <c r="P16" s="807">
        <v>0.44633520352610306</v>
      </c>
      <c r="Q16" s="805"/>
      <c r="R16" s="742">
        <v>6.7248203600000016</v>
      </c>
      <c r="S16" s="742">
        <v>6.4720985899999999</v>
      </c>
      <c r="T16" s="747">
        <v>6.8731060999999993</v>
      </c>
      <c r="U16" s="747">
        <v>6.3865413000000011</v>
      </c>
      <c r="V16" s="747">
        <v>1.2334708999999999</v>
      </c>
      <c r="W16" s="742">
        <v>7.6200122000000015</v>
      </c>
      <c r="X16" s="742">
        <v>0.144513</v>
      </c>
      <c r="Y16" s="747">
        <v>2.6</v>
      </c>
      <c r="Z16" s="742">
        <v>3.0677092099999999</v>
      </c>
      <c r="AA16" s="742" t="s">
        <v>59</v>
      </c>
      <c r="AB16" s="747">
        <v>1.3746212199999999</v>
      </c>
      <c r="AC16" s="747">
        <v>1.69308799</v>
      </c>
      <c r="AD16" s="747" t="s">
        <v>489</v>
      </c>
    </row>
    <row r="17" spans="1:30" ht="14" thickBot="1">
      <c r="A17" s="78">
        <v>160</v>
      </c>
      <c r="B17" s="79" t="s">
        <v>735</v>
      </c>
      <c r="C17" s="804">
        <v>31183</v>
      </c>
      <c r="D17" s="805">
        <v>2620.3983548728474</v>
      </c>
      <c r="E17" s="805">
        <v>2071.6702677741073</v>
      </c>
      <c r="F17" s="805">
        <v>414.06113587531661</v>
      </c>
      <c r="G17" s="805">
        <v>2485.731403649424</v>
      </c>
      <c r="H17" s="805">
        <v>261.99993906936464</v>
      </c>
      <c r="I17" s="806">
        <v>137.02274155790016</v>
      </c>
      <c r="J17" s="805">
        <v>170.28437449892573</v>
      </c>
      <c r="K17" s="806">
        <v>567.84145207324502</v>
      </c>
      <c r="L17" s="805">
        <v>645.64291248436643</v>
      </c>
      <c r="M17" s="807">
        <v>0.79059363776567215</v>
      </c>
      <c r="N17" s="807">
        <v>9.945849418252202E-2</v>
      </c>
      <c r="O17" s="807">
        <v>5.5610336818923051E-2</v>
      </c>
      <c r="P17" s="807">
        <v>0.24639113029655971</v>
      </c>
      <c r="Q17" s="805"/>
      <c r="R17" s="742">
        <v>82.144256929999997</v>
      </c>
      <c r="S17" s="742">
        <v>76.834279280000004</v>
      </c>
      <c r="T17" s="747">
        <v>81.711881900000009</v>
      </c>
      <c r="U17" s="747">
        <v>64.600893959999993</v>
      </c>
      <c r="V17" s="747">
        <v>12.911668399999998</v>
      </c>
      <c r="W17" s="742">
        <v>77.51256235999999</v>
      </c>
      <c r="X17" s="742">
        <v>8.1699440999999986</v>
      </c>
      <c r="Y17" s="747">
        <v>17.707000000000001</v>
      </c>
      <c r="Z17" s="742">
        <v>20.133082940000001</v>
      </c>
      <c r="AA17" s="742">
        <v>9.2340776499999997</v>
      </c>
      <c r="AB17" s="747">
        <v>16.342376380000001</v>
      </c>
      <c r="AC17" s="747">
        <v>3.7907065600000003</v>
      </c>
      <c r="AD17" s="747" t="s">
        <v>489</v>
      </c>
    </row>
    <row r="18" spans="1:30" ht="14" thickBot="1">
      <c r="A18" s="78">
        <v>178</v>
      </c>
      <c r="B18" s="79" t="s">
        <v>736</v>
      </c>
      <c r="C18" s="804">
        <v>980.16</v>
      </c>
      <c r="D18" s="805">
        <v>2050.2001203885079</v>
      </c>
      <c r="E18" s="805">
        <v>1466.9701885406466</v>
      </c>
      <c r="F18" s="805">
        <v>311.79113614103824</v>
      </c>
      <c r="G18" s="805">
        <v>1778.7613246816848</v>
      </c>
      <c r="H18" s="805">
        <v>387.69180541952335</v>
      </c>
      <c r="I18" s="806">
        <v>122.67734859614758</v>
      </c>
      <c r="J18" s="805">
        <v>74.410963516160621</v>
      </c>
      <c r="K18" s="806">
        <v>561.13287626509964</v>
      </c>
      <c r="L18" s="805">
        <v>733.67601207966061</v>
      </c>
      <c r="M18" s="807">
        <v>0.71552536454961257</v>
      </c>
      <c r="N18" s="807">
        <v>0.19187956297490538</v>
      </c>
      <c r="O18" s="807">
        <v>6.3038034777590818E-2</v>
      </c>
      <c r="P18" s="807">
        <v>0.35785580382300958</v>
      </c>
      <c r="Q18" s="805"/>
      <c r="R18" s="742">
        <v>1.9804089300000001</v>
      </c>
      <c r="S18" s="742">
        <v>1.90747428</v>
      </c>
      <c r="T18" s="747">
        <v>2.0095241499999998</v>
      </c>
      <c r="U18" s="747">
        <v>1.4378655</v>
      </c>
      <c r="V18" s="747">
        <v>0.30560520000000002</v>
      </c>
      <c r="W18" s="742">
        <v>1.7434707</v>
      </c>
      <c r="X18" s="742">
        <v>0.38</v>
      </c>
      <c r="Y18" s="747">
        <v>0.55000000000000004</v>
      </c>
      <c r="Z18" s="742">
        <v>0.71911988000000004</v>
      </c>
      <c r="AA18" s="742">
        <v>0.32824150000000002</v>
      </c>
      <c r="AB18" s="747">
        <v>0.40190482999999999</v>
      </c>
      <c r="AC18" s="747">
        <v>0.31721505000000005</v>
      </c>
      <c r="AD18" s="747" t="s">
        <v>489</v>
      </c>
    </row>
    <row r="19" spans="1:30" ht="14" thickBot="1">
      <c r="A19" s="78">
        <v>182</v>
      </c>
      <c r="B19" s="79" t="s">
        <v>737</v>
      </c>
      <c r="C19" s="804">
        <v>56712</v>
      </c>
      <c r="D19" s="805">
        <v>2215.5231256171533</v>
      </c>
      <c r="E19" s="805">
        <v>1870.1865354775002</v>
      </c>
      <c r="F19" s="805">
        <v>382.59661006488926</v>
      </c>
      <c r="G19" s="805">
        <v>2252.7831455423893</v>
      </c>
      <c r="H19" s="805">
        <v>193.57000282127237</v>
      </c>
      <c r="I19" s="806">
        <v>130.73153812244323</v>
      </c>
      <c r="J19" s="805">
        <v>19.078197383269895</v>
      </c>
      <c r="K19" s="806">
        <v>458.45676400056425</v>
      </c>
      <c r="L19" s="805">
        <v>443.91698494145862</v>
      </c>
      <c r="M19" s="807">
        <v>0.844128645669877</v>
      </c>
      <c r="N19" s="807">
        <v>8.7889246119763606E-2</v>
      </c>
      <c r="O19" s="807">
        <v>5.9876505617475512E-2</v>
      </c>
      <c r="P19" s="807">
        <v>0.20036666727087382</v>
      </c>
      <c r="Q19" s="805"/>
      <c r="R19" s="742">
        <v>124.90426855000001</v>
      </c>
      <c r="S19" s="742">
        <v>123.82230582</v>
      </c>
      <c r="T19" s="747">
        <v>125.6467475</v>
      </c>
      <c r="U19" s="747">
        <v>106.06201879999999</v>
      </c>
      <c r="V19" s="747">
        <v>21.697818949999998</v>
      </c>
      <c r="W19" s="742">
        <v>127.75983774999999</v>
      </c>
      <c r="X19" s="742">
        <v>10.977741999999999</v>
      </c>
      <c r="Y19" s="747">
        <v>26</v>
      </c>
      <c r="Z19" s="742">
        <v>25.17542005</v>
      </c>
      <c r="AA19" s="742" t="s">
        <v>59</v>
      </c>
      <c r="AB19" s="747">
        <v>22.616414550000002</v>
      </c>
      <c r="AC19" s="747">
        <v>2.5590054999999978</v>
      </c>
      <c r="AD19" s="747" t="s">
        <v>489</v>
      </c>
    </row>
    <row r="20" spans="1:30" ht="14" thickBot="1">
      <c r="A20" s="78">
        <v>194</v>
      </c>
      <c r="B20" s="79" t="s">
        <v>738</v>
      </c>
      <c r="C20" s="804">
        <v>21345.42</v>
      </c>
      <c r="D20" s="805">
        <v>2242.9989196745719</v>
      </c>
      <c r="E20" s="805">
        <v>1699.728367959028</v>
      </c>
      <c r="F20" s="805">
        <v>349.85661561121765</v>
      </c>
      <c r="G20" s="805">
        <v>2049.5849835702456</v>
      </c>
      <c r="H20" s="805">
        <v>484.90039315225454</v>
      </c>
      <c r="I20" s="806">
        <v>64.863183764948175</v>
      </c>
      <c r="J20" s="805">
        <v>27.766886760719643</v>
      </c>
      <c r="K20" s="806">
        <v>447.40276836904593</v>
      </c>
      <c r="L20" s="805">
        <v>527.2628081340165</v>
      </c>
      <c r="M20" s="807">
        <v>0.75779277156568359</v>
      </c>
      <c r="N20" s="807">
        <v>0.2149467402608648</v>
      </c>
      <c r="O20" s="807">
        <v>2.9110876209683157E-2</v>
      </c>
      <c r="P20" s="807">
        <v>0.23507046905333109</v>
      </c>
      <c r="Q20" s="805"/>
      <c r="R20" s="742">
        <v>48.153335740000003</v>
      </c>
      <c r="S20" s="742">
        <v>47.560639880000004</v>
      </c>
      <c r="T20" s="747">
        <v>47.877754000000003</v>
      </c>
      <c r="U20" s="747">
        <v>36.281415899999999</v>
      </c>
      <c r="V20" s="747">
        <v>7.4678363999999986</v>
      </c>
      <c r="W20" s="742">
        <v>43.749252299999995</v>
      </c>
      <c r="X20" s="742">
        <v>10.350402549999998</v>
      </c>
      <c r="Y20" s="747">
        <v>9.5500000000000007</v>
      </c>
      <c r="Z20" s="742">
        <v>11.25464609</v>
      </c>
      <c r="AA20" s="742">
        <v>7.2944981999999996</v>
      </c>
      <c r="AB20" s="747">
        <v>9.5755508000000003</v>
      </c>
      <c r="AC20" s="747">
        <v>1.6790952899999994</v>
      </c>
      <c r="AD20" s="747" t="s">
        <v>489</v>
      </c>
    </row>
    <row r="21" spans="1:30" ht="14" thickBot="1">
      <c r="A21" s="78">
        <v>216</v>
      </c>
      <c r="B21" s="79" t="s">
        <v>739</v>
      </c>
      <c r="C21" s="804">
        <v>2045.75</v>
      </c>
      <c r="D21" s="805">
        <v>2628.9947940852985</v>
      </c>
      <c r="E21" s="805">
        <v>2120.7534156177439</v>
      </c>
      <c r="F21" s="805">
        <v>413.31384577783211</v>
      </c>
      <c r="G21" s="805">
        <v>2534.0672613955758</v>
      </c>
      <c r="H21" s="805">
        <v>114.05010387388491</v>
      </c>
      <c r="I21" s="806">
        <v>149.726501283148</v>
      </c>
      <c r="J21" s="805">
        <v>245.87571306366863</v>
      </c>
      <c r="K21" s="806">
        <v>684.34559452523524</v>
      </c>
      <c r="L21" s="805">
        <v>1239.785623854332</v>
      </c>
      <c r="M21" s="807">
        <v>0.80667843861425903</v>
      </c>
      <c r="N21" s="807">
        <v>4.3305146369837511E-2</v>
      </c>
      <c r="O21" s="807">
        <v>6.2705766898915868E-2</v>
      </c>
      <c r="P21" s="807">
        <v>0.471581619957406</v>
      </c>
      <c r="Q21" s="805"/>
      <c r="R21" s="742">
        <v>5.3877661099999994</v>
      </c>
      <c r="S21" s="742">
        <v>4.8847658699999998</v>
      </c>
      <c r="T21" s="747">
        <v>5.3782660999999994</v>
      </c>
      <c r="U21" s="747">
        <v>4.3385312999999996</v>
      </c>
      <c r="V21" s="747">
        <v>0.84553679999999998</v>
      </c>
      <c r="W21" s="742">
        <v>5.1840680999999993</v>
      </c>
      <c r="X21" s="742">
        <v>0.23331800000000005</v>
      </c>
      <c r="Y21" s="747">
        <v>1.4</v>
      </c>
      <c r="Z21" s="742">
        <v>2.5362914399999998</v>
      </c>
      <c r="AA21" s="742">
        <v>0.49713410000000002</v>
      </c>
      <c r="AB21" s="747">
        <v>1.07565322</v>
      </c>
      <c r="AC21" s="747">
        <v>1.4606382199999999</v>
      </c>
      <c r="AD21" s="747" t="s">
        <v>489</v>
      </c>
    </row>
    <row r="22" spans="1:30" ht="14" thickBot="1">
      <c r="A22" s="78">
        <v>246</v>
      </c>
      <c r="B22" s="79" t="s">
        <v>740</v>
      </c>
      <c r="C22" s="804">
        <v>7079.09</v>
      </c>
      <c r="D22" s="805">
        <v>2256.1293400705454</v>
      </c>
      <c r="E22" s="805">
        <v>1761.1999211763093</v>
      </c>
      <c r="F22" s="805">
        <v>353.46551604796662</v>
      </c>
      <c r="G22" s="805">
        <v>2114.665437224276</v>
      </c>
      <c r="H22" s="805">
        <v>297.29174230021084</v>
      </c>
      <c r="I22" s="806">
        <v>110.55335784684188</v>
      </c>
      <c r="J22" s="805">
        <v>70.956201997714444</v>
      </c>
      <c r="K22" s="806">
        <v>512.07146681282484</v>
      </c>
      <c r="L22" s="805">
        <v>519.91039243744615</v>
      </c>
      <c r="M22" s="807">
        <v>0.78062896922445035</v>
      </c>
      <c r="N22" s="807">
        <v>0.13190555100373691</v>
      </c>
      <c r="O22" s="807">
        <v>5.0645951709392539E-2</v>
      </c>
      <c r="P22" s="807">
        <v>0.23044352254254594</v>
      </c>
      <c r="Q22" s="805"/>
      <c r="R22" s="742">
        <v>15.95501466</v>
      </c>
      <c r="S22" s="742">
        <v>15.452709319999999</v>
      </c>
      <c r="T22" s="747">
        <v>15.971342649999999</v>
      </c>
      <c r="U22" s="747">
        <v>12.467692749999999</v>
      </c>
      <c r="V22" s="747">
        <v>2.5022142000000001</v>
      </c>
      <c r="W22" s="742">
        <v>14.969906949999999</v>
      </c>
      <c r="X22" s="742">
        <v>2.104555</v>
      </c>
      <c r="Y22" s="747">
        <v>3.625</v>
      </c>
      <c r="Z22" s="742">
        <v>3.68049246</v>
      </c>
      <c r="AA22" s="742">
        <v>1.3643349499999999</v>
      </c>
      <c r="AB22" s="747">
        <v>3.19426853</v>
      </c>
      <c r="AC22" s="747">
        <v>0.48622392999999997</v>
      </c>
      <c r="AD22" s="747" t="s">
        <v>489</v>
      </c>
    </row>
    <row r="23" spans="1:30" ht="14" thickBot="1">
      <c r="A23" s="78">
        <v>261</v>
      </c>
      <c r="B23" s="79" t="s">
        <v>741</v>
      </c>
      <c r="C23" s="804">
        <v>21125</v>
      </c>
      <c r="D23" s="805">
        <v>2151.4025940828401</v>
      </c>
      <c r="E23" s="805">
        <v>1612.2907076923077</v>
      </c>
      <c r="F23" s="805">
        <v>352.11751242603543</v>
      </c>
      <c r="G23" s="805">
        <v>1964.4082201183433</v>
      </c>
      <c r="H23" s="805">
        <v>331.3746286390533</v>
      </c>
      <c r="I23" s="806">
        <v>148.64542816568047</v>
      </c>
      <c r="J23" s="805">
        <v>17.480477633136086</v>
      </c>
      <c r="K23" s="806">
        <v>378.69822485207101</v>
      </c>
      <c r="L23" s="805">
        <v>409.01216852071008</v>
      </c>
      <c r="M23" s="807">
        <v>0.7494137601798514</v>
      </c>
      <c r="N23" s="807">
        <v>0.15456474897572467</v>
      </c>
      <c r="O23" s="807">
        <v>6.9903398994755922E-2</v>
      </c>
      <c r="P23" s="807">
        <v>0.1901141932456743</v>
      </c>
      <c r="Q23" s="805"/>
      <c r="R23" s="742">
        <v>45.290333510000004</v>
      </c>
      <c r="S23" s="742">
        <v>44.921058420000001</v>
      </c>
      <c r="T23" s="747">
        <v>45.448379799999998</v>
      </c>
      <c r="U23" s="747">
        <v>34.059641200000002</v>
      </c>
      <c r="V23" s="747">
        <v>7.4384824499999995</v>
      </c>
      <c r="W23" s="742">
        <v>41.498123650000004</v>
      </c>
      <c r="X23" s="742">
        <v>7.0002890300000011</v>
      </c>
      <c r="Y23" s="747">
        <v>8</v>
      </c>
      <c r="Z23" s="742">
        <v>8.6403820600000003</v>
      </c>
      <c r="AA23" s="742">
        <v>11.828535349999999</v>
      </c>
      <c r="AB23" s="747">
        <v>9.0896759599999992</v>
      </c>
      <c r="AC23" s="747" t="s">
        <v>489</v>
      </c>
      <c r="AD23" s="747">
        <v>-0.44929389999999891</v>
      </c>
    </row>
    <row r="24" spans="1:30" ht="14" thickBot="1">
      <c r="A24" s="78">
        <v>263</v>
      </c>
      <c r="B24" s="79" t="s">
        <v>742</v>
      </c>
      <c r="C24" s="804">
        <v>69394</v>
      </c>
      <c r="D24" s="805">
        <v>2942.7922313168283</v>
      </c>
      <c r="E24" s="805">
        <v>2481.7766933740672</v>
      </c>
      <c r="F24" s="805">
        <v>464.04661166671463</v>
      </c>
      <c r="G24" s="805">
        <v>2945.8233050407816</v>
      </c>
      <c r="H24" s="805">
        <v>234.48737138657521</v>
      </c>
      <c r="I24" s="806">
        <v>169.90486079488142</v>
      </c>
      <c r="J24" s="805">
        <v>71.577276853906682</v>
      </c>
      <c r="K24" s="806">
        <v>645.30074646223011</v>
      </c>
      <c r="L24" s="805">
        <v>571.89373000547596</v>
      </c>
      <c r="M24" s="807">
        <v>0.84334077919715467</v>
      </c>
      <c r="N24" s="807">
        <v>7.8771558017716917E-2</v>
      </c>
      <c r="O24" s="807">
        <v>5.8482509043533366E-2</v>
      </c>
      <c r="P24" s="807">
        <v>0.19433710743132124</v>
      </c>
      <c r="Q24" s="805"/>
      <c r="R24" s="742">
        <v>206.57223317</v>
      </c>
      <c r="S24" s="742">
        <v>201.60519962000001</v>
      </c>
      <c r="T24" s="747">
        <v>204.21212409999998</v>
      </c>
      <c r="U24" s="747">
        <v>172.22041186000001</v>
      </c>
      <c r="V24" s="747">
        <v>32.202050569999997</v>
      </c>
      <c r="W24" s="742">
        <v>204.42246243</v>
      </c>
      <c r="X24" s="742">
        <v>16.272016650000001</v>
      </c>
      <c r="Y24" s="747">
        <v>44.78</v>
      </c>
      <c r="Z24" s="742">
        <v>39.685993500000002</v>
      </c>
      <c r="AA24" s="742">
        <v>24.828394100000001</v>
      </c>
      <c r="AB24" s="747">
        <v>36.758182337999997</v>
      </c>
      <c r="AC24" s="747">
        <v>2.9278111620000047</v>
      </c>
      <c r="AD24" s="747" t="s">
        <v>489</v>
      </c>
    </row>
    <row r="25" spans="1:30" ht="14" thickBot="1">
      <c r="A25" s="78">
        <v>290</v>
      </c>
      <c r="B25" s="79" t="s">
        <v>743</v>
      </c>
      <c r="C25" s="804">
        <v>524273.74</v>
      </c>
      <c r="D25" s="805">
        <v>2461.1641002656356</v>
      </c>
      <c r="E25" s="805">
        <v>2484.3984345849549</v>
      </c>
      <c r="F25" s="805">
        <v>404.92181256303252</v>
      </c>
      <c r="G25" s="805">
        <v>2889.3202471479876</v>
      </c>
      <c r="H25" s="805">
        <v>-161.07340382907603</v>
      </c>
      <c r="I25" s="806">
        <v>134.43342710622892</v>
      </c>
      <c r="J25" s="805">
        <v>-39.590135679883566</v>
      </c>
      <c r="K25" s="806">
        <v>658.2853485661899</v>
      </c>
      <c r="L25" s="805">
        <v>591.79230352067611</v>
      </c>
      <c r="M25" s="807">
        <v>1.0094403840511128</v>
      </c>
      <c r="N25" s="807">
        <v>-6.6010769995872534E-2</v>
      </c>
      <c r="O25" s="807">
        <v>5.4213627279417968E-2</v>
      </c>
      <c r="P25" s="807">
        <v>0.2404521923007098</v>
      </c>
      <c r="Q25" s="805"/>
      <c r="R25" s="742">
        <v>1279.2845144100002</v>
      </c>
      <c r="S25" s="742">
        <v>1300.04058291</v>
      </c>
      <c r="T25" s="747">
        <v>1290.3237075999998</v>
      </c>
      <c r="U25" s="747">
        <v>1302.5048589499997</v>
      </c>
      <c r="V25" s="747">
        <v>212.28987308000004</v>
      </c>
      <c r="W25" s="742">
        <v>1514.7947320299998</v>
      </c>
      <c r="X25" s="742">
        <v>-84.446555840000002</v>
      </c>
      <c r="Y25" s="747">
        <v>345.12172168000001</v>
      </c>
      <c r="Z25" s="742">
        <v>310.26116426999999</v>
      </c>
      <c r="AA25" s="742">
        <v>453.94469113999997</v>
      </c>
      <c r="AB25" s="747">
        <v>167.742081988</v>
      </c>
      <c r="AC25" s="747">
        <v>142.519082282</v>
      </c>
      <c r="AD25" s="747" t="s">
        <v>489</v>
      </c>
    </row>
    <row r="26" spans="1:30" ht="14" thickBot="1">
      <c r="A26" s="78">
        <v>294</v>
      </c>
      <c r="B26" s="79" t="s">
        <v>744</v>
      </c>
      <c r="C26" s="804">
        <v>6951.75</v>
      </c>
      <c r="D26" s="805">
        <v>1949.2107454957386</v>
      </c>
      <c r="E26" s="805">
        <v>1584.2502031862482</v>
      </c>
      <c r="F26" s="805">
        <v>319.6529578883015</v>
      </c>
      <c r="G26" s="805">
        <v>1903.9031610745494</v>
      </c>
      <c r="H26" s="805">
        <v>253.60894882583517</v>
      </c>
      <c r="I26" s="806">
        <v>120.00695796022586</v>
      </c>
      <c r="J26" s="805">
        <v>11.863681806739324</v>
      </c>
      <c r="K26" s="806">
        <v>453.77063329377495</v>
      </c>
      <c r="L26" s="805">
        <v>89.17904987952673</v>
      </c>
      <c r="M26" s="807">
        <v>0.81276496492088091</v>
      </c>
      <c r="N26" s="807">
        <v>0.13245050919625403</v>
      </c>
      <c r="O26" s="807">
        <v>6.3065918763249892E-2</v>
      </c>
      <c r="P26" s="807">
        <v>4.5751363768952558E-2</v>
      </c>
      <c r="Q26" s="805"/>
      <c r="R26" s="742">
        <v>13.310828479999998</v>
      </c>
      <c r="S26" s="742">
        <v>13.228355130000001</v>
      </c>
      <c r="T26" s="747">
        <v>13.550425800000001</v>
      </c>
      <c r="U26" s="747">
        <v>11.01331135</v>
      </c>
      <c r="V26" s="747">
        <v>2.22214745</v>
      </c>
      <c r="W26" s="742">
        <v>13.2354588</v>
      </c>
      <c r="X26" s="742">
        <v>1.7630260099999997</v>
      </c>
      <c r="Y26" s="747">
        <v>3.1545000000000001</v>
      </c>
      <c r="Z26" s="742">
        <v>0.61995045999999998</v>
      </c>
      <c r="AA26" s="742">
        <v>1.6979492</v>
      </c>
      <c r="AB26" s="747">
        <v>2.7100851600000002</v>
      </c>
      <c r="AC26" s="747" t="s">
        <v>489</v>
      </c>
      <c r="AD26" s="747">
        <v>-2.0901347000000001</v>
      </c>
    </row>
    <row r="27" spans="1:30" ht="14" thickBot="1">
      <c r="A27" s="78">
        <v>312</v>
      </c>
      <c r="B27" s="79" t="s">
        <v>745</v>
      </c>
      <c r="C27" s="804">
        <v>164611</v>
      </c>
      <c r="D27" s="805">
        <v>2403.6380806871962</v>
      </c>
      <c r="E27" s="805">
        <v>2285.2181659184375</v>
      </c>
      <c r="F27" s="805">
        <v>395.87095856291501</v>
      </c>
      <c r="G27" s="805">
        <v>2681.0891244813529</v>
      </c>
      <c r="H27" s="805">
        <v>58.228150002126227</v>
      </c>
      <c r="I27" s="806">
        <v>89.399215423027627</v>
      </c>
      <c r="J27" s="805">
        <v>-43.491990450212924</v>
      </c>
      <c r="K27" s="806">
        <v>754.93132293710619</v>
      </c>
      <c r="L27" s="805">
        <v>551.13425500118467</v>
      </c>
      <c r="M27" s="807">
        <v>0.95073305098623562</v>
      </c>
      <c r="N27" s="807">
        <v>2.4238668226987461E-2</v>
      </c>
      <c r="O27" s="807">
        <v>3.6552504474104699E-2</v>
      </c>
      <c r="P27" s="807">
        <v>0.22929169721076154</v>
      </c>
      <c r="Q27" s="805"/>
      <c r="R27" s="742">
        <v>395.44227060000003</v>
      </c>
      <c r="S27" s="742">
        <v>402.60153063999996</v>
      </c>
      <c r="T27" s="747">
        <v>395.66526810000005</v>
      </c>
      <c r="U27" s="747">
        <v>376.17204750999997</v>
      </c>
      <c r="V27" s="747">
        <v>65.164714360000005</v>
      </c>
      <c r="W27" s="742">
        <v>441.33676186999998</v>
      </c>
      <c r="X27" s="742">
        <v>9.584994</v>
      </c>
      <c r="Y27" s="747">
        <v>124.27</v>
      </c>
      <c r="Z27" s="742">
        <v>90.72276085</v>
      </c>
      <c r="AA27" s="742">
        <v>102.99401031999999</v>
      </c>
      <c r="AB27" s="747">
        <v>63.306442896000007</v>
      </c>
      <c r="AC27" s="747">
        <v>27.416317953999993</v>
      </c>
      <c r="AD27" s="747" t="s">
        <v>489</v>
      </c>
    </row>
    <row r="28" spans="1:30" ht="14" thickBot="1">
      <c r="A28" s="78">
        <v>343</v>
      </c>
      <c r="B28" s="79" t="s">
        <v>746</v>
      </c>
      <c r="C28" s="804">
        <v>90062.17</v>
      </c>
      <c r="D28" s="805">
        <v>2713.9694435521601</v>
      </c>
      <c r="E28" s="805">
        <v>2411.8659387176658</v>
      </c>
      <c r="F28" s="805">
        <v>439.23039384904894</v>
      </c>
      <c r="G28" s="805">
        <v>2851.0963325667144</v>
      </c>
      <c r="H28" s="805">
        <v>93.499600331637595</v>
      </c>
      <c r="I28" s="806">
        <v>138.38881452667641</v>
      </c>
      <c r="J28" s="805">
        <v>39.427290059744294</v>
      </c>
      <c r="K28" s="806">
        <v>647.89911235760815</v>
      </c>
      <c r="L28" s="805">
        <v>789.10413395546641</v>
      </c>
      <c r="M28" s="807">
        <v>0.88868573831874531</v>
      </c>
      <c r="N28" s="807">
        <v>3.4417726903644183E-2</v>
      </c>
      <c r="O28" s="807">
        <v>5.1691924136699513E-2</v>
      </c>
      <c r="P28" s="807">
        <v>0.29075645484153023</v>
      </c>
      <c r="Q28" s="805"/>
      <c r="R28" s="742">
        <v>244.66394668000001</v>
      </c>
      <c r="S28" s="742">
        <v>241.11303938</v>
      </c>
      <c r="T28" s="747">
        <v>244.42597740000002</v>
      </c>
      <c r="U28" s="747">
        <v>217.21788018999999</v>
      </c>
      <c r="V28" s="747">
        <v>39.558042399999998</v>
      </c>
      <c r="W28" s="742">
        <v>256.77592258999999</v>
      </c>
      <c r="X28" s="742">
        <v>8.4207769000000017</v>
      </c>
      <c r="Y28" s="747">
        <v>58.351199999999999</v>
      </c>
      <c r="Z28" s="742">
        <v>71.06843065999999</v>
      </c>
      <c r="AA28" s="742">
        <v>28.07278355</v>
      </c>
      <c r="AB28" s="747">
        <v>43.996675932000002</v>
      </c>
      <c r="AC28" s="747">
        <v>27.071754727999988</v>
      </c>
      <c r="AD28" s="747" t="s">
        <v>489</v>
      </c>
    </row>
    <row r="29" spans="1:30" ht="14" thickBot="1">
      <c r="A29" s="78">
        <v>360</v>
      </c>
      <c r="B29" s="79" t="s">
        <v>747</v>
      </c>
      <c r="C29" s="804">
        <v>14687</v>
      </c>
      <c r="D29" s="805">
        <v>1939.8827909035199</v>
      </c>
      <c r="E29" s="805">
        <v>1527.6997038197046</v>
      </c>
      <c r="F29" s="805">
        <v>311.3223803363519</v>
      </c>
      <c r="G29" s="805">
        <v>1839.0220841560565</v>
      </c>
      <c r="H29" s="805">
        <v>268.27541363110231</v>
      </c>
      <c r="I29" s="806">
        <v>80.773091849935327</v>
      </c>
      <c r="J29" s="805">
        <v>91.447526383876919</v>
      </c>
      <c r="K29" s="806">
        <v>520.9433546673929</v>
      </c>
      <c r="L29" s="805">
        <v>945.81755634234344</v>
      </c>
      <c r="M29" s="807">
        <v>0.78752165387691442</v>
      </c>
      <c r="N29" s="807">
        <v>0.13686133369226031</v>
      </c>
      <c r="O29" s="807">
        <v>4.322303115211603E-2</v>
      </c>
      <c r="P29" s="807">
        <v>0.48756428005726027</v>
      </c>
      <c r="Q29" s="805"/>
      <c r="R29" s="742">
        <v>28.789438870000001</v>
      </c>
      <c r="S29" s="742">
        <v>27.446349050000002</v>
      </c>
      <c r="T29" s="747">
        <v>28.491058549999998</v>
      </c>
      <c r="U29" s="747">
        <v>22.437325550000001</v>
      </c>
      <c r="V29" s="747">
        <v>4.5723918000000001</v>
      </c>
      <c r="W29" s="742">
        <v>27.009717350000003</v>
      </c>
      <c r="X29" s="742">
        <v>3.9401609999999998</v>
      </c>
      <c r="Y29" s="747">
        <v>7.6510950499999995</v>
      </c>
      <c r="Z29" s="742">
        <v>13.891222449999999</v>
      </c>
      <c r="AA29" s="742">
        <v>5.3827704000000001</v>
      </c>
      <c r="AB29" s="747">
        <v>5.6982117099999998</v>
      </c>
      <c r="AC29" s="747">
        <v>8.1930107399999983</v>
      </c>
      <c r="AD29" s="747" t="s">
        <v>489</v>
      </c>
    </row>
    <row r="30" spans="1:30" ht="14" thickBot="1">
      <c r="A30" s="78">
        <v>376</v>
      </c>
      <c r="B30" s="79" t="s">
        <v>748</v>
      </c>
      <c r="C30" s="804">
        <v>306017</v>
      </c>
      <c r="D30" s="805">
        <v>2736.5240803615488</v>
      </c>
      <c r="E30" s="805">
        <v>2435.870279298209</v>
      </c>
      <c r="F30" s="805">
        <v>419.52005718636542</v>
      </c>
      <c r="G30" s="805">
        <v>2855.3903364845746</v>
      </c>
      <c r="H30" s="805">
        <v>-14.981684024090164</v>
      </c>
      <c r="I30" s="806">
        <v>154.16836502547244</v>
      </c>
      <c r="J30" s="805">
        <v>-3.8634442530970414</v>
      </c>
      <c r="K30" s="806">
        <v>867.08581549391056</v>
      </c>
      <c r="L30" s="805">
        <v>421.5104215125304</v>
      </c>
      <c r="M30" s="807">
        <v>0.89013295982996887</v>
      </c>
      <c r="N30" s="807">
        <v>-5.4692767645722193E-3</v>
      </c>
      <c r="O30" s="807">
        <v>5.6202085921531489E-2</v>
      </c>
      <c r="P30" s="807">
        <v>0.15403132190119101</v>
      </c>
      <c r="Q30" s="805"/>
      <c r="R30" s="742">
        <v>838.25525701999993</v>
      </c>
      <c r="S30" s="742">
        <v>839.43753663999985</v>
      </c>
      <c r="T30" s="747">
        <v>837.4228895</v>
      </c>
      <c r="U30" s="747">
        <v>745.41771526000002</v>
      </c>
      <c r="V30" s="747">
        <v>128.38026933999998</v>
      </c>
      <c r="W30" s="742">
        <v>873.79798460000006</v>
      </c>
      <c r="X30" s="742">
        <v>-4.5846499999999999</v>
      </c>
      <c r="Y30" s="747">
        <v>265.34300000000002</v>
      </c>
      <c r="Z30" s="742">
        <v>128.98935466</v>
      </c>
      <c r="AA30" s="742" t="s">
        <v>59</v>
      </c>
      <c r="AB30" s="747">
        <v>108.86497563500001</v>
      </c>
      <c r="AC30" s="747">
        <v>20.124379024999996</v>
      </c>
      <c r="AD30" s="747" t="s">
        <v>489</v>
      </c>
    </row>
    <row r="31" spans="1:30" ht="14" thickBot="1">
      <c r="A31" s="78">
        <v>411</v>
      </c>
      <c r="B31" s="79" t="s">
        <v>749</v>
      </c>
      <c r="C31" s="804">
        <v>36490</v>
      </c>
      <c r="D31" s="805">
        <v>2325.5699931488084</v>
      </c>
      <c r="E31" s="805">
        <v>1943.30407097835</v>
      </c>
      <c r="F31" s="805">
        <v>312.34536914223071</v>
      </c>
      <c r="G31" s="805">
        <v>2255.6494401205809</v>
      </c>
      <c r="H31" s="805">
        <v>252.33236530556323</v>
      </c>
      <c r="I31" s="806">
        <v>169.68849712249931</v>
      </c>
      <c r="J31" s="805">
        <v>49.350400657714459</v>
      </c>
      <c r="K31" s="806">
        <v>406.35790627569196</v>
      </c>
      <c r="L31" s="805">
        <v>159.10872622636336</v>
      </c>
      <c r="M31" s="807">
        <v>0.83562484754420463</v>
      </c>
      <c r="N31" s="807">
        <v>0.11032646863182148</v>
      </c>
      <c r="O31" s="807">
        <v>7.5828532178128669E-2</v>
      </c>
      <c r="P31" s="807">
        <v>6.8417087722623685E-2</v>
      </c>
      <c r="Q31" s="805"/>
      <c r="R31" s="742">
        <v>83.457833140000005</v>
      </c>
      <c r="S31" s="742">
        <v>81.657037029999998</v>
      </c>
      <c r="T31" s="747">
        <v>84.860049050000015</v>
      </c>
      <c r="U31" s="747">
        <v>70.911165549999993</v>
      </c>
      <c r="V31" s="747">
        <v>11.397482519999999</v>
      </c>
      <c r="W31" s="742">
        <v>82.30864806999999</v>
      </c>
      <c r="X31" s="742">
        <v>9.2076080100000013</v>
      </c>
      <c r="Y31" s="747">
        <v>14.827999999999999</v>
      </c>
      <c r="Z31" s="742">
        <v>5.8058774199999998</v>
      </c>
      <c r="AA31" s="742">
        <v>27.854862400000002</v>
      </c>
      <c r="AB31" s="747">
        <v>16.972009810000003</v>
      </c>
      <c r="AC31" s="747" t="s">
        <v>489</v>
      </c>
      <c r="AD31" s="747">
        <v>-11.166132390000003</v>
      </c>
    </row>
    <row r="32" spans="1:30" ht="14" thickBot="1">
      <c r="A32" s="78">
        <v>445</v>
      </c>
      <c r="B32" s="79" t="s">
        <v>750</v>
      </c>
      <c r="C32" s="804">
        <v>61491.83</v>
      </c>
      <c r="D32" s="805">
        <v>2680.7979621032587</v>
      </c>
      <c r="E32" s="805">
        <v>1984.7885354851205</v>
      </c>
      <c r="F32" s="805">
        <v>408.81889707949813</v>
      </c>
      <c r="G32" s="805">
        <v>2393.6074325646186</v>
      </c>
      <c r="H32" s="805">
        <v>435.88827897950017</v>
      </c>
      <c r="I32" s="806">
        <v>133.68927237976166</v>
      </c>
      <c r="J32" s="805">
        <v>103.64380032274208</v>
      </c>
      <c r="K32" s="806">
        <v>535.56708265146767</v>
      </c>
      <c r="L32" s="805">
        <v>727.19417408784227</v>
      </c>
      <c r="M32" s="807">
        <v>0.74037229345247868</v>
      </c>
      <c r="N32" s="807">
        <v>0.16285297927934705</v>
      </c>
      <c r="O32" s="807">
        <v>5.195990135677319E-2</v>
      </c>
      <c r="P32" s="807">
        <v>0.27126034276649169</v>
      </c>
      <c r="Q32" s="805"/>
      <c r="R32" s="742">
        <v>164.58751979000002</v>
      </c>
      <c r="S32" s="742">
        <v>158.21427284000001</v>
      </c>
      <c r="T32" s="747">
        <v>164.84717255000001</v>
      </c>
      <c r="U32" s="747">
        <v>122.04827921</v>
      </c>
      <c r="V32" s="747">
        <v>25.139022119999996</v>
      </c>
      <c r="W32" s="742">
        <v>147.18730133</v>
      </c>
      <c r="X32" s="742">
        <v>26.803567949999998</v>
      </c>
      <c r="Y32" s="747">
        <v>32.933</v>
      </c>
      <c r="Z32" s="742">
        <v>44.716500530000005</v>
      </c>
      <c r="AA32" s="742">
        <v>26.547551250000001</v>
      </c>
      <c r="AB32" s="747">
        <v>29.672491058999999</v>
      </c>
      <c r="AC32" s="747">
        <v>15.044009471000006</v>
      </c>
      <c r="AD32" s="747" t="s">
        <v>489</v>
      </c>
    </row>
    <row r="33" spans="1:30" ht="14" thickBot="1">
      <c r="A33" s="78">
        <v>455</v>
      </c>
      <c r="B33" s="79" t="s">
        <v>751</v>
      </c>
      <c r="C33" s="804">
        <v>143719</v>
      </c>
      <c r="D33" s="805">
        <v>2182.9431981853477</v>
      </c>
      <c r="E33" s="805">
        <v>1940.8331170548083</v>
      </c>
      <c r="F33" s="805">
        <v>349.56909072565219</v>
      </c>
      <c r="G33" s="805">
        <v>2290.4022077804602</v>
      </c>
      <c r="H33" s="805">
        <v>166.64444332342973</v>
      </c>
      <c r="I33" s="806">
        <v>157.42254072182524</v>
      </c>
      <c r="J33" s="805">
        <v>1.2351652182383481</v>
      </c>
      <c r="K33" s="806">
        <v>602.85123852796085</v>
      </c>
      <c r="L33" s="805">
        <v>499.60678107974582</v>
      </c>
      <c r="M33" s="807">
        <v>0.8890900682474</v>
      </c>
      <c r="N33" s="807">
        <v>7.1470714376157859E-2</v>
      </c>
      <c r="O33" s="807">
        <v>6.7551395842614714E-2</v>
      </c>
      <c r="P33" s="807">
        <v>0.2288684293274614</v>
      </c>
      <c r="Q33" s="805"/>
      <c r="R33" s="742">
        <v>335.10190795000005</v>
      </c>
      <c r="S33" s="742">
        <v>334.92439124000003</v>
      </c>
      <c r="T33" s="747">
        <v>313.7304135</v>
      </c>
      <c r="U33" s="747">
        <v>278.93459474999997</v>
      </c>
      <c r="V33" s="747">
        <v>50.239720150000004</v>
      </c>
      <c r="W33" s="742">
        <v>329.17431489999996</v>
      </c>
      <c r="X33" s="742">
        <v>23.949972749999997</v>
      </c>
      <c r="Y33" s="747">
        <v>86.641177150000004</v>
      </c>
      <c r="Z33" s="742">
        <v>71.802986969999992</v>
      </c>
      <c r="AA33" s="742" t="s">
        <v>59</v>
      </c>
      <c r="AB33" s="747">
        <v>56.471474430000001</v>
      </c>
      <c r="AC33" s="747">
        <v>15.331512539999991</v>
      </c>
      <c r="AD33" s="747" t="s">
        <v>489</v>
      </c>
    </row>
    <row r="34" spans="1:30" ht="14" thickBot="1">
      <c r="A34" s="78">
        <v>484</v>
      </c>
      <c r="B34" s="79" t="s">
        <v>752</v>
      </c>
      <c r="C34" s="804">
        <v>21364.76</v>
      </c>
      <c r="D34" s="805">
        <v>2856.3330596739675</v>
      </c>
      <c r="E34" s="805">
        <v>3101.2725380486368</v>
      </c>
      <c r="F34" s="805">
        <v>455.75045308255278</v>
      </c>
      <c r="G34" s="805">
        <v>3557.0229911311894</v>
      </c>
      <c r="H34" s="805">
        <v>-330.30195518227214</v>
      </c>
      <c r="I34" s="806">
        <v>185.31643837796443</v>
      </c>
      <c r="J34" s="805">
        <v>23.190361136750422</v>
      </c>
      <c r="K34" s="806">
        <v>711.45194235741462</v>
      </c>
      <c r="L34" s="805">
        <v>438.54522587663047</v>
      </c>
      <c r="M34" s="807">
        <v>1.0857531223626378</v>
      </c>
      <c r="N34" s="807">
        <v>-0.11457715959812337</v>
      </c>
      <c r="O34" s="807">
        <v>6.4805016389632916E-2</v>
      </c>
      <c r="P34" s="807">
        <v>0.1535343451602551</v>
      </c>
      <c r="Q34" s="805"/>
      <c r="R34" s="742">
        <v>61.590128649999997</v>
      </c>
      <c r="S34" s="742">
        <v>61.094672150000008</v>
      </c>
      <c r="T34" s="747">
        <v>61.024870300000003</v>
      </c>
      <c r="U34" s="747">
        <v>66.257943470000001</v>
      </c>
      <c r="V34" s="747">
        <v>9.7369990500000014</v>
      </c>
      <c r="W34" s="742">
        <v>75.994942519999995</v>
      </c>
      <c r="X34" s="742">
        <v>-7.0568220000000004</v>
      </c>
      <c r="Y34" s="747">
        <v>15.2</v>
      </c>
      <c r="Z34" s="742">
        <v>9.3694135000000003</v>
      </c>
      <c r="AA34" s="742" t="s">
        <v>59</v>
      </c>
      <c r="AB34" s="747">
        <v>12.204974060000003</v>
      </c>
      <c r="AC34" s="747" t="s">
        <v>489</v>
      </c>
      <c r="AD34" s="747">
        <v>-2.8355605600000029</v>
      </c>
    </row>
    <row r="35" spans="1:30" ht="14" thickBot="1">
      <c r="A35" s="78">
        <v>509</v>
      </c>
      <c r="B35" s="79" t="s">
        <v>753</v>
      </c>
      <c r="C35" s="804">
        <v>137094.07999999999</v>
      </c>
      <c r="D35" s="805">
        <v>3084.8394275668206</v>
      </c>
      <c r="E35" s="805">
        <v>3115.7883174824169</v>
      </c>
      <c r="F35" s="805">
        <v>388.42188955205057</v>
      </c>
      <c r="G35" s="805">
        <v>3504.2102070344681</v>
      </c>
      <c r="H35" s="805">
        <v>-55.786372686552163</v>
      </c>
      <c r="I35" s="806">
        <v>196.35268546971537</v>
      </c>
      <c r="J35" s="805">
        <v>1.8888561781807061</v>
      </c>
      <c r="K35" s="806">
        <v>977.20305056206655</v>
      </c>
      <c r="L35" s="805">
        <v>661.8393284378144</v>
      </c>
      <c r="M35" s="807">
        <v>1.0100325772677274</v>
      </c>
      <c r="N35" s="807">
        <v>-1.7142435240680761E-2</v>
      </c>
      <c r="O35" s="807">
        <v>6.037169731013569E-2</v>
      </c>
      <c r="P35" s="807">
        <v>0.21454579532518575</v>
      </c>
      <c r="Q35" s="805"/>
      <c r="R35" s="742">
        <v>446.14323067999999</v>
      </c>
      <c r="S35" s="742">
        <v>445.88427971000004</v>
      </c>
      <c r="T35" s="747">
        <v>422.91322327</v>
      </c>
      <c r="U35" s="747">
        <v>427.15613285999996</v>
      </c>
      <c r="V35" s="747">
        <v>53.250341599999992</v>
      </c>
      <c r="W35" s="742">
        <v>480.40647445999997</v>
      </c>
      <c r="X35" s="742">
        <v>-7.6479814399999979</v>
      </c>
      <c r="Y35" s="747">
        <v>133.96875319</v>
      </c>
      <c r="Z35" s="742">
        <v>90.734253840000008</v>
      </c>
      <c r="AA35" s="742">
        <v>22.622092599999998</v>
      </c>
      <c r="AB35" s="747">
        <v>76.124380188599986</v>
      </c>
      <c r="AC35" s="747">
        <v>14.609873651400022</v>
      </c>
      <c r="AD35" s="747" t="s">
        <v>489</v>
      </c>
    </row>
    <row r="36" spans="1:30" ht="14" thickBot="1">
      <c r="A36" s="78">
        <v>556</v>
      </c>
      <c r="B36" s="79" t="s">
        <v>754</v>
      </c>
      <c r="C36" s="804">
        <v>2769</v>
      </c>
      <c r="D36" s="805">
        <v>2636.942018779343</v>
      </c>
      <c r="E36" s="805">
        <v>2507.1644709281331</v>
      </c>
      <c r="F36" s="805">
        <v>316.92110870350308</v>
      </c>
      <c r="G36" s="805">
        <v>2824.0855796316355</v>
      </c>
      <c r="H36" s="805">
        <v>99.971830985915489</v>
      </c>
      <c r="I36" s="806">
        <v>233.15004694835679</v>
      </c>
      <c r="J36" s="805">
        <v>0</v>
      </c>
      <c r="K36" s="806">
        <v>613.94005055976879</v>
      </c>
      <c r="L36" s="805">
        <v>941.4123149151319</v>
      </c>
      <c r="M36" s="807">
        <v>0.95078483071414488</v>
      </c>
      <c r="N36" s="807">
        <v>3.6758614041834649E-2</v>
      </c>
      <c r="O36" s="807">
        <v>8.5726874311401746E-2</v>
      </c>
      <c r="P36" s="807">
        <v>0.35700910684070242</v>
      </c>
      <c r="Q36" s="805"/>
      <c r="R36" s="742">
        <v>7.5308062400000004</v>
      </c>
      <c r="S36" s="742">
        <v>7.5308062400000004</v>
      </c>
      <c r="T36" s="747">
        <v>7.30169245</v>
      </c>
      <c r="U36" s="747">
        <v>6.9423384199999996</v>
      </c>
      <c r="V36" s="747">
        <v>0.87755455000000004</v>
      </c>
      <c r="W36" s="742">
        <v>7.8198929699999997</v>
      </c>
      <c r="X36" s="742">
        <v>0.27682200000000001</v>
      </c>
      <c r="Y36" s="747">
        <v>1.7</v>
      </c>
      <c r="Z36" s="742">
        <v>2.6067707000000002</v>
      </c>
      <c r="AA36" s="742">
        <v>1.8065299500000003</v>
      </c>
      <c r="AB36" s="747">
        <v>1.4603384900000003</v>
      </c>
      <c r="AC36" s="747">
        <v>1.14643221</v>
      </c>
      <c r="AD36" s="747" t="s">
        <v>489</v>
      </c>
    </row>
    <row r="37" spans="1:30" ht="14" thickBot="1">
      <c r="A37" s="78">
        <v>558</v>
      </c>
      <c r="B37" s="79" t="s">
        <v>755</v>
      </c>
      <c r="C37" s="804">
        <v>2488</v>
      </c>
      <c r="D37" s="805">
        <v>1793.4005426045017</v>
      </c>
      <c r="E37" s="805">
        <v>1036.9520297427655</v>
      </c>
      <c r="F37" s="805">
        <v>308.63854501607716</v>
      </c>
      <c r="G37" s="805">
        <v>1345.5905747588426</v>
      </c>
      <c r="H37" s="805">
        <v>518.90956591639872</v>
      </c>
      <c r="I37" s="806">
        <v>116.68355707395501</v>
      </c>
      <c r="J37" s="805">
        <v>44.735233118971067</v>
      </c>
      <c r="K37" s="806">
        <v>442.12218649517689</v>
      </c>
      <c r="L37" s="805">
        <v>1219.0513143086819</v>
      </c>
      <c r="M37" s="807">
        <v>0.57820436935790775</v>
      </c>
      <c r="N37" s="807">
        <v>0.30268487417536027</v>
      </c>
      <c r="O37" s="807">
        <v>6.9886272511510888E-2</v>
      </c>
      <c r="P37" s="807">
        <v>0.67974291595690628</v>
      </c>
      <c r="Q37" s="805"/>
      <c r="R37" s="742">
        <v>4.2653172000000001</v>
      </c>
      <c r="S37" s="742">
        <v>4.1540159399999999</v>
      </c>
      <c r="T37" s="747">
        <v>4.4619805499999998</v>
      </c>
      <c r="U37" s="747">
        <v>2.5799366500000001</v>
      </c>
      <c r="V37" s="747">
        <v>0.76789269999999998</v>
      </c>
      <c r="W37" s="742">
        <v>3.34782935</v>
      </c>
      <c r="X37" s="742">
        <v>1.2910470000000001</v>
      </c>
      <c r="Y37" s="747">
        <v>1.1000000000000001</v>
      </c>
      <c r="Z37" s="742">
        <v>3.0329996700000001</v>
      </c>
      <c r="AA37" s="742" t="s">
        <v>59</v>
      </c>
      <c r="AB37" s="747">
        <v>0.89239610999999996</v>
      </c>
      <c r="AC37" s="747">
        <v>2.1406035600000002</v>
      </c>
      <c r="AD37" s="747" t="s">
        <v>489</v>
      </c>
    </row>
    <row r="38" spans="1:30" ht="14" thickBot="1">
      <c r="A38" s="78">
        <v>591</v>
      </c>
      <c r="B38" s="79" t="s">
        <v>756</v>
      </c>
      <c r="C38" s="804">
        <v>8397</v>
      </c>
      <c r="D38" s="805">
        <v>2041.2808622126947</v>
      </c>
      <c r="E38" s="805">
        <v>1795.1739371204001</v>
      </c>
      <c r="F38" s="805">
        <v>321.62054900559724</v>
      </c>
      <c r="G38" s="805">
        <v>2116.7944861259971</v>
      </c>
      <c r="H38" s="805">
        <v>167.29450994402762</v>
      </c>
      <c r="I38" s="806">
        <v>63.371387400262002</v>
      </c>
      <c r="J38" s="805">
        <v>46.513111825652025</v>
      </c>
      <c r="K38" s="806">
        <v>487.0787185899726</v>
      </c>
      <c r="L38" s="805">
        <v>478.38506014052638</v>
      </c>
      <c r="M38" s="807">
        <v>0.87943504999820499</v>
      </c>
      <c r="N38" s="807">
        <v>8.0565011993182389E-2</v>
      </c>
      <c r="O38" s="807">
        <v>3.1217392860705441E-2</v>
      </c>
      <c r="P38" s="807">
        <v>0.23435533492533192</v>
      </c>
      <c r="Q38" s="805"/>
      <c r="R38" s="742">
        <v>17.436502090000001</v>
      </c>
      <c r="S38" s="742">
        <v>17.045931490000001</v>
      </c>
      <c r="T38" s="747">
        <v>17.140635399999997</v>
      </c>
      <c r="U38" s="747">
        <v>15.07407555</v>
      </c>
      <c r="V38" s="747">
        <v>2.7006477499999999</v>
      </c>
      <c r="W38" s="742">
        <v>17.774723299999998</v>
      </c>
      <c r="X38" s="742">
        <v>1.4047719999999999</v>
      </c>
      <c r="Y38" s="747">
        <v>4.09</v>
      </c>
      <c r="Z38" s="742">
        <v>4.0169993499999999</v>
      </c>
      <c r="AA38" s="742">
        <v>2.5182829499999997</v>
      </c>
      <c r="AB38" s="747">
        <v>3.4281270799999999</v>
      </c>
      <c r="AC38" s="747">
        <v>0.58887226999999998</v>
      </c>
      <c r="AD38" s="747" t="s">
        <v>489</v>
      </c>
    </row>
    <row r="39" spans="1:30" ht="14" thickBot="1">
      <c r="A39" s="78">
        <v>623</v>
      </c>
      <c r="B39" s="79" t="s">
        <v>757</v>
      </c>
      <c r="C39" s="804">
        <v>1408</v>
      </c>
      <c r="D39" s="805">
        <v>1723.1856534090912</v>
      </c>
      <c r="E39" s="805">
        <v>1606.7296164772729</v>
      </c>
      <c r="F39" s="805">
        <v>332.49509943181818</v>
      </c>
      <c r="G39" s="805">
        <v>1939.2247159090909</v>
      </c>
      <c r="H39" s="805">
        <v>233.37418323863633</v>
      </c>
      <c r="I39" s="806">
        <v>88.269850852272739</v>
      </c>
      <c r="J39" s="805">
        <v>-201.79971590909091</v>
      </c>
      <c r="K39" s="806">
        <v>230.82386363636363</v>
      </c>
      <c r="L39" s="805">
        <v>132.37681107954546</v>
      </c>
      <c r="M39" s="807">
        <v>0.93241817171502928</v>
      </c>
      <c r="N39" s="807">
        <v>0.13475869432577714</v>
      </c>
      <c r="O39" s="807">
        <v>4.5650691299674612E-2</v>
      </c>
      <c r="P39" s="807">
        <v>7.6820980268525171E-2</v>
      </c>
      <c r="Q39" s="805"/>
      <c r="R39" s="742">
        <v>2.4383647499999999</v>
      </c>
      <c r="S39" s="742">
        <v>2.7224987500000002</v>
      </c>
      <c r="T39" s="747">
        <v>2.4262454000000004</v>
      </c>
      <c r="U39" s="747">
        <v>2.2622753000000002</v>
      </c>
      <c r="V39" s="747">
        <v>0.46815309999999999</v>
      </c>
      <c r="W39" s="742">
        <v>2.7304284000000001</v>
      </c>
      <c r="X39" s="742">
        <v>0.32859084999999999</v>
      </c>
      <c r="Y39" s="747">
        <v>0.32500000000000001</v>
      </c>
      <c r="Z39" s="742">
        <v>0.18638655000000001</v>
      </c>
      <c r="AA39" s="742">
        <v>5.2045550000000003E-2</v>
      </c>
      <c r="AB39" s="747">
        <v>0.48524908000000005</v>
      </c>
      <c r="AC39" s="747" t="s">
        <v>489</v>
      </c>
      <c r="AD39" s="747">
        <v>-0.29886253000000007</v>
      </c>
    </row>
    <row r="40" spans="1:30" ht="14" thickBot="1">
      <c r="A40" s="78">
        <v>627</v>
      </c>
      <c r="B40" s="79" t="s">
        <v>758</v>
      </c>
      <c r="C40" s="804">
        <v>2678.74</v>
      </c>
      <c r="D40" s="805">
        <v>1913.887126036868</v>
      </c>
      <c r="E40" s="805">
        <v>1606.2398179741217</v>
      </c>
      <c r="F40" s="805">
        <v>302.59310347402135</v>
      </c>
      <c r="G40" s="805">
        <v>1908.8329214481432</v>
      </c>
      <c r="H40" s="805">
        <v>222.85800413627302</v>
      </c>
      <c r="I40" s="806">
        <v>84.510157760738252</v>
      </c>
      <c r="J40" s="805">
        <v>-59.671024436862091</v>
      </c>
      <c r="K40" s="806">
        <v>541.2992675660945</v>
      </c>
      <c r="L40" s="805">
        <v>1282.8721525791975</v>
      </c>
      <c r="M40" s="807">
        <v>0.83925524975979171</v>
      </c>
      <c r="N40" s="807">
        <v>0.12087895270568996</v>
      </c>
      <c r="O40" s="807">
        <v>4.4401512879616224E-2</v>
      </c>
      <c r="P40" s="807">
        <v>0.67029666228837215</v>
      </c>
      <c r="Q40" s="805"/>
      <c r="R40" s="742">
        <v>4.9386484300000006</v>
      </c>
      <c r="S40" s="742">
        <v>5.0984915900000001</v>
      </c>
      <c r="T40" s="747">
        <v>5.1268060000000002</v>
      </c>
      <c r="U40" s="747">
        <v>4.3026988499999996</v>
      </c>
      <c r="V40" s="747">
        <v>0.81056824999999999</v>
      </c>
      <c r="W40" s="742">
        <v>5.1132670999999998</v>
      </c>
      <c r="X40" s="742">
        <v>0.59697865000000006</v>
      </c>
      <c r="Y40" s="747">
        <v>1.45</v>
      </c>
      <c r="Z40" s="742">
        <v>3.43648095</v>
      </c>
      <c r="AA40" s="742" t="s">
        <v>59</v>
      </c>
      <c r="AB40" s="747">
        <v>1.0253612000000001</v>
      </c>
      <c r="AC40" s="747">
        <v>2.4111197500000001</v>
      </c>
      <c r="AD40" s="747" t="s">
        <v>489</v>
      </c>
    </row>
    <row r="41" spans="1:30" ht="14" thickBot="1">
      <c r="A41" s="78">
        <v>749</v>
      </c>
      <c r="B41" s="79" t="s">
        <v>759</v>
      </c>
      <c r="C41" s="804">
        <v>63479.83</v>
      </c>
      <c r="D41" s="805">
        <v>2901.5501538047592</v>
      </c>
      <c r="E41" s="805">
        <v>2302.1508650858073</v>
      </c>
      <c r="F41" s="805">
        <v>438.76388736390749</v>
      </c>
      <c r="G41" s="805">
        <v>2740.9147524497153</v>
      </c>
      <c r="H41" s="805">
        <v>345.91753081254313</v>
      </c>
      <c r="I41" s="806">
        <v>134.06164005165107</v>
      </c>
      <c r="J41" s="805">
        <v>190.65217203637752</v>
      </c>
      <c r="K41" s="806">
        <v>673.06103371732399</v>
      </c>
      <c r="L41" s="805">
        <v>985.07542253972622</v>
      </c>
      <c r="M41" s="807">
        <v>0.79342101395939379</v>
      </c>
      <c r="N41" s="807">
        <v>0.11808449020248463</v>
      </c>
      <c r="O41" s="807">
        <v>4.8949850952002334E-2</v>
      </c>
      <c r="P41" s="807">
        <v>0.33949970544124886</v>
      </c>
      <c r="Q41" s="805"/>
      <c r="R41" s="742">
        <v>185.95825762000001</v>
      </c>
      <c r="S41" s="742">
        <v>173.85569015000002</v>
      </c>
      <c r="T41" s="747">
        <v>184.1899105</v>
      </c>
      <c r="U41" s="747">
        <v>146.14014555</v>
      </c>
      <c r="V41" s="747">
        <v>27.852656979999999</v>
      </c>
      <c r="W41" s="742">
        <v>173.99280253000001</v>
      </c>
      <c r="X41" s="742">
        <v>21.958786050000001</v>
      </c>
      <c r="Y41" s="747">
        <v>42.7258</v>
      </c>
      <c r="Z41" s="742">
        <v>62.532420359999996</v>
      </c>
      <c r="AA41" s="742">
        <v>48.076656849999999</v>
      </c>
      <c r="AB41" s="747">
        <v>33.154183889999999</v>
      </c>
      <c r="AC41" s="747">
        <v>29.378236469999997</v>
      </c>
      <c r="AD41" s="747" t="s">
        <v>489</v>
      </c>
    </row>
    <row r="42" spans="1:30" ht="14" thickBot="1">
      <c r="A42" s="78">
        <v>758</v>
      </c>
      <c r="B42" s="79" t="s">
        <v>760</v>
      </c>
      <c r="C42" s="804">
        <v>1487</v>
      </c>
      <c r="D42" s="805">
        <v>1990.8141896435777</v>
      </c>
      <c r="E42" s="805">
        <v>2018.7969401479488</v>
      </c>
      <c r="F42" s="805">
        <v>305.3065568258238</v>
      </c>
      <c r="G42" s="805">
        <v>2324.1034969737725</v>
      </c>
      <c r="H42" s="805">
        <v>-49.725622057834563</v>
      </c>
      <c r="I42" s="806">
        <v>135.32190316072629</v>
      </c>
      <c r="J42" s="805">
        <v>-88.005951580363146</v>
      </c>
      <c r="K42" s="806">
        <v>527.9085406859449</v>
      </c>
      <c r="L42" s="805">
        <v>1037.5823604572965</v>
      </c>
      <c r="M42" s="807">
        <v>1.0140559328188137</v>
      </c>
      <c r="N42" s="807">
        <v>-2.4516728064754054E-2</v>
      </c>
      <c r="O42" s="807">
        <v>6.3944547379595346E-2</v>
      </c>
      <c r="P42" s="807">
        <v>0.52118493320718118</v>
      </c>
      <c r="Q42" s="805"/>
      <c r="R42" s="742">
        <v>3.0159815700000001</v>
      </c>
      <c r="S42" s="742">
        <v>3.1468464200000001</v>
      </c>
      <c r="T42" s="747">
        <v>2.9603407000000002</v>
      </c>
      <c r="U42" s="747">
        <v>3.0019510499999997</v>
      </c>
      <c r="V42" s="747">
        <v>0.45399085000000006</v>
      </c>
      <c r="W42" s="742">
        <v>3.4559419</v>
      </c>
      <c r="X42" s="742">
        <v>-7.3941999999999994E-2</v>
      </c>
      <c r="Y42" s="747">
        <v>0.78500000000000003</v>
      </c>
      <c r="Z42" s="742">
        <v>1.54288497</v>
      </c>
      <c r="AA42" s="742" t="s">
        <v>59</v>
      </c>
      <c r="AB42" s="747">
        <v>0.59206813999999997</v>
      </c>
      <c r="AC42" s="747">
        <v>0.95081683000000006</v>
      </c>
      <c r="AD42" s="747" t="s">
        <v>489</v>
      </c>
    </row>
    <row r="43" spans="1:30" ht="14" thickBot="1">
      <c r="A43" s="78">
        <v>762</v>
      </c>
      <c r="B43" s="79" t="s">
        <v>761</v>
      </c>
      <c r="C43" s="804">
        <v>33244.17</v>
      </c>
      <c r="D43" s="805">
        <v>2318.0005998044167</v>
      </c>
      <c r="E43" s="805">
        <v>1985.5816237854635</v>
      </c>
      <c r="F43" s="805">
        <v>381.38380203205554</v>
      </c>
      <c r="G43" s="805">
        <v>2366.9654258175192</v>
      </c>
      <c r="H43" s="805">
        <v>158.24107685648343</v>
      </c>
      <c r="I43" s="806">
        <v>149.48990003359987</v>
      </c>
      <c r="J43" s="805">
        <v>2.1657779394101349</v>
      </c>
      <c r="K43" s="806">
        <v>511.36785788305139</v>
      </c>
      <c r="L43" s="805">
        <v>553.1178949572211</v>
      </c>
      <c r="M43" s="807">
        <v>0.85659236842000763</v>
      </c>
      <c r="N43" s="807">
        <v>6.914107192395845E-2</v>
      </c>
      <c r="O43" s="807">
        <v>6.5379244750429694E-2</v>
      </c>
      <c r="P43" s="807">
        <v>0.23861852969489772</v>
      </c>
      <c r="Q43" s="805"/>
      <c r="R43" s="742">
        <v>76.084924829999977</v>
      </c>
      <c r="S43" s="742">
        <v>76.01292534000001</v>
      </c>
      <c r="T43" s="747">
        <v>77.060006000000001</v>
      </c>
      <c r="U43" s="747">
        <v>66.009013049999993</v>
      </c>
      <c r="V43" s="747">
        <v>12.678787949999998</v>
      </c>
      <c r="W43" s="742">
        <v>78.687800999999993</v>
      </c>
      <c r="X43" s="742">
        <v>5.2605932600000003</v>
      </c>
      <c r="Y43" s="747">
        <v>17</v>
      </c>
      <c r="Z43" s="742">
        <v>18.387945329999997</v>
      </c>
      <c r="AA43" s="742">
        <v>15.354274999999999</v>
      </c>
      <c r="AB43" s="747">
        <v>15.412001200000001</v>
      </c>
      <c r="AC43" s="747">
        <v>2.9759441299999967</v>
      </c>
      <c r="AD43" s="747" t="s">
        <v>489</v>
      </c>
    </row>
    <row r="44" spans="1:30" ht="14" thickBot="1">
      <c r="A44" s="78">
        <v>774</v>
      </c>
      <c r="B44" s="79" t="s">
        <v>762</v>
      </c>
      <c r="C44" s="804">
        <v>17780.41</v>
      </c>
      <c r="D44" s="805">
        <v>2139.5350557158126</v>
      </c>
      <c r="E44" s="805">
        <v>1362.6057143789149</v>
      </c>
      <c r="F44" s="805">
        <v>344.55901748047427</v>
      </c>
      <c r="G44" s="805">
        <v>1707.1647318593891</v>
      </c>
      <c r="H44" s="805">
        <v>459.91802213784723</v>
      </c>
      <c r="I44" s="806">
        <v>140.8033166839235</v>
      </c>
      <c r="J44" s="805">
        <v>96.602487231734244</v>
      </c>
      <c r="K44" s="806">
        <v>421.81254537999968</v>
      </c>
      <c r="L44" s="805">
        <v>556.74082431170029</v>
      </c>
      <c r="M44" s="807">
        <v>0.63687001095807483</v>
      </c>
      <c r="N44" s="807">
        <v>0.21677959966191312</v>
      </c>
      <c r="O44" s="807">
        <v>6.9532837184106563E-2</v>
      </c>
      <c r="P44" s="807">
        <v>0.26021579914026438</v>
      </c>
      <c r="Q44" s="805"/>
      <c r="R44" s="742">
        <v>37.722788549999997</v>
      </c>
      <c r="S44" s="742">
        <v>36.005156720000002</v>
      </c>
      <c r="T44" s="747">
        <v>38.041810499999997</v>
      </c>
      <c r="U44" s="747">
        <v>24.227688270000002</v>
      </c>
      <c r="V44" s="747">
        <v>6.1264005999999993</v>
      </c>
      <c r="W44" s="742">
        <v>30.354088870000002</v>
      </c>
      <c r="X44" s="742">
        <v>8.1775310000000001</v>
      </c>
      <c r="Y44" s="747">
        <v>7.5</v>
      </c>
      <c r="Z44" s="742">
        <v>9.8990801199999989</v>
      </c>
      <c r="AA44" s="742">
        <v>1.3558288999999999</v>
      </c>
      <c r="AB44" s="747">
        <v>7.6083621000000008</v>
      </c>
      <c r="AC44" s="747">
        <v>2.2907180199999981</v>
      </c>
      <c r="AD44" s="747" t="s">
        <v>489</v>
      </c>
    </row>
    <row r="45" spans="1:30" ht="14" thickBot="1">
      <c r="A45" s="78">
        <v>780</v>
      </c>
      <c r="B45" s="79" t="s">
        <v>763</v>
      </c>
      <c r="C45" s="804">
        <v>3968</v>
      </c>
      <c r="D45" s="805">
        <v>1723.7230216733872</v>
      </c>
      <c r="E45" s="805">
        <v>1134.3972631048387</v>
      </c>
      <c r="F45" s="805">
        <v>317.75056703629031</v>
      </c>
      <c r="G45" s="805">
        <v>1452.1478301411289</v>
      </c>
      <c r="H45" s="805">
        <v>416.53458921370969</v>
      </c>
      <c r="I45" s="806">
        <v>62.472278225806448</v>
      </c>
      <c r="J45" s="805">
        <v>42.100579637096736</v>
      </c>
      <c r="K45" s="806">
        <v>340.22177419354841</v>
      </c>
      <c r="L45" s="805">
        <v>533.06094758064501</v>
      </c>
      <c r="M45" s="807">
        <v>0.6581087847881546</v>
      </c>
      <c r="N45" s="807">
        <v>0.24692557160966658</v>
      </c>
      <c r="O45" s="807">
        <v>3.7982088857957681E-2</v>
      </c>
      <c r="P45" s="807">
        <v>0.30924976975892016</v>
      </c>
      <c r="Q45" s="805"/>
      <c r="R45" s="742">
        <v>6.6935523900000007</v>
      </c>
      <c r="S45" s="742">
        <v>6.52649729</v>
      </c>
      <c r="T45" s="747">
        <v>6.8397329500000001</v>
      </c>
      <c r="U45" s="747">
        <v>4.5012883399999994</v>
      </c>
      <c r="V45" s="747">
        <v>1.26083425</v>
      </c>
      <c r="W45" s="742">
        <v>5.7621225899999997</v>
      </c>
      <c r="X45" s="742">
        <v>1.65280925</v>
      </c>
      <c r="Y45" s="747">
        <v>1.35</v>
      </c>
      <c r="Z45" s="742">
        <v>2.1151858399999997</v>
      </c>
      <c r="AA45" s="742">
        <v>0.75566215000000003</v>
      </c>
      <c r="AB45" s="747">
        <v>1.3679465900000001</v>
      </c>
      <c r="AC45" s="747">
        <v>0.74723924999999958</v>
      </c>
      <c r="AD45" s="747" t="s">
        <v>489</v>
      </c>
    </row>
    <row r="46" spans="1:30" ht="14" thickBot="1">
      <c r="A46" s="78">
        <v>790</v>
      </c>
      <c r="B46" s="79" t="s">
        <v>764</v>
      </c>
      <c r="C46" s="804">
        <v>1514</v>
      </c>
      <c r="D46" s="805">
        <v>2239.4068692206074</v>
      </c>
      <c r="E46" s="805">
        <v>2030.4697490092469</v>
      </c>
      <c r="F46" s="805">
        <v>374.3216974900925</v>
      </c>
      <c r="G46" s="805">
        <v>2404.7914464993396</v>
      </c>
      <c r="H46" s="805">
        <v>-106.17704755614265</v>
      </c>
      <c r="I46" s="806">
        <v>131.32745046235138</v>
      </c>
      <c r="J46" s="805">
        <v>37.648540290620844</v>
      </c>
      <c r="K46" s="806">
        <v>528.40158520475563</v>
      </c>
      <c r="L46" s="805">
        <v>280.33491413474241</v>
      </c>
      <c r="M46" s="807">
        <v>0.90669979489520902</v>
      </c>
      <c r="N46" s="807">
        <v>-4.8728401960690698E-2</v>
      </c>
      <c r="O46" s="807">
        <v>6.13304946787704E-2</v>
      </c>
      <c r="P46" s="807">
        <v>0.12518266242181744</v>
      </c>
      <c r="Q46" s="805"/>
      <c r="R46" s="742">
        <v>3.2989394999999999</v>
      </c>
      <c r="S46" s="742">
        <v>3.2419396100000002</v>
      </c>
      <c r="T46" s="747">
        <v>3.3904619999999999</v>
      </c>
      <c r="U46" s="747">
        <v>3.0741312000000001</v>
      </c>
      <c r="V46" s="747">
        <v>0.56672305000000001</v>
      </c>
      <c r="W46" s="742">
        <v>3.6408542500000003</v>
      </c>
      <c r="X46" s="742">
        <v>-0.16075204999999998</v>
      </c>
      <c r="Y46" s="747">
        <v>0.8</v>
      </c>
      <c r="Z46" s="742">
        <v>0.42442706000000002</v>
      </c>
      <c r="AA46" s="742" t="s">
        <v>59</v>
      </c>
      <c r="AB46" s="747">
        <v>0.67809240000000004</v>
      </c>
      <c r="AC46" s="747" t="s">
        <v>489</v>
      </c>
      <c r="AD46" s="747">
        <v>-0.25366534000000002</v>
      </c>
    </row>
    <row r="47" spans="1:30" ht="14" thickBot="1">
      <c r="A47" s="78">
        <v>820</v>
      </c>
      <c r="B47" s="79" t="s">
        <v>765</v>
      </c>
      <c r="C47" s="804">
        <v>2720</v>
      </c>
      <c r="D47" s="805">
        <v>1987.3067647058822</v>
      </c>
      <c r="E47" s="805">
        <v>1809.1130919117647</v>
      </c>
      <c r="F47" s="805">
        <v>307.00060294117651</v>
      </c>
      <c r="G47" s="805">
        <v>2116.1136948529411</v>
      </c>
      <c r="H47" s="805">
        <v>0.15340073529411763</v>
      </c>
      <c r="I47" s="806">
        <v>79.488783088235294</v>
      </c>
      <c r="J47" s="805">
        <v>44.418283088235285</v>
      </c>
      <c r="K47" s="806">
        <v>974.26470588235281</v>
      </c>
      <c r="L47" s="805">
        <v>510.96558088235292</v>
      </c>
      <c r="M47" s="807">
        <v>0.9103340883456964</v>
      </c>
      <c r="N47" s="807">
        <v>7.5001350204055258E-5</v>
      </c>
      <c r="O47" s="807">
        <v>3.9726752208892831E-2</v>
      </c>
      <c r="P47" s="807">
        <v>0.25711459848926488</v>
      </c>
      <c r="Q47" s="805"/>
      <c r="R47" s="742">
        <v>5.5632331800000001</v>
      </c>
      <c r="S47" s="742">
        <v>5.4424154500000004</v>
      </c>
      <c r="T47" s="747">
        <v>5.4054744000000001</v>
      </c>
      <c r="U47" s="747">
        <v>4.9207876099999996</v>
      </c>
      <c r="V47" s="747">
        <v>0.83504164000000014</v>
      </c>
      <c r="W47" s="742">
        <v>5.7558292499999997</v>
      </c>
      <c r="X47" s="742">
        <v>4.1724999999999998E-4</v>
      </c>
      <c r="Y47" s="747">
        <v>2.65</v>
      </c>
      <c r="Z47" s="742">
        <v>1.3898263799999999</v>
      </c>
      <c r="AA47" s="742">
        <v>0.61341880000000004</v>
      </c>
      <c r="AB47" s="747">
        <v>1.0810948800000002</v>
      </c>
      <c r="AC47" s="747">
        <v>0.30873149999999971</v>
      </c>
      <c r="AD47" s="747" t="s">
        <v>489</v>
      </c>
    </row>
    <row r="48" spans="1:30" ht="14" thickBot="1">
      <c r="A48" s="78">
        <v>829</v>
      </c>
      <c r="B48" s="79" t="s">
        <v>766</v>
      </c>
      <c r="C48" s="804">
        <v>16366</v>
      </c>
      <c r="D48" s="805">
        <v>1788.7745875595747</v>
      </c>
      <c r="E48" s="805">
        <v>1558.7093785897594</v>
      </c>
      <c r="F48" s="805">
        <v>333.55852132469755</v>
      </c>
      <c r="G48" s="805">
        <v>1892.2678999144568</v>
      </c>
      <c r="H48" s="805">
        <v>99.183276304533791</v>
      </c>
      <c r="I48" s="806">
        <v>118.59934315043382</v>
      </c>
      <c r="J48" s="805">
        <v>63.686454845411248</v>
      </c>
      <c r="K48" s="806">
        <v>501.03873884883291</v>
      </c>
      <c r="L48" s="805">
        <v>625.82775387999504</v>
      </c>
      <c r="M48" s="807">
        <v>0.87138390126410881</v>
      </c>
      <c r="N48" s="807">
        <v>5.3564171431006849E-2</v>
      </c>
      <c r="O48" s="807">
        <v>6.6331265172731246E-2</v>
      </c>
      <c r="P48" s="807">
        <v>0.34986395615884275</v>
      </c>
      <c r="Q48" s="805"/>
      <c r="R48" s="742">
        <v>30.304463909999999</v>
      </c>
      <c r="S48" s="742">
        <v>29.262171389999999</v>
      </c>
      <c r="T48" s="747">
        <v>29.2750849</v>
      </c>
      <c r="U48" s="747">
        <v>25.509837690000001</v>
      </c>
      <c r="V48" s="747">
        <v>5.4590187600000002</v>
      </c>
      <c r="W48" s="742">
        <v>30.968856450000001</v>
      </c>
      <c r="X48" s="742">
        <v>1.6232335</v>
      </c>
      <c r="Y48" s="747">
        <v>8.1999999999999993</v>
      </c>
      <c r="Z48" s="742">
        <v>10.242297019999999</v>
      </c>
      <c r="AA48" s="742" t="s">
        <v>59</v>
      </c>
      <c r="AB48" s="747">
        <v>5.8550169800000003</v>
      </c>
      <c r="AC48" s="747">
        <v>4.3872800399999985</v>
      </c>
      <c r="AD48" s="747" t="s">
        <v>489</v>
      </c>
    </row>
    <row r="49" spans="1:30" ht="14" thickBot="1">
      <c r="A49" s="78">
        <v>881</v>
      </c>
      <c r="B49" s="79" t="s">
        <v>767</v>
      </c>
      <c r="C49" s="804">
        <v>140605.66</v>
      </c>
      <c r="D49" s="805">
        <v>2377.4019029532669</v>
      </c>
      <c r="E49" s="805">
        <v>2161.7968584621699</v>
      </c>
      <c r="F49" s="805">
        <v>402.2304452751049</v>
      </c>
      <c r="G49" s="805">
        <v>2564.0273037372749</v>
      </c>
      <c r="H49" s="805">
        <v>269.2439692683779</v>
      </c>
      <c r="I49" s="806">
        <v>172.99595108760204</v>
      </c>
      <c r="J49" s="805">
        <v>-53.967054171218862</v>
      </c>
      <c r="K49" s="806">
        <v>540.15500770025903</v>
      </c>
      <c r="L49" s="805">
        <v>438.54977395646802</v>
      </c>
      <c r="M49" s="807">
        <v>0.90931064527908922</v>
      </c>
      <c r="N49" s="807">
        <v>0.11236138879960951</v>
      </c>
      <c r="O49" s="807">
        <v>7.0604852321035902E-2</v>
      </c>
      <c r="P49" s="807">
        <v>0.1844659808725192</v>
      </c>
      <c r="Q49" s="805"/>
      <c r="R49" s="742">
        <v>336.92379922000003</v>
      </c>
      <c r="S49" s="742">
        <v>344.51187249000003</v>
      </c>
      <c r="T49" s="747">
        <v>334.27616365</v>
      </c>
      <c r="U49" s="747">
        <v>303.96087406999999</v>
      </c>
      <c r="V49" s="747">
        <v>56.555877230000007</v>
      </c>
      <c r="W49" s="742">
        <v>360.51675130000001</v>
      </c>
      <c r="X49" s="742">
        <v>37.857225999999997</v>
      </c>
      <c r="Y49" s="747">
        <v>75.948851360000006</v>
      </c>
      <c r="Z49" s="742">
        <v>61.662580409999997</v>
      </c>
      <c r="AA49" s="742">
        <v>85.801649600000005</v>
      </c>
      <c r="AB49" s="747">
        <v>60.169709456999996</v>
      </c>
      <c r="AC49" s="747">
        <v>1.4928709530000006</v>
      </c>
      <c r="AD49" s="747" t="s">
        <v>489</v>
      </c>
    </row>
    <row r="50" spans="1:30" ht="14" thickBot="1">
      <c r="A50" s="78">
        <v>895</v>
      </c>
      <c r="B50" s="79" t="s">
        <v>768</v>
      </c>
      <c r="C50" s="804">
        <v>807.92</v>
      </c>
      <c r="D50" s="805">
        <v>1777.5656005545097</v>
      </c>
      <c r="E50" s="805">
        <v>1497.2922442816118</v>
      </c>
      <c r="F50" s="805">
        <v>288.65079463313197</v>
      </c>
      <c r="G50" s="805">
        <v>1785.9430389147435</v>
      </c>
      <c r="H50" s="805">
        <v>267.84458857312603</v>
      </c>
      <c r="I50" s="806">
        <v>81.241768987028422</v>
      </c>
      <c r="J50" s="805">
        <v>92.988847905733223</v>
      </c>
      <c r="K50" s="806">
        <v>742.64778690959497</v>
      </c>
      <c r="L50" s="805">
        <v>1722.9064263788493</v>
      </c>
      <c r="M50" s="807">
        <v>0.84232741892312335</v>
      </c>
      <c r="N50" s="807">
        <v>0.13810925237917068</v>
      </c>
      <c r="O50" s="807">
        <v>4.4000601450856068E-2</v>
      </c>
      <c r="P50" s="807">
        <v>0.96925054458827875</v>
      </c>
      <c r="Q50" s="805"/>
      <c r="R50" s="742">
        <v>1.5668537499999999</v>
      </c>
      <c r="S50" s="742">
        <v>1.4917262</v>
      </c>
      <c r="T50" s="747">
        <v>1.4361307999999997</v>
      </c>
      <c r="U50" s="747">
        <v>1.2096923499999999</v>
      </c>
      <c r="V50" s="747">
        <v>0.23320674999999999</v>
      </c>
      <c r="W50" s="742">
        <v>1.4428990999999998</v>
      </c>
      <c r="X50" s="742">
        <v>0.21639700000000001</v>
      </c>
      <c r="Y50" s="747">
        <v>0.6</v>
      </c>
      <c r="Z50" s="742">
        <v>1.3919705600000001</v>
      </c>
      <c r="AA50" s="742" t="s">
        <v>59</v>
      </c>
      <c r="AB50" s="747">
        <v>0.28722615999999995</v>
      </c>
      <c r="AC50" s="747">
        <v>1.1047444000000002</v>
      </c>
      <c r="AD50" s="747" t="s">
        <v>489</v>
      </c>
    </row>
    <row r="51" spans="1:30" ht="14" thickBot="1">
      <c r="A51" s="78">
        <v>901</v>
      </c>
      <c r="B51" s="79" t="s">
        <v>769</v>
      </c>
      <c r="C51" s="804">
        <v>2433.4299999999998</v>
      </c>
      <c r="D51" s="805">
        <v>1867.6895369909962</v>
      </c>
      <c r="E51" s="805">
        <v>1686.2970580620768</v>
      </c>
      <c r="F51" s="805">
        <v>317.29170348027276</v>
      </c>
      <c r="G51" s="805">
        <v>2003.5887615423496</v>
      </c>
      <c r="H51" s="805">
        <v>27.432718426254308</v>
      </c>
      <c r="I51" s="806">
        <v>95.651159063544071</v>
      </c>
      <c r="J51" s="805">
        <v>199.8119321287237</v>
      </c>
      <c r="K51" s="806">
        <v>739.69664218818718</v>
      </c>
      <c r="L51" s="805">
        <v>1470.6930464406209</v>
      </c>
      <c r="M51" s="807">
        <v>0.90287867692338319</v>
      </c>
      <c r="N51" s="807">
        <v>1.3635738775460182E-2</v>
      </c>
      <c r="O51" s="807">
        <v>5.2787238391814019E-2</v>
      </c>
      <c r="P51" s="807">
        <v>0.78743978445691265</v>
      </c>
      <c r="Q51" s="805"/>
      <c r="R51" s="742">
        <v>4.8956350000000004</v>
      </c>
      <c r="S51" s="742">
        <v>4.4094066499999993</v>
      </c>
      <c r="T51" s="747">
        <v>4.5448917499999997</v>
      </c>
      <c r="U51" s="747">
        <v>4.1034858499999993</v>
      </c>
      <c r="V51" s="747">
        <v>0.77210715000000008</v>
      </c>
      <c r="W51" s="742">
        <v>4.8755929999999994</v>
      </c>
      <c r="X51" s="742">
        <v>6.6755600000000012E-2</v>
      </c>
      <c r="Y51" s="747">
        <v>1.8</v>
      </c>
      <c r="Z51" s="742">
        <v>3.5788285800000001</v>
      </c>
      <c r="AA51" s="742">
        <v>1.2490133000000001</v>
      </c>
      <c r="AB51" s="747">
        <v>0.90897835000000005</v>
      </c>
      <c r="AC51" s="747">
        <v>2.6698502300000002</v>
      </c>
      <c r="AD51" s="747" t="s">
        <v>489</v>
      </c>
    </row>
    <row r="52" spans="1:30" ht="14" thickBot="1">
      <c r="A52" s="78">
        <v>923</v>
      </c>
      <c r="B52" s="79" t="s">
        <v>770</v>
      </c>
      <c r="C52" s="804">
        <v>13647</v>
      </c>
      <c r="D52" s="805">
        <v>2366.382036344984</v>
      </c>
      <c r="E52" s="805">
        <v>2445.008225250971</v>
      </c>
      <c r="F52" s="805">
        <v>443.23615080237414</v>
      </c>
      <c r="G52" s="805">
        <v>2888.2443760533447</v>
      </c>
      <c r="H52" s="805">
        <v>-196.7091668498571</v>
      </c>
      <c r="I52" s="806">
        <v>148.0908602623287</v>
      </c>
      <c r="J52" s="805">
        <v>-8.9073986956840692</v>
      </c>
      <c r="K52" s="806">
        <v>952.59031288927974</v>
      </c>
      <c r="L52" s="805">
        <v>1432.572790356855</v>
      </c>
      <c r="M52" s="807">
        <v>1.0332263293493513</v>
      </c>
      <c r="N52" s="807">
        <v>-8.025088368950728E-2</v>
      </c>
      <c r="O52" s="807">
        <v>6.0197457227528881E-2</v>
      </c>
      <c r="P52" s="807">
        <v>0.60538525409428301</v>
      </c>
      <c r="Q52" s="805"/>
      <c r="R52" s="742">
        <v>33.451220429999999</v>
      </c>
      <c r="S52" s="742">
        <v>33.572779700000005</v>
      </c>
      <c r="T52" s="747">
        <v>32.294015649999999</v>
      </c>
      <c r="U52" s="747">
        <v>33.36702725</v>
      </c>
      <c r="V52" s="747">
        <v>6.0488437499999996</v>
      </c>
      <c r="W52" s="742">
        <v>39.415870999999996</v>
      </c>
      <c r="X52" s="742">
        <v>-2.6844899999999998</v>
      </c>
      <c r="Y52" s="747">
        <v>13</v>
      </c>
      <c r="Z52" s="742">
        <v>19.55032087</v>
      </c>
      <c r="AA52" s="742" t="s">
        <v>59</v>
      </c>
      <c r="AB52" s="747">
        <v>6.4588031299999997</v>
      </c>
      <c r="AC52" s="747">
        <v>13.09151774</v>
      </c>
      <c r="AD52" s="747" t="s">
        <v>489</v>
      </c>
    </row>
    <row r="53" spans="1:30" ht="14" thickBot="1">
      <c r="A53" s="78">
        <v>941</v>
      </c>
      <c r="B53" s="79" t="s">
        <v>771</v>
      </c>
      <c r="C53" s="804">
        <v>14771</v>
      </c>
      <c r="D53" s="805">
        <v>1971.006682012051</v>
      </c>
      <c r="E53" s="805">
        <v>1764.7271071694538</v>
      </c>
      <c r="F53" s="805">
        <v>331.28540383183264</v>
      </c>
      <c r="G53" s="805">
        <v>2096.0125110012864</v>
      </c>
      <c r="H53" s="805">
        <v>270.26079141561166</v>
      </c>
      <c r="I53" s="806">
        <v>46.011014826348926</v>
      </c>
      <c r="J53" s="805">
        <v>-64.313156184415405</v>
      </c>
      <c r="K53" s="806">
        <v>474.46699614108729</v>
      </c>
      <c r="L53" s="805">
        <v>816.87914697718509</v>
      </c>
      <c r="M53" s="807">
        <v>0.89534303626407696</v>
      </c>
      <c r="N53" s="807">
        <v>0.13496679988300497</v>
      </c>
      <c r="O53" s="807">
        <v>2.2262632376547953E-2</v>
      </c>
      <c r="P53" s="807">
        <v>0.4144476801789912</v>
      </c>
      <c r="Q53" s="805"/>
      <c r="R53" s="742">
        <v>29.57780842</v>
      </c>
      <c r="S53" s="742">
        <v>30.527778050000002</v>
      </c>
      <c r="T53" s="747">
        <v>29.113739700000004</v>
      </c>
      <c r="U53" s="747">
        <v>26.066784100000003</v>
      </c>
      <c r="V53" s="747">
        <v>4.8934166999999995</v>
      </c>
      <c r="W53" s="742">
        <v>30.960200800000003</v>
      </c>
      <c r="X53" s="742">
        <v>3.9920221499999999</v>
      </c>
      <c r="Y53" s="747">
        <v>7.0083520000000004</v>
      </c>
      <c r="Z53" s="742">
        <v>12.066121880000001</v>
      </c>
      <c r="AA53" s="742">
        <v>6.81000505</v>
      </c>
      <c r="AB53" s="747">
        <v>5.8227479400000011</v>
      </c>
      <c r="AC53" s="747">
        <v>6.2433739399999997</v>
      </c>
      <c r="AD53" s="747" t="s">
        <v>489</v>
      </c>
    </row>
    <row r="54" spans="1:30" ht="14" thickBot="1">
      <c r="A54" s="78">
        <v>966</v>
      </c>
      <c r="B54" s="79" t="s">
        <v>772</v>
      </c>
      <c r="C54" s="804">
        <v>6297</v>
      </c>
      <c r="D54" s="805">
        <v>1820.7747260600286</v>
      </c>
      <c r="E54" s="805">
        <v>1704.7950452596469</v>
      </c>
      <c r="F54" s="805">
        <v>304.43741464189293</v>
      </c>
      <c r="G54" s="805">
        <v>2009.2324599015401</v>
      </c>
      <c r="H54" s="805">
        <v>126.91159282197872</v>
      </c>
      <c r="I54" s="806">
        <v>96.54017309830077</v>
      </c>
      <c r="J54" s="805">
        <v>-14.797829124980138</v>
      </c>
      <c r="K54" s="806">
        <v>629.66491980308081</v>
      </c>
      <c r="L54" s="805">
        <v>370.68462918850241</v>
      </c>
      <c r="M54" s="807">
        <v>0.93630201521340872</v>
      </c>
      <c r="N54" s="807">
        <v>6.6051994112856505E-2</v>
      </c>
      <c r="O54" s="807">
        <v>4.9860973192108915E-2</v>
      </c>
      <c r="P54" s="807">
        <v>0.203586211892685</v>
      </c>
      <c r="Q54" s="805"/>
      <c r="R54" s="742">
        <v>12.098988239999999</v>
      </c>
      <c r="S54" s="742">
        <v>12.192170170000001</v>
      </c>
      <c r="T54" s="747">
        <v>11.46541845</v>
      </c>
      <c r="U54" s="747">
        <v>10.735094399999998</v>
      </c>
      <c r="V54" s="747">
        <v>1.9170423999999999</v>
      </c>
      <c r="W54" s="742">
        <v>12.652136799999997</v>
      </c>
      <c r="X54" s="742">
        <v>0.79916229999999999</v>
      </c>
      <c r="Y54" s="747">
        <v>3.9649999999999999</v>
      </c>
      <c r="Z54" s="742">
        <v>2.33420111</v>
      </c>
      <c r="AA54" s="742">
        <v>2.2077123999999997</v>
      </c>
      <c r="AB54" s="747">
        <v>2.29308369</v>
      </c>
      <c r="AC54" s="747">
        <v>4.111741999999996E-2</v>
      </c>
      <c r="AD54" s="747" t="s">
        <v>489</v>
      </c>
    </row>
    <row r="55" spans="1:30" ht="14" thickBot="1">
      <c r="A55" s="78">
        <v>979</v>
      </c>
      <c r="B55" s="79" t="s">
        <v>773</v>
      </c>
      <c r="C55" s="804">
        <v>2277.92</v>
      </c>
      <c r="D55" s="805">
        <v>1752.6352988691438</v>
      </c>
      <c r="E55" s="805">
        <v>1690.8242168293882</v>
      </c>
      <c r="F55" s="805">
        <v>308.73810318185008</v>
      </c>
      <c r="G55" s="805">
        <v>1999.5623200112384</v>
      </c>
      <c r="H55" s="805">
        <v>129.4181358432254</v>
      </c>
      <c r="I55" s="806">
        <v>125.56908056472571</v>
      </c>
      <c r="J55" s="805">
        <v>-178.42695968251738</v>
      </c>
      <c r="K55" s="806">
        <v>390.70731193369392</v>
      </c>
      <c r="L55" s="805">
        <v>1941.3944080564727</v>
      </c>
      <c r="M55" s="807">
        <v>0.96473249050750143</v>
      </c>
      <c r="N55" s="807">
        <v>7.287671363725419E-2</v>
      </c>
      <c r="O55" s="807">
        <v>6.4253461539163087E-2</v>
      </c>
      <c r="P55" s="807">
        <v>1.10770016403819</v>
      </c>
      <c r="Q55" s="805"/>
      <c r="R55" s="742">
        <v>4.0452449799999997</v>
      </c>
      <c r="S55" s="742">
        <v>4.4516873200000004</v>
      </c>
      <c r="T55" s="808">
        <v>3.9923630000000001</v>
      </c>
      <c r="U55" s="808">
        <v>3.8515623000000003</v>
      </c>
      <c r="V55" s="808">
        <v>0.70328069999999998</v>
      </c>
      <c r="W55" s="742">
        <v>4.554843</v>
      </c>
      <c r="X55" s="742">
        <v>0.29480416000000004</v>
      </c>
      <c r="Y55" s="808">
        <v>0.89</v>
      </c>
      <c r="Z55" s="742">
        <v>4.4223411500000003</v>
      </c>
      <c r="AA55" s="742" t="s">
        <v>59</v>
      </c>
      <c r="AB55" s="808">
        <v>0.79847260000000009</v>
      </c>
      <c r="AC55" s="808">
        <v>3.6238685500000001</v>
      </c>
      <c r="AD55" s="808" t="s">
        <v>489</v>
      </c>
    </row>
    <row r="56" spans="1:30" ht="14" thickBot="1">
      <c r="A56" s="78">
        <v>994</v>
      </c>
      <c r="B56" s="79" t="s">
        <v>774</v>
      </c>
      <c r="C56" s="804">
        <v>312521.08</v>
      </c>
      <c r="D56" s="805">
        <v>2281.3594389856835</v>
      </c>
      <c r="E56" s="805">
        <v>1455.8400966744387</v>
      </c>
      <c r="F56" s="805">
        <v>358.18742870080956</v>
      </c>
      <c r="G56" s="805">
        <v>1814.0275253752479</v>
      </c>
      <c r="H56" s="805">
        <v>688.71282314780171</v>
      </c>
      <c r="I56" s="806">
        <v>122.68214348932877</v>
      </c>
      <c r="J56" s="805">
        <v>26.590595840766976</v>
      </c>
      <c r="K56" s="806">
        <v>375.20669005751546</v>
      </c>
      <c r="L56" s="805">
        <v>254.133531664488</v>
      </c>
      <c r="M56" s="807">
        <v>0.63814586680024454</v>
      </c>
      <c r="N56" s="807">
        <v>0.29530858554643352</v>
      </c>
      <c r="O56" s="807">
        <v>5.3210747308967861E-2</v>
      </c>
      <c r="P56" s="807">
        <v>0.11139565616958565</v>
      </c>
      <c r="Q56" s="805"/>
      <c r="R56" s="742">
        <v>728.85546115</v>
      </c>
      <c r="S56" s="742">
        <v>720.54533941000011</v>
      </c>
      <c r="T56" s="747">
        <v>712.97291573999996</v>
      </c>
      <c r="U56" s="747">
        <v>454.98071931999999</v>
      </c>
      <c r="V56" s="747">
        <v>111.94112206</v>
      </c>
      <c r="W56" s="742">
        <v>566.92184137999993</v>
      </c>
      <c r="X56" s="742">
        <v>215.23727530000002</v>
      </c>
      <c r="Y56" s="747">
        <v>117.26</v>
      </c>
      <c r="Z56" s="742">
        <v>79.422085780000003</v>
      </c>
      <c r="AA56" s="742">
        <v>7.0506400000000011E-2</v>
      </c>
      <c r="AB56" s="747">
        <v>92.686479046200006</v>
      </c>
      <c r="AC56" s="747" t="s">
        <v>489</v>
      </c>
      <c r="AD56" s="747">
        <v>-13.264393266200003</v>
      </c>
    </row>
    <row r="57" spans="1:30" ht="14" thickBot="1">
      <c r="A57" s="78">
        <v>1003</v>
      </c>
      <c r="B57" s="79" t="s">
        <v>775</v>
      </c>
      <c r="C57" s="804">
        <v>209.34</v>
      </c>
      <c r="D57" s="805">
        <v>1879.0102226043755</v>
      </c>
      <c r="E57" s="805">
        <v>1492.8644788382535</v>
      </c>
      <c r="F57" s="805">
        <v>302.30390751886881</v>
      </c>
      <c r="G57" s="805">
        <v>1795.1683863571225</v>
      </c>
      <c r="H57" s="805">
        <v>-269.69045571797074</v>
      </c>
      <c r="I57" s="806">
        <v>138.58072991306011</v>
      </c>
      <c r="J57" s="805">
        <v>567.6975733256902</v>
      </c>
      <c r="K57" s="806">
        <v>1265.8832521257284</v>
      </c>
      <c r="L57" s="805">
        <v>5700.784369924525</v>
      </c>
      <c r="M57" s="807">
        <v>0.79449513412922779</v>
      </c>
      <c r="N57" s="807">
        <v>-0.13945039151802138</v>
      </c>
      <c r="O57" s="807">
        <v>0.10143108061540389</v>
      </c>
      <c r="P57" s="807">
        <v>3.0339294067400191</v>
      </c>
      <c r="Q57" s="805"/>
      <c r="R57" s="742">
        <v>0.40485365000000001</v>
      </c>
      <c r="S57" s="742">
        <v>0.28601184000000002</v>
      </c>
      <c r="T57" s="747">
        <v>0.39335199999999998</v>
      </c>
      <c r="U57" s="747">
        <v>0.31251625</v>
      </c>
      <c r="V57" s="747">
        <v>6.3284300000000002E-2</v>
      </c>
      <c r="W57" s="742">
        <v>0.37580055000000001</v>
      </c>
      <c r="X57" s="742">
        <v>-5.6457E-2</v>
      </c>
      <c r="Y57" s="747">
        <v>0.26500000000000001</v>
      </c>
      <c r="Z57" s="742">
        <v>1.1934022</v>
      </c>
      <c r="AA57" s="742" t="s">
        <v>59</v>
      </c>
      <c r="AB57" s="747">
        <v>7.8670400000000015E-2</v>
      </c>
      <c r="AC57" s="747">
        <v>1.1147317999999999</v>
      </c>
      <c r="AD57" s="747" t="s">
        <v>489</v>
      </c>
    </row>
    <row r="58" spans="1:30" ht="14" thickBot="1">
      <c r="A58" s="78">
        <v>1040</v>
      </c>
      <c r="B58" s="79" t="s">
        <v>776</v>
      </c>
      <c r="C58" s="804">
        <v>2988.49</v>
      </c>
      <c r="D58" s="805">
        <v>1713.1228312626106</v>
      </c>
      <c r="E58" s="805">
        <v>1159.2210782033737</v>
      </c>
      <c r="F58" s="805">
        <v>286.95670723341885</v>
      </c>
      <c r="G58" s="805">
        <v>1446.1777854367924</v>
      </c>
      <c r="H58" s="805">
        <v>341.97338789823624</v>
      </c>
      <c r="I58" s="806">
        <v>98.060492087977522</v>
      </c>
      <c r="J58" s="805">
        <v>21.482203386994765</v>
      </c>
      <c r="K58" s="806">
        <v>418.27143473794456</v>
      </c>
      <c r="L58" s="805">
        <v>1015.6320415996038</v>
      </c>
      <c r="M58" s="807">
        <v>0.67667131454257801</v>
      </c>
      <c r="N58" s="807">
        <v>0.20401650487343048</v>
      </c>
      <c r="O58" s="807">
        <v>5.9260995650844632E-2</v>
      </c>
      <c r="P58" s="807">
        <v>0.59285418597279438</v>
      </c>
      <c r="Q58" s="805"/>
      <c r="R58" s="742">
        <v>5.0093204500000006</v>
      </c>
      <c r="S58" s="742">
        <v>4.9451210999999997</v>
      </c>
      <c r="T58" s="747">
        <v>5.11965045</v>
      </c>
      <c r="U58" s="747">
        <v>3.4643206000000002</v>
      </c>
      <c r="V58" s="747">
        <v>0.85756725</v>
      </c>
      <c r="W58" s="742">
        <v>4.3218878500000004</v>
      </c>
      <c r="X58" s="742">
        <v>1.0219840500000001</v>
      </c>
      <c r="Y58" s="747">
        <v>1.25</v>
      </c>
      <c r="Z58" s="742">
        <v>3.0352062000000002</v>
      </c>
      <c r="AA58" s="742">
        <v>0.473526</v>
      </c>
      <c r="AB58" s="747">
        <v>1.0239300900000001</v>
      </c>
      <c r="AC58" s="747">
        <v>2.0112761099999998</v>
      </c>
      <c r="AD58" s="747" t="s">
        <v>489</v>
      </c>
    </row>
    <row r="59" spans="1:30" ht="14" thickBot="1">
      <c r="A59" s="78">
        <v>1058</v>
      </c>
      <c r="B59" s="79" t="s">
        <v>777</v>
      </c>
      <c r="C59" s="804">
        <v>99</v>
      </c>
      <c r="D59" s="805">
        <v>1174.1959595959597</v>
      </c>
      <c r="E59" s="805">
        <v>2439.3090909090906</v>
      </c>
      <c r="F59" s="805">
        <v>239.15606060606061</v>
      </c>
      <c r="G59" s="805">
        <v>2678.4651515151513</v>
      </c>
      <c r="H59" s="805">
        <v>254.04040404040401</v>
      </c>
      <c r="I59" s="806">
        <v>108.56717171717172</v>
      </c>
      <c r="J59" s="805">
        <v>-782.41090909090917</v>
      </c>
      <c r="K59" s="806">
        <v>606.06060606060601</v>
      </c>
      <c r="L59" s="805">
        <v>4359.1523232323234</v>
      </c>
      <c r="M59" s="807">
        <v>2.0774293004282316</v>
      </c>
      <c r="N59" s="807">
        <v>0.13585953193987368</v>
      </c>
      <c r="O59" s="807">
        <v>4.0933427553547758E-2</v>
      </c>
      <c r="P59" s="807">
        <v>3.7124572671262688</v>
      </c>
      <c r="Q59" s="805"/>
      <c r="R59" s="742">
        <v>0.18511767000000001</v>
      </c>
      <c r="S59" s="742">
        <v>0.26257634999999996</v>
      </c>
      <c r="T59" s="747">
        <v>0.11624540000000001</v>
      </c>
      <c r="U59" s="747">
        <v>0.2414916</v>
      </c>
      <c r="V59" s="747">
        <v>2.3676450000000002E-2</v>
      </c>
      <c r="W59" s="742">
        <v>0.26516804999999999</v>
      </c>
      <c r="X59" s="742">
        <v>2.5149999999999999E-2</v>
      </c>
      <c r="Y59" s="747">
        <v>0.06</v>
      </c>
      <c r="Z59" s="742">
        <v>0.43155608000000001</v>
      </c>
      <c r="AA59" s="742" t="s">
        <v>59</v>
      </c>
      <c r="AB59" s="747">
        <v>2.3249080000000002E-2</v>
      </c>
      <c r="AC59" s="747">
        <v>0.40830700000000003</v>
      </c>
      <c r="AD59" s="747" t="s">
        <v>489</v>
      </c>
    </row>
    <row r="60" spans="1:30" ht="14" thickBot="1">
      <c r="A60" s="78">
        <v>1060</v>
      </c>
      <c r="B60" s="79" t="s">
        <v>778</v>
      </c>
      <c r="C60" s="804">
        <v>261268.75</v>
      </c>
      <c r="D60" s="805">
        <v>2776.3329584958019</v>
      </c>
      <c r="E60" s="805">
        <v>3125.7895065138864</v>
      </c>
      <c r="F60" s="805">
        <v>463.35406316293091</v>
      </c>
      <c r="G60" s="805">
        <v>3589.1435696768172</v>
      </c>
      <c r="H60" s="805">
        <v>-465.2040478625936</v>
      </c>
      <c r="I60" s="806">
        <v>143.75184575269716</v>
      </c>
      <c r="J60" s="805">
        <v>0.18834307585578614</v>
      </c>
      <c r="K60" s="806">
        <v>669.80838695787384</v>
      </c>
      <c r="L60" s="805">
        <v>582.0617802550056</v>
      </c>
      <c r="M60" s="807">
        <v>1.1258698265813973</v>
      </c>
      <c r="N60" s="807">
        <v>-0.16446490686015638</v>
      </c>
      <c r="O60" s="807">
        <v>5.082438202883513E-2</v>
      </c>
      <c r="P60" s="807">
        <v>0.20965128785214676</v>
      </c>
      <c r="Q60" s="805"/>
      <c r="R60" s="742">
        <v>739.02258178</v>
      </c>
      <c r="S60" s="742">
        <v>738.97337361999996</v>
      </c>
      <c r="T60" s="747">
        <v>725.3690416500001</v>
      </c>
      <c r="U60" s="747">
        <v>816.67111712999997</v>
      </c>
      <c r="V60" s="747">
        <v>121.05993689</v>
      </c>
      <c r="W60" s="742">
        <v>937.73105401999999</v>
      </c>
      <c r="X60" s="742">
        <v>-121.54328008</v>
      </c>
      <c r="Y60" s="747">
        <v>175</v>
      </c>
      <c r="Z60" s="742">
        <v>152.07455375000001</v>
      </c>
      <c r="AA60" s="742" t="s">
        <v>59</v>
      </c>
      <c r="AB60" s="747">
        <v>94.297975414500016</v>
      </c>
      <c r="AC60" s="747">
        <v>57.776578335499991</v>
      </c>
      <c r="AD60" s="747" t="s">
        <v>489</v>
      </c>
    </row>
    <row r="61" spans="1:30" ht="14" thickBot="1">
      <c r="A61" s="78">
        <v>1097</v>
      </c>
      <c r="B61" s="79" t="s">
        <v>779</v>
      </c>
      <c r="C61" s="804">
        <v>10708.08</v>
      </c>
      <c r="D61" s="805">
        <v>1998.9361678284058</v>
      </c>
      <c r="E61" s="805">
        <v>1190.6845382178692</v>
      </c>
      <c r="F61" s="805">
        <v>330.90092248096772</v>
      </c>
      <c r="G61" s="805">
        <v>1521.5854606988366</v>
      </c>
      <c r="H61" s="805">
        <v>483.38469641616427</v>
      </c>
      <c r="I61" s="806">
        <v>126.51954598770274</v>
      </c>
      <c r="J61" s="805">
        <v>105.93885178295267</v>
      </c>
      <c r="K61" s="806">
        <v>346.46734055031339</v>
      </c>
      <c r="L61" s="805">
        <v>375.03992685897003</v>
      </c>
      <c r="M61" s="807">
        <v>0.59565910977107339</v>
      </c>
      <c r="N61" s="807">
        <v>0.2454652098120601</v>
      </c>
      <c r="O61" s="807">
        <v>6.7900039688939429E-2</v>
      </c>
      <c r="P61" s="807">
        <v>0.18761976139858627</v>
      </c>
      <c r="Q61" s="805"/>
      <c r="R61" s="742">
        <v>21.086988269999999</v>
      </c>
      <c r="S61" s="742">
        <v>19.952586570000001</v>
      </c>
      <c r="T61" s="747">
        <v>21.404768399999998</v>
      </c>
      <c r="U61" s="747">
        <v>12.749945289999999</v>
      </c>
      <c r="V61" s="747">
        <v>3.5433135500000006</v>
      </c>
      <c r="W61" s="742">
        <v>16.29325884</v>
      </c>
      <c r="X61" s="742">
        <v>5.1761220000000003</v>
      </c>
      <c r="Y61" s="747">
        <v>3.71</v>
      </c>
      <c r="Z61" s="742">
        <v>4.0159575399999996</v>
      </c>
      <c r="AA61" s="742">
        <v>0.41902699999999998</v>
      </c>
      <c r="AB61" s="747">
        <v>4.2809536799999997</v>
      </c>
      <c r="AC61" s="747" t="s">
        <v>489</v>
      </c>
      <c r="AD61" s="747">
        <v>-0.26499614000000005</v>
      </c>
    </row>
    <row r="62" spans="1:30" ht="14" thickBot="1">
      <c r="A62" s="78">
        <v>1113</v>
      </c>
      <c r="B62" s="79" t="s">
        <v>780</v>
      </c>
      <c r="C62" s="804">
        <v>4632.84</v>
      </c>
      <c r="D62" s="805">
        <v>1990.1398386302999</v>
      </c>
      <c r="E62" s="805">
        <v>1524.206814826327</v>
      </c>
      <c r="F62" s="805">
        <v>315.90136935443485</v>
      </c>
      <c r="G62" s="805">
        <v>1840.1081841807618</v>
      </c>
      <c r="H62" s="805">
        <v>116.66159418412894</v>
      </c>
      <c r="I62" s="806">
        <v>57.896335724954888</v>
      </c>
      <c r="J62" s="805">
        <v>67.771069149808753</v>
      </c>
      <c r="K62" s="806">
        <v>236.35610122516641</v>
      </c>
      <c r="L62" s="805">
        <v>685.07973942549279</v>
      </c>
      <c r="M62" s="807">
        <v>0.76587925392989065</v>
      </c>
      <c r="N62" s="807">
        <v>0.1151523299750865</v>
      </c>
      <c r="O62" s="807">
        <v>6.1244213528996297E-2</v>
      </c>
      <c r="P62" s="807">
        <v>0.344236985827586</v>
      </c>
      <c r="Q62" s="805"/>
      <c r="R62" s="742">
        <v>4.6935611300000009</v>
      </c>
      <c r="S62" s="742">
        <v>4.379588609999999</v>
      </c>
      <c r="T62" s="747">
        <v>9.2199994499999995</v>
      </c>
      <c r="U62" s="747">
        <v>7.0614063000000007</v>
      </c>
      <c r="V62" s="747">
        <v>1.4635205</v>
      </c>
      <c r="W62" s="742">
        <v>8.5249268000000011</v>
      </c>
      <c r="X62" s="742">
        <v>0.54047449999999997</v>
      </c>
      <c r="Y62" s="747">
        <v>1.095</v>
      </c>
      <c r="Z62" s="742">
        <v>3.1738648199999999</v>
      </c>
      <c r="AA62" s="742" t="s">
        <v>59</v>
      </c>
      <c r="AB62" s="747">
        <v>1.8439998899999999</v>
      </c>
      <c r="AC62" s="747">
        <v>1.3298649300000001</v>
      </c>
      <c r="AD62" s="747" t="s">
        <v>489</v>
      </c>
    </row>
    <row r="63" spans="1:30" ht="14" thickBot="1">
      <c r="A63" s="78">
        <v>1142</v>
      </c>
      <c r="B63" s="79" t="s">
        <v>781</v>
      </c>
      <c r="C63" s="804">
        <v>1012.5</v>
      </c>
      <c r="D63" s="805">
        <v>3510.0214320987652</v>
      </c>
      <c r="E63" s="805">
        <v>7311.0516543209878</v>
      </c>
      <c r="F63" s="805">
        <v>737.8405432098765</v>
      </c>
      <c r="G63" s="805">
        <v>8048.8921975308631</v>
      </c>
      <c r="H63" s="805">
        <v>-4212.2390123456789</v>
      </c>
      <c r="I63" s="806">
        <v>185.77576296296294</v>
      </c>
      <c r="J63" s="805">
        <v>1114.2313086419754</v>
      </c>
      <c r="K63" s="806">
        <v>1975.3086419753088</v>
      </c>
      <c r="L63" s="805">
        <v>14199.202577777776</v>
      </c>
      <c r="M63" s="807">
        <v>2.0829079809776125</v>
      </c>
      <c r="N63" s="807">
        <v>-1.0937758704419549</v>
      </c>
      <c r="O63" s="807">
        <v>6.7878974481559232E-2</v>
      </c>
      <c r="P63" s="807">
        <v>4.0453321589229088</v>
      </c>
      <c r="Q63" s="805"/>
      <c r="R63" s="742">
        <v>3.8992376000000002</v>
      </c>
      <c r="S63" s="742">
        <v>2.7710784000000004</v>
      </c>
      <c r="T63" s="747">
        <v>3.5538966999999997</v>
      </c>
      <c r="U63" s="747">
        <v>7.4024397999999998</v>
      </c>
      <c r="V63" s="747">
        <v>0.74706355000000002</v>
      </c>
      <c r="W63" s="742">
        <v>8.1495033499999998</v>
      </c>
      <c r="X63" s="742">
        <v>-4.2648919999999997</v>
      </c>
      <c r="Y63" s="747">
        <v>2</v>
      </c>
      <c r="Z63" s="742">
        <v>14.376692609999999</v>
      </c>
      <c r="AA63" s="742" t="s">
        <v>59</v>
      </c>
      <c r="AB63" s="747">
        <v>0.71077933999999998</v>
      </c>
      <c r="AC63" s="747">
        <v>13.665913269999999</v>
      </c>
      <c r="AD63" s="747" t="s">
        <v>489</v>
      </c>
    </row>
    <row r="64" spans="1:30" ht="14" thickBot="1">
      <c r="A64" s="78">
        <v>1147</v>
      </c>
      <c r="B64" s="79" t="s">
        <v>782</v>
      </c>
      <c r="C64" s="804">
        <v>431</v>
      </c>
      <c r="D64" s="805">
        <v>2282.3062645011601</v>
      </c>
      <c r="E64" s="805">
        <v>2186.4103248259862</v>
      </c>
      <c r="F64" s="805">
        <v>346.21531322505803</v>
      </c>
      <c r="G64" s="805">
        <v>2532.625638051044</v>
      </c>
      <c r="H64" s="805">
        <v>-280.88631090487235</v>
      </c>
      <c r="I64" s="806">
        <v>201.13700696055685</v>
      </c>
      <c r="J64" s="805">
        <v>216.58410672853827</v>
      </c>
      <c r="K64" s="806">
        <v>1357.3085846867748</v>
      </c>
      <c r="L64" s="805">
        <v>2374.2227378190255</v>
      </c>
      <c r="M64" s="807">
        <v>0.95798287847396602</v>
      </c>
      <c r="N64" s="807">
        <v>-0.12322854262211064</v>
      </c>
      <c r="O64" s="807">
        <v>9.7506357058760512E-2</v>
      </c>
      <c r="P64" s="807">
        <v>1.040273505246657</v>
      </c>
      <c r="Q64" s="805"/>
      <c r="R64" s="742">
        <v>0.98241850000000008</v>
      </c>
      <c r="S64" s="742">
        <v>0.88907075000000002</v>
      </c>
      <c r="T64" s="747">
        <v>0.98367400000000005</v>
      </c>
      <c r="U64" s="747">
        <v>0.94234284999999995</v>
      </c>
      <c r="V64" s="747">
        <v>0.14921880000000001</v>
      </c>
      <c r="W64" s="742">
        <v>1.09156165</v>
      </c>
      <c r="X64" s="742">
        <v>-0.121062</v>
      </c>
      <c r="Y64" s="747">
        <v>0.58499999999999996</v>
      </c>
      <c r="Z64" s="742">
        <v>1.02329</v>
      </c>
      <c r="AA64" s="742" t="s">
        <v>59</v>
      </c>
      <c r="AB64" s="747">
        <v>0.19673480000000002</v>
      </c>
      <c r="AC64" s="747">
        <v>0.82655520000000005</v>
      </c>
      <c r="AD64" s="747" t="s">
        <v>489</v>
      </c>
    </row>
    <row r="65" spans="1:30" ht="14" thickBot="1">
      <c r="A65" s="78">
        <v>1159</v>
      </c>
      <c r="B65" s="79" t="s">
        <v>783</v>
      </c>
      <c r="C65" s="804">
        <v>19417</v>
      </c>
      <c r="D65" s="805">
        <v>2850.2126306844521</v>
      </c>
      <c r="E65" s="805">
        <v>2582.198156254829</v>
      </c>
      <c r="F65" s="805">
        <v>419.83636092084259</v>
      </c>
      <c r="G65" s="805">
        <v>3002.0345171756712</v>
      </c>
      <c r="H65" s="805">
        <v>329.28845908224747</v>
      </c>
      <c r="I65" s="806">
        <v>152.29414688159861</v>
      </c>
      <c r="J65" s="805">
        <v>22.345292269660607</v>
      </c>
      <c r="K65" s="806">
        <v>618.01514137096365</v>
      </c>
      <c r="L65" s="805">
        <v>575.67291497141684</v>
      </c>
      <c r="M65" s="807">
        <v>0.90596684908898817</v>
      </c>
      <c r="N65" s="807">
        <v>0.11649166733364574</v>
      </c>
      <c r="O65" s="807">
        <v>5.4306063514221424E-2</v>
      </c>
      <c r="P65" s="807">
        <v>0.20197542764841875</v>
      </c>
      <c r="Q65" s="805"/>
      <c r="R65" s="742">
        <v>54.886277760000006</v>
      </c>
      <c r="S65" s="742">
        <v>54.452399210000003</v>
      </c>
      <c r="T65" s="747">
        <v>55.342578650000007</v>
      </c>
      <c r="U65" s="747">
        <v>50.138541600000011</v>
      </c>
      <c r="V65" s="747">
        <v>8.1519626200000008</v>
      </c>
      <c r="W65" s="742">
        <v>58.29050422000001</v>
      </c>
      <c r="X65" s="742">
        <v>6.3937940099999997</v>
      </c>
      <c r="Y65" s="747">
        <v>12</v>
      </c>
      <c r="Z65" s="742">
        <v>11.17784099</v>
      </c>
      <c r="AA65" s="742">
        <v>4.5679999999999999E-4</v>
      </c>
      <c r="AB65" s="747">
        <v>11.068515730000001</v>
      </c>
      <c r="AC65" s="747">
        <v>0.10932525999999854</v>
      </c>
      <c r="AD65" s="747" t="s">
        <v>489</v>
      </c>
    </row>
    <row r="66" spans="1:30" ht="14" thickBot="1">
      <c r="A66" s="78">
        <v>1215</v>
      </c>
      <c r="B66" s="79" t="s">
        <v>784</v>
      </c>
      <c r="C66" s="804">
        <v>8251.59</v>
      </c>
      <c r="D66" s="805">
        <v>2599.4964606821227</v>
      </c>
      <c r="E66" s="805">
        <v>1918.1796150802454</v>
      </c>
      <c r="F66" s="805">
        <v>401.09454056733307</v>
      </c>
      <c r="G66" s="805">
        <v>2319.274155647578</v>
      </c>
      <c r="H66" s="805">
        <v>343.40169591557509</v>
      </c>
      <c r="I66" s="806">
        <v>174.48237733576195</v>
      </c>
      <c r="J66" s="805">
        <v>93.992784420941888</v>
      </c>
      <c r="K66" s="806">
        <v>618.06270064314867</v>
      </c>
      <c r="L66" s="805">
        <v>1235.6866858387293</v>
      </c>
      <c r="M66" s="807">
        <v>0.73790429957996717</v>
      </c>
      <c r="N66" s="807">
        <v>0.13236687333480496</v>
      </c>
      <c r="O66" s="807">
        <v>6.978388696760654E-2</v>
      </c>
      <c r="P66" s="807">
        <v>0.47535617167737088</v>
      </c>
      <c r="Q66" s="805"/>
      <c r="R66" s="742">
        <v>21.407244339999998</v>
      </c>
      <c r="S66" s="742">
        <v>20.63165442</v>
      </c>
      <c r="T66" s="747">
        <v>21.449978999999999</v>
      </c>
      <c r="U66" s="747">
        <v>15.828031730000001</v>
      </c>
      <c r="V66" s="747">
        <v>3.3096677000000003</v>
      </c>
      <c r="W66" s="742">
        <v>19.137699430000001</v>
      </c>
      <c r="X66" s="742">
        <v>2.8336100000000002</v>
      </c>
      <c r="Y66" s="747">
        <v>5.0999999999999996</v>
      </c>
      <c r="Z66" s="742">
        <v>10.1963799</v>
      </c>
      <c r="AA66" s="742">
        <v>1.0228941999999999</v>
      </c>
      <c r="AB66" s="747">
        <v>4.2899957999999998</v>
      </c>
      <c r="AC66" s="747">
        <v>5.9063841000000004</v>
      </c>
      <c r="AD66" s="747" t="s">
        <v>489</v>
      </c>
    </row>
    <row r="67" spans="1:30" ht="14" thickBot="1">
      <c r="A67" s="78">
        <v>1318</v>
      </c>
      <c r="B67" s="79" t="s">
        <v>785</v>
      </c>
      <c r="C67" s="804">
        <v>4823</v>
      </c>
      <c r="D67" s="805">
        <v>2404.5093095583661</v>
      </c>
      <c r="E67" s="805">
        <v>2057.6152187435205</v>
      </c>
      <c r="F67" s="805">
        <v>428.29803027161518</v>
      </c>
      <c r="G67" s="805">
        <v>2485.913249015136</v>
      </c>
      <c r="H67" s="805">
        <v>-180.76632801161105</v>
      </c>
      <c r="I67" s="806">
        <v>166.21755131660791</v>
      </c>
      <c r="J67" s="805">
        <v>307.68768401409909</v>
      </c>
      <c r="K67" s="806">
        <v>922.66224341696045</v>
      </c>
      <c r="L67" s="805">
        <v>1940.4021646278252</v>
      </c>
      <c r="M67" s="807">
        <v>0.85573185787392136</v>
      </c>
      <c r="N67" s="807">
        <v>-7.5389323992960458E-2</v>
      </c>
      <c r="O67" s="807">
        <v>7.9526762012340019E-2</v>
      </c>
      <c r="P67" s="807">
        <v>0.80698467538236196</v>
      </c>
      <c r="Q67" s="805"/>
      <c r="R67" s="742">
        <v>11.564449100000001</v>
      </c>
      <c r="S67" s="742">
        <v>10.0804714</v>
      </c>
      <c r="T67" s="747">
        <v>11.596948399999999</v>
      </c>
      <c r="U67" s="747">
        <v>9.923878199999999</v>
      </c>
      <c r="V67" s="747">
        <v>2.0656813999999999</v>
      </c>
      <c r="W67" s="742">
        <v>11.9895596</v>
      </c>
      <c r="X67" s="742">
        <v>-0.87183600000000006</v>
      </c>
      <c r="Y67" s="747">
        <v>4.45</v>
      </c>
      <c r="Z67" s="742">
        <v>9.3585596400000011</v>
      </c>
      <c r="AA67" s="742">
        <v>0.83951710000000002</v>
      </c>
      <c r="AB67" s="747">
        <v>2.3193896799999996</v>
      </c>
      <c r="AC67" s="747">
        <v>7.0391699600000015</v>
      </c>
      <c r="AD67" s="747" t="s">
        <v>489</v>
      </c>
    </row>
    <row r="68" spans="1:30" ht="14" thickBot="1">
      <c r="A68" s="78">
        <v>1322</v>
      </c>
      <c r="B68" s="79" t="s">
        <v>786</v>
      </c>
      <c r="C68" s="804">
        <v>5495.75</v>
      </c>
      <c r="D68" s="805">
        <v>2170.9926124732742</v>
      </c>
      <c r="E68" s="805">
        <v>1820.7183550925715</v>
      </c>
      <c r="F68" s="805">
        <v>392.51309648364651</v>
      </c>
      <c r="G68" s="805">
        <v>2213.2314515762178</v>
      </c>
      <c r="H68" s="805">
        <v>-3.5496065141245512</v>
      </c>
      <c r="I68" s="806">
        <v>139.92714370195154</v>
      </c>
      <c r="J68" s="805">
        <v>156.31377882909521</v>
      </c>
      <c r="K68" s="806">
        <v>566.70626938998316</v>
      </c>
      <c r="L68" s="805">
        <v>678.50408952372288</v>
      </c>
      <c r="M68" s="807">
        <v>0.83865709382508791</v>
      </c>
      <c r="N68" s="807">
        <v>-1.6782318652681194E-3</v>
      </c>
      <c r="O68" s="807">
        <v>7.1436109797405709E-2</v>
      </c>
      <c r="P68" s="807">
        <v>0.31253173577165982</v>
      </c>
      <c r="Q68" s="805"/>
      <c r="R68" s="742">
        <v>11.62398975</v>
      </c>
      <c r="S68" s="742">
        <v>10.764928300000001</v>
      </c>
      <c r="T68" s="747">
        <v>11.931232649999998</v>
      </c>
      <c r="U68" s="747">
        <v>10.0062129</v>
      </c>
      <c r="V68" s="747">
        <v>2.1571538500000003</v>
      </c>
      <c r="W68" s="742">
        <v>12.16336675</v>
      </c>
      <c r="X68" s="742">
        <v>-1.9507750000000001E-2</v>
      </c>
      <c r="Y68" s="747">
        <v>3.1144759799999999</v>
      </c>
      <c r="Z68" s="742">
        <v>3.7288888500000001</v>
      </c>
      <c r="AA68" s="742">
        <v>0.91892415000000005</v>
      </c>
      <c r="AB68" s="747">
        <v>2.3862465299999998</v>
      </c>
      <c r="AC68" s="747">
        <v>1.3426423200000004</v>
      </c>
      <c r="AD68" s="747" t="s">
        <v>489</v>
      </c>
    </row>
    <row r="69" spans="1:30" ht="14" thickBot="1">
      <c r="A69" s="78">
        <v>1328</v>
      </c>
      <c r="B69" s="79" t="s">
        <v>787</v>
      </c>
      <c r="C69" s="804">
        <v>7433</v>
      </c>
      <c r="D69" s="805">
        <v>2298.2277142472758</v>
      </c>
      <c r="E69" s="805">
        <v>2299.8934279564105</v>
      </c>
      <c r="F69" s="805">
        <v>406.09632046280103</v>
      </c>
      <c r="G69" s="805">
        <v>2705.989748419212</v>
      </c>
      <c r="H69" s="805">
        <v>-162.31642674559399</v>
      </c>
      <c r="I69" s="806">
        <v>179.02776671599625</v>
      </c>
      <c r="J69" s="805">
        <v>0.62956141531013865</v>
      </c>
      <c r="K69" s="806">
        <v>689.90572447194938</v>
      </c>
      <c r="L69" s="805">
        <v>1317.4456518229515</v>
      </c>
      <c r="M69" s="807">
        <v>1.0007247818389833</v>
      </c>
      <c r="N69" s="807">
        <v>-6.9508920780751007E-2</v>
      </c>
      <c r="O69" s="807">
        <v>7.6685908441030889E-2</v>
      </c>
      <c r="P69" s="807">
        <v>0.57324417578631726</v>
      </c>
      <c r="Q69" s="805"/>
      <c r="R69" s="742">
        <v>17.357455510000001</v>
      </c>
      <c r="S69" s="742">
        <v>17.352775980000001</v>
      </c>
      <c r="T69" s="747">
        <v>17.082726600000001</v>
      </c>
      <c r="U69" s="747">
        <v>17.095107850000002</v>
      </c>
      <c r="V69" s="747">
        <v>3.01851395</v>
      </c>
      <c r="W69" s="742">
        <v>20.113621800000001</v>
      </c>
      <c r="X69" s="742">
        <v>-1.2064980000000001</v>
      </c>
      <c r="Y69" s="747">
        <v>5.1280692500000002</v>
      </c>
      <c r="Z69" s="742">
        <v>9.7925735299999985</v>
      </c>
      <c r="AA69" s="742">
        <v>5.8661649000000002</v>
      </c>
      <c r="AB69" s="747">
        <v>3.4165453200000004</v>
      </c>
      <c r="AC69" s="747">
        <v>6.3760282099999976</v>
      </c>
      <c r="AD69" s="747" t="s">
        <v>489</v>
      </c>
    </row>
    <row r="70" spans="1:30" ht="14" thickBot="1">
      <c r="A70" s="78">
        <v>1331</v>
      </c>
      <c r="B70" s="79" t="s">
        <v>788</v>
      </c>
      <c r="C70" s="804">
        <v>1221</v>
      </c>
      <c r="D70" s="805">
        <v>1806.7853398853399</v>
      </c>
      <c r="E70" s="805">
        <v>1543.0746519246518</v>
      </c>
      <c r="F70" s="805">
        <v>312.14914004914004</v>
      </c>
      <c r="G70" s="805">
        <v>1855.223791973792</v>
      </c>
      <c r="H70" s="805">
        <v>139.41375921375922</v>
      </c>
      <c r="I70" s="806">
        <v>201.20963963963965</v>
      </c>
      <c r="J70" s="805">
        <v>-37.48270270270271</v>
      </c>
      <c r="K70" s="806">
        <v>371.12354627354625</v>
      </c>
      <c r="L70" s="805">
        <v>1026.5450614250615</v>
      </c>
      <c r="M70" s="807">
        <v>0.85404426185048443</v>
      </c>
      <c r="N70" s="807">
        <v>8.0641176184926E-2</v>
      </c>
      <c r="O70" s="807">
        <v>0.11391597258929409</v>
      </c>
      <c r="P70" s="807">
        <v>0.56816105309455678</v>
      </c>
      <c r="Q70" s="805"/>
      <c r="R70" s="742">
        <v>2.1108843899999998</v>
      </c>
      <c r="S70" s="742">
        <v>2.1566507700000002</v>
      </c>
      <c r="T70" s="747">
        <v>2.2060849</v>
      </c>
      <c r="U70" s="747">
        <v>1.8840941499999999</v>
      </c>
      <c r="V70" s="747">
        <v>0.38113409999999998</v>
      </c>
      <c r="W70" s="742">
        <v>2.2652282499999998</v>
      </c>
      <c r="X70" s="742">
        <v>0.17022420000000002</v>
      </c>
      <c r="Y70" s="747">
        <v>0.45314185000000001</v>
      </c>
      <c r="Z70" s="742">
        <v>1.25341152</v>
      </c>
      <c r="AA70" s="742" t="s">
        <v>59</v>
      </c>
      <c r="AB70" s="747">
        <v>0.44121697999999998</v>
      </c>
      <c r="AC70" s="747">
        <v>0.81219454000000002</v>
      </c>
      <c r="AD70" s="747" t="s">
        <v>489</v>
      </c>
    </row>
    <row r="71" spans="1:30" ht="14" thickBot="1">
      <c r="A71" s="78">
        <v>1362</v>
      </c>
      <c r="B71" s="79" t="s">
        <v>789</v>
      </c>
      <c r="C71" s="804">
        <v>583</v>
      </c>
      <c r="D71" s="805">
        <v>1786.7825900514579</v>
      </c>
      <c r="E71" s="805">
        <v>1441.1493138936535</v>
      </c>
      <c r="F71" s="805">
        <v>261.43198970840484</v>
      </c>
      <c r="G71" s="805">
        <v>1702.5813036020584</v>
      </c>
      <c r="H71" s="805">
        <v>106.94682675814751</v>
      </c>
      <c r="I71" s="806">
        <v>83.227169811320763</v>
      </c>
      <c r="J71" s="805">
        <v>133.13869639794169</v>
      </c>
      <c r="K71" s="806">
        <v>461.40651801029168</v>
      </c>
      <c r="L71" s="805">
        <v>2246.4691595197255</v>
      </c>
      <c r="M71" s="807">
        <v>0.80656109026232992</v>
      </c>
      <c r="N71" s="807">
        <v>5.8179607212535699E-2</v>
      </c>
      <c r="O71" s="807">
        <v>4.8811306431355665E-2</v>
      </c>
      <c r="P71" s="807">
        <v>1.2572705666753947</v>
      </c>
      <c r="Q71" s="805"/>
      <c r="R71" s="742">
        <v>1.0716813500000002</v>
      </c>
      <c r="S71" s="742">
        <v>0.99406148999999999</v>
      </c>
      <c r="T71" s="747">
        <v>1.0416942499999999</v>
      </c>
      <c r="U71" s="747">
        <v>0.84019005000000002</v>
      </c>
      <c r="V71" s="747">
        <v>0.15241485000000002</v>
      </c>
      <c r="W71" s="742">
        <v>0.99260490000000001</v>
      </c>
      <c r="X71" s="742">
        <v>6.2350000000000003E-2</v>
      </c>
      <c r="Y71" s="747">
        <v>0.26900000000000002</v>
      </c>
      <c r="Z71" s="742">
        <v>1.3096915200000001</v>
      </c>
      <c r="AA71" s="742" t="s">
        <v>59</v>
      </c>
      <c r="AB71" s="747">
        <v>0.20833884999999999</v>
      </c>
      <c r="AC71" s="747">
        <v>1.10135267</v>
      </c>
      <c r="AD71" s="747" t="s">
        <v>489</v>
      </c>
    </row>
    <row r="72" spans="1:30" ht="14" thickBot="1">
      <c r="A72" s="78">
        <v>1384</v>
      </c>
      <c r="B72" s="79" t="s">
        <v>790</v>
      </c>
      <c r="C72" s="804">
        <v>594134.41</v>
      </c>
      <c r="D72" s="805">
        <v>2350.6783239502988</v>
      </c>
      <c r="E72" s="805">
        <v>2134.3817404718234</v>
      </c>
      <c r="F72" s="805">
        <v>401.84577905528147</v>
      </c>
      <c r="G72" s="805">
        <v>2536.2275195271054</v>
      </c>
      <c r="H72" s="805">
        <v>80.686686603457233</v>
      </c>
      <c r="I72" s="806">
        <v>145.1088465318816</v>
      </c>
      <c r="J72" s="805">
        <v>19.674496415718444</v>
      </c>
      <c r="K72" s="806">
        <v>477.14006815393839</v>
      </c>
      <c r="L72" s="805">
        <v>442.03084159020511</v>
      </c>
      <c r="M72" s="807">
        <v>0.90798546050529338</v>
      </c>
      <c r="N72" s="807">
        <v>3.381000296967912E-2</v>
      </c>
      <c r="O72" s="807">
        <v>6.1310160814870368E-2</v>
      </c>
      <c r="P72" s="807">
        <v>0.18804395186125478</v>
      </c>
      <c r="Q72" s="805"/>
      <c r="R72" s="742">
        <v>1417.88620909</v>
      </c>
      <c r="S72" s="742">
        <v>1406.1969137600001</v>
      </c>
      <c r="T72" s="747">
        <v>1396.6188791</v>
      </c>
      <c r="U72" s="747">
        <v>1268.1096360900001</v>
      </c>
      <c r="V72" s="747">
        <v>238.75040485000002</v>
      </c>
      <c r="W72" s="742">
        <v>1506.8600409400001</v>
      </c>
      <c r="X72" s="742">
        <v>47.93873693999997</v>
      </c>
      <c r="Y72" s="747">
        <v>283.48533287999999</v>
      </c>
      <c r="Z72" s="742">
        <v>262.62573327000001</v>
      </c>
      <c r="AA72" s="742">
        <v>829.75066080000011</v>
      </c>
      <c r="AB72" s="747">
        <v>181.56045428299998</v>
      </c>
      <c r="AC72" s="747">
        <v>81.065278987000028</v>
      </c>
      <c r="AD72" s="747" t="s">
        <v>489</v>
      </c>
    </row>
    <row r="73" spans="1:30" ht="14" thickBot="1">
      <c r="A73" s="78">
        <v>1386</v>
      </c>
      <c r="B73" s="79" t="s">
        <v>791</v>
      </c>
      <c r="C73" s="804">
        <v>11434.98</v>
      </c>
      <c r="D73" s="805">
        <v>3008.3206529438617</v>
      </c>
      <c r="E73" s="805">
        <v>3661.9773143459806</v>
      </c>
      <c r="F73" s="805">
        <v>506.2593332039059</v>
      </c>
      <c r="G73" s="805">
        <v>4168.2366475498866</v>
      </c>
      <c r="H73" s="805">
        <v>-891.79543820802485</v>
      </c>
      <c r="I73" s="806">
        <v>227.30617193908515</v>
      </c>
      <c r="J73" s="805">
        <v>58.401334326776329</v>
      </c>
      <c r="K73" s="806">
        <v>1101.8821196014335</v>
      </c>
      <c r="L73" s="805">
        <v>745.43508952354966</v>
      </c>
      <c r="M73" s="807">
        <v>1.2172829085764072</v>
      </c>
      <c r="N73" s="807">
        <v>-0.29701616452867968</v>
      </c>
      <c r="O73" s="807">
        <v>7.7207000481899185E-2</v>
      </c>
      <c r="P73" s="807">
        <v>0.24779110192063031</v>
      </c>
      <c r="Q73" s="805"/>
      <c r="R73" s="742">
        <v>34.333697010000009</v>
      </c>
      <c r="S73" s="742">
        <v>33.665878920000004</v>
      </c>
      <c r="T73" s="747">
        <v>34.4000865</v>
      </c>
      <c r="U73" s="747">
        <v>41.87463735</v>
      </c>
      <c r="V73" s="747">
        <v>5.7890653499999996</v>
      </c>
      <c r="W73" s="742">
        <v>47.663702700000002</v>
      </c>
      <c r="X73" s="742">
        <v>-10.197663</v>
      </c>
      <c r="Y73" s="747">
        <v>12.6</v>
      </c>
      <c r="Z73" s="742">
        <v>8.5240353399999993</v>
      </c>
      <c r="AA73" s="742">
        <v>14.54874875</v>
      </c>
      <c r="AB73" s="747">
        <v>6.8800173000000004</v>
      </c>
      <c r="AC73" s="747">
        <v>1.6440180399999988</v>
      </c>
      <c r="AD73" s="747" t="s">
        <v>489</v>
      </c>
    </row>
    <row r="74" spans="1:30" ht="14" thickBot="1">
      <c r="A74" s="78">
        <v>1395</v>
      </c>
      <c r="B74" s="79" t="s">
        <v>792</v>
      </c>
      <c r="C74" s="804">
        <v>21324.5</v>
      </c>
      <c r="D74" s="805">
        <v>2481.8137241201434</v>
      </c>
      <c r="E74" s="805">
        <v>1637.6555056390537</v>
      </c>
      <c r="F74" s="805">
        <v>301.70238833266905</v>
      </c>
      <c r="G74" s="805">
        <v>1939.3578939717227</v>
      </c>
      <c r="H74" s="805">
        <v>619.51864522028654</v>
      </c>
      <c r="I74" s="806">
        <v>199.42639874322964</v>
      </c>
      <c r="J74" s="805">
        <v>-4.7467105911041392</v>
      </c>
      <c r="K74" s="806">
        <v>463.29013575933783</v>
      </c>
      <c r="L74" s="805">
        <v>510.67828460221818</v>
      </c>
      <c r="M74" s="807">
        <v>0.65986237795491198</v>
      </c>
      <c r="N74" s="807">
        <v>0.24973226828404838</v>
      </c>
      <c r="O74" s="807">
        <v>8.0236638960123369E-2</v>
      </c>
      <c r="P74" s="807">
        <v>0.20576817657145663</v>
      </c>
      <c r="Q74" s="805"/>
      <c r="R74" s="742">
        <v>52.900353810000006</v>
      </c>
      <c r="S74" s="742">
        <v>53.001575029999998</v>
      </c>
      <c r="T74" s="747">
        <v>52.923436760000001</v>
      </c>
      <c r="U74" s="747">
        <v>34.922184829999999</v>
      </c>
      <c r="V74" s="747">
        <v>6.4336525800000004</v>
      </c>
      <c r="W74" s="742">
        <v>41.355837409999999</v>
      </c>
      <c r="X74" s="742">
        <v>13.210925350000002</v>
      </c>
      <c r="Y74" s="747">
        <v>9.8794304999999998</v>
      </c>
      <c r="Z74" s="742">
        <v>10.889959080000001</v>
      </c>
      <c r="AA74" s="742" t="s">
        <v>59</v>
      </c>
      <c r="AB74" s="747">
        <v>10.584687352</v>
      </c>
      <c r="AC74" s="747">
        <v>0.30527172800000102</v>
      </c>
      <c r="AD74" s="747" t="s">
        <v>489</v>
      </c>
    </row>
    <row r="75" spans="1:30" ht="14" thickBot="1">
      <c r="A75" s="78">
        <v>1401</v>
      </c>
      <c r="B75" s="79" t="s">
        <v>793</v>
      </c>
      <c r="C75" s="804">
        <v>9293</v>
      </c>
      <c r="D75" s="805">
        <v>2313.1782578284729</v>
      </c>
      <c r="E75" s="805">
        <v>1903.0778220165716</v>
      </c>
      <c r="F75" s="805">
        <v>370.85762401807807</v>
      </c>
      <c r="G75" s="805">
        <v>2273.9354460346499</v>
      </c>
      <c r="H75" s="805">
        <v>176.29473797481978</v>
      </c>
      <c r="I75" s="806">
        <v>120.91226945012374</v>
      </c>
      <c r="J75" s="805">
        <v>1.2896825567631822</v>
      </c>
      <c r="K75" s="806">
        <v>710.21198751748625</v>
      </c>
      <c r="L75" s="805">
        <v>503.9756246637254</v>
      </c>
      <c r="M75" s="807">
        <v>0.82271126990580978</v>
      </c>
      <c r="N75" s="807">
        <v>7.6235673900417356E-2</v>
      </c>
      <c r="O75" s="807">
        <v>5.2315639788990786E-2</v>
      </c>
      <c r="P75" s="807">
        <v>0.21787150339932698</v>
      </c>
      <c r="Q75" s="805"/>
      <c r="R75" s="742">
        <v>21.49003106</v>
      </c>
      <c r="S75" s="742">
        <v>21.478046039999999</v>
      </c>
      <c r="T75" s="747">
        <v>21.49636555</v>
      </c>
      <c r="U75" s="747">
        <v>17.685302199999999</v>
      </c>
      <c r="V75" s="747">
        <v>3.4463798999999997</v>
      </c>
      <c r="W75" s="742">
        <v>21.131682099999999</v>
      </c>
      <c r="X75" s="742">
        <v>1.6383070000000002</v>
      </c>
      <c r="Y75" s="747">
        <v>6.6</v>
      </c>
      <c r="Z75" s="742">
        <v>4.6834454800000005</v>
      </c>
      <c r="AA75" s="742">
        <v>12.147315850000002</v>
      </c>
      <c r="AB75" s="747">
        <v>4.2992731100000006</v>
      </c>
      <c r="AC75" s="747">
        <v>0.38417236999999993</v>
      </c>
      <c r="AD75" s="747" t="s">
        <v>489</v>
      </c>
    </row>
    <row r="76" spans="1:30" ht="14" thickBot="1">
      <c r="A76" s="78">
        <v>1423</v>
      </c>
      <c r="B76" s="79" t="s">
        <v>794</v>
      </c>
      <c r="C76" s="804">
        <v>4776</v>
      </c>
      <c r="D76" s="805">
        <v>2238.3375942211055</v>
      </c>
      <c r="E76" s="805">
        <v>1811.6815221943045</v>
      </c>
      <c r="F76" s="805">
        <v>359.00046063651592</v>
      </c>
      <c r="G76" s="805">
        <v>2170.6819828308203</v>
      </c>
      <c r="H76" s="805">
        <v>352.81599664991626</v>
      </c>
      <c r="I76" s="806">
        <v>83.874886934673356</v>
      </c>
      <c r="J76" s="805">
        <v>-1.795621859296461</v>
      </c>
      <c r="K76" s="806">
        <v>418.76046901172532</v>
      </c>
      <c r="L76" s="805">
        <v>531.03859924623112</v>
      </c>
      <c r="M76" s="807">
        <v>0.80938707676253441</v>
      </c>
      <c r="N76" s="807">
        <v>0.15840244795158703</v>
      </c>
      <c r="O76" s="807">
        <v>3.7626653426546336E-2</v>
      </c>
      <c r="P76" s="807">
        <v>0.23724687492059102</v>
      </c>
      <c r="Q76" s="805"/>
      <c r="R76" s="742">
        <v>10.637772469999998</v>
      </c>
      <c r="S76" s="742">
        <v>10.646348359999999</v>
      </c>
      <c r="T76" s="747">
        <v>10.690300349999999</v>
      </c>
      <c r="U76" s="747">
        <v>8.6525909499999987</v>
      </c>
      <c r="V76" s="747">
        <v>1.7145862000000001</v>
      </c>
      <c r="W76" s="742">
        <v>10.367177149999998</v>
      </c>
      <c r="X76" s="742">
        <v>1.6850492000000001</v>
      </c>
      <c r="Y76" s="747">
        <v>2</v>
      </c>
      <c r="Z76" s="742">
        <v>2.5362403499999999</v>
      </c>
      <c r="AA76" s="742">
        <v>3.1179210499999996</v>
      </c>
      <c r="AB76" s="747">
        <v>2.1380600699999999</v>
      </c>
      <c r="AC76" s="747">
        <v>0.39818028000000005</v>
      </c>
      <c r="AD76" s="747" t="s">
        <v>489</v>
      </c>
    </row>
    <row r="77" spans="1:30" ht="14" thickBot="1">
      <c r="A77" s="78">
        <v>1442</v>
      </c>
      <c r="B77" s="79" t="s">
        <v>795</v>
      </c>
      <c r="C77" s="804">
        <v>1271.92</v>
      </c>
      <c r="D77" s="805">
        <v>2263.6017202339767</v>
      </c>
      <c r="E77" s="805">
        <v>1344.9257028743946</v>
      </c>
      <c r="F77" s="805">
        <v>313.54133907792936</v>
      </c>
      <c r="G77" s="805">
        <v>1658.4670419523241</v>
      </c>
      <c r="H77" s="805">
        <v>813.07708031951677</v>
      </c>
      <c r="I77" s="806">
        <v>190.2783036668973</v>
      </c>
      <c r="J77" s="805">
        <v>-57.838441096924349</v>
      </c>
      <c r="K77" s="806">
        <v>338.07157682873134</v>
      </c>
      <c r="L77" s="805">
        <v>564.82575948172837</v>
      </c>
      <c r="M77" s="807">
        <v>0.59415297790787003</v>
      </c>
      <c r="N77" s="807">
        <v>0.37327271104618809</v>
      </c>
      <c r="O77" s="807">
        <v>8.5094694026547749E-2</v>
      </c>
      <c r="P77" s="807">
        <v>0.24952523866404616</v>
      </c>
      <c r="Q77" s="805"/>
      <c r="R77" s="742">
        <v>2.7705454200000004</v>
      </c>
      <c r="S77" s="742">
        <v>2.8441112899999998</v>
      </c>
      <c r="T77" s="747">
        <v>2.8791202999999999</v>
      </c>
      <c r="U77" s="747">
        <v>1.7106379</v>
      </c>
      <c r="V77" s="747">
        <v>0.39879949999999997</v>
      </c>
      <c r="W77" s="742">
        <v>2.1094374</v>
      </c>
      <c r="X77" s="742">
        <v>1.0341689999999999</v>
      </c>
      <c r="Y77" s="747">
        <v>0.43</v>
      </c>
      <c r="Z77" s="742">
        <v>0.7184131800000001</v>
      </c>
      <c r="AA77" s="742">
        <v>2.36904E-2</v>
      </c>
      <c r="AB77" s="747">
        <v>0.57582405999999997</v>
      </c>
      <c r="AC77" s="747">
        <v>0.14258912000000012</v>
      </c>
      <c r="AD77" s="747" t="s">
        <v>489</v>
      </c>
    </row>
    <row r="78" spans="1:30" ht="14" thickBot="1">
      <c r="A78" s="78">
        <v>1454</v>
      </c>
      <c r="B78" s="79" t="s">
        <v>796</v>
      </c>
      <c r="C78" s="804">
        <v>7008</v>
      </c>
      <c r="D78" s="805">
        <v>2084.3656920662097</v>
      </c>
      <c r="E78" s="805">
        <v>1567.3972460045659</v>
      </c>
      <c r="F78" s="805">
        <v>275.84724600456616</v>
      </c>
      <c r="G78" s="805">
        <v>1843.2444920091325</v>
      </c>
      <c r="H78" s="805">
        <v>481.99286529680364</v>
      </c>
      <c r="I78" s="806">
        <v>48.639086757990874</v>
      </c>
      <c r="J78" s="805">
        <v>-74.557989440639275</v>
      </c>
      <c r="K78" s="806">
        <v>516.55251141552515</v>
      </c>
      <c r="L78" s="805">
        <v>585.29588042237447</v>
      </c>
      <c r="M78" s="807">
        <v>0.75197804875152285</v>
      </c>
      <c r="N78" s="807">
        <v>0.23801950540662026</v>
      </c>
      <c r="O78" s="807">
        <v>2.3166189888906428E-2</v>
      </c>
      <c r="P78" s="807">
        <v>0.28080287573826679</v>
      </c>
      <c r="Q78" s="805"/>
      <c r="R78" s="742">
        <v>14.191299129999999</v>
      </c>
      <c r="S78" s="742">
        <v>14.713801519999999</v>
      </c>
      <c r="T78" s="747">
        <v>14.60723477</v>
      </c>
      <c r="U78" s="747">
        <v>10.984319899999999</v>
      </c>
      <c r="V78" s="747">
        <v>1.9331375</v>
      </c>
      <c r="W78" s="742">
        <v>12.9174574</v>
      </c>
      <c r="X78" s="742">
        <v>3.3778060000000001</v>
      </c>
      <c r="Y78" s="747">
        <v>3.62</v>
      </c>
      <c r="Z78" s="742">
        <v>4.1017535299999999</v>
      </c>
      <c r="AA78" s="742">
        <v>2.3209352000000001</v>
      </c>
      <c r="AB78" s="747">
        <v>2.9214469539999999</v>
      </c>
      <c r="AC78" s="747">
        <v>1.180306576</v>
      </c>
      <c r="AD78" s="747" t="s">
        <v>489</v>
      </c>
    </row>
    <row r="79" spans="1:30" ht="14" thickBot="1">
      <c r="A79" s="78">
        <v>1479</v>
      </c>
      <c r="B79" s="79" t="s">
        <v>797</v>
      </c>
      <c r="C79" s="804">
        <v>287942.5</v>
      </c>
      <c r="D79" s="805">
        <v>2989.5533952091128</v>
      </c>
      <c r="E79" s="805">
        <v>2546.0909470814486</v>
      </c>
      <c r="F79" s="805">
        <v>466.64247250753186</v>
      </c>
      <c r="G79" s="805">
        <v>3012.7334195889798</v>
      </c>
      <c r="H79" s="805">
        <v>218.4601732984884</v>
      </c>
      <c r="I79" s="806">
        <v>169.85894597011554</v>
      </c>
      <c r="J79" s="805">
        <v>74.504219384078411</v>
      </c>
      <c r="K79" s="806">
        <v>634.68261892565363</v>
      </c>
      <c r="L79" s="805">
        <v>610.71054220894803</v>
      </c>
      <c r="M79" s="807">
        <v>0.85166264337732456</v>
      </c>
      <c r="N79" s="807">
        <v>7.2751441375638243E-2</v>
      </c>
      <c r="O79" s="807">
        <v>5.8005491369815552E-2</v>
      </c>
      <c r="P79" s="807">
        <v>0.20428153020703288</v>
      </c>
      <c r="Q79" s="805"/>
      <c r="R79" s="742">
        <v>864.64222921999999</v>
      </c>
      <c r="S79" s="742">
        <v>843.18929802999992</v>
      </c>
      <c r="T79" s="747">
        <v>860.81947849999995</v>
      </c>
      <c r="U79" s="747">
        <v>733.12779252999997</v>
      </c>
      <c r="V79" s="747">
        <v>134.36620013999999</v>
      </c>
      <c r="W79" s="742">
        <v>867.4939926699999</v>
      </c>
      <c r="X79" s="742">
        <v>62.903968449999994</v>
      </c>
      <c r="Y79" s="747">
        <v>182.75210000000001</v>
      </c>
      <c r="Z79" s="742">
        <v>175.84952030000002</v>
      </c>
      <c r="AA79" s="742">
        <v>119.89873559999999</v>
      </c>
      <c r="AB79" s="747">
        <v>111.906532205</v>
      </c>
      <c r="AC79" s="747">
        <v>63.942988095000018</v>
      </c>
      <c r="AD79" s="747" t="s">
        <v>489</v>
      </c>
    </row>
    <row r="80" spans="1:30" ht="14" thickBot="1">
      <c r="A80" s="78">
        <v>1507</v>
      </c>
      <c r="B80" s="79" t="s">
        <v>798</v>
      </c>
      <c r="C80" s="804">
        <v>7294.33</v>
      </c>
      <c r="D80" s="805">
        <v>2088.3109483667454</v>
      </c>
      <c r="E80" s="805">
        <v>1699.3846384794765</v>
      </c>
      <c r="F80" s="805">
        <v>330.87730470104867</v>
      </c>
      <c r="G80" s="805">
        <v>2030.2619431805251</v>
      </c>
      <c r="H80" s="805">
        <v>194.89439057459697</v>
      </c>
      <c r="I80" s="806">
        <v>141.39315605408586</v>
      </c>
      <c r="J80" s="805">
        <v>72.828019845551282</v>
      </c>
      <c r="K80" s="806">
        <v>589.49896700587988</v>
      </c>
      <c r="L80" s="805">
        <v>826.97835579141622</v>
      </c>
      <c r="M80" s="807">
        <v>0.81376034532048702</v>
      </c>
      <c r="N80" s="807">
        <v>9.1136398883692835E-2</v>
      </c>
      <c r="O80" s="807">
        <v>6.8449278051287116E-2</v>
      </c>
      <c r="P80" s="807">
        <v>0.39600345745358984</v>
      </c>
      <c r="Q80" s="805"/>
      <c r="R80" s="742">
        <v>15.598860800000001</v>
      </c>
      <c r="S80" s="742">
        <v>15.06762919</v>
      </c>
      <c r="T80" s="747">
        <v>15.232829199999999</v>
      </c>
      <c r="U80" s="747">
        <v>12.395872349999999</v>
      </c>
      <c r="V80" s="747">
        <v>2.4135282500000002</v>
      </c>
      <c r="W80" s="742">
        <v>14.8094006</v>
      </c>
      <c r="X80" s="742">
        <v>1.421624</v>
      </c>
      <c r="Y80" s="747">
        <v>4.3</v>
      </c>
      <c r="Z80" s="742">
        <v>6.0322530300000006</v>
      </c>
      <c r="AA80" s="742" t="s">
        <v>59</v>
      </c>
      <c r="AB80" s="747">
        <v>3.04656584</v>
      </c>
      <c r="AC80" s="747">
        <v>2.9856871900000006</v>
      </c>
      <c r="AD80" s="747" t="s">
        <v>489</v>
      </c>
    </row>
    <row r="81" spans="1:30" ht="14" thickBot="1">
      <c r="A81" s="78">
        <v>1509</v>
      </c>
      <c r="B81" s="79" t="s">
        <v>799</v>
      </c>
      <c r="C81" s="804">
        <v>357528.71</v>
      </c>
      <c r="D81" s="805">
        <v>2510.0418709031783</v>
      </c>
      <c r="E81" s="805">
        <v>1932.5142150682107</v>
      </c>
      <c r="F81" s="805">
        <v>402.57607899516648</v>
      </c>
      <c r="G81" s="805">
        <v>2335.0902940633773</v>
      </c>
      <c r="H81" s="805">
        <v>445.43100675747132</v>
      </c>
      <c r="I81" s="806">
        <v>148.13007632310141</v>
      </c>
      <c r="J81" s="805">
        <v>-42.940294557044112</v>
      </c>
      <c r="K81" s="806">
        <v>566.07202257966924</v>
      </c>
      <c r="L81" s="805">
        <v>344.96588531309828</v>
      </c>
      <c r="M81" s="807">
        <v>0.76991313868913347</v>
      </c>
      <c r="N81" s="807">
        <v>0.17625531603419212</v>
      </c>
      <c r="O81" s="807">
        <v>5.763519741145795E-2</v>
      </c>
      <c r="P81" s="807">
        <v>0.13743431506541787</v>
      </c>
      <c r="Q81" s="805"/>
      <c r="R81" s="742">
        <v>903.54365941000003</v>
      </c>
      <c r="S81" s="742">
        <v>918.89604752999992</v>
      </c>
      <c r="T81" s="747">
        <v>897.41203214999996</v>
      </c>
      <c r="U81" s="747">
        <v>690.92931436999993</v>
      </c>
      <c r="V81" s="747">
        <v>143.93250619999998</v>
      </c>
      <c r="W81" s="742">
        <v>834.86182056999996</v>
      </c>
      <c r="X81" s="742">
        <v>159.25437324000001</v>
      </c>
      <c r="Y81" s="747">
        <v>202.387</v>
      </c>
      <c r="Z81" s="742">
        <v>123.33520797</v>
      </c>
      <c r="AA81" s="742" t="s">
        <v>59</v>
      </c>
      <c r="AB81" s="747">
        <v>116.6635641795</v>
      </c>
      <c r="AC81" s="747">
        <v>6.6716437904999992</v>
      </c>
      <c r="AD81" s="747" t="s">
        <v>489</v>
      </c>
    </row>
    <row r="82" spans="1:30" ht="14" thickBot="1">
      <c r="A82" s="78">
        <v>1520</v>
      </c>
      <c r="B82" s="79" t="s">
        <v>800</v>
      </c>
      <c r="C82" s="804">
        <v>8224</v>
      </c>
      <c r="D82" s="805">
        <v>3543.110396400778</v>
      </c>
      <c r="E82" s="805">
        <v>3268.3235347762648</v>
      </c>
      <c r="F82" s="805">
        <v>387.79281979571982</v>
      </c>
      <c r="G82" s="805">
        <v>3656.1163545719842</v>
      </c>
      <c r="H82" s="805">
        <v>243.19066147859922</v>
      </c>
      <c r="I82" s="806">
        <v>219.3658256322957</v>
      </c>
      <c r="J82" s="805">
        <v>43.646005593385198</v>
      </c>
      <c r="K82" s="806">
        <v>960.60311284046702</v>
      </c>
      <c r="L82" s="805">
        <v>579.64179596303495</v>
      </c>
      <c r="M82" s="807">
        <v>0.92244473615508793</v>
      </c>
      <c r="N82" s="807">
        <v>6.900496773835757E-2</v>
      </c>
      <c r="O82" s="807">
        <v>6.3025243243057055E-2</v>
      </c>
      <c r="P82" s="807">
        <v>0.16359687706932768</v>
      </c>
      <c r="Q82" s="805"/>
      <c r="R82" s="742">
        <v>28.983420550000002</v>
      </c>
      <c r="S82" s="742">
        <v>28.624475799999995</v>
      </c>
      <c r="T82" s="747">
        <v>29.138539899999998</v>
      </c>
      <c r="U82" s="747">
        <v>26.878692749999999</v>
      </c>
      <c r="V82" s="747">
        <v>3.1892081499999998</v>
      </c>
      <c r="W82" s="742">
        <v>30.067900899999998</v>
      </c>
      <c r="X82" s="742">
        <v>2</v>
      </c>
      <c r="Y82" s="747">
        <v>7.9</v>
      </c>
      <c r="Z82" s="742">
        <v>4.7669741299999995</v>
      </c>
      <c r="AA82" s="742">
        <v>7.2399199999999997E-2</v>
      </c>
      <c r="AB82" s="747">
        <v>5.8277079800000005</v>
      </c>
      <c r="AC82" s="747" t="s">
        <v>489</v>
      </c>
      <c r="AD82" s="747">
        <v>-1.060733850000001</v>
      </c>
    </row>
    <row r="83" spans="1:30" ht="14" thickBot="1">
      <c r="A83" s="78">
        <v>1529</v>
      </c>
      <c r="B83" s="79" t="s">
        <v>801</v>
      </c>
      <c r="C83" s="804">
        <v>329043</v>
      </c>
      <c r="D83" s="805">
        <v>2897.6926912288063</v>
      </c>
      <c r="E83" s="805">
        <v>2542.2319210559108</v>
      </c>
      <c r="F83" s="805">
        <v>449.42426065894125</v>
      </c>
      <c r="G83" s="805">
        <v>2991.6561817148518</v>
      </c>
      <c r="H83" s="805">
        <v>229.17737301811616</v>
      </c>
      <c r="I83" s="806">
        <v>121.73030360773515</v>
      </c>
      <c r="J83" s="805">
        <v>7.0164737435532523</v>
      </c>
      <c r="K83" s="806">
        <v>561.07139468093828</v>
      </c>
      <c r="L83" s="805">
        <v>335.23199597013161</v>
      </c>
      <c r="M83" s="807">
        <v>0.87732972124723219</v>
      </c>
      <c r="N83" s="807">
        <v>7.9240008217914812E-2</v>
      </c>
      <c r="O83" s="807">
        <v>4.2191635525910695E-2</v>
      </c>
      <c r="P83" s="807">
        <v>0.11568928512842812</v>
      </c>
      <c r="Q83" s="805"/>
      <c r="R83" s="742">
        <v>951.65576135000015</v>
      </c>
      <c r="S83" s="742">
        <v>949.34703977999993</v>
      </c>
      <c r="T83" s="747">
        <v>953.46549620000008</v>
      </c>
      <c r="U83" s="747">
        <v>836.50361799999996</v>
      </c>
      <c r="V83" s="747">
        <v>147.879907</v>
      </c>
      <c r="W83" s="742">
        <v>984.38352499999996</v>
      </c>
      <c r="X83" s="742">
        <v>75.409210349999995</v>
      </c>
      <c r="Y83" s="747">
        <v>184.61661491999999</v>
      </c>
      <c r="Z83" s="742">
        <v>110.30574165</v>
      </c>
      <c r="AA83" s="742" t="s">
        <v>59</v>
      </c>
      <c r="AB83" s="747">
        <v>123.95051450600002</v>
      </c>
      <c r="AC83" s="747" t="s">
        <v>489</v>
      </c>
      <c r="AD83" s="747">
        <v>-13.644772856000017</v>
      </c>
    </row>
    <row r="84" spans="1:30" ht="14" thickBot="1">
      <c r="A84" s="78">
        <v>1535</v>
      </c>
      <c r="B84" s="79" t="s">
        <v>802</v>
      </c>
      <c r="C84" s="804">
        <v>100607.25</v>
      </c>
      <c r="D84" s="805">
        <v>3237.2273509115889</v>
      </c>
      <c r="E84" s="805">
        <v>3147.8496060671573</v>
      </c>
      <c r="F84" s="805">
        <v>508.86118863203188</v>
      </c>
      <c r="G84" s="805">
        <v>3656.7107946991891</v>
      </c>
      <c r="H84" s="805">
        <v>-179.10017220428941</v>
      </c>
      <c r="I84" s="806">
        <v>163.11919498843272</v>
      </c>
      <c r="J84" s="805">
        <v>209.01046843045606</v>
      </c>
      <c r="K84" s="806">
        <v>784.33711288202392</v>
      </c>
      <c r="L84" s="805">
        <v>864.19239110501485</v>
      </c>
      <c r="M84" s="807">
        <v>0.97239064941816233</v>
      </c>
      <c r="N84" s="807">
        <v>-5.420147069067182E-2</v>
      </c>
      <c r="O84" s="807">
        <v>5.2698464291716929E-2</v>
      </c>
      <c r="P84" s="807">
        <v>0.26695449451879311</v>
      </c>
      <c r="Q84" s="805"/>
      <c r="R84" s="742">
        <v>332.44071738999997</v>
      </c>
      <c r="S84" s="742">
        <v>311.41274893999997</v>
      </c>
      <c r="T84" s="747">
        <v>325.68854139999996</v>
      </c>
      <c r="U84" s="747">
        <v>316.69649228000003</v>
      </c>
      <c r="V84" s="747">
        <v>51.19512481999999</v>
      </c>
      <c r="W84" s="742">
        <v>367.89161710000002</v>
      </c>
      <c r="X84" s="742">
        <v>-18.018775799999997</v>
      </c>
      <c r="Y84" s="747">
        <v>78.91</v>
      </c>
      <c r="Z84" s="742">
        <v>86.944019940000004</v>
      </c>
      <c r="AA84" s="742">
        <v>29.128869350000002</v>
      </c>
      <c r="AB84" s="747">
        <v>58.623937451999993</v>
      </c>
      <c r="AC84" s="747">
        <v>28.320082488000011</v>
      </c>
      <c r="AD84" s="747" t="s">
        <v>489</v>
      </c>
    </row>
    <row r="85" spans="1:30" ht="14" thickBot="1">
      <c r="A85" s="78">
        <v>1542</v>
      </c>
      <c r="B85" s="79" t="s">
        <v>803</v>
      </c>
      <c r="C85" s="804">
        <v>369912.42</v>
      </c>
      <c r="D85" s="805">
        <v>2480.0815257838599</v>
      </c>
      <c r="E85" s="805">
        <v>1448.8944911609078</v>
      </c>
      <c r="F85" s="805">
        <v>326.17669595954629</v>
      </c>
      <c r="G85" s="805">
        <v>1775.0711871204542</v>
      </c>
      <c r="H85" s="805">
        <v>638.94534673910107</v>
      </c>
      <c r="I85" s="806">
        <v>149.51135093003907</v>
      </c>
      <c r="J85" s="805">
        <v>151.46899463391907</v>
      </c>
      <c r="K85" s="806">
        <v>715.70008825332229</v>
      </c>
      <c r="L85" s="805">
        <v>904.14031645652778</v>
      </c>
      <c r="M85" s="807">
        <v>0.58421244467073197</v>
      </c>
      <c r="N85" s="807">
        <v>0.26185273855733626</v>
      </c>
      <c r="O85" s="807">
        <v>6.5328019216825822E-2</v>
      </c>
      <c r="P85" s="807">
        <v>0.36456072393457439</v>
      </c>
      <c r="Q85" s="805"/>
      <c r="R85" s="742">
        <v>902.62114790999999</v>
      </c>
      <c r="S85" s="742">
        <v>846.59088555000005</v>
      </c>
      <c r="T85" s="747">
        <v>917.412959</v>
      </c>
      <c r="U85" s="747">
        <v>535.96406754999998</v>
      </c>
      <c r="V85" s="747">
        <v>120.65681094999999</v>
      </c>
      <c r="W85" s="742">
        <v>656.6208785</v>
      </c>
      <c r="X85" s="742">
        <v>236.35381945999998</v>
      </c>
      <c r="Y85" s="747">
        <v>264.74635164</v>
      </c>
      <c r="Z85" s="742">
        <v>334.45273248000001</v>
      </c>
      <c r="AA85" s="742">
        <v>0.28428460000000005</v>
      </c>
      <c r="AB85" s="747">
        <v>119.26368467</v>
      </c>
      <c r="AC85" s="747">
        <v>215.18904781000001</v>
      </c>
      <c r="AD85" s="747" t="s">
        <v>489</v>
      </c>
    </row>
    <row r="86" spans="1:30" ht="14" thickBot="1">
      <c r="A86" s="78">
        <v>1551</v>
      </c>
      <c r="B86" s="79" t="s">
        <v>804</v>
      </c>
      <c r="C86" s="804">
        <v>67586.42</v>
      </c>
      <c r="D86" s="805">
        <v>2655.8849040975983</v>
      </c>
      <c r="E86" s="805">
        <v>2203.3545611677614</v>
      </c>
      <c r="F86" s="805">
        <v>430.19415512761293</v>
      </c>
      <c r="G86" s="805">
        <v>2633.5487162953746</v>
      </c>
      <c r="H86" s="805">
        <v>243.46326007502691</v>
      </c>
      <c r="I86" s="806">
        <v>123.64032819018969</v>
      </c>
      <c r="J86" s="805">
        <v>88.185210579285012</v>
      </c>
      <c r="K86" s="806">
        <v>607.77742037527662</v>
      </c>
      <c r="L86" s="805">
        <v>825.59716241813078</v>
      </c>
      <c r="M86" s="807">
        <v>0.82961221616506942</v>
      </c>
      <c r="N86" s="807">
        <v>9.1345949539088908E-2</v>
      </c>
      <c r="O86" s="807">
        <v>4.7976483637158444E-2</v>
      </c>
      <c r="P86" s="807">
        <v>0.31085577584494289</v>
      </c>
      <c r="Q86" s="805"/>
      <c r="R86" s="742">
        <v>180.13727191000001</v>
      </c>
      <c r="S86" s="742">
        <v>174.17714923000003</v>
      </c>
      <c r="T86" s="747">
        <v>179.5017526</v>
      </c>
      <c r="U86" s="747">
        <v>148.91684678000001</v>
      </c>
      <c r="V86" s="747">
        <v>29.075282850000001</v>
      </c>
      <c r="W86" s="742">
        <v>177.99212963000002</v>
      </c>
      <c r="X86" s="742">
        <v>16.45481015</v>
      </c>
      <c r="Y86" s="747">
        <v>41.077500000000001</v>
      </c>
      <c r="Z86" s="742">
        <v>55.799156570000001</v>
      </c>
      <c r="AA86" s="742">
        <v>31.467798999999999</v>
      </c>
      <c r="AB86" s="747">
        <v>32.310315467999999</v>
      </c>
      <c r="AC86" s="747">
        <v>23.488841102000002</v>
      </c>
      <c r="AD86" s="747" t="s">
        <v>489</v>
      </c>
    </row>
    <row r="87" spans="1:30" ht="14" thickBot="1">
      <c r="A87" s="78">
        <v>1552</v>
      </c>
      <c r="B87" s="79" t="s">
        <v>805</v>
      </c>
      <c r="C87" s="804">
        <v>33852.92</v>
      </c>
      <c r="D87" s="805">
        <v>1894.9450434408614</v>
      </c>
      <c r="E87" s="805">
        <v>1441.5189369188834</v>
      </c>
      <c r="F87" s="805">
        <v>284.14178451962192</v>
      </c>
      <c r="G87" s="805">
        <v>1725.6607214385053</v>
      </c>
      <c r="H87" s="805">
        <v>494.58797055025093</v>
      </c>
      <c r="I87" s="806">
        <v>104.0746851379438</v>
      </c>
      <c r="J87" s="805">
        <v>198.91082866706921</v>
      </c>
      <c r="K87" s="806">
        <v>404.39643020454366</v>
      </c>
      <c r="L87" s="805">
        <v>341.03089541463481</v>
      </c>
      <c r="M87" s="807">
        <v>0.76071807037810335</v>
      </c>
      <c r="N87" s="807">
        <v>0.19914597199961068</v>
      </c>
      <c r="O87" s="807">
        <v>4.5554202637127859E-2</v>
      </c>
      <c r="P87" s="807">
        <v>0.17996875244222774</v>
      </c>
      <c r="Q87" s="805"/>
      <c r="R87" s="742">
        <v>84.075248079999994</v>
      </c>
      <c r="S87" s="742">
        <v>77.341535710000002</v>
      </c>
      <c r="T87" s="747">
        <v>64.149422959999995</v>
      </c>
      <c r="U87" s="747">
        <v>48.799625249999998</v>
      </c>
      <c r="V87" s="747">
        <v>9.6190290999999988</v>
      </c>
      <c r="W87" s="742">
        <v>58.418654349999997</v>
      </c>
      <c r="X87" s="742">
        <v>16.743247</v>
      </c>
      <c r="Y87" s="747">
        <v>13.69</v>
      </c>
      <c r="Z87" s="742">
        <v>11.54489162</v>
      </c>
      <c r="AA87" s="742">
        <v>1.1523825000000001</v>
      </c>
      <c r="AB87" s="747">
        <v>12.829884592000001</v>
      </c>
      <c r="AC87" s="747" t="s">
        <v>489</v>
      </c>
      <c r="AD87" s="747">
        <v>-1.2849929720000013</v>
      </c>
    </row>
    <row r="88" spans="1:30" ht="14" thickBot="1">
      <c r="A88" s="78">
        <v>1555</v>
      </c>
      <c r="B88" s="79" t="s">
        <v>806</v>
      </c>
      <c r="C88" s="804">
        <v>434602.75</v>
      </c>
      <c r="D88" s="805">
        <v>3095.6809116371219</v>
      </c>
      <c r="E88" s="805">
        <v>3764.8471754723137</v>
      </c>
      <c r="F88" s="805">
        <v>534.53560045351753</v>
      </c>
      <c r="G88" s="805">
        <v>4299.3827759258311</v>
      </c>
      <c r="H88" s="805">
        <v>-775.74641773435633</v>
      </c>
      <c r="I88" s="806">
        <v>167.45675203389763</v>
      </c>
      <c r="J88" s="805">
        <v>-1.3184292322125641</v>
      </c>
      <c r="K88" s="806">
        <v>1301.1037542445372</v>
      </c>
      <c r="L88" s="805">
        <v>573.93508754834158</v>
      </c>
      <c r="M88" s="807">
        <v>1.2161612527052439</v>
      </c>
      <c r="N88" s="807">
        <v>-0.2392389531267862</v>
      </c>
      <c r="O88" s="807">
        <v>5.1622404455893535E-2</v>
      </c>
      <c r="P88" s="807">
        <v>0.18539865830190536</v>
      </c>
      <c r="Q88" s="805"/>
      <c r="R88" s="742">
        <v>1409.2250532100002</v>
      </c>
      <c r="S88" s="742">
        <v>1409.7980461600002</v>
      </c>
      <c r="T88" s="747">
        <v>1345.39143732</v>
      </c>
      <c r="U88" s="747">
        <v>1636.2129357900001</v>
      </c>
      <c r="V88" s="747">
        <v>232.31064193</v>
      </c>
      <c r="W88" s="742">
        <v>1868.52357772</v>
      </c>
      <c r="X88" s="742">
        <v>-337.14152645000001</v>
      </c>
      <c r="Y88" s="747">
        <v>565.46326963000001</v>
      </c>
      <c r="Z88" s="742">
        <v>249.43376737</v>
      </c>
      <c r="AA88" s="742" t="s">
        <v>59</v>
      </c>
      <c r="AB88" s="747">
        <v>174.90088685159998</v>
      </c>
      <c r="AC88" s="747">
        <v>74.53288051840002</v>
      </c>
      <c r="AD88" s="747" t="s">
        <v>489</v>
      </c>
    </row>
    <row r="89" spans="1:30" ht="14" thickBot="1">
      <c r="A89" s="78">
        <v>1560</v>
      </c>
      <c r="B89" s="79" t="s">
        <v>807</v>
      </c>
      <c r="C89" s="804">
        <v>91977</v>
      </c>
      <c r="D89" s="805">
        <v>1854.9652594670406</v>
      </c>
      <c r="E89" s="805">
        <v>1274.7714426432694</v>
      </c>
      <c r="F89" s="805">
        <v>296.72987279428554</v>
      </c>
      <c r="G89" s="805">
        <v>1571.5013154375551</v>
      </c>
      <c r="H89" s="805">
        <v>335.42507365971932</v>
      </c>
      <c r="I89" s="806">
        <v>122.34601878730551</v>
      </c>
      <c r="J89" s="805">
        <v>74.215981821542371</v>
      </c>
      <c r="K89" s="806">
        <v>374.59735586070428</v>
      </c>
      <c r="L89" s="805">
        <v>951.69808517346723</v>
      </c>
      <c r="M89" s="807">
        <v>0.68722119518806002</v>
      </c>
      <c r="N89" s="807">
        <v>0.18135617696394996</v>
      </c>
      <c r="O89" s="807">
        <v>6.8914846466663585E-2</v>
      </c>
      <c r="P89" s="807">
        <v>0.51305439835940891</v>
      </c>
      <c r="Q89" s="805"/>
      <c r="R89" s="742">
        <v>170.11492256</v>
      </c>
      <c r="S89" s="742">
        <v>163.28875919999999</v>
      </c>
      <c r="T89" s="747">
        <v>170.61413966999999</v>
      </c>
      <c r="U89" s="747">
        <v>117.24965297999999</v>
      </c>
      <c r="V89" s="747">
        <v>27.292323510000003</v>
      </c>
      <c r="W89" s="742">
        <v>144.54197649</v>
      </c>
      <c r="X89" s="742">
        <v>30.851392000000001</v>
      </c>
      <c r="Y89" s="747">
        <v>34.454340999999999</v>
      </c>
      <c r="Z89" s="742">
        <v>87.534334779999995</v>
      </c>
      <c r="AA89" s="742">
        <v>11.016539400000001</v>
      </c>
      <c r="AB89" s="747">
        <v>30.710545140599997</v>
      </c>
      <c r="AC89" s="747">
        <v>56.823789639399997</v>
      </c>
      <c r="AD89" s="747" t="s">
        <v>489</v>
      </c>
    </row>
    <row r="90" spans="1:30" ht="14" thickBot="1">
      <c r="A90" s="78">
        <v>1562</v>
      </c>
      <c r="B90" s="79" t="s">
        <v>808</v>
      </c>
      <c r="C90" s="804">
        <v>782797.33</v>
      </c>
      <c r="D90" s="805">
        <v>3069.3686967225603</v>
      </c>
      <c r="E90" s="805">
        <v>3460.8697252327111</v>
      </c>
      <c r="F90" s="805">
        <v>502.91438840242341</v>
      </c>
      <c r="G90" s="805">
        <v>3963.7841136351349</v>
      </c>
      <c r="H90" s="805">
        <v>-663.03712888238897</v>
      </c>
      <c r="I90" s="806">
        <v>133.61397106451554</v>
      </c>
      <c r="J90" s="805">
        <v>24.650264034497926</v>
      </c>
      <c r="K90" s="806">
        <v>972.46243801061507</v>
      </c>
      <c r="L90" s="805">
        <v>436.23903143614461</v>
      </c>
      <c r="M90" s="807">
        <v>1.1275509940947113</v>
      </c>
      <c r="N90" s="807">
        <v>-0.21694483711659412</v>
      </c>
      <c r="O90" s="807">
        <v>4.4073786213278815E-2</v>
      </c>
      <c r="P90" s="807">
        <v>0.14212663076350393</v>
      </c>
      <c r="Q90" s="805"/>
      <c r="R90" s="742">
        <v>2392.4224290300003</v>
      </c>
      <c r="S90" s="742">
        <v>2373.1262681599997</v>
      </c>
      <c r="T90" s="747">
        <v>2402.6936205799998</v>
      </c>
      <c r="U90" s="747">
        <v>2709.15958039</v>
      </c>
      <c r="V90" s="747">
        <v>393.68004045999999</v>
      </c>
      <c r="W90" s="742">
        <v>3102.8396208499998</v>
      </c>
      <c r="X90" s="742">
        <v>-519.02369417999989</v>
      </c>
      <c r="Y90" s="747">
        <v>761.24099999999999</v>
      </c>
      <c r="Z90" s="742">
        <v>341.48674905000001</v>
      </c>
      <c r="AA90" s="742" t="s">
        <v>59</v>
      </c>
      <c r="AB90" s="747">
        <v>312.35017067540002</v>
      </c>
      <c r="AC90" s="747">
        <v>29.136578374599992</v>
      </c>
      <c r="AD90" s="747" t="s">
        <v>489</v>
      </c>
    </row>
    <row r="91" spans="1:30" ht="14" thickBot="1">
      <c r="A91" s="78">
        <v>1563</v>
      </c>
      <c r="B91" s="79" t="s">
        <v>809</v>
      </c>
      <c r="C91" s="804">
        <v>40738</v>
      </c>
      <c r="D91" s="805">
        <v>2541.5580023565212</v>
      </c>
      <c r="E91" s="805">
        <v>2341.540506406795</v>
      </c>
      <c r="F91" s="805">
        <v>402.15704747410285</v>
      </c>
      <c r="G91" s="805">
        <v>2743.6975538808979</v>
      </c>
      <c r="H91" s="805">
        <v>-2.4842898522263996</v>
      </c>
      <c r="I91" s="806">
        <v>204.19936496637047</v>
      </c>
      <c r="J91" s="805">
        <v>6.6326802984928275</v>
      </c>
      <c r="K91" s="806">
        <v>585.44847562472387</v>
      </c>
      <c r="L91" s="805">
        <v>823.23877338111822</v>
      </c>
      <c r="M91" s="807">
        <v>0.92130122713537488</v>
      </c>
      <c r="N91" s="807">
        <v>-9.7578359860055934E-4</v>
      </c>
      <c r="O91" s="807">
        <v>8.0415271799331875E-2</v>
      </c>
      <c r="P91" s="807">
        <v>0.32391107053933654</v>
      </c>
      <c r="Q91" s="805"/>
      <c r="R91" s="742">
        <v>103.71664387999999</v>
      </c>
      <c r="S91" s="742">
        <v>103.44644175000001</v>
      </c>
      <c r="T91" s="747">
        <v>103.53798989999997</v>
      </c>
      <c r="U91" s="747">
        <v>95.389677150000011</v>
      </c>
      <c r="V91" s="747">
        <v>16.383073800000002</v>
      </c>
      <c r="W91" s="742">
        <v>111.77275095000002</v>
      </c>
      <c r="X91" s="742">
        <v>-0.10120499999999907</v>
      </c>
      <c r="Y91" s="747">
        <v>23.85</v>
      </c>
      <c r="Z91" s="742">
        <v>33.537101149999998</v>
      </c>
      <c r="AA91" s="742" t="s">
        <v>59</v>
      </c>
      <c r="AB91" s="747">
        <v>20.707597979999996</v>
      </c>
      <c r="AC91" s="747">
        <v>12.829503170000002</v>
      </c>
      <c r="AD91" s="747" t="s">
        <v>489</v>
      </c>
    </row>
    <row r="92" spans="1:30" ht="14" thickBot="1">
      <c r="A92" s="78">
        <v>1565</v>
      </c>
      <c r="B92" s="79" t="s">
        <v>810</v>
      </c>
      <c r="C92" s="804">
        <v>61896.75</v>
      </c>
      <c r="D92" s="805">
        <v>1882.2935549927902</v>
      </c>
      <c r="E92" s="805">
        <v>1088.801476491092</v>
      </c>
      <c r="F92" s="805">
        <v>267.80527168227729</v>
      </c>
      <c r="G92" s="805">
        <v>1356.6067481733692</v>
      </c>
      <c r="H92" s="805">
        <v>755.53556543760385</v>
      </c>
      <c r="I92" s="806">
        <v>92.618362838113484</v>
      </c>
      <c r="J92" s="805">
        <v>162.91669191031835</v>
      </c>
      <c r="K92" s="806">
        <v>289.69210822862266</v>
      </c>
      <c r="L92" s="805">
        <v>345.65938260086352</v>
      </c>
      <c r="M92" s="807">
        <v>0.5784440336646971</v>
      </c>
      <c r="N92" s="807">
        <v>0.3379311337213704</v>
      </c>
      <c r="O92" s="807">
        <v>4.468162719617913E-2</v>
      </c>
      <c r="P92" s="807">
        <v>0.18363734056465361</v>
      </c>
      <c r="Q92" s="805"/>
      <c r="R92" s="742">
        <v>138.38676388000002</v>
      </c>
      <c r="S92" s="742">
        <v>128.30275014000003</v>
      </c>
      <c r="T92" s="747">
        <v>116.50785359999999</v>
      </c>
      <c r="U92" s="747">
        <v>67.393272789999997</v>
      </c>
      <c r="V92" s="747">
        <v>16.576275949999996</v>
      </c>
      <c r="W92" s="742">
        <v>83.969548739999993</v>
      </c>
      <c r="X92" s="742">
        <v>46.765196010000004</v>
      </c>
      <c r="Y92" s="747">
        <v>17.931000000000001</v>
      </c>
      <c r="Z92" s="742">
        <v>21.395192390000002</v>
      </c>
      <c r="AA92" s="742" t="s">
        <v>59</v>
      </c>
      <c r="AB92" s="747">
        <v>20.971413647999999</v>
      </c>
      <c r="AC92" s="747">
        <v>0.42377874200000321</v>
      </c>
      <c r="AD92" s="747" t="s">
        <v>489</v>
      </c>
    </row>
    <row r="93" spans="1:30" ht="14" thickBot="1">
      <c r="A93" s="78">
        <v>1566</v>
      </c>
      <c r="B93" s="79" t="s">
        <v>811</v>
      </c>
      <c r="C93" s="804">
        <v>132997.57999999999</v>
      </c>
      <c r="D93" s="805">
        <v>2008.844301076756</v>
      </c>
      <c r="E93" s="805">
        <v>1197.1803501988531</v>
      </c>
      <c r="F93" s="805">
        <v>317.40064225228758</v>
      </c>
      <c r="G93" s="805">
        <v>1514.5809924511407</v>
      </c>
      <c r="H93" s="805">
        <v>647.35643701186109</v>
      </c>
      <c r="I93" s="806">
        <v>103.53454950082549</v>
      </c>
      <c r="J93" s="805">
        <v>59.693500287749579</v>
      </c>
      <c r="K93" s="806">
        <v>287.01274113408675</v>
      </c>
      <c r="L93" s="805">
        <v>247.33154445366597</v>
      </c>
      <c r="M93" s="807">
        <v>0.59595477337748637</v>
      </c>
      <c r="N93" s="807">
        <v>0.31657658386400489</v>
      </c>
      <c r="O93" s="807">
        <v>5.2153952181735151E-2</v>
      </c>
      <c r="P93" s="807">
        <v>0.12312131125398534</v>
      </c>
      <c r="Q93" s="805"/>
      <c r="R93" s="742">
        <v>271.96212199000001</v>
      </c>
      <c r="S93" s="742">
        <v>264.02303093</v>
      </c>
      <c r="T93" s="747">
        <v>267.17143063999998</v>
      </c>
      <c r="U93" s="747">
        <v>159.22208940000002</v>
      </c>
      <c r="V93" s="747">
        <v>42.21351731</v>
      </c>
      <c r="W93" s="742">
        <v>201.43560671</v>
      </c>
      <c r="X93" s="742">
        <v>86.096839519999975</v>
      </c>
      <c r="Y93" s="747">
        <v>38.171999999999997</v>
      </c>
      <c r="Z93" s="742">
        <v>32.894496869999998</v>
      </c>
      <c r="AA93" s="742" t="s">
        <v>59</v>
      </c>
      <c r="AB93" s="747">
        <v>48.0908575152</v>
      </c>
      <c r="AC93" s="747" t="s">
        <v>489</v>
      </c>
      <c r="AD93" s="747">
        <v>-15.196360645200002</v>
      </c>
    </row>
    <row r="94" spans="1:30" ht="14" thickBot="1">
      <c r="A94" s="78">
        <v>1568</v>
      </c>
      <c r="B94" s="79" t="s">
        <v>812</v>
      </c>
      <c r="C94" s="804">
        <v>5951.33</v>
      </c>
      <c r="D94" s="805">
        <v>2035.5345191747058</v>
      </c>
      <c r="E94" s="805">
        <v>997.03723537427766</v>
      </c>
      <c r="F94" s="805">
        <v>293.34857250396124</v>
      </c>
      <c r="G94" s="805">
        <v>1290.3858078782389</v>
      </c>
      <c r="H94" s="805">
        <v>781.64998580149324</v>
      </c>
      <c r="I94" s="806">
        <v>80.53589701797749</v>
      </c>
      <c r="J94" s="805">
        <v>-62.170324952573637</v>
      </c>
      <c r="K94" s="806">
        <v>440.57378770795771</v>
      </c>
      <c r="L94" s="805">
        <v>448.93273772417263</v>
      </c>
      <c r="M94" s="807">
        <v>0.48981593089294301</v>
      </c>
      <c r="N94" s="807">
        <v>0.3861081640154731</v>
      </c>
      <c r="O94" s="807">
        <v>3.8596655377748305E-2</v>
      </c>
      <c r="P94" s="807">
        <v>0.22054783816989235</v>
      </c>
      <c r="Q94" s="805"/>
      <c r="R94" s="742">
        <v>12.048066949999999</v>
      </c>
      <c r="S94" s="742">
        <v>12.418063050000001</v>
      </c>
      <c r="T94" s="747">
        <v>12.11413765</v>
      </c>
      <c r="U94" s="747">
        <v>5.9336976100000003</v>
      </c>
      <c r="V94" s="747">
        <v>1.7458141599999997</v>
      </c>
      <c r="W94" s="742">
        <v>7.6795117699999995</v>
      </c>
      <c r="X94" s="742">
        <v>4.6518570100000005</v>
      </c>
      <c r="Y94" s="747">
        <v>2.6219999999999999</v>
      </c>
      <c r="Z94" s="742">
        <v>2.6717468700000002</v>
      </c>
      <c r="AA94" s="742" t="s">
        <v>59</v>
      </c>
      <c r="AB94" s="747">
        <v>2.4228275300000002</v>
      </c>
      <c r="AC94" s="747">
        <v>0.24891934000000004</v>
      </c>
      <c r="AD94" s="747" t="s">
        <v>489</v>
      </c>
    </row>
    <row r="95" spans="1:30" ht="14" thickBot="1">
      <c r="A95" s="78">
        <v>1569</v>
      </c>
      <c r="B95" s="79" t="s">
        <v>813</v>
      </c>
      <c r="C95" s="804">
        <v>40784.080000000002</v>
      </c>
      <c r="D95" s="805">
        <v>2387.5978190509627</v>
      </c>
      <c r="E95" s="805">
        <v>1490.2517754476746</v>
      </c>
      <c r="F95" s="805">
        <v>355.17173858034806</v>
      </c>
      <c r="G95" s="805">
        <v>1845.4235140280227</v>
      </c>
      <c r="H95" s="805">
        <v>697.71288208536271</v>
      </c>
      <c r="I95" s="806">
        <v>119.02564358445746</v>
      </c>
      <c r="J95" s="805">
        <v>-11.689896645946156</v>
      </c>
      <c r="K95" s="806">
        <v>360.43475787611243</v>
      </c>
      <c r="L95" s="805">
        <v>181.53481407451139</v>
      </c>
      <c r="M95" s="807">
        <v>0.62416365250326333</v>
      </c>
      <c r="N95" s="807">
        <v>0.29884324128177053</v>
      </c>
      <c r="O95" s="807">
        <v>5.0726879762931512E-2</v>
      </c>
      <c r="P95" s="807">
        <v>7.6032409070749193E-2</v>
      </c>
      <c r="Q95" s="805"/>
      <c r="R95" s="742">
        <v>95.219078330000002</v>
      </c>
      <c r="S95" s="742">
        <v>95.695840009999984</v>
      </c>
      <c r="T95" s="747">
        <v>97.375980459999994</v>
      </c>
      <c r="U95" s="747">
        <v>60.778547629999998</v>
      </c>
      <c r="V95" s="747">
        <v>14.485352600000002</v>
      </c>
      <c r="W95" s="742">
        <v>75.263900230000004</v>
      </c>
      <c r="X95" s="742">
        <v>28.455577999999999</v>
      </c>
      <c r="Y95" s="747">
        <v>14.7</v>
      </c>
      <c r="Z95" s="742">
        <v>7.4037303799999998</v>
      </c>
      <c r="AA95" s="742" t="s">
        <v>59</v>
      </c>
      <c r="AB95" s="747">
        <v>19.475196092000001</v>
      </c>
      <c r="AC95" s="747" t="s">
        <v>489</v>
      </c>
      <c r="AD95" s="747">
        <v>-12.071465712000002</v>
      </c>
    </row>
    <row r="96" spans="1:30" ht="14" thickBot="1">
      <c r="A96" s="78">
        <v>1570</v>
      </c>
      <c r="B96" s="79" t="s">
        <v>814</v>
      </c>
      <c r="C96" s="804">
        <v>87.83</v>
      </c>
      <c r="D96" s="805">
        <v>2047.6215416144828</v>
      </c>
      <c r="E96" s="805">
        <v>384.3617215074575</v>
      </c>
      <c r="F96" s="805">
        <v>247.67448480018217</v>
      </c>
      <c r="G96" s="805">
        <v>632.03620630763965</v>
      </c>
      <c r="H96" s="805">
        <v>1293.5671182967096</v>
      </c>
      <c r="I96" s="806">
        <v>67.770351816008201</v>
      </c>
      <c r="J96" s="805">
        <v>854.0209495616532</v>
      </c>
      <c r="K96" s="806">
        <v>1728.3388363884776</v>
      </c>
      <c r="L96" s="805">
        <v>73489.464419902084</v>
      </c>
      <c r="M96" s="807">
        <v>0.18771130977866193</v>
      </c>
      <c r="N96" s="807">
        <v>0.34254768537000829</v>
      </c>
      <c r="O96" s="807">
        <v>2.319082467343505E-2</v>
      </c>
      <c r="P96" s="807">
        <v>35.890159839770995</v>
      </c>
      <c r="Q96" s="805"/>
      <c r="R96" s="742">
        <v>0.33167352999999999</v>
      </c>
      <c r="S96" s="742">
        <v>0.25666487000000004</v>
      </c>
      <c r="T96" s="747">
        <v>0.17984260000000002</v>
      </c>
      <c r="U96" s="747">
        <v>3.3758489999999995E-2</v>
      </c>
      <c r="V96" s="747">
        <v>2.1753249999999998E-2</v>
      </c>
      <c r="W96" s="742">
        <v>5.551173999999999E-2</v>
      </c>
      <c r="X96" s="742">
        <v>0.11361400000000001</v>
      </c>
      <c r="Y96" s="747">
        <v>0.15179999999999999</v>
      </c>
      <c r="Z96" s="742">
        <v>6.4545796600000003</v>
      </c>
      <c r="AA96" s="742" t="s">
        <v>59</v>
      </c>
      <c r="AB96" s="747">
        <v>3.5968520000000004E-2</v>
      </c>
      <c r="AC96" s="747">
        <v>6.4186111400000003</v>
      </c>
      <c r="AD96" s="747" t="s">
        <v>489</v>
      </c>
    </row>
    <row r="97" spans="1:30" ht="14" thickBot="1">
      <c r="A97" s="78">
        <v>1571</v>
      </c>
      <c r="B97" s="79" t="s">
        <v>815</v>
      </c>
      <c r="C97" s="804">
        <v>5366.92</v>
      </c>
      <c r="D97" s="805">
        <v>2305.1021628792682</v>
      </c>
      <c r="E97" s="805">
        <v>1200.9302803097492</v>
      </c>
      <c r="F97" s="805">
        <v>274.34555946427378</v>
      </c>
      <c r="G97" s="805">
        <v>1475.2758397740229</v>
      </c>
      <c r="H97" s="805">
        <v>757.26381239146463</v>
      </c>
      <c r="I97" s="806">
        <v>265.56159398686765</v>
      </c>
      <c r="J97" s="805">
        <v>-153.75962563257883</v>
      </c>
      <c r="K97" s="806">
        <v>384.21901202179271</v>
      </c>
      <c r="L97" s="805">
        <v>1223.1518859979283</v>
      </c>
      <c r="M97" s="807">
        <v>0.52098787622049914</v>
      </c>
      <c r="N97" s="807">
        <v>0.32601777950430733</v>
      </c>
      <c r="O97" s="807">
        <v>0.10723140859710294</v>
      </c>
      <c r="P97" s="807">
        <v>0.53062805878855612</v>
      </c>
      <c r="Q97" s="805"/>
      <c r="R97" s="742">
        <v>12.466112449999999</v>
      </c>
      <c r="S97" s="742">
        <v>13.291328060000003</v>
      </c>
      <c r="T97" s="747">
        <v>12.371298900000001</v>
      </c>
      <c r="U97" s="747">
        <v>6.445296739999999</v>
      </c>
      <c r="V97" s="747">
        <v>1.4723906700000002</v>
      </c>
      <c r="W97" s="742">
        <v>7.9176874099999992</v>
      </c>
      <c r="X97" s="742">
        <v>4.0641742999999995</v>
      </c>
      <c r="Y97" s="747">
        <v>2.0620726999999999</v>
      </c>
      <c r="Z97" s="742">
        <v>6.5645583200000006</v>
      </c>
      <c r="AA97" s="742" t="s">
        <v>59</v>
      </c>
      <c r="AB97" s="747">
        <v>2.4742597800000001</v>
      </c>
      <c r="AC97" s="747">
        <v>4.0902985400000009</v>
      </c>
      <c r="AD97" s="747" t="s">
        <v>489</v>
      </c>
    </row>
    <row r="98" spans="1:30" ht="14" thickBot="1">
      <c r="A98" s="78"/>
      <c r="B98" s="79"/>
      <c r="C98" s="804"/>
      <c r="D98" s="805"/>
      <c r="E98" s="805"/>
      <c r="F98" s="805"/>
      <c r="G98" s="805"/>
      <c r="H98" s="805"/>
      <c r="I98" s="806"/>
      <c r="J98" s="805"/>
      <c r="K98" s="806"/>
      <c r="L98" s="805"/>
      <c r="M98" s="807"/>
      <c r="N98" s="807"/>
      <c r="O98" s="807"/>
      <c r="P98" s="807"/>
      <c r="Q98" s="805"/>
      <c r="R98" s="742"/>
      <c r="S98" s="742"/>
      <c r="T98" s="747"/>
      <c r="U98" s="747"/>
      <c r="V98" s="747"/>
      <c r="W98" s="742"/>
      <c r="X98" s="742"/>
      <c r="Y98" s="747"/>
      <c r="Z98" s="742"/>
      <c r="AA98" s="742"/>
      <c r="AB98" s="747"/>
      <c r="AC98" s="747"/>
      <c r="AD98" s="747"/>
    </row>
    <row r="99" spans="1:30" ht="14" thickBot="1">
      <c r="A99" s="78"/>
      <c r="B99" s="79"/>
      <c r="C99" s="804"/>
      <c r="D99" s="805"/>
      <c r="E99" s="805"/>
      <c r="F99" s="805"/>
      <c r="G99" s="805"/>
      <c r="H99" s="805"/>
      <c r="I99" s="806"/>
      <c r="J99" s="805"/>
      <c r="K99" s="806"/>
      <c r="L99" s="805"/>
      <c r="M99" s="807"/>
      <c r="N99" s="807"/>
      <c r="O99" s="807"/>
      <c r="P99" s="807"/>
      <c r="Q99" s="805"/>
      <c r="R99" s="742"/>
      <c r="S99" s="742"/>
      <c r="T99" s="747"/>
      <c r="U99" s="747"/>
      <c r="V99" s="747"/>
      <c r="W99" s="742"/>
      <c r="X99" s="742"/>
      <c r="Y99" s="747"/>
      <c r="Z99" s="742"/>
      <c r="AA99" s="742"/>
      <c r="AB99" s="747"/>
      <c r="AC99" s="747"/>
      <c r="AD99" s="747"/>
    </row>
    <row r="100" spans="1:30" ht="14" thickBot="1">
      <c r="A100" s="78"/>
      <c r="B100" s="79"/>
      <c r="C100" s="804"/>
      <c r="D100" s="805"/>
      <c r="E100" s="805"/>
      <c r="F100" s="805"/>
      <c r="G100" s="805"/>
      <c r="H100" s="805"/>
      <c r="I100" s="806"/>
      <c r="J100" s="805"/>
      <c r="K100" s="806"/>
      <c r="L100" s="805"/>
      <c r="M100" s="807"/>
      <c r="N100" s="807"/>
      <c r="O100" s="807"/>
      <c r="P100" s="807"/>
      <c r="Q100" s="805"/>
      <c r="R100" s="742"/>
      <c r="S100" s="742"/>
      <c r="T100" s="747"/>
      <c r="U100" s="747"/>
      <c r="V100" s="747"/>
      <c r="W100" s="742"/>
      <c r="X100" s="742"/>
      <c r="Y100" s="747"/>
      <c r="Z100" s="742"/>
      <c r="AA100" s="742"/>
      <c r="AB100" s="747"/>
      <c r="AC100" s="747"/>
      <c r="AD100" s="747"/>
    </row>
    <row r="101" spans="1:30" ht="14" thickBot="1">
      <c r="A101" s="78"/>
      <c r="B101" s="79"/>
      <c r="C101" s="804"/>
      <c r="D101" s="805"/>
      <c r="E101" s="805"/>
      <c r="F101" s="805"/>
      <c r="G101" s="805"/>
      <c r="H101" s="805"/>
      <c r="I101" s="806"/>
      <c r="J101" s="805"/>
      <c r="K101" s="806"/>
      <c r="L101" s="805"/>
      <c r="M101" s="807"/>
      <c r="N101" s="807"/>
      <c r="O101" s="807"/>
      <c r="P101" s="807"/>
      <c r="Q101" s="805"/>
      <c r="R101" s="742"/>
      <c r="S101" s="742"/>
      <c r="T101" s="747"/>
      <c r="U101" s="747"/>
      <c r="V101" s="747"/>
      <c r="W101" s="742"/>
      <c r="X101" s="742"/>
      <c r="Y101" s="747"/>
      <c r="Z101" s="742"/>
      <c r="AA101" s="742"/>
      <c r="AB101" s="747"/>
      <c r="AC101" s="747"/>
      <c r="AD101" s="747"/>
    </row>
    <row r="102" spans="1:30" ht="14" thickBot="1">
      <c r="A102" s="78"/>
      <c r="B102" s="79"/>
      <c r="C102" s="804"/>
      <c r="D102" s="805"/>
      <c r="E102" s="805"/>
      <c r="F102" s="805"/>
      <c r="G102" s="805"/>
      <c r="H102" s="805"/>
      <c r="I102" s="806"/>
      <c r="J102" s="805"/>
      <c r="K102" s="806"/>
      <c r="L102" s="805"/>
      <c r="M102" s="807"/>
      <c r="N102" s="807"/>
      <c r="O102" s="807"/>
      <c r="P102" s="807"/>
      <c r="Q102" s="805"/>
      <c r="R102" s="742"/>
      <c r="S102" s="742"/>
      <c r="T102" s="747"/>
      <c r="U102" s="747"/>
      <c r="V102" s="747"/>
      <c r="W102" s="742"/>
      <c r="X102" s="742"/>
      <c r="Y102" s="747"/>
      <c r="Z102" s="742"/>
      <c r="AA102" s="742"/>
      <c r="AB102" s="747"/>
      <c r="AC102" s="747"/>
      <c r="AD102" s="747"/>
    </row>
    <row r="103" spans="1:30" s="148" customFormat="1" ht="14" thickBot="1">
      <c r="A103" s="809" t="s">
        <v>816</v>
      </c>
      <c r="B103" s="810">
        <v>87</v>
      </c>
      <c r="C103" s="811">
        <v>7537587.3800000008</v>
      </c>
      <c r="D103" s="812">
        <v>2612.1277928800605</v>
      </c>
      <c r="E103" s="812">
        <v>2444.2332892212507</v>
      </c>
      <c r="F103" s="812">
        <v>418.5778169645576</v>
      </c>
      <c r="G103" s="812">
        <v>2862.8111061858094</v>
      </c>
      <c r="H103" s="813">
        <v>-1.3605971583443137</v>
      </c>
      <c r="I103" s="814">
        <v>142.18108149480582</v>
      </c>
      <c r="J103" s="812">
        <v>23.702554668095971</v>
      </c>
      <c r="K103" s="814">
        <v>694.39870760476651</v>
      </c>
      <c r="L103" s="812">
        <v>526.75261307816515</v>
      </c>
      <c r="M103" s="815">
        <v>0.93572500391579505</v>
      </c>
      <c r="N103" s="815" t="s">
        <v>59</v>
      </c>
      <c r="O103" s="815">
        <v>5.4317232192756144E-2</v>
      </c>
      <c r="P103" s="815">
        <v>0.20165652481243351</v>
      </c>
      <c r="Q103" s="812"/>
      <c r="R103" s="753">
        <v>19909.089671510006</v>
      </c>
      <c r="S103" s="753">
        <v>19730.429594549998</v>
      </c>
      <c r="T103" s="753">
        <v>19689.141486559998</v>
      </c>
      <c r="U103" s="753">
        <v>18423.621994609992</v>
      </c>
      <c r="V103" s="753">
        <v>3155.0668706999995</v>
      </c>
      <c r="W103" s="753">
        <v>21578.68886531</v>
      </c>
      <c r="X103" s="753">
        <v>-10.255619969999962</v>
      </c>
      <c r="Y103" s="753">
        <v>5234.0909351299988</v>
      </c>
      <c r="Z103" s="753">
        <v>3970.4438487200009</v>
      </c>
      <c r="AA103" s="753">
        <v>1990.46452006</v>
      </c>
      <c r="AB103" s="753">
        <v>2836.1949794803004</v>
      </c>
      <c r="AC103" s="753">
        <v>1208.1302341011001</v>
      </c>
      <c r="AD103" s="753">
        <v>-73.881364861400044</v>
      </c>
    </row>
    <row r="104" spans="1:30" ht="15.75" customHeight="1" thickBot="1">
      <c r="A104" s="97" t="s">
        <v>1256</v>
      </c>
      <c r="C104" s="816"/>
      <c r="D104" s="757"/>
      <c r="E104" s="757"/>
      <c r="F104" s="757"/>
      <c r="G104" s="757"/>
      <c r="H104" s="758"/>
      <c r="I104" s="757"/>
      <c r="J104" s="759"/>
      <c r="K104" s="760"/>
      <c r="L104" s="817"/>
      <c r="M104" s="817"/>
      <c r="N104" s="757"/>
      <c r="O104" s="817"/>
      <c r="P104" s="757"/>
      <c r="Q104" s="817"/>
      <c r="R104" s="758"/>
    </row>
    <row r="106" spans="1:30">
      <c r="A106" s="101" t="s">
        <v>729</v>
      </c>
    </row>
    <row r="108" spans="1:30" ht="7.5" customHeight="1"/>
    <row r="109" spans="1:30" ht="24.75" customHeight="1">
      <c r="A109" s="1812" t="s">
        <v>634</v>
      </c>
      <c r="B109" s="1803"/>
    </row>
  </sheetData>
  <mergeCells count="2">
    <mergeCell ref="A109:B109"/>
    <mergeCell ref="A2:B2"/>
  </mergeCells>
  <phoneticPr fontId="0" type="noConversion"/>
  <pageMargins left="0.36" right="0.43" top="0.43307086614173229" bottom="0.43307086614173229" header="0.31496062992125984" footer="0.27559055118110237"/>
  <pageSetup paperSize="9" scale="46" fitToHeight="2" pageOrder="overThenDown" orientation="portrait"/>
  <headerFooter alignWithMargins="0">
    <oddFooter>&amp;R&amp;P/&amp;N</oddFooter>
  </headerFooter>
  <colBreaks count="1" manualBreakCount="1">
    <brk id="17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8C82-3776-7A40-A174-CB887292420D}">
  <sheetPr>
    <pageSetUpPr fitToPage="1"/>
  </sheetPr>
  <dimension ref="A1:K95"/>
  <sheetViews>
    <sheetView topLeftCell="A61" zoomScale="75" workbookViewId="0">
      <selection activeCell="H81" sqref="H81"/>
    </sheetView>
  </sheetViews>
  <sheetFormatPr baseColWidth="10" defaultColWidth="11.3984375" defaultRowHeight="13"/>
  <cols>
    <col min="1" max="1" width="14" style="781" customWidth="1"/>
    <col min="2" max="2" width="11.796875" style="2" customWidth="1"/>
    <col min="3" max="3" width="12.796875" style="95" customWidth="1"/>
    <col min="4" max="4" width="12.19921875" style="2" customWidth="1"/>
    <col min="5" max="5" width="12.3984375" style="95" customWidth="1"/>
    <col min="6" max="6" width="9.796875" style="2" customWidth="1"/>
    <col min="7" max="7" width="11.19921875" style="95" customWidth="1"/>
    <col min="8" max="8" width="11.3984375" style="2"/>
    <col min="9" max="9" width="11.796875" style="2" customWidth="1"/>
    <col min="10" max="10" width="10.796875" style="2" customWidth="1"/>
    <col min="11" max="11" width="18" style="2" customWidth="1"/>
    <col min="12" max="16384" width="11.3984375" style="2"/>
  </cols>
  <sheetData>
    <row r="1" spans="1:11" s="1" customFormat="1" ht="21" customHeight="1">
      <c r="A1" s="1814" t="s">
        <v>2064</v>
      </c>
      <c r="B1" s="1815"/>
      <c r="C1" s="1815"/>
      <c r="D1" s="1815"/>
      <c r="E1" s="1815"/>
      <c r="F1" s="1815"/>
      <c r="G1" s="1815"/>
      <c r="H1" s="1815"/>
      <c r="I1" s="761"/>
      <c r="K1" s="762">
        <v>2007</v>
      </c>
    </row>
    <row r="2" spans="1:11" s="1" customFormat="1" ht="9.75" customHeight="1">
      <c r="A2" s="763"/>
      <c r="B2" s="24"/>
      <c r="C2"/>
      <c r="D2"/>
      <c r="E2"/>
      <c r="F2"/>
      <c r="G2"/>
      <c r="H2"/>
      <c r="I2"/>
      <c r="J2"/>
    </row>
    <row r="3" spans="1:11" s="1" customFormat="1" ht="13.5" customHeight="1">
      <c r="A3" s="764" t="s">
        <v>2065</v>
      </c>
      <c r="B3" s="24"/>
      <c r="C3"/>
      <c r="D3"/>
      <c r="E3"/>
      <c r="F3"/>
      <c r="G3"/>
      <c r="H3"/>
      <c r="I3"/>
      <c r="J3"/>
    </row>
    <row r="4" spans="1:11" s="1" customFormat="1" ht="13.5" customHeight="1">
      <c r="A4" s="765" t="s">
        <v>2066</v>
      </c>
      <c r="B4" s="24"/>
      <c r="C4"/>
      <c r="D4"/>
      <c r="E4"/>
      <c r="F4"/>
      <c r="G4"/>
      <c r="H4"/>
      <c r="I4"/>
      <c r="J4"/>
    </row>
    <row r="5" spans="1:11" s="1" customFormat="1" ht="10.5" customHeight="1">
      <c r="A5" s="763"/>
      <c r="B5" s="24"/>
      <c r="C5"/>
      <c r="D5"/>
      <c r="E5"/>
      <c r="F5"/>
      <c r="G5"/>
      <c r="H5"/>
      <c r="I5"/>
      <c r="J5"/>
    </row>
    <row r="6" spans="1:11" ht="14.25" customHeight="1">
      <c r="A6" s="764" t="s">
        <v>2067</v>
      </c>
      <c r="B6"/>
      <c r="C6"/>
      <c r="D6"/>
      <c r="E6"/>
      <c r="F6"/>
      <c r="G6"/>
      <c r="H6"/>
      <c r="I6"/>
      <c r="J6"/>
    </row>
    <row r="7" spans="1:11" ht="15" customHeight="1">
      <c r="A7" s="766" t="s">
        <v>2068</v>
      </c>
      <c r="B7"/>
      <c r="C7"/>
      <c r="D7"/>
      <c r="E7"/>
      <c r="F7"/>
      <c r="G7"/>
      <c r="H7"/>
      <c r="I7"/>
      <c r="J7"/>
    </row>
    <row r="8" spans="1:11" ht="11.25" customHeight="1">
      <c r="A8" s="766"/>
      <c r="B8"/>
      <c r="C8"/>
      <c r="D8"/>
      <c r="E8"/>
      <c r="F8"/>
      <c r="G8"/>
      <c r="H8"/>
      <c r="I8"/>
      <c r="J8"/>
    </row>
    <row r="9" spans="1:11" ht="13.5" customHeight="1">
      <c r="A9" s="764" t="s">
        <v>2069</v>
      </c>
      <c r="B9"/>
      <c r="C9"/>
      <c r="D9"/>
      <c r="E9"/>
      <c r="F9"/>
      <c r="G9"/>
      <c r="H9"/>
      <c r="I9"/>
      <c r="J9"/>
    </row>
    <row r="10" spans="1:11" ht="17.25" customHeight="1">
      <c r="A10" s="766" t="s">
        <v>2070</v>
      </c>
      <c r="B10" s="589"/>
      <c r="C10" s="589"/>
      <c r="D10" s="589"/>
      <c r="E10" s="589"/>
      <c r="F10" s="589"/>
      <c r="G10" s="589"/>
      <c r="H10" s="589"/>
      <c r="I10" s="589"/>
      <c r="J10" s="589"/>
    </row>
    <row r="11" spans="1:11" ht="8.25" customHeight="1">
      <c r="A11" s="766"/>
      <c r="B11"/>
      <c r="C11"/>
      <c r="D11"/>
      <c r="E11"/>
      <c r="F11"/>
      <c r="G11"/>
      <c r="H11"/>
      <c r="I11"/>
      <c r="J11"/>
    </row>
    <row r="12" spans="1:11" ht="15.75" customHeight="1">
      <c r="A12" s="764" t="s">
        <v>2071</v>
      </c>
      <c r="B12"/>
      <c r="C12"/>
      <c r="D12"/>
      <c r="E12"/>
      <c r="F12"/>
      <c r="G12"/>
      <c r="H12"/>
      <c r="I12"/>
      <c r="J12"/>
      <c r="K12" s="9"/>
    </row>
    <row r="13" spans="1:11" ht="14.25" customHeight="1">
      <c r="A13" s="766" t="s">
        <v>2072</v>
      </c>
      <c r="B13"/>
      <c r="C13"/>
      <c r="D13"/>
      <c r="E13"/>
      <c r="F13"/>
      <c r="G13"/>
      <c r="H13"/>
      <c r="I13"/>
      <c r="J13"/>
    </row>
    <row r="14" spans="1:11" ht="9.75" customHeight="1">
      <c r="A14" s="766"/>
      <c r="B14"/>
      <c r="C14"/>
      <c r="D14"/>
      <c r="E14"/>
      <c r="F14"/>
      <c r="G14"/>
      <c r="H14"/>
      <c r="I14"/>
      <c r="J14"/>
    </row>
    <row r="15" spans="1:11" ht="16.5" customHeight="1">
      <c r="A15" s="764" t="s">
        <v>2073</v>
      </c>
      <c r="B15"/>
      <c r="C15"/>
      <c r="D15"/>
      <c r="E15"/>
      <c r="F15"/>
      <c r="G15"/>
      <c r="H15"/>
      <c r="I15"/>
      <c r="J15"/>
    </row>
    <row r="16" spans="1:11" ht="15.75" customHeight="1">
      <c r="A16" s="766" t="s">
        <v>2074</v>
      </c>
      <c r="B16" s="589"/>
      <c r="C16" s="589"/>
      <c r="D16" s="589"/>
      <c r="E16" s="589"/>
      <c r="F16" s="589"/>
      <c r="G16" s="589"/>
      <c r="H16" s="589"/>
      <c r="I16" s="589"/>
      <c r="J16" s="589"/>
    </row>
    <row r="17" spans="1:10" ht="12.75" customHeight="1">
      <c r="A17" s="766" t="s">
        <v>2075</v>
      </c>
      <c r="B17" s="589"/>
      <c r="C17" s="589"/>
      <c r="D17" s="589"/>
      <c r="E17" s="589"/>
      <c r="F17" s="589"/>
      <c r="G17" s="589"/>
      <c r="H17" s="589"/>
      <c r="I17" s="589"/>
      <c r="J17" s="589"/>
    </row>
    <row r="18" spans="1:10" ht="15.75" customHeight="1">
      <c r="A18" s="766" t="s">
        <v>2076</v>
      </c>
      <c r="B18" s="589"/>
      <c r="C18" s="589"/>
      <c r="D18" s="589"/>
      <c r="E18" s="589"/>
      <c r="F18" s="589"/>
      <c r="G18" s="589"/>
      <c r="H18" s="589"/>
      <c r="I18" s="589"/>
      <c r="J18" s="589"/>
    </row>
    <row r="19" spans="1:10" ht="15.75" customHeight="1">
      <c r="A19" s="766" t="s">
        <v>2077</v>
      </c>
      <c r="B19" s="589"/>
      <c r="C19" s="589"/>
      <c r="D19" s="589"/>
      <c r="E19" s="589"/>
      <c r="F19" s="589"/>
      <c r="G19" s="589"/>
      <c r="H19" s="589"/>
      <c r="I19" s="589"/>
      <c r="J19" s="589"/>
    </row>
    <row r="20" spans="1:10" ht="12" customHeight="1">
      <c r="A20" s="766"/>
      <c r="B20"/>
      <c r="C20"/>
      <c r="D20"/>
      <c r="E20"/>
      <c r="F20"/>
      <c r="G20"/>
      <c r="H20"/>
      <c r="I20"/>
      <c r="J20"/>
    </row>
    <row r="21" spans="1:10" ht="14.25" customHeight="1">
      <c r="A21" s="764" t="s">
        <v>2078</v>
      </c>
      <c r="B21"/>
      <c r="C21"/>
      <c r="D21"/>
      <c r="E21"/>
      <c r="F21"/>
      <c r="G21"/>
      <c r="H21"/>
      <c r="I21"/>
      <c r="J21"/>
    </row>
    <row r="22" spans="1:10" ht="17.25" customHeight="1">
      <c r="A22" s="766" t="s">
        <v>2079</v>
      </c>
      <c r="B22" s="589"/>
      <c r="C22" s="589"/>
      <c r="D22" s="589"/>
      <c r="E22" s="589"/>
      <c r="F22" s="589"/>
      <c r="G22" s="589"/>
      <c r="H22" s="589"/>
      <c r="I22" s="589"/>
      <c r="J22" s="589"/>
    </row>
    <row r="23" spans="1:10" ht="13.5" customHeight="1">
      <c r="A23" s="766" t="s">
        <v>2080</v>
      </c>
      <c r="B23" s="589"/>
      <c r="C23" s="589"/>
      <c r="D23" s="589"/>
      <c r="E23" s="589"/>
      <c r="F23" s="589"/>
      <c r="G23" s="589"/>
      <c r="H23" s="589"/>
      <c r="I23" s="589"/>
      <c r="J23" s="589"/>
    </row>
    <row r="24" spans="1:10" ht="13.5" customHeight="1">
      <c r="A24" s="766"/>
      <c r="B24"/>
      <c r="C24"/>
      <c r="D24"/>
      <c r="E24"/>
      <c r="F24"/>
      <c r="G24"/>
      <c r="H24"/>
      <c r="I24"/>
      <c r="J24"/>
    </row>
    <row r="25" spans="1:10" ht="15.75" customHeight="1">
      <c r="A25" s="764" t="s">
        <v>2081</v>
      </c>
      <c r="B25"/>
      <c r="C25"/>
      <c r="D25"/>
      <c r="E25"/>
      <c r="F25"/>
      <c r="G25"/>
      <c r="H25"/>
      <c r="I25"/>
      <c r="J25"/>
    </row>
    <row r="26" spans="1:10" ht="15.75" customHeight="1">
      <c r="A26" s="766" t="s">
        <v>2082</v>
      </c>
      <c r="B26" s="589"/>
      <c r="C26" s="589"/>
      <c r="D26" s="589"/>
      <c r="E26" s="589"/>
      <c r="F26" s="589"/>
      <c r="G26" s="589"/>
      <c r="H26" s="589"/>
      <c r="I26" s="589"/>
      <c r="J26" s="589"/>
    </row>
    <row r="27" spans="1:10" ht="14.25" customHeight="1">
      <c r="A27" s="766" t="s">
        <v>2083</v>
      </c>
      <c r="B27" s="589"/>
      <c r="C27" s="589"/>
      <c r="D27" s="589"/>
      <c r="E27" s="589"/>
      <c r="F27" s="589"/>
      <c r="G27" s="589"/>
      <c r="H27" s="589"/>
      <c r="I27" s="589"/>
      <c r="J27" s="589"/>
    </row>
    <row r="28" spans="1:10" ht="9.75" customHeight="1">
      <c r="A28" s="766"/>
      <c r="B28"/>
      <c r="C28"/>
      <c r="D28"/>
      <c r="E28"/>
      <c r="F28"/>
      <c r="G28"/>
      <c r="H28"/>
      <c r="I28"/>
      <c r="J28"/>
    </row>
    <row r="29" spans="1:10">
      <c r="A29" s="764" t="s">
        <v>2084</v>
      </c>
      <c r="B29"/>
      <c r="C29"/>
      <c r="D29"/>
      <c r="E29"/>
      <c r="F29"/>
      <c r="G29"/>
      <c r="H29"/>
      <c r="I29"/>
      <c r="J29"/>
    </row>
    <row r="30" spans="1:10" ht="18" customHeight="1">
      <c r="A30" s="766" t="s">
        <v>2085</v>
      </c>
      <c r="B30" s="589"/>
      <c r="C30" s="589"/>
      <c r="D30" s="589"/>
      <c r="E30" s="589"/>
      <c r="F30" s="589"/>
      <c r="G30" s="589"/>
      <c r="H30" s="589"/>
      <c r="I30" s="589"/>
      <c r="J30" s="589"/>
    </row>
    <row r="31" spans="1:10" ht="10.5" customHeight="1">
      <c r="A31" s="766"/>
      <c r="B31"/>
      <c r="C31"/>
      <c r="D31"/>
      <c r="E31"/>
      <c r="F31"/>
      <c r="G31"/>
      <c r="H31"/>
      <c r="I31"/>
      <c r="J31"/>
    </row>
    <row r="32" spans="1:10">
      <c r="A32" s="764" t="s">
        <v>2086</v>
      </c>
      <c r="B32"/>
      <c r="C32"/>
      <c r="D32"/>
      <c r="E32"/>
      <c r="F32"/>
      <c r="G32"/>
      <c r="H32"/>
      <c r="I32"/>
      <c r="J32"/>
    </row>
    <row r="33" spans="1:11" ht="17.25" customHeight="1">
      <c r="A33" s="766" t="s">
        <v>2087</v>
      </c>
      <c r="B33" s="589"/>
      <c r="C33" s="589"/>
      <c r="D33" s="589"/>
      <c r="E33" s="589"/>
      <c r="F33" s="589"/>
      <c r="G33" s="589"/>
      <c r="H33" s="589"/>
      <c r="I33" s="589"/>
      <c r="J33" s="589"/>
    </row>
    <row r="34" spans="1:11" ht="14.25" customHeight="1">
      <c r="A34" s="766" t="s">
        <v>2088</v>
      </c>
      <c r="B34" s="589"/>
      <c r="C34" s="589"/>
      <c r="D34" s="589"/>
      <c r="E34" s="589"/>
      <c r="F34" s="589"/>
      <c r="G34" s="589"/>
      <c r="H34" s="589"/>
      <c r="I34" s="589"/>
      <c r="J34" s="589"/>
    </row>
    <row r="35" spans="1:11" ht="14.25" customHeight="1">
      <c r="A35" s="766" t="s">
        <v>2089</v>
      </c>
      <c r="B35" s="589"/>
      <c r="C35" s="589"/>
      <c r="D35" s="589"/>
      <c r="E35" s="589"/>
      <c r="F35" s="589"/>
      <c r="G35" s="589"/>
      <c r="H35" s="589"/>
      <c r="I35" s="589"/>
      <c r="J35" s="589"/>
      <c r="K35" s="4"/>
    </row>
    <row r="36" spans="1:11" ht="10.5" customHeight="1">
      <c r="A36" s="766"/>
      <c r="B36"/>
      <c r="C36"/>
      <c r="D36"/>
      <c r="E36"/>
      <c r="F36"/>
      <c r="G36"/>
      <c r="H36"/>
      <c r="I36"/>
      <c r="J36"/>
    </row>
    <row r="37" spans="1:11">
      <c r="A37" s="764" t="s">
        <v>2090</v>
      </c>
      <c r="B37"/>
      <c r="C37"/>
      <c r="D37"/>
      <c r="E37"/>
      <c r="F37"/>
      <c r="G37"/>
      <c r="H37"/>
      <c r="I37"/>
      <c r="J37"/>
    </row>
    <row r="38" spans="1:11" ht="16.5" customHeight="1">
      <c r="A38" s="766" t="s">
        <v>2091</v>
      </c>
      <c r="B38" s="589"/>
      <c r="C38" s="589"/>
      <c r="D38" s="589"/>
      <c r="E38" s="589"/>
      <c r="F38" s="589"/>
      <c r="G38" s="589"/>
      <c r="H38" s="589"/>
      <c r="I38" s="589"/>
      <c r="J38" s="589"/>
    </row>
    <row r="39" spans="1:11" ht="13.5" customHeight="1">
      <c r="A39" s="766" t="s">
        <v>2092</v>
      </c>
      <c r="B39" s="589"/>
      <c r="C39" s="589"/>
      <c r="D39" s="589"/>
      <c r="E39" s="589"/>
      <c r="F39" s="589"/>
      <c r="G39" s="589"/>
      <c r="H39" s="589"/>
      <c r="I39" s="589"/>
      <c r="J39" s="589"/>
    </row>
    <row r="40" spans="1:11" ht="9.75" customHeight="1">
      <c r="A40" s="766"/>
      <c r="B40"/>
      <c r="C40"/>
      <c r="D40"/>
      <c r="E40"/>
      <c r="F40"/>
      <c r="G40"/>
      <c r="H40"/>
      <c r="I40"/>
      <c r="J40"/>
    </row>
    <row r="41" spans="1:11" ht="18" customHeight="1">
      <c r="A41" s="1116" t="s">
        <v>1000</v>
      </c>
      <c r="B41" s="1118" t="s">
        <v>960</v>
      </c>
      <c r="C41" s="1118" t="s">
        <v>961</v>
      </c>
      <c r="D41" s="1118" t="s">
        <v>962</v>
      </c>
      <c r="E41" s="1118" t="s">
        <v>963</v>
      </c>
      <c r="F41" s="1118" t="s">
        <v>964</v>
      </c>
      <c r="G41" s="1118" t="s">
        <v>965</v>
      </c>
      <c r="H41" s="1118" t="s">
        <v>966</v>
      </c>
      <c r="I41" s="1119" t="s">
        <v>974</v>
      </c>
      <c r="J41" s="1119" t="s">
        <v>971</v>
      </c>
    </row>
    <row r="42" spans="1:11" ht="16.5" customHeight="1">
      <c r="A42" s="1120" t="s">
        <v>967</v>
      </c>
      <c r="B42" s="1121">
        <v>1.82</v>
      </c>
      <c r="C42" s="1121">
        <v>0.96</v>
      </c>
      <c r="D42" s="1121">
        <v>0.73</v>
      </c>
      <c r="E42" s="1121">
        <v>0.52</v>
      </c>
      <c r="F42" s="1121">
        <v>0.42</v>
      </c>
      <c r="G42" s="1121">
        <v>0.34</v>
      </c>
      <c r="H42" s="1121">
        <v>0.24</v>
      </c>
      <c r="I42" s="1121">
        <v>0.2</v>
      </c>
      <c r="J42" s="1121">
        <v>0.15</v>
      </c>
    </row>
    <row r="43" spans="1:11" ht="12.75" customHeight="1">
      <c r="A43" s="766"/>
      <c r="B43"/>
      <c r="C43"/>
      <c r="D43"/>
      <c r="E43"/>
      <c r="F43"/>
      <c r="G43"/>
      <c r="H43"/>
      <c r="I43"/>
      <c r="J43"/>
    </row>
    <row r="44" spans="1:11" ht="16.5" customHeight="1">
      <c r="A44" s="767" t="s">
        <v>1000</v>
      </c>
      <c r="B44" s="768" t="s">
        <v>968</v>
      </c>
      <c r="C44" s="768" t="s">
        <v>969</v>
      </c>
      <c r="D44" s="768" t="s">
        <v>970</v>
      </c>
      <c r="E44" s="768" t="s">
        <v>971</v>
      </c>
      <c r="G44" s="2"/>
    </row>
    <row r="45" spans="1:11" ht="15.75" customHeight="1">
      <c r="A45" s="769" t="s">
        <v>2093</v>
      </c>
      <c r="B45" s="770" t="s">
        <v>2094</v>
      </c>
      <c r="C45" s="771">
        <v>0.2</v>
      </c>
      <c r="D45" s="771">
        <v>0.2</v>
      </c>
      <c r="E45" s="771">
        <v>0.15</v>
      </c>
      <c r="G45" s="2"/>
    </row>
    <row r="46" spans="1:11" ht="14.25" customHeight="1">
      <c r="A46" s="772">
        <v>2007</v>
      </c>
      <c r="B46" s="773" t="s">
        <v>2094</v>
      </c>
      <c r="C46" s="774">
        <v>0.18</v>
      </c>
      <c r="D46" s="774">
        <v>0.16</v>
      </c>
      <c r="E46" s="774">
        <v>0.13</v>
      </c>
      <c r="F46"/>
      <c r="G46"/>
      <c r="H46"/>
      <c r="I46"/>
      <c r="J46"/>
    </row>
    <row r="47" spans="1:11" ht="14.25" customHeight="1">
      <c r="A47" s="775">
        <v>2008</v>
      </c>
      <c r="B47" s="776" t="s">
        <v>2094</v>
      </c>
      <c r="C47" s="777">
        <v>0.16</v>
      </c>
      <c r="D47" s="777">
        <v>0.12</v>
      </c>
      <c r="E47" s="777">
        <v>0.11</v>
      </c>
      <c r="G47" s="2"/>
    </row>
    <row r="48" spans="1:11" ht="14.25" customHeight="1">
      <c r="A48" s="775">
        <v>2009</v>
      </c>
      <c r="B48" s="776" t="s">
        <v>2094</v>
      </c>
      <c r="C48" s="777">
        <v>0.15</v>
      </c>
      <c r="D48" s="777">
        <v>0.1</v>
      </c>
      <c r="E48" s="777">
        <v>0.1</v>
      </c>
      <c r="G48" s="2"/>
    </row>
    <row r="49" spans="1:7" ht="9" customHeight="1">
      <c r="A49" s="778"/>
      <c r="C49" s="2"/>
      <c r="E49" s="2"/>
      <c r="G49" s="2"/>
    </row>
    <row r="50" spans="1:7" ht="15" customHeight="1">
      <c r="A50" s="778" t="s">
        <v>2095</v>
      </c>
      <c r="C50" s="2"/>
      <c r="E50" s="2"/>
      <c r="G50" s="2"/>
    </row>
    <row r="51" spans="1:7" ht="15" customHeight="1">
      <c r="A51" s="1115" t="s">
        <v>972</v>
      </c>
      <c r="C51" s="2"/>
      <c r="E51" s="2"/>
      <c r="G51" s="2"/>
    </row>
    <row r="52" spans="1:7" ht="11.25" customHeight="1">
      <c r="A52" s="778"/>
      <c r="C52" s="2"/>
      <c r="E52" s="2"/>
      <c r="G52" s="2"/>
    </row>
    <row r="53" spans="1:7" ht="14.25" customHeight="1">
      <c r="A53" s="779" t="s">
        <v>2096</v>
      </c>
      <c r="C53" s="2"/>
      <c r="E53" s="2"/>
      <c r="G53" s="2"/>
    </row>
    <row r="54" spans="1:7" ht="16.5" customHeight="1">
      <c r="A54" s="778" t="s">
        <v>2097</v>
      </c>
      <c r="C54" s="2"/>
      <c r="E54" s="2"/>
      <c r="G54" s="2"/>
    </row>
    <row r="55" spans="1:7" ht="11.25" customHeight="1">
      <c r="A55" s="778"/>
      <c r="C55" s="2"/>
      <c r="E55" s="2"/>
      <c r="G55" s="2"/>
    </row>
    <row r="56" spans="1:7" ht="13.5" customHeight="1">
      <c r="A56" s="779" t="s">
        <v>2098</v>
      </c>
      <c r="C56" s="2"/>
      <c r="E56" s="2"/>
      <c r="G56" s="2"/>
    </row>
    <row r="57" spans="1:7" ht="13.5" customHeight="1">
      <c r="A57" s="778" t="s">
        <v>2099</v>
      </c>
      <c r="C57" s="2"/>
      <c r="E57" s="2"/>
      <c r="G57" s="2"/>
    </row>
    <row r="58" spans="1:7" ht="16.5" customHeight="1">
      <c r="A58" s="778" t="s">
        <v>2100</v>
      </c>
      <c r="C58" s="2"/>
      <c r="E58" s="2"/>
      <c r="G58" s="2"/>
    </row>
    <row r="59" spans="1:7" ht="11.25" customHeight="1">
      <c r="A59" s="778"/>
      <c r="C59" s="2"/>
      <c r="E59" s="2"/>
      <c r="G59" s="2"/>
    </row>
    <row r="60" spans="1:7" ht="17.25" customHeight="1">
      <c r="A60" s="764" t="s">
        <v>2101</v>
      </c>
      <c r="C60" s="2"/>
      <c r="E60" s="2"/>
      <c r="G60" s="2"/>
    </row>
    <row r="61" spans="1:7" ht="16.5" customHeight="1">
      <c r="A61" s="766" t="s">
        <v>2102</v>
      </c>
      <c r="C61" s="2"/>
      <c r="E61" s="2"/>
      <c r="G61" s="2"/>
    </row>
    <row r="62" spans="1:7" ht="16.5" customHeight="1">
      <c r="A62" s="764" t="s">
        <v>682</v>
      </c>
      <c r="C62" s="2"/>
      <c r="E62" s="2"/>
      <c r="G62" s="2"/>
    </row>
    <row r="63" spans="1:7" ht="10.5" customHeight="1">
      <c r="A63" s="780"/>
      <c r="C63" s="2"/>
      <c r="E63" s="2"/>
      <c r="G63" s="2"/>
    </row>
    <row r="64" spans="1:7" ht="17.25" customHeight="1">
      <c r="A64" s="764" t="s">
        <v>2103</v>
      </c>
      <c r="C64" s="2"/>
      <c r="E64" s="2"/>
      <c r="G64" s="2"/>
    </row>
    <row r="65" spans="1:10" ht="17.25" customHeight="1">
      <c r="A65" s="766" t="s">
        <v>2104</v>
      </c>
      <c r="C65" s="2"/>
      <c r="E65" s="2"/>
      <c r="G65" s="2"/>
    </row>
    <row r="66" spans="1:10" ht="16.5" customHeight="1">
      <c r="A66" s="300" t="s">
        <v>2105</v>
      </c>
      <c r="C66" s="2"/>
      <c r="E66" s="2"/>
      <c r="G66" s="2"/>
    </row>
    <row r="67" spans="1:10" ht="10.5" customHeight="1">
      <c r="A67" s="300"/>
      <c r="C67" s="2"/>
      <c r="E67" s="2"/>
      <c r="G67" s="2"/>
    </row>
    <row r="68" spans="1:10" ht="14.25" customHeight="1">
      <c r="A68" s="764" t="s">
        <v>2106</v>
      </c>
      <c r="C68" s="2"/>
      <c r="E68" s="2"/>
      <c r="G68" s="2"/>
    </row>
    <row r="69" spans="1:10" ht="17.25" customHeight="1">
      <c r="A69" s="781" t="s">
        <v>2107</v>
      </c>
      <c r="C69" s="2"/>
      <c r="E69" s="2"/>
      <c r="G69" s="2"/>
    </row>
    <row r="70" spans="1:10" ht="9.75" customHeight="1">
      <c r="C70" s="2"/>
      <c r="E70" s="2"/>
      <c r="G70" s="2"/>
    </row>
    <row r="71" spans="1:10" ht="18" customHeight="1">
      <c r="A71" s="764" t="s">
        <v>2108</v>
      </c>
      <c r="C71" s="2"/>
      <c r="E71" s="2"/>
      <c r="G71" s="2"/>
    </row>
    <row r="72" spans="1:10" ht="12" customHeight="1">
      <c r="A72" s="778"/>
      <c r="C72" s="2"/>
      <c r="E72" s="2"/>
      <c r="G72" s="2"/>
    </row>
    <row r="73" spans="1:10" ht="15" customHeight="1">
      <c r="B73" s="782" t="s">
        <v>2109</v>
      </c>
      <c r="C73" s="2"/>
      <c r="E73" s="2"/>
      <c r="G73" s="2"/>
    </row>
    <row r="74" spans="1:10">
      <c r="A74" s="783">
        <v>0</v>
      </c>
      <c r="B74" s="784" t="s">
        <v>2110</v>
      </c>
      <c r="C74" s="3"/>
      <c r="D74" s="3"/>
      <c r="E74" s="3"/>
      <c r="G74" s="2"/>
    </row>
    <row r="75" spans="1:10">
      <c r="A75" s="783">
        <v>1</v>
      </c>
      <c r="B75" s="784" t="s">
        <v>1655</v>
      </c>
      <c r="C75" s="3"/>
      <c r="D75" s="3"/>
      <c r="E75" s="3"/>
      <c r="G75" s="785" t="s">
        <v>1881</v>
      </c>
      <c r="H75" s="786" t="s">
        <v>1656</v>
      </c>
      <c r="I75" s="3"/>
      <c r="J75" s="3"/>
    </row>
    <row r="76" spans="1:10">
      <c r="A76" s="783">
        <v>2</v>
      </c>
      <c r="B76" s="784" t="s">
        <v>1657</v>
      </c>
      <c r="C76" s="3"/>
      <c r="D76" s="3"/>
      <c r="E76" s="3"/>
      <c r="G76" s="783" t="s">
        <v>1895</v>
      </c>
      <c r="H76" s="784" t="s">
        <v>1658</v>
      </c>
      <c r="I76" s="3"/>
      <c r="J76" s="3"/>
    </row>
    <row r="77" spans="1:10">
      <c r="A77" s="783" t="s">
        <v>1431</v>
      </c>
      <c r="B77" s="784" t="s">
        <v>1659</v>
      </c>
      <c r="C77" s="3"/>
      <c r="D77" s="3"/>
      <c r="E77" s="3"/>
      <c r="G77" s="787" t="s">
        <v>1883</v>
      </c>
      <c r="H77" s="786" t="s">
        <v>651</v>
      </c>
      <c r="I77" s="3"/>
      <c r="J77" s="3"/>
    </row>
    <row r="78" spans="1:10">
      <c r="A78" s="783" t="s">
        <v>1433</v>
      </c>
      <c r="B78" s="786" t="s">
        <v>652</v>
      </c>
      <c r="C78" s="3"/>
      <c r="D78" s="3"/>
      <c r="E78" s="3"/>
      <c r="G78" s="785" t="s">
        <v>653</v>
      </c>
      <c r="H78" s="786" t="s">
        <v>654</v>
      </c>
      <c r="I78" s="3"/>
      <c r="J78" s="3"/>
    </row>
    <row r="79" spans="1:10">
      <c r="A79" s="783" t="s">
        <v>655</v>
      </c>
      <c r="B79" s="784" t="s">
        <v>656</v>
      </c>
      <c r="C79" s="3"/>
      <c r="D79" s="3"/>
      <c r="E79" s="3"/>
      <c r="G79" s="788">
        <v>10</v>
      </c>
      <c r="H79" s="789" t="s">
        <v>657</v>
      </c>
      <c r="I79" s="3"/>
      <c r="J79" s="3"/>
    </row>
    <row r="80" spans="1:10">
      <c r="A80" s="783" t="s">
        <v>658</v>
      </c>
      <c r="B80" s="784" t="s">
        <v>659</v>
      </c>
      <c r="C80" s="3"/>
      <c r="D80" s="3"/>
      <c r="E80" s="3"/>
      <c r="G80" s="788" t="s">
        <v>660</v>
      </c>
      <c r="H80" s="1114" t="s">
        <v>975</v>
      </c>
      <c r="I80" s="3"/>
      <c r="J80" s="3"/>
    </row>
    <row r="81" spans="1:10">
      <c r="A81" s="783" t="s">
        <v>661</v>
      </c>
      <c r="B81" s="784" t="s">
        <v>662</v>
      </c>
      <c r="C81" s="3"/>
      <c r="D81" s="3"/>
      <c r="E81" s="3"/>
      <c r="G81" s="788" t="s">
        <v>663</v>
      </c>
      <c r="H81" s="789" t="s">
        <v>664</v>
      </c>
      <c r="I81" s="3"/>
      <c r="J81" s="3"/>
    </row>
    <row r="82" spans="1:10">
      <c r="A82" s="783" t="s">
        <v>665</v>
      </c>
      <c r="B82" s="784" t="s">
        <v>666</v>
      </c>
      <c r="C82" s="3"/>
      <c r="D82" s="3"/>
      <c r="E82" s="3"/>
      <c r="G82" s="788" t="s">
        <v>667</v>
      </c>
      <c r="H82" s="789" t="s">
        <v>668</v>
      </c>
      <c r="I82" s="3"/>
      <c r="J82" s="3"/>
    </row>
    <row r="83" spans="1:10">
      <c r="A83" s="787" t="s">
        <v>669</v>
      </c>
      <c r="B83" s="786" t="s">
        <v>670</v>
      </c>
      <c r="C83" s="3"/>
      <c r="D83" s="3"/>
      <c r="E83" s="3"/>
      <c r="G83" s="788" t="s">
        <v>341</v>
      </c>
      <c r="H83" s="786" t="s">
        <v>671</v>
      </c>
      <c r="I83" s="3"/>
      <c r="J83" s="3"/>
    </row>
    <row r="84" spans="1:10">
      <c r="A84" s="790" t="s">
        <v>1890</v>
      </c>
      <c r="B84" s="784" t="s">
        <v>672</v>
      </c>
      <c r="C84" s="3"/>
      <c r="D84" s="3"/>
      <c r="E84" s="3"/>
      <c r="G84" s="788" t="s">
        <v>1886</v>
      </c>
      <c r="H84" s="786" t="s">
        <v>673</v>
      </c>
      <c r="I84" s="3"/>
      <c r="J84" s="3"/>
    </row>
    <row r="85" spans="1:10">
      <c r="A85" s="785" t="s">
        <v>1874</v>
      </c>
      <c r="B85" s="784" t="s">
        <v>674</v>
      </c>
      <c r="C85" s="3"/>
      <c r="D85" s="3"/>
      <c r="E85" s="3"/>
      <c r="G85" s="788" t="s">
        <v>344</v>
      </c>
      <c r="H85" s="786" t="s">
        <v>675</v>
      </c>
      <c r="I85" s="3"/>
      <c r="J85" s="3"/>
    </row>
    <row r="86" spans="1:10">
      <c r="A86" s="783">
        <v>7</v>
      </c>
      <c r="B86" s="784" t="s">
        <v>676</v>
      </c>
      <c r="C86" s="3"/>
      <c r="D86" s="3"/>
      <c r="E86" s="3"/>
      <c r="G86" s="788" t="s">
        <v>1888</v>
      </c>
      <c r="H86" s="786" t="s">
        <v>677</v>
      </c>
      <c r="I86" s="3"/>
      <c r="J86" s="3"/>
    </row>
    <row r="87" spans="1:10">
      <c r="A87" s="783"/>
      <c r="B87" s="784" t="s">
        <v>678</v>
      </c>
      <c r="C87" s="3"/>
      <c r="D87" s="3"/>
      <c r="E87" s="3"/>
      <c r="G87" s="788">
        <v>14</v>
      </c>
      <c r="H87" s="789" t="s">
        <v>679</v>
      </c>
      <c r="I87" s="3"/>
      <c r="J87" s="3"/>
    </row>
    <row r="88" spans="1:10">
      <c r="A88" s="783" t="s">
        <v>1893</v>
      </c>
      <c r="B88" s="784" t="s">
        <v>680</v>
      </c>
      <c r="C88" s="3"/>
      <c r="D88" s="3"/>
      <c r="E88" s="3"/>
      <c r="G88" s="788">
        <v>15</v>
      </c>
      <c r="H88" s="786" t="s">
        <v>681</v>
      </c>
      <c r="I88" s="3"/>
      <c r="J88" s="3"/>
    </row>
    <row r="89" spans="1:10">
      <c r="E89" s="3"/>
      <c r="G89" s="2"/>
    </row>
    <row r="90" spans="1:10" ht="6.75" customHeight="1">
      <c r="E90" s="3"/>
      <c r="G90" s="2"/>
    </row>
    <row r="91" spans="1:10">
      <c r="A91" s="791" t="s">
        <v>1256</v>
      </c>
      <c r="B91" s="789"/>
      <c r="C91" s="3"/>
      <c r="D91" s="3"/>
      <c r="E91" s="3"/>
      <c r="G91" s="2"/>
    </row>
    <row r="92" spans="1:10">
      <c r="A92" s="788"/>
      <c r="B92" s="789"/>
      <c r="C92" s="3"/>
      <c r="D92" s="3"/>
      <c r="E92" s="3"/>
      <c r="G92" s="2"/>
    </row>
    <row r="93" spans="1:10" ht="7.5" customHeight="1">
      <c r="A93" s="788"/>
      <c r="B93" s="789"/>
      <c r="C93" s="3"/>
      <c r="D93" s="3"/>
      <c r="E93" s="3"/>
      <c r="G93" s="2"/>
    </row>
    <row r="94" spans="1:10">
      <c r="A94" s="792" t="s">
        <v>634</v>
      </c>
      <c r="B94" s="789"/>
      <c r="C94" s="3"/>
      <c r="D94" s="3"/>
      <c r="E94" s="3"/>
      <c r="G94" s="2"/>
    </row>
    <row r="95" spans="1:10">
      <c r="C95" s="2"/>
      <c r="E95" s="2"/>
      <c r="G95" s="2"/>
    </row>
  </sheetData>
  <mergeCells count="1">
    <mergeCell ref="A1:H1"/>
  </mergeCells>
  <phoneticPr fontId="0" type="noConversion"/>
  <pageMargins left="0.53" right="0.53" top="0.38" bottom="0.23" header="0.27" footer="0.19"/>
  <pageSetup paperSize="9" scale="63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F4CD-ADC9-904E-AB4B-FE04DB010081}">
  <sheetPr>
    <pageSetUpPr fitToPage="1"/>
  </sheetPr>
  <dimension ref="A1:I120"/>
  <sheetViews>
    <sheetView topLeftCell="A94" zoomScale="75" workbookViewId="0">
      <selection activeCell="A108" sqref="A108"/>
    </sheetView>
  </sheetViews>
  <sheetFormatPr baseColWidth="10" defaultColWidth="11.3984375" defaultRowHeight="13"/>
  <cols>
    <col min="1" max="1" width="5.796875" style="2" customWidth="1"/>
    <col min="2" max="2" width="52.59765625" style="95" customWidth="1"/>
    <col min="3" max="3" width="12.796875" style="95" customWidth="1"/>
    <col min="4" max="4" width="10.796875" style="95" customWidth="1"/>
    <col min="5" max="5" width="10.796875" style="2" customWidth="1"/>
    <col min="6" max="7" width="10.796875" style="8" customWidth="1"/>
    <col min="8" max="9" width="10.796875" style="2" customWidth="1"/>
    <col min="10" max="10" width="6.19921875" style="2" customWidth="1"/>
    <col min="11" max="16384" width="11.3984375" style="2"/>
  </cols>
  <sheetData>
    <row r="1" spans="1:9" s="1" customFormat="1" ht="14" customHeight="1">
      <c r="B1" s="166"/>
      <c r="C1" s="166"/>
      <c r="D1" s="166"/>
      <c r="F1" s="274"/>
      <c r="G1" s="274"/>
    </row>
    <row r="2" spans="1:9" s="1" customFormat="1" ht="19.5" customHeight="1">
      <c r="A2" s="56" t="s">
        <v>850</v>
      </c>
      <c r="C2" s="166"/>
      <c r="D2" s="166"/>
      <c r="F2" s="274"/>
      <c r="G2" s="274"/>
      <c r="H2" s="17"/>
      <c r="I2" s="731">
        <v>2007</v>
      </c>
    </row>
    <row r="3" spans="1:9" s="1" customFormat="1" ht="14.25" customHeight="1" thickBot="1">
      <c r="A3" s="732"/>
      <c r="B3" s="733"/>
      <c r="C3" s="733"/>
      <c r="D3" s="733"/>
      <c r="E3" s="732"/>
      <c r="F3" s="734"/>
      <c r="G3" s="734"/>
      <c r="H3" s="732"/>
      <c r="I3" s="732"/>
    </row>
    <row r="4" spans="1:9" ht="18" customHeight="1">
      <c r="A4" s="64" t="s">
        <v>1652</v>
      </c>
      <c r="B4" s="64" t="s">
        <v>2063</v>
      </c>
      <c r="C4" s="65" t="s">
        <v>851</v>
      </c>
      <c r="D4" s="66" t="s">
        <v>1488</v>
      </c>
      <c r="E4" s="67" t="s">
        <v>535</v>
      </c>
      <c r="F4" s="68" t="s">
        <v>852</v>
      </c>
      <c r="G4" s="67" t="s">
        <v>431</v>
      </c>
      <c r="H4" s="68" t="s">
        <v>853</v>
      </c>
      <c r="I4" s="65" t="s">
        <v>853</v>
      </c>
    </row>
    <row r="5" spans="1:9" ht="15" customHeight="1">
      <c r="A5" s="64" t="s">
        <v>621</v>
      </c>
      <c r="B5" s="64"/>
      <c r="C5" s="65" t="s">
        <v>854</v>
      </c>
      <c r="D5" s="66"/>
      <c r="E5" s="65"/>
      <c r="F5" s="68" t="s">
        <v>1112</v>
      </c>
      <c r="G5" s="67" t="s">
        <v>1052</v>
      </c>
      <c r="H5" s="68" t="s">
        <v>2042</v>
      </c>
      <c r="I5" s="65" t="s">
        <v>2043</v>
      </c>
    </row>
    <row r="6" spans="1:9" ht="15" customHeight="1">
      <c r="A6" s="64"/>
      <c r="B6" s="64"/>
      <c r="C6" s="65" t="s">
        <v>2044</v>
      </c>
      <c r="D6" s="66"/>
      <c r="E6" s="65"/>
      <c r="F6" s="68" t="s">
        <v>2045</v>
      </c>
      <c r="G6" s="67"/>
      <c r="H6" s="68" t="s">
        <v>2046</v>
      </c>
      <c r="I6" s="65"/>
    </row>
    <row r="7" spans="1:9" ht="15" customHeight="1">
      <c r="A7" s="64"/>
      <c r="B7" s="64"/>
      <c r="C7" s="65" t="s">
        <v>2047</v>
      </c>
      <c r="D7" s="66" t="s">
        <v>2048</v>
      </c>
      <c r="E7" s="65" t="s">
        <v>2048</v>
      </c>
      <c r="F7" s="66" t="s">
        <v>2049</v>
      </c>
      <c r="G7" s="65" t="s">
        <v>2048</v>
      </c>
      <c r="H7" s="66" t="s">
        <v>2048</v>
      </c>
      <c r="I7" s="65" t="s">
        <v>2048</v>
      </c>
    </row>
    <row r="8" spans="1:9" ht="15" customHeight="1">
      <c r="A8" s="64"/>
      <c r="B8" s="64"/>
      <c r="C8" s="65" t="s">
        <v>2050</v>
      </c>
      <c r="D8" s="66" t="s">
        <v>2051</v>
      </c>
      <c r="E8" s="65" t="s">
        <v>2051</v>
      </c>
      <c r="F8" s="66" t="s">
        <v>2048</v>
      </c>
      <c r="G8" s="65" t="s">
        <v>2051</v>
      </c>
      <c r="H8" s="66" t="s">
        <v>2051</v>
      </c>
      <c r="I8" s="65" t="s">
        <v>2051</v>
      </c>
    </row>
    <row r="9" spans="1:9" ht="15" customHeight="1">
      <c r="A9" s="64"/>
      <c r="B9" s="64"/>
      <c r="C9" s="65"/>
      <c r="D9" s="66"/>
      <c r="E9" s="65"/>
      <c r="F9" s="66" t="s">
        <v>2051</v>
      </c>
      <c r="G9" s="67"/>
      <c r="H9" s="66"/>
      <c r="I9" s="65"/>
    </row>
    <row r="10" spans="1:9" ht="18" customHeight="1" thickBot="1">
      <c r="A10" s="735">
        <v>0</v>
      </c>
      <c r="B10" s="735"/>
      <c r="C10" s="736">
        <v>1</v>
      </c>
      <c r="D10" s="737">
        <v>2</v>
      </c>
      <c r="E10" s="736">
        <v>3</v>
      </c>
      <c r="F10" s="738">
        <v>4</v>
      </c>
      <c r="G10" s="739">
        <v>5</v>
      </c>
      <c r="H10" s="737">
        <v>6</v>
      </c>
      <c r="I10" s="736">
        <v>7</v>
      </c>
    </row>
    <row r="11" spans="1:9" ht="15.75" customHeight="1" thickBot="1">
      <c r="A11" s="78">
        <v>8</v>
      </c>
      <c r="B11" s="740" t="s">
        <v>730</v>
      </c>
      <c r="C11" s="741" t="s">
        <v>489</v>
      </c>
      <c r="D11" s="742">
        <v>1469.4</v>
      </c>
      <c r="E11" s="743">
        <v>1167.1038500000002</v>
      </c>
      <c r="F11" s="742">
        <v>81.564340000000001</v>
      </c>
      <c r="G11" s="743">
        <v>246.13834999999997</v>
      </c>
      <c r="H11" s="742">
        <v>2000</v>
      </c>
      <c r="I11" s="744">
        <v>9265.9814900000001</v>
      </c>
    </row>
    <row r="12" spans="1:9" ht="14" thickBot="1">
      <c r="A12" s="745">
        <v>32</v>
      </c>
      <c r="B12" s="746" t="s">
        <v>731</v>
      </c>
      <c r="C12" s="741" t="s">
        <v>489</v>
      </c>
      <c r="D12" s="747">
        <v>1589.3</v>
      </c>
      <c r="E12" s="748">
        <v>681.96010000000001</v>
      </c>
      <c r="F12" s="747">
        <v>126.4015</v>
      </c>
      <c r="G12" s="748">
        <v>250.22227999999998</v>
      </c>
      <c r="H12" s="747">
        <v>800</v>
      </c>
      <c r="I12" s="749">
        <v>821.2368100000001</v>
      </c>
    </row>
    <row r="13" spans="1:9" ht="14" thickBot="1">
      <c r="A13" s="745">
        <v>57</v>
      </c>
      <c r="B13" s="746" t="s">
        <v>200</v>
      </c>
      <c r="C13" s="741" t="s">
        <v>489</v>
      </c>
      <c r="D13" s="747">
        <v>33214.1</v>
      </c>
      <c r="E13" s="748">
        <v>25273.880450000001</v>
      </c>
      <c r="F13" s="747">
        <v>4131.3855000000003</v>
      </c>
      <c r="G13" s="748">
        <v>2526.43066</v>
      </c>
      <c r="H13" s="747">
        <v>3480</v>
      </c>
      <c r="I13" s="749">
        <v>29864.459629999998</v>
      </c>
    </row>
    <row r="14" spans="1:9" ht="14" thickBot="1">
      <c r="A14" s="745">
        <v>97</v>
      </c>
      <c r="B14" s="746" t="s">
        <v>733</v>
      </c>
      <c r="C14" s="741" t="s">
        <v>489</v>
      </c>
      <c r="D14" s="747">
        <v>54.6</v>
      </c>
      <c r="E14" s="748">
        <v>11.2272</v>
      </c>
      <c r="F14" s="747">
        <v>0.30685000000000001</v>
      </c>
      <c r="G14" s="748">
        <v>8.663450000000001</v>
      </c>
      <c r="H14" s="747">
        <v>30</v>
      </c>
      <c r="I14" s="749">
        <v>40</v>
      </c>
    </row>
    <row r="15" spans="1:9" ht="14" thickBot="1">
      <c r="A15" s="745">
        <v>134</v>
      </c>
      <c r="B15" s="746" t="s">
        <v>734</v>
      </c>
      <c r="C15" s="741" t="s">
        <v>489</v>
      </c>
      <c r="D15" s="747">
        <v>112.8</v>
      </c>
      <c r="E15" s="748">
        <v>143.995</v>
      </c>
      <c r="F15" s="747">
        <v>15.5845</v>
      </c>
      <c r="G15" s="748">
        <v>-36.371749999999999</v>
      </c>
      <c r="H15" s="747">
        <v>100</v>
      </c>
      <c r="I15" s="749">
        <v>369.55695000000003</v>
      </c>
    </row>
    <row r="16" spans="1:9" ht="14" thickBot="1">
      <c r="A16" s="745">
        <v>160</v>
      </c>
      <c r="B16" s="746" t="s">
        <v>735</v>
      </c>
      <c r="C16" s="741" t="s">
        <v>489</v>
      </c>
      <c r="D16" s="747">
        <v>1388.1</v>
      </c>
      <c r="E16" s="748">
        <v>951.96001000000001</v>
      </c>
      <c r="F16" s="747">
        <v>211.77185999999998</v>
      </c>
      <c r="G16" s="748">
        <v>355.35998000000001</v>
      </c>
      <c r="H16" s="747">
        <v>130</v>
      </c>
      <c r="I16" s="749">
        <v>1903.0964799999999</v>
      </c>
    </row>
    <row r="17" spans="1:9" ht="14" thickBot="1">
      <c r="A17" s="745">
        <v>178</v>
      </c>
      <c r="B17" s="746" t="s">
        <v>736</v>
      </c>
      <c r="C17" s="741" t="s">
        <v>489</v>
      </c>
      <c r="D17" s="747">
        <v>37</v>
      </c>
      <c r="E17" s="748">
        <v>26.126999999999999</v>
      </c>
      <c r="F17" s="747">
        <v>3.6998000000000002</v>
      </c>
      <c r="G17" s="748">
        <v>9.911900000000001</v>
      </c>
      <c r="H17" s="747">
        <v>0</v>
      </c>
      <c r="I17" s="749">
        <v>183.04599999999999</v>
      </c>
    </row>
    <row r="18" spans="1:9" ht="14" thickBot="1">
      <c r="A18" s="745">
        <v>182</v>
      </c>
      <c r="B18" s="746" t="s">
        <v>737</v>
      </c>
      <c r="C18" s="741" t="s">
        <v>489</v>
      </c>
      <c r="D18" s="747">
        <v>5.8</v>
      </c>
      <c r="E18" s="748">
        <v>2.6884999999999999</v>
      </c>
      <c r="F18" s="747">
        <v>7.4214700000000002</v>
      </c>
      <c r="G18" s="748">
        <v>6.0605600000000006</v>
      </c>
      <c r="H18" s="747">
        <v>0</v>
      </c>
      <c r="I18" s="749">
        <v>375.07301000000001</v>
      </c>
    </row>
    <row r="19" spans="1:9" ht="14" thickBot="1">
      <c r="A19" s="745">
        <v>194</v>
      </c>
      <c r="B19" s="746" t="s">
        <v>738</v>
      </c>
      <c r="C19" s="741" t="s">
        <v>489</v>
      </c>
      <c r="D19" s="747">
        <v>1242.8</v>
      </c>
      <c r="E19" s="748">
        <v>979.96870000000013</v>
      </c>
      <c r="F19" s="747">
        <v>153.83688000000001</v>
      </c>
      <c r="G19" s="748">
        <v>121.65726000000001</v>
      </c>
      <c r="H19" s="747">
        <v>550</v>
      </c>
      <c r="I19" s="749">
        <v>1312.8980200000001</v>
      </c>
    </row>
    <row r="20" spans="1:9" ht="14" thickBot="1">
      <c r="A20" s="745">
        <v>216</v>
      </c>
      <c r="B20" s="746" t="s">
        <v>739</v>
      </c>
      <c r="C20" s="741" t="s">
        <v>489</v>
      </c>
      <c r="D20" s="747">
        <v>120.3</v>
      </c>
      <c r="E20" s="748">
        <v>124.77123</v>
      </c>
      <c r="F20" s="747">
        <v>27.429200000000002</v>
      </c>
      <c r="G20" s="748">
        <v>-23.941749999999999</v>
      </c>
      <c r="H20" s="747">
        <v>15</v>
      </c>
      <c r="I20" s="749">
        <v>252.00807</v>
      </c>
    </row>
    <row r="21" spans="1:9" ht="14" thickBot="1">
      <c r="A21" s="745">
        <v>246</v>
      </c>
      <c r="B21" s="746" t="s">
        <v>740</v>
      </c>
      <c r="C21" s="741" t="s">
        <v>489</v>
      </c>
      <c r="D21" s="747">
        <v>35</v>
      </c>
      <c r="E21" s="748">
        <v>14.104200000000001</v>
      </c>
      <c r="F21" s="747">
        <v>22.6477</v>
      </c>
      <c r="G21" s="748">
        <v>-5.1076499999999996</v>
      </c>
      <c r="H21" s="747">
        <v>28.349450000000001</v>
      </c>
      <c r="I21" s="749">
        <v>229.12130000000002</v>
      </c>
    </row>
    <row r="22" spans="1:9" ht="14" thickBot="1">
      <c r="A22" s="745">
        <v>261</v>
      </c>
      <c r="B22" s="746" t="s">
        <v>741</v>
      </c>
      <c r="C22" s="741" t="s">
        <v>489</v>
      </c>
      <c r="D22" s="747">
        <v>250.9</v>
      </c>
      <c r="E22" s="748">
        <v>120.09699999999999</v>
      </c>
      <c r="F22" s="747">
        <v>97.41789</v>
      </c>
      <c r="G22" s="748">
        <v>33.468160000000005</v>
      </c>
      <c r="H22" s="747">
        <v>300</v>
      </c>
      <c r="I22" s="749">
        <v>988.32925</v>
      </c>
    </row>
    <row r="23" spans="1:9" ht="14" thickBot="1">
      <c r="A23" s="745">
        <v>263</v>
      </c>
      <c r="B23" s="746" t="s">
        <v>817</v>
      </c>
      <c r="C23" s="741" t="s">
        <v>489</v>
      </c>
      <c r="D23" s="747">
        <v>8847</v>
      </c>
      <c r="E23" s="748">
        <v>5330.8045899999997</v>
      </c>
      <c r="F23" s="747">
        <v>1823.5232599999997</v>
      </c>
      <c r="G23" s="748">
        <v>2364.9952300000004</v>
      </c>
      <c r="H23" s="747">
        <v>1330</v>
      </c>
      <c r="I23" s="749">
        <v>17205.44369</v>
      </c>
    </row>
    <row r="24" spans="1:9" ht="14" thickBot="1">
      <c r="A24" s="745">
        <v>290</v>
      </c>
      <c r="B24" s="746" t="s">
        <v>743</v>
      </c>
      <c r="C24" s="741" t="s">
        <v>489</v>
      </c>
      <c r="D24" s="747">
        <v>11021.6</v>
      </c>
      <c r="E24" s="748">
        <v>8702.0361499999999</v>
      </c>
      <c r="F24" s="747">
        <v>1897.0472199999999</v>
      </c>
      <c r="G24" s="748">
        <v>366.57587999999998</v>
      </c>
      <c r="H24" s="747">
        <v>1314.87175</v>
      </c>
      <c r="I24" s="749">
        <v>4367.6866900000005</v>
      </c>
    </row>
    <row r="25" spans="1:9" ht="14" thickBot="1">
      <c r="A25" s="745">
        <v>294</v>
      </c>
      <c r="B25" s="746" t="s">
        <v>744</v>
      </c>
      <c r="C25" s="741" t="s">
        <v>489</v>
      </c>
      <c r="D25" s="747">
        <v>77.400000000000006</v>
      </c>
      <c r="E25" s="748">
        <v>55.314999999999998</v>
      </c>
      <c r="F25" s="747">
        <v>31.213740000000001</v>
      </c>
      <c r="G25" s="748">
        <v>-12.77031</v>
      </c>
      <c r="H25" s="747">
        <v>51</v>
      </c>
      <c r="I25" s="749">
        <v>109.605</v>
      </c>
    </row>
    <row r="26" spans="1:9" ht="14" thickBot="1">
      <c r="A26" s="745">
        <v>312</v>
      </c>
      <c r="B26" s="746" t="s">
        <v>745</v>
      </c>
      <c r="C26" s="741" t="s">
        <v>489</v>
      </c>
      <c r="D26" s="747">
        <v>572.6</v>
      </c>
      <c r="E26" s="748">
        <v>523.28840000000002</v>
      </c>
      <c r="F26" s="747">
        <v>21.295860000000001</v>
      </c>
      <c r="G26" s="748">
        <v>31.04562</v>
      </c>
      <c r="H26" s="747">
        <v>173</v>
      </c>
      <c r="I26" s="749">
        <v>2799.4391900000001</v>
      </c>
    </row>
    <row r="27" spans="1:9" ht="14" thickBot="1">
      <c r="A27" s="745">
        <v>343</v>
      </c>
      <c r="B27" s="746" t="s">
        <v>818</v>
      </c>
      <c r="C27" s="741" t="s">
        <v>489</v>
      </c>
      <c r="D27" s="747">
        <v>1447.4</v>
      </c>
      <c r="E27" s="748">
        <v>690.58866</v>
      </c>
      <c r="F27" s="747">
        <v>241.3288</v>
      </c>
      <c r="G27" s="748">
        <v>546.05468000000008</v>
      </c>
      <c r="H27" s="747">
        <v>165</v>
      </c>
      <c r="I27" s="749">
        <v>7769.8197099999998</v>
      </c>
    </row>
    <row r="28" spans="1:9" ht="14" thickBot="1">
      <c r="A28" s="745">
        <v>360</v>
      </c>
      <c r="B28" s="746" t="s">
        <v>747</v>
      </c>
      <c r="C28" s="741" t="s">
        <v>489</v>
      </c>
      <c r="D28" s="747">
        <v>983.2</v>
      </c>
      <c r="E28" s="748">
        <v>639.57555000000002</v>
      </c>
      <c r="F28" s="747">
        <v>34.678899999999999</v>
      </c>
      <c r="G28" s="748">
        <v>187.03300000000002</v>
      </c>
      <c r="H28" s="747">
        <v>523.55430000000001</v>
      </c>
      <c r="I28" s="749">
        <v>1708.58735</v>
      </c>
    </row>
    <row r="29" spans="1:9" ht="14" thickBot="1">
      <c r="A29" s="745">
        <v>376</v>
      </c>
      <c r="B29" s="746" t="s">
        <v>748</v>
      </c>
      <c r="C29" s="741" t="s">
        <v>489</v>
      </c>
      <c r="D29" s="747">
        <v>1047.9000000000001</v>
      </c>
      <c r="E29" s="748">
        <v>614.02499999999998</v>
      </c>
      <c r="F29" s="747">
        <v>45.962679999999999</v>
      </c>
      <c r="G29" s="748">
        <v>389.49272999999999</v>
      </c>
      <c r="H29" s="747">
        <v>259.5</v>
      </c>
      <c r="I29" s="749">
        <v>4060.5897400000003</v>
      </c>
    </row>
    <row r="30" spans="1:9" ht="14" thickBot="1">
      <c r="A30" s="745">
        <v>411</v>
      </c>
      <c r="B30" s="746" t="s">
        <v>819</v>
      </c>
      <c r="C30" s="741" t="s">
        <v>489</v>
      </c>
      <c r="D30" s="747">
        <v>6185.5</v>
      </c>
      <c r="E30" s="748">
        <v>4347.2880999999998</v>
      </c>
      <c r="F30" s="747">
        <v>1858.3</v>
      </c>
      <c r="G30" s="748">
        <v>-159.62135999999987</v>
      </c>
      <c r="H30" s="747">
        <v>690</v>
      </c>
      <c r="I30" s="749">
        <v>1051.20506</v>
      </c>
    </row>
    <row r="31" spans="1:9" ht="14" thickBot="1">
      <c r="A31" s="745">
        <v>445</v>
      </c>
      <c r="B31" s="746" t="s">
        <v>750</v>
      </c>
      <c r="C31" s="741" t="s">
        <v>489</v>
      </c>
      <c r="D31" s="747">
        <v>1886.5</v>
      </c>
      <c r="E31" s="748">
        <v>1120.4100100000001</v>
      </c>
      <c r="F31" s="747">
        <v>517.51435000000004</v>
      </c>
      <c r="G31" s="748">
        <v>301.56232</v>
      </c>
      <c r="H31" s="747">
        <v>150</v>
      </c>
      <c r="I31" s="749">
        <v>865.54293000000007</v>
      </c>
    </row>
    <row r="32" spans="1:9" ht="14" thickBot="1">
      <c r="A32" s="745">
        <v>455</v>
      </c>
      <c r="B32" s="746" t="s">
        <v>751</v>
      </c>
      <c r="C32" s="741" t="s">
        <v>489</v>
      </c>
      <c r="D32" s="747">
        <v>4088.6</v>
      </c>
      <c r="E32" s="748">
        <v>2610.7741000000001</v>
      </c>
      <c r="F32" s="747">
        <v>294.43505000000005</v>
      </c>
      <c r="G32" s="748">
        <v>1398.7998500000001</v>
      </c>
      <c r="H32" s="747">
        <v>1130.846</v>
      </c>
      <c r="I32" s="749">
        <v>11704.317720000001</v>
      </c>
    </row>
    <row r="33" spans="1:9" ht="14" thickBot="1">
      <c r="A33" s="745">
        <v>484</v>
      </c>
      <c r="B33" s="746" t="s">
        <v>752</v>
      </c>
      <c r="C33" s="741" t="s">
        <v>489</v>
      </c>
      <c r="D33" s="747">
        <v>11.3</v>
      </c>
      <c r="E33" s="748">
        <v>13.537600000000001</v>
      </c>
      <c r="F33" s="747">
        <v>1.72881</v>
      </c>
      <c r="G33" s="748">
        <v>10.3148</v>
      </c>
      <c r="H33" s="747">
        <v>10</v>
      </c>
      <c r="I33" s="749">
        <v>336.21252000000004</v>
      </c>
    </row>
    <row r="34" spans="1:9" ht="14" thickBot="1">
      <c r="A34" s="745">
        <v>509</v>
      </c>
      <c r="B34" s="746" t="s">
        <v>753</v>
      </c>
      <c r="C34" s="741" t="s">
        <v>489</v>
      </c>
      <c r="D34" s="747">
        <v>23.4</v>
      </c>
      <c r="E34" s="748">
        <v>5.0144000000000002</v>
      </c>
      <c r="F34" s="747">
        <v>200</v>
      </c>
      <c r="G34" s="748">
        <v>123.68889999999999</v>
      </c>
      <c r="H34" s="747">
        <v>1427.06477</v>
      </c>
      <c r="I34" s="749">
        <v>3328.2197000000001</v>
      </c>
    </row>
    <row r="35" spans="1:9" ht="14" thickBot="1">
      <c r="A35" s="745">
        <v>556</v>
      </c>
      <c r="B35" s="746" t="s">
        <v>820</v>
      </c>
      <c r="C35" s="741" t="s">
        <v>489</v>
      </c>
      <c r="D35" s="747">
        <v>414.4</v>
      </c>
      <c r="E35" s="748">
        <v>264.42685999999998</v>
      </c>
      <c r="F35" s="747">
        <v>84.946380000000005</v>
      </c>
      <c r="G35" s="748">
        <v>104.64872000000003</v>
      </c>
      <c r="H35" s="747">
        <v>42</v>
      </c>
      <c r="I35" s="749">
        <v>1172.9183700000001</v>
      </c>
    </row>
    <row r="36" spans="1:9" ht="14" thickBot="1">
      <c r="A36" s="745">
        <v>558</v>
      </c>
      <c r="B36" s="746" t="s">
        <v>755</v>
      </c>
      <c r="C36" s="741" t="s">
        <v>489</v>
      </c>
      <c r="D36" s="747">
        <v>11.4</v>
      </c>
      <c r="E36" s="748">
        <v>1.8705000000000001</v>
      </c>
      <c r="F36" s="747">
        <v>0.49213999999999997</v>
      </c>
      <c r="G36" s="748">
        <v>1.60921</v>
      </c>
      <c r="H36" s="747">
        <v>24.6</v>
      </c>
      <c r="I36" s="749">
        <v>131.77717000000001</v>
      </c>
    </row>
    <row r="37" spans="1:9" ht="14" thickBot="1">
      <c r="A37" s="745">
        <v>591</v>
      </c>
      <c r="B37" s="746" t="s">
        <v>756</v>
      </c>
      <c r="C37" s="741" t="s">
        <v>489</v>
      </c>
      <c r="D37" s="747">
        <v>1248.2</v>
      </c>
      <c r="E37" s="748">
        <v>1172.5450000000001</v>
      </c>
      <c r="F37" s="747">
        <v>41.392000000000003</v>
      </c>
      <c r="G37" s="748">
        <v>61.70185</v>
      </c>
      <c r="H37" s="747">
        <v>90</v>
      </c>
      <c r="I37" s="749">
        <v>811.57809999999995</v>
      </c>
    </row>
    <row r="38" spans="1:9" ht="14" thickBot="1">
      <c r="A38" s="745">
        <v>623</v>
      </c>
      <c r="B38" s="746" t="s">
        <v>757</v>
      </c>
      <c r="C38" s="741" t="s">
        <v>489</v>
      </c>
      <c r="D38" s="747">
        <v>49.6</v>
      </c>
      <c r="E38" s="748">
        <v>9.4250000000000007</v>
      </c>
      <c r="F38" s="747">
        <v>2</v>
      </c>
      <c r="G38" s="748">
        <v>5.3834000000000009</v>
      </c>
      <c r="H38" s="747">
        <v>4</v>
      </c>
      <c r="I38" s="749">
        <v>7.1588000000000003</v>
      </c>
    </row>
    <row r="39" spans="1:9" ht="14" thickBot="1">
      <c r="A39" s="745">
        <v>627</v>
      </c>
      <c r="B39" s="746" t="s">
        <v>758</v>
      </c>
      <c r="C39" s="741" t="s">
        <v>489</v>
      </c>
      <c r="D39" s="747">
        <v>134.30000000000001</v>
      </c>
      <c r="E39" s="748">
        <v>116.82785000000001</v>
      </c>
      <c r="F39" s="747">
        <v>5.9307000000000007</v>
      </c>
      <c r="G39" s="748">
        <v>11.83625</v>
      </c>
      <c r="H39" s="747">
        <v>10</v>
      </c>
      <c r="I39" s="749">
        <v>27.998549999999998</v>
      </c>
    </row>
    <row r="40" spans="1:9" ht="14" thickBot="1">
      <c r="A40" s="745">
        <v>749</v>
      </c>
      <c r="B40" s="746" t="s">
        <v>759</v>
      </c>
      <c r="C40" s="741" t="s">
        <v>489</v>
      </c>
      <c r="D40" s="747">
        <v>5143.8999999999996</v>
      </c>
      <c r="E40" s="748">
        <v>3140.5774500000002</v>
      </c>
      <c r="F40" s="747">
        <v>819.58249999999998</v>
      </c>
      <c r="G40" s="748">
        <v>1449.7569100000001</v>
      </c>
      <c r="H40" s="747">
        <v>700</v>
      </c>
      <c r="I40" s="749">
        <v>2993.47795</v>
      </c>
    </row>
    <row r="41" spans="1:9" ht="14" thickBot="1">
      <c r="A41" s="745">
        <v>758</v>
      </c>
      <c r="B41" s="746" t="s">
        <v>760</v>
      </c>
      <c r="C41" s="741" t="s">
        <v>489</v>
      </c>
      <c r="D41" s="747">
        <v>23.9</v>
      </c>
      <c r="E41" s="748">
        <v>37.244999999999997</v>
      </c>
      <c r="F41" s="747">
        <v>3.9377000000000004</v>
      </c>
      <c r="G41" s="748">
        <v>-0.81010000000000004</v>
      </c>
      <c r="H41" s="747">
        <v>20</v>
      </c>
      <c r="I41" s="749">
        <v>85.093170000000001</v>
      </c>
    </row>
    <row r="42" spans="1:9" ht="14" thickBot="1">
      <c r="A42" s="745">
        <v>762</v>
      </c>
      <c r="B42" s="746" t="s">
        <v>761</v>
      </c>
      <c r="C42" s="741" t="s">
        <v>489</v>
      </c>
      <c r="D42" s="747">
        <v>339.5</v>
      </c>
      <c r="E42" s="748">
        <v>122.85490000000001</v>
      </c>
      <c r="F42" s="747">
        <v>84.231660000000005</v>
      </c>
      <c r="G42" s="748">
        <v>104.44314999999999</v>
      </c>
      <c r="H42" s="747">
        <v>250</v>
      </c>
      <c r="I42" s="749">
        <v>1357.14465</v>
      </c>
    </row>
    <row r="43" spans="1:9" ht="14" thickBot="1">
      <c r="A43" s="745">
        <v>774</v>
      </c>
      <c r="B43" s="746" t="s">
        <v>762</v>
      </c>
      <c r="C43" s="741" t="s">
        <v>489</v>
      </c>
      <c r="D43" s="747">
        <v>578</v>
      </c>
      <c r="E43" s="748">
        <v>351.38706000000002</v>
      </c>
      <c r="F43" s="747">
        <v>146.91084000000001</v>
      </c>
      <c r="G43" s="748">
        <v>66.680610000000001</v>
      </c>
      <c r="H43" s="747">
        <v>105</v>
      </c>
      <c r="I43" s="749">
        <v>756.98911999999996</v>
      </c>
    </row>
    <row r="44" spans="1:9" ht="14" thickBot="1">
      <c r="A44" s="745">
        <v>780</v>
      </c>
      <c r="B44" s="746" t="s">
        <v>763</v>
      </c>
      <c r="C44" s="741" t="s">
        <v>489</v>
      </c>
      <c r="D44" s="747">
        <v>143.1</v>
      </c>
      <c r="E44" s="748">
        <v>81.171000000000006</v>
      </c>
      <c r="F44" s="747">
        <v>35.514000000000003</v>
      </c>
      <c r="G44" s="748">
        <v>17.477999999999998</v>
      </c>
      <c r="H44" s="747">
        <v>18</v>
      </c>
      <c r="I44" s="749">
        <v>162.94105000000002</v>
      </c>
    </row>
    <row r="45" spans="1:9" ht="14" thickBot="1">
      <c r="A45" s="745">
        <v>790</v>
      </c>
      <c r="B45" s="746" t="s">
        <v>764</v>
      </c>
      <c r="C45" s="741" t="s">
        <v>489</v>
      </c>
      <c r="D45" s="747">
        <v>64.400000000000006</v>
      </c>
      <c r="E45" s="748">
        <v>29.616400000000002</v>
      </c>
      <c r="F45" s="747">
        <v>5.9329999999999998</v>
      </c>
      <c r="G45" s="748">
        <v>3.9754499999999999</v>
      </c>
      <c r="H45" s="747">
        <v>19.90765</v>
      </c>
      <c r="I45" s="749">
        <v>42.609459999999999</v>
      </c>
    </row>
    <row r="46" spans="1:9" ht="14" thickBot="1">
      <c r="A46" s="745">
        <v>820</v>
      </c>
      <c r="B46" s="746" t="s">
        <v>765</v>
      </c>
      <c r="C46" s="741" t="s">
        <v>489</v>
      </c>
      <c r="D46" s="747">
        <v>320.2</v>
      </c>
      <c r="E46" s="748">
        <v>313.79435000000001</v>
      </c>
      <c r="F46" s="747">
        <v>14</v>
      </c>
      <c r="G46" s="748">
        <v>31.193249999999999</v>
      </c>
      <c r="H46" s="747">
        <v>290</v>
      </c>
      <c r="I46" s="749">
        <v>140.4134</v>
      </c>
    </row>
    <row r="47" spans="1:9" ht="14" thickBot="1">
      <c r="A47" s="745">
        <v>829</v>
      </c>
      <c r="B47" s="746" t="s">
        <v>766</v>
      </c>
      <c r="C47" s="741" t="s">
        <v>489</v>
      </c>
      <c r="D47" s="747">
        <v>645.6</v>
      </c>
      <c r="E47" s="748">
        <v>294.11054999999999</v>
      </c>
      <c r="F47" s="747">
        <v>274.54309999999998</v>
      </c>
      <c r="G47" s="748">
        <v>164.54108000000002</v>
      </c>
      <c r="H47" s="747">
        <v>390</v>
      </c>
      <c r="I47" s="749">
        <v>1568.65903</v>
      </c>
    </row>
    <row r="48" spans="1:9" ht="14" thickBot="1">
      <c r="A48" s="745">
        <v>881</v>
      </c>
      <c r="B48" s="746" t="s">
        <v>767</v>
      </c>
      <c r="C48" s="741" t="s">
        <v>489</v>
      </c>
      <c r="D48" s="747">
        <v>550</v>
      </c>
      <c r="E48" s="748">
        <v>475.39265</v>
      </c>
      <c r="F48" s="747">
        <v>117.52332000000001</v>
      </c>
      <c r="G48" s="748">
        <v>-132.65008</v>
      </c>
      <c r="H48" s="747">
        <v>241.95650000000001</v>
      </c>
      <c r="I48" s="749">
        <v>5238.2718199999999</v>
      </c>
    </row>
    <row r="49" spans="1:9" ht="14" thickBot="1">
      <c r="A49" s="745">
        <v>895</v>
      </c>
      <c r="B49" s="746" t="s">
        <v>768</v>
      </c>
      <c r="C49" s="741" t="s">
        <v>489</v>
      </c>
      <c r="D49" s="747">
        <v>7.3</v>
      </c>
      <c r="E49" s="748">
        <v>0.88</v>
      </c>
      <c r="F49" s="747">
        <v>0</v>
      </c>
      <c r="G49" s="748">
        <v>0.33550000000000002</v>
      </c>
      <c r="H49" s="747">
        <v>0</v>
      </c>
      <c r="I49" s="749">
        <v>31.3355</v>
      </c>
    </row>
    <row r="50" spans="1:9" ht="14" thickBot="1">
      <c r="A50" s="745">
        <v>901</v>
      </c>
      <c r="B50" s="746" t="s">
        <v>769</v>
      </c>
      <c r="C50" s="741" t="s">
        <v>489</v>
      </c>
      <c r="D50" s="747">
        <v>268</v>
      </c>
      <c r="E50" s="748">
        <v>150.78345000000002</v>
      </c>
      <c r="F50" s="747">
        <v>13.397700000000002</v>
      </c>
      <c r="G50" s="748">
        <v>103.77380000000001</v>
      </c>
      <c r="H50" s="747">
        <v>50</v>
      </c>
      <c r="I50" s="749">
        <v>498.19515000000001</v>
      </c>
    </row>
    <row r="51" spans="1:9" ht="14" thickBot="1">
      <c r="A51" s="745">
        <v>923</v>
      </c>
      <c r="B51" s="746" t="s">
        <v>770</v>
      </c>
      <c r="C51" s="741" t="s">
        <v>489</v>
      </c>
      <c r="D51" s="747">
        <v>148.19999999999999</v>
      </c>
      <c r="E51" s="748">
        <v>23.332000000000001</v>
      </c>
      <c r="F51" s="747">
        <v>1.1963200000000003</v>
      </c>
      <c r="G51" s="748">
        <v>157.43811000000002</v>
      </c>
      <c r="H51" s="747">
        <v>10</v>
      </c>
      <c r="I51" s="749">
        <v>3851.9297800000004</v>
      </c>
    </row>
    <row r="52" spans="1:9" ht="14" thickBot="1">
      <c r="A52" s="745">
        <v>941</v>
      </c>
      <c r="B52" s="746" t="s">
        <v>771</v>
      </c>
      <c r="C52" s="741" t="s">
        <v>489</v>
      </c>
      <c r="D52" s="747">
        <v>315.10000000000002</v>
      </c>
      <c r="E52" s="748">
        <v>397.87799999999999</v>
      </c>
      <c r="F52" s="747">
        <v>53.371300000000005</v>
      </c>
      <c r="G52" s="748">
        <v>-150</v>
      </c>
      <c r="H52" s="747">
        <v>83.230800000000002</v>
      </c>
      <c r="I52" s="749">
        <v>1434.8554999999999</v>
      </c>
    </row>
    <row r="53" spans="1:9" ht="14" thickBot="1">
      <c r="A53" s="745">
        <v>966</v>
      </c>
      <c r="B53" s="746" t="s">
        <v>821</v>
      </c>
      <c r="C53" s="741" t="s">
        <v>489</v>
      </c>
      <c r="D53" s="747">
        <v>919</v>
      </c>
      <c r="E53" s="748">
        <v>811.67174999999997</v>
      </c>
      <c r="F53" s="747">
        <v>240</v>
      </c>
      <c r="G53" s="748">
        <v>-48.566499999999998</v>
      </c>
      <c r="H53" s="747">
        <v>360</v>
      </c>
      <c r="I53" s="749">
        <v>823.61257000000012</v>
      </c>
    </row>
    <row r="54" spans="1:9" ht="14" thickBot="1">
      <c r="A54" s="745">
        <v>979</v>
      </c>
      <c r="B54" s="746" t="s">
        <v>773</v>
      </c>
      <c r="C54" s="741" t="s">
        <v>489</v>
      </c>
      <c r="D54" s="747">
        <v>11.3</v>
      </c>
      <c r="E54" s="748">
        <v>0.84</v>
      </c>
      <c r="F54" s="747">
        <v>1.0447</v>
      </c>
      <c r="G54" s="748">
        <v>0</v>
      </c>
      <c r="H54" s="747">
        <v>8.0176800000000004</v>
      </c>
      <c r="I54" s="749">
        <v>43.762149999999998</v>
      </c>
    </row>
    <row r="55" spans="1:9" ht="14" thickBot="1">
      <c r="A55" s="745">
        <v>994</v>
      </c>
      <c r="B55" s="746" t="s">
        <v>774</v>
      </c>
      <c r="C55" s="741" t="s">
        <v>489</v>
      </c>
      <c r="D55" s="747">
        <v>786</v>
      </c>
      <c r="E55" s="748">
        <v>530.63684999999998</v>
      </c>
      <c r="F55" s="747">
        <v>66.266100000000009</v>
      </c>
      <c r="G55" s="748">
        <v>-66.21435000000001</v>
      </c>
      <c r="H55" s="747">
        <v>501</v>
      </c>
      <c r="I55" s="749">
        <v>1215.9726499999999</v>
      </c>
    </row>
    <row r="56" spans="1:9" ht="14" thickBot="1">
      <c r="A56" s="745">
        <v>1003</v>
      </c>
      <c r="B56" s="746" t="s">
        <v>775</v>
      </c>
      <c r="C56" s="741" t="s">
        <v>489</v>
      </c>
      <c r="D56" s="747">
        <v>0.5</v>
      </c>
      <c r="E56" s="748">
        <v>0</v>
      </c>
      <c r="F56" s="747">
        <v>0.02</v>
      </c>
      <c r="G56" s="748">
        <v>4.0500000000000001E-2</v>
      </c>
      <c r="H56" s="747">
        <v>0</v>
      </c>
      <c r="I56" s="749">
        <v>5.65862</v>
      </c>
    </row>
    <row r="57" spans="1:9" ht="14" thickBot="1">
      <c r="A57" s="745">
        <v>1040</v>
      </c>
      <c r="B57" s="746" t="s">
        <v>776</v>
      </c>
      <c r="C57" s="741" t="s">
        <v>489</v>
      </c>
      <c r="D57" s="747">
        <v>148</v>
      </c>
      <c r="E57" s="748">
        <v>54.009450000000001</v>
      </c>
      <c r="F57" s="747">
        <v>6.4431000000000003</v>
      </c>
      <c r="G57" s="748">
        <v>53.693649999999998</v>
      </c>
      <c r="H57" s="747">
        <v>0</v>
      </c>
      <c r="I57" s="749">
        <v>626.98302999999999</v>
      </c>
    </row>
    <row r="58" spans="1:9" ht="14" thickBot="1">
      <c r="A58" s="745">
        <v>1060</v>
      </c>
      <c r="B58" s="746" t="s">
        <v>778</v>
      </c>
      <c r="C58" s="741" t="s">
        <v>489</v>
      </c>
      <c r="D58" s="747">
        <v>6333.9</v>
      </c>
      <c r="E58" s="748">
        <v>3956.1113500000001</v>
      </c>
      <c r="F58" s="747">
        <v>2380.7745599999998</v>
      </c>
      <c r="G58" s="748">
        <v>88.428229999999999</v>
      </c>
      <c r="H58" s="747">
        <v>1000</v>
      </c>
      <c r="I58" s="749">
        <v>8397.9516400000011</v>
      </c>
    </row>
    <row r="59" spans="1:9" ht="14" thickBot="1">
      <c r="A59" s="745">
        <v>1097</v>
      </c>
      <c r="B59" s="746" t="s">
        <v>779</v>
      </c>
      <c r="C59" s="741" t="s">
        <v>489</v>
      </c>
      <c r="D59" s="747">
        <v>81.5</v>
      </c>
      <c r="E59" s="748">
        <v>9.4930000000000003</v>
      </c>
      <c r="F59" s="747">
        <v>11.095940000000001</v>
      </c>
      <c r="G59" s="748">
        <v>35.858580000000003</v>
      </c>
      <c r="H59" s="747">
        <v>10</v>
      </c>
      <c r="I59" s="749">
        <v>307.38709</v>
      </c>
    </row>
    <row r="60" spans="1:9" ht="14" thickBot="1">
      <c r="A60" s="745">
        <v>1147</v>
      </c>
      <c r="B60" s="746" t="s">
        <v>782</v>
      </c>
      <c r="C60" s="741" t="s">
        <v>489</v>
      </c>
      <c r="D60" s="747">
        <v>14.3</v>
      </c>
      <c r="E60" s="748">
        <v>11.205</v>
      </c>
      <c r="F60" s="747">
        <v>1</v>
      </c>
      <c r="G60" s="748">
        <v>5.5042999999999997</v>
      </c>
      <c r="H60" s="747">
        <v>31</v>
      </c>
      <c r="I60" s="749">
        <v>130.8578</v>
      </c>
    </row>
    <row r="61" spans="1:9" ht="14" thickBot="1">
      <c r="A61" s="745">
        <v>1179</v>
      </c>
      <c r="B61" s="746" t="s">
        <v>822</v>
      </c>
      <c r="C61" s="741" t="s">
        <v>823</v>
      </c>
      <c r="D61" s="747">
        <v>990.1</v>
      </c>
      <c r="E61" s="748">
        <v>899.25864999999999</v>
      </c>
      <c r="F61" s="747">
        <v>106.99235</v>
      </c>
      <c r="G61" s="748">
        <v>-10.66635</v>
      </c>
      <c r="H61" s="747">
        <v>60</v>
      </c>
      <c r="I61" s="749">
        <v>1795.2223900000001</v>
      </c>
    </row>
    <row r="62" spans="1:9" ht="14" thickBot="1">
      <c r="A62" s="745">
        <v>1215</v>
      </c>
      <c r="B62" s="746" t="s">
        <v>784</v>
      </c>
      <c r="C62" s="741" t="s">
        <v>489</v>
      </c>
      <c r="D62" s="747">
        <v>77.5</v>
      </c>
      <c r="E62" s="748">
        <v>45.341200000000008</v>
      </c>
      <c r="F62" s="747">
        <v>13.618030000000001</v>
      </c>
      <c r="G62" s="748">
        <v>2.1312699999999998</v>
      </c>
      <c r="H62" s="747">
        <v>10</v>
      </c>
      <c r="I62" s="749">
        <v>264.38236000000001</v>
      </c>
    </row>
    <row r="63" spans="1:9" ht="14" thickBot="1">
      <c r="A63" s="745">
        <v>1318</v>
      </c>
      <c r="B63" s="746" t="s">
        <v>785</v>
      </c>
      <c r="C63" s="741" t="s">
        <v>489</v>
      </c>
      <c r="D63" s="747">
        <v>39.4</v>
      </c>
      <c r="E63" s="748">
        <v>0</v>
      </c>
      <c r="F63" s="747">
        <v>3.4612800000000004</v>
      </c>
      <c r="G63" s="748">
        <v>33.564949999999996</v>
      </c>
      <c r="H63" s="747">
        <v>20</v>
      </c>
      <c r="I63" s="749">
        <v>203.54514</v>
      </c>
    </row>
    <row r="64" spans="1:9" ht="14" thickBot="1">
      <c r="A64" s="745">
        <v>1322</v>
      </c>
      <c r="B64" s="746" t="s">
        <v>786</v>
      </c>
      <c r="C64" s="741" t="s">
        <v>489</v>
      </c>
      <c r="D64" s="747">
        <v>113.6</v>
      </c>
      <c r="E64" s="748">
        <v>44.738300000000002</v>
      </c>
      <c r="F64" s="747">
        <v>11.177200000000001</v>
      </c>
      <c r="G64" s="748">
        <v>38.614650000000005</v>
      </c>
      <c r="H64" s="747">
        <v>34.549999999999997</v>
      </c>
      <c r="I64" s="749">
        <v>237.34178</v>
      </c>
    </row>
    <row r="65" spans="1:9" ht="14" thickBot="1">
      <c r="A65" s="745">
        <v>1328</v>
      </c>
      <c r="B65" s="746" t="s">
        <v>787</v>
      </c>
      <c r="C65" s="741" t="s">
        <v>489</v>
      </c>
      <c r="D65" s="747">
        <v>79.900000000000006</v>
      </c>
      <c r="E65" s="748">
        <v>20.10275</v>
      </c>
      <c r="F65" s="747">
        <v>3.8926699999999999</v>
      </c>
      <c r="G65" s="748">
        <v>57.747860000000003</v>
      </c>
      <c r="H65" s="747">
        <v>255.46148000000002</v>
      </c>
      <c r="I65" s="749">
        <v>267.82413000000003</v>
      </c>
    </row>
    <row r="66" spans="1:9" ht="14" thickBot="1">
      <c r="A66" s="745">
        <v>1331</v>
      </c>
      <c r="B66" s="746" t="s">
        <v>788</v>
      </c>
      <c r="C66" s="741" t="s">
        <v>489</v>
      </c>
      <c r="D66" s="747">
        <v>1.8</v>
      </c>
      <c r="E66" s="748">
        <v>1.55</v>
      </c>
      <c r="F66" s="747">
        <v>7.5814500000000002</v>
      </c>
      <c r="G66" s="748">
        <v>-1.0212000000000001</v>
      </c>
      <c r="H66" s="747">
        <v>134.4</v>
      </c>
      <c r="I66" s="749">
        <v>556.1893</v>
      </c>
    </row>
    <row r="67" spans="1:9" ht="14" thickBot="1">
      <c r="A67" s="745">
        <v>1362</v>
      </c>
      <c r="B67" s="746" t="s">
        <v>789</v>
      </c>
      <c r="C67" s="741" t="s">
        <v>489</v>
      </c>
      <c r="D67" s="747">
        <v>15.8</v>
      </c>
      <c r="E67" s="748">
        <v>2.2999999999999998</v>
      </c>
      <c r="F67" s="747">
        <v>0.1671</v>
      </c>
      <c r="G67" s="748">
        <v>1.1819999999999999</v>
      </c>
      <c r="H67" s="747">
        <v>1.5</v>
      </c>
      <c r="I67" s="749">
        <v>0</v>
      </c>
    </row>
    <row r="68" spans="1:9" ht="14" thickBot="1">
      <c r="A68" s="745">
        <v>1384</v>
      </c>
      <c r="B68" s="746" t="s">
        <v>790</v>
      </c>
      <c r="C68" s="741" t="s">
        <v>489</v>
      </c>
      <c r="D68" s="747">
        <v>6193</v>
      </c>
      <c r="E68" s="748">
        <v>4516.7551700000004</v>
      </c>
      <c r="F68" s="747">
        <v>1578.8</v>
      </c>
      <c r="G68" s="748">
        <v>182.68722</v>
      </c>
      <c r="H68" s="747">
        <v>1093.5889999999999</v>
      </c>
      <c r="I68" s="749">
        <v>6266.48182</v>
      </c>
    </row>
    <row r="69" spans="1:9" ht="14" thickBot="1">
      <c r="A69" s="745">
        <v>1386</v>
      </c>
      <c r="B69" s="746" t="s">
        <v>791</v>
      </c>
      <c r="C69" s="741" t="s">
        <v>489</v>
      </c>
      <c r="D69" s="747">
        <v>1207.7</v>
      </c>
      <c r="E69" s="748">
        <v>1178.4608000000001</v>
      </c>
      <c r="F69" s="747">
        <v>64.274799999999999</v>
      </c>
      <c r="G69" s="748">
        <v>7.0840399999999999</v>
      </c>
      <c r="H69" s="747">
        <v>100</v>
      </c>
      <c r="I69" s="749">
        <v>243.74927000000002</v>
      </c>
    </row>
    <row r="70" spans="1:9" ht="14" thickBot="1">
      <c r="A70" s="745">
        <v>1395</v>
      </c>
      <c r="B70" s="746" t="s">
        <v>792</v>
      </c>
      <c r="C70" s="741" t="s">
        <v>489</v>
      </c>
      <c r="D70" s="747">
        <v>3.6</v>
      </c>
      <c r="E70" s="748">
        <v>-13.831250000000001</v>
      </c>
      <c r="F70" s="747">
        <v>0.30875000000000002</v>
      </c>
      <c r="G70" s="748">
        <v>31.136110000000002</v>
      </c>
      <c r="H70" s="747">
        <v>16.870999999999999</v>
      </c>
      <c r="I70" s="749">
        <v>79.136110000000002</v>
      </c>
    </row>
    <row r="71" spans="1:9" ht="14" thickBot="1">
      <c r="A71" s="745">
        <v>1401</v>
      </c>
      <c r="B71" s="746" t="s">
        <v>793</v>
      </c>
      <c r="C71" s="741" t="s">
        <v>489</v>
      </c>
      <c r="D71" s="747">
        <v>47.7</v>
      </c>
      <c r="E71" s="748">
        <v>34.472999999999999</v>
      </c>
      <c r="F71" s="747">
        <v>24.59975</v>
      </c>
      <c r="G71" s="748">
        <v>8.3480000000000008</v>
      </c>
      <c r="H71" s="747">
        <v>110</v>
      </c>
      <c r="I71" s="749">
        <v>226.0985</v>
      </c>
    </row>
    <row r="72" spans="1:9" ht="14" thickBot="1">
      <c r="A72" s="745">
        <v>1402</v>
      </c>
      <c r="B72" s="746" t="s">
        <v>824</v>
      </c>
      <c r="C72" s="741" t="s">
        <v>823</v>
      </c>
      <c r="D72" s="747">
        <v>0</v>
      </c>
      <c r="E72" s="748">
        <v>130.4143</v>
      </c>
      <c r="F72" s="747">
        <v>1.60945</v>
      </c>
      <c r="G72" s="748">
        <v>111.14035000000001</v>
      </c>
      <c r="H72" s="747">
        <v>20</v>
      </c>
      <c r="I72" s="749">
        <v>1276.0595499999999</v>
      </c>
    </row>
    <row r="73" spans="1:9" ht="14" thickBot="1">
      <c r="A73" s="745">
        <v>1423</v>
      </c>
      <c r="B73" s="746" t="s">
        <v>794</v>
      </c>
      <c r="C73" s="741" t="s">
        <v>489</v>
      </c>
      <c r="D73" s="747">
        <v>70.599999999999994</v>
      </c>
      <c r="E73" s="748">
        <v>0.58399999999999996</v>
      </c>
      <c r="F73" s="747">
        <v>3.3537000000000003</v>
      </c>
      <c r="G73" s="748">
        <v>42.975850000000008</v>
      </c>
      <c r="H73" s="747">
        <v>120</v>
      </c>
      <c r="I73" s="749">
        <v>300.01508000000001</v>
      </c>
    </row>
    <row r="74" spans="1:9" ht="14" thickBot="1">
      <c r="A74" s="745">
        <v>1442</v>
      </c>
      <c r="B74" s="746" t="s">
        <v>795</v>
      </c>
      <c r="C74" s="741" t="s">
        <v>489</v>
      </c>
      <c r="D74" s="747">
        <v>46.8</v>
      </c>
      <c r="E74" s="748">
        <v>17.16929</v>
      </c>
      <c r="F74" s="747">
        <v>8.3049700000000009</v>
      </c>
      <c r="G74" s="748">
        <v>20.852130000000002</v>
      </c>
      <c r="H74" s="747">
        <v>10</v>
      </c>
      <c r="I74" s="749">
        <v>294.23445000000004</v>
      </c>
    </row>
    <row r="75" spans="1:9" ht="14" thickBot="1">
      <c r="A75" s="745">
        <v>1454</v>
      </c>
      <c r="B75" s="746" t="s">
        <v>796</v>
      </c>
      <c r="C75" s="741" t="s">
        <v>489</v>
      </c>
      <c r="D75" s="747">
        <v>2262.1</v>
      </c>
      <c r="E75" s="748">
        <v>1415.5861499999999</v>
      </c>
      <c r="F75" s="747">
        <v>157.06035</v>
      </c>
      <c r="G75" s="748">
        <v>48.905000000000001</v>
      </c>
      <c r="H75" s="747">
        <v>3750</v>
      </c>
      <c r="I75" s="749">
        <v>1748.4758999999999</v>
      </c>
    </row>
    <row r="76" spans="1:9" ht="14" thickBot="1">
      <c r="A76" s="745">
        <v>1479</v>
      </c>
      <c r="B76" s="746" t="s">
        <v>797</v>
      </c>
      <c r="C76" s="741" t="s">
        <v>489</v>
      </c>
      <c r="D76" s="747">
        <v>12895.4</v>
      </c>
      <c r="E76" s="748">
        <v>7422.70388</v>
      </c>
      <c r="F76" s="747">
        <v>2958.1992599999999</v>
      </c>
      <c r="G76" s="748">
        <v>3225.04358</v>
      </c>
      <c r="H76" s="747">
        <v>1080</v>
      </c>
      <c r="I76" s="749">
        <v>29198.306199999999</v>
      </c>
    </row>
    <row r="77" spans="1:9" ht="14" thickBot="1">
      <c r="A77" s="745">
        <v>1491</v>
      </c>
      <c r="B77" s="746" t="s">
        <v>825</v>
      </c>
      <c r="C77" s="741" t="s">
        <v>823</v>
      </c>
      <c r="D77" s="747">
        <v>1656.4</v>
      </c>
      <c r="E77" s="748">
        <v>1434.43995</v>
      </c>
      <c r="F77" s="747">
        <v>191.88435000000001</v>
      </c>
      <c r="G77" s="748">
        <v>132.14955</v>
      </c>
      <c r="H77" s="747">
        <v>0</v>
      </c>
      <c r="I77" s="749">
        <v>2372.1458900000002</v>
      </c>
    </row>
    <row r="78" spans="1:9" ht="14" thickBot="1">
      <c r="A78" s="745">
        <v>1507</v>
      </c>
      <c r="B78" s="746" t="s">
        <v>798</v>
      </c>
      <c r="C78" s="741" t="s">
        <v>489</v>
      </c>
      <c r="D78" s="747">
        <v>337.3</v>
      </c>
      <c r="E78" s="748">
        <v>195.61221</v>
      </c>
      <c r="F78" s="747">
        <v>67.073750000000004</v>
      </c>
      <c r="G78" s="748">
        <v>81.810810000000004</v>
      </c>
      <c r="H78" s="747">
        <v>110</v>
      </c>
      <c r="I78" s="749">
        <v>1779.0597700000001</v>
      </c>
    </row>
    <row r="79" spans="1:9" ht="14" thickBot="1">
      <c r="A79" s="745">
        <v>1509</v>
      </c>
      <c r="B79" s="746" t="s">
        <v>799</v>
      </c>
      <c r="C79" s="741" t="s">
        <v>489</v>
      </c>
      <c r="D79" s="747">
        <v>6777.5</v>
      </c>
      <c r="E79" s="748">
        <v>4027.55935</v>
      </c>
      <c r="F79" s="747">
        <v>436.30187000000001</v>
      </c>
      <c r="G79" s="748">
        <v>2375.6893999999998</v>
      </c>
      <c r="H79" s="747">
        <v>3848</v>
      </c>
      <c r="I79" s="749">
        <v>15478.55473</v>
      </c>
    </row>
    <row r="80" spans="1:9" ht="14" thickBot="1">
      <c r="A80" s="745">
        <v>1520</v>
      </c>
      <c r="B80" s="746" t="s">
        <v>826</v>
      </c>
      <c r="C80" s="741" t="s">
        <v>489</v>
      </c>
      <c r="D80" s="747">
        <v>24682.9</v>
      </c>
      <c r="E80" s="748">
        <v>18335.95665</v>
      </c>
      <c r="F80" s="747">
        <v>2011.626</v>
      </c>
      <c r="G80" s="748">
        <v>3734.4802500000001</v>
      </c>
      <c r="H80" s="747">
        <v>3500</v>
      </c>
      <c r="I80" s="749">
        <v>17650.79551</v>
      </c>
    </row>
    <row r="81" spans="1:9" ht="14" thickBot="1">
      <c r="A81" s="745">
        <v>1522</v>
      </c>
      <c r="B81" s="746" t="s">
        <v>827</v>
      </c>
      <c r="C81" s="741" t="s">
        <v>823</v>
      </c>
      <c r="D81" s="747">
        <v>2808.7</v>
      </c>
      <c r="E81" s="748">
        <v>2147.23</v>
      </c>
      <c r="F81" s="747">
        <v>335.08377000000002</v>
      </c>
      <c r="G81" s="748">
        <v>260.43655000000001</v>
      </c>
      <c r="H81" s="747">
        <v>350</v>
      </c>
      <c r="I81" s="749">
        <v>5271.7609900000007</v>
      </c>
    </row>
    <row r="82" spans="1:9" ht="14" thickBot="1">
      <c r="A82" s="745">
        <v>1529</v>
      </c>
      <c r="B82" s="746" t="s">
        <v>801</v>
      </c>
      <c r="C82" s="741" t="s">
        <v>489</v>
      </c>
      <c r="D82" s="747">
        <v>828.5</v>
      </c>
      <c r="E82" s="748">
        <v>558.09849999999994</v>
      </c>
      <c r="F82" s="747">
        <v>22.62998</v>
      </c>
      <c r="G82" s="748">
        <v>308.83934000000005</v>
      </c>
      <c r="H82" s="747">
        <v>122.78166999999999</v>
      </c>
      <c r="I82" s="749">
        <v>7132.5353600000008</v>
      </c>
    </row>
    <row r="83" spans="1:9" ht="14" thickBot="1">
      <c r="A83" s="745">
        <v>1535</v>
      </c>
      <c r="B83" s="746" t="s">
        <v>802</v>
      </c>
      <c r="C83" s="741" t="s">
        <v>489</v>
      </c>
      <c r="D83" s="747">
        <v>20314.7</v>
      </c>
      <c r="E83" s="748">
        <v>13069.813480000001</v>
      </c>
      <c r="F83" s="747">
        <v>3526.9712300000001</v>
      </c>
      <c r="G83" s="748">
        <v>4661.5162400000008</v>
      </c>
      <c r="H83" s="747">
        <v>1551</v>
      </c>
      <c r="I83" s="749">
        <v>34493.24669</v>
      </c>
    </row>
    <row r="84" spans="1:9" ht="14" thickBot="1">
      <c r="A84" s="745">
        <v>1540</v>
      </c>
      <c r="B84" s="746" t="s">
        <v>828</v>
      </c>
      <c r="C84" s="741" t="s">
        <v>823</v>
      </c>
      <c r="D84" s="747">
        <v>2593.5</v>
      </c>
      <c r="E84" s="748">
        <v>2227.6812500000001</v>
      </c>
      <c r="F84" s="747">
        <v>130.3844</v>
      </c>
      <c r="G84" s="748">
        <v>361.97422999999998</v>
      </c>
      <c r="H84" s="747">
        <v>26</v>
      </c>
      <c r="I84" s="749">
        <v>2750.84</v>
      </c>
    </row>
    <row r="85" spans="1:9" ht="14" thickBot="1">
      <c r="A85" s="745">
        <v>1551</v>
      </c>
      <c r="B85" s="746" t="s">
        <v>804</v>
      </c>
      <c r="C85" s="741" t="s">
        <v>489</v>
      </c>
      <c r="D85" s="747">
        <v>813.6</v>
      </c>
      <c r="E85" s="748">
        <v>484.15578000000005</v>
      </c>
      <c r="F85" s="747">
        <v>143.39909000000003</v>
      </c>
      <c r="G85" s="748">
        <v>279.99162000000001</v>
      </c>
      <c r="H85" s="747">
        <v>200</v>
      </c>
      <c r="I85" s="749">
        <v>1435.9843100000001</v>
      </c>
    </row>
    <row r="86" spans="1:9" ht="14" thickBot="1">
      <c r="A86" s="745">
        <v>1552</v>
      </c>
      <c r="B86" s="746" t="s">
        <v>805</v>
      </c>
      <c r="C86" s="741" t="s">
        <v>489</v>
      </c>
      <c r="D86" s="747">
        <v>0.4</v>
      </c>
      <c r="E86" s="748">
        <v>5.0000000000000001E-4</v>
      </c>
      <c r="F86" s="747">
        <v>3.5839999999999997E-2</v>
      </c>
      <c r="G86" s="748">
        <v>0.18788999999999997</v>
      </c>
      <c r="H86" s="747">
        <v>0</v>
      </c>
      <c r="I86" s="749">
        <v>1.73055</v>
      </c>
    </row>
    <row r="87" spans="1:9" ht="14" thickBot="1">
      <c r="A87" s="745">
        <v>1555</v>
      </c>
      <c r="B87" s="746" t="s">
        <v>806</v>
      </c>
      <c r="C87" s="741" t="s">
        <v>489</v>
      </c>
      <c r="D87" s="747">
        <v>3206.5</v>
      </c>
      <c r="E87" s="748">
        <v>2158.9072999999999</v>
      </c>
      <c r="F87" s="747">
        <v>139.89097999999998</v>
      </c>
      <c r="G87" s="748">
        <v>1121.3818799999999</v>
      </c>
      <c r="H87" s="747">
        <v>644</v>
      </c>
      <c r="I87" s="749">
        <v>47155.937680000003</v>
      </c>
    </row>
    <row r="88" spans="1:9" ht="14" thickBot="1">
      <c r="A88" s="745">
        <v>1560</v>
      </c>
      <c r="B88" s="746" t="s">
        <v>807</v>
      </c>
      <c r="C88" s="741" t="s">
        <v>489</v>
      </c>
      <c r="D88" s="747">
        <v>15482.3</v>
      </c>
      <c r="E88" s="748">
        <v>11211.10975</v>
      </c>
      <c r="F88" s="747">
        <v>1232.3143</v>
      </c>
      <c r="G88" s="748">
        <v>3586.3919799999999</v>
      </c>
      <c r="H88" s="747">
        <v>2709.5250000000001</v>
      </c>
      <c r="I88" s="749">
        <v>29443.64817</v>
      </c>
    </row>
    <row r="89" spans="1:9" ht="14" thickBot="1">
      <c r="A89" s="745">
        <v>1562</v>
      </c>
      <c r="B89" s="746" t="s">
        <v>808</v>
      </c>
      <c r="C89" s="741" t="s">
        <v>489</v>
      </c>
      <c r="D89" s="747">
        <v>102727.3</v>
      </c>
      <c r="E89" s="748">
        <v>68875.040200000003</v>
      </c>
      <c r="F89" s="747">
        <v>17107.732729999996</v>
      </c>
      <c r="G89" s="748">
        <v>8242.2792800000007</v>
      </c>
      <c r="H89" s="747">
        <v>64029</v>
      </c>
      <c r="I89" s="749">
        <v>95315.320219999994</v>
      </c>
    </row>
    <row r="90" spans="1:9" ht="14" thickBot="1">
      <c r="A90" s="745">
        <v>1563</v>
      </c>
      <c r="B90" s="746" t="s">
        <v>809</v>
      </c>
      <c r="C90" s="741" t="s">
        <v>489</v>
      </c>
      <c r="D90" s="747">
        <v>1346.5</v>
      </c>
      <c r="E90" s="748">
        <v>689.37245000000007</v>
      </c>
      <c r="F90" s="747">
        <v>571.78399000000002</v>
      </c>
      <c r="G90" s="748">
        <v>227.86697999999998</v>
      </c>
      <c r="H90" s="747">
        <v>111</v>
      </c>
      <c r="I90" s="749">
        <v>2233.50936</v>
      </c>
    </row>
    <row r="91" spans="1:9" ht="14" thickBot="1">
      <c r="A91" s="745">
        <v>1565</v>
      </c>
      <c r="B91" s="746" t="s">
        <v>810</v>
      </c>
      <c r="C91" s="741" t="s">
        <v>489</v>
      </c>
      <c r="D91" s="747">
        <v>31.2</v>
      </c>
      <c r="E91" s="748">
        <v>7.4969999999999999</v>
      </c>
      <c r="F91" s="747">
        <v>5.0402200000000006</v>
      </c>
      <c r="G91" s="748">
        <v>10.843440000000001</v>
      </c>
      <c r="H91" s="747">
        <v>8</v>
      </c>
      <c r="I91" s="749">
        <v>16.67502</v>
      </c>
    </row>
    <row r="92" spans="1:9" ht="14" thickBot="1">
      <c r="A92" s="745">
        <v>1566</v>
      </c>
      <c r="B92" s="746" t="s">
        <v>811</v>
      </c>
      <c r="C92" s="741" t="s">
        <v>489</v>
      </c>
      <c r="D92" s="747">
        <v>190.3</v>
      </c>
      <c r="E92" s="748">
        <v>72.783699999999996</v>
      </c>
      <c r="F92" s="747">
        <v>30.796849999999999</v>
      </c>
      <c r="G92" s="748">
        <v>74.431850000000011</v>
      </c>
      <c r="H92" s="747">
        <v>63.4</v>
      </c>
      <c r="I92" s="749">
        <v>208.08928</v>
      </c>
    </row>
    <row r="93" spans="1:9" ht="14" thickBot="1">
      <c r="A93" s="745"/>
      <c r="B93" s="746"/>
      <c r="C93" s="741" t="s">
        <v>489</v>
      </c>
      <c r="D93" s="747"/>
      <c r="E93" s="748"/>
      <c r="F93" s="747"/>
      <c r="G93" s="748"/>
      <c r="H93" s="747"/>
      <c r="I93" s="749"/>
    </row>
    <row r="94" spans="1:9" ht="14" thickBot="1">
      <c r="A94" s="745"/>
      <c r="B94" s="746"/>
      <c r="C94" s="741" t="s">
        <v>489</v>
      </c>
      <c r="D94" s="747"/>
      <c r="E94" s="748"/>
      <c r="F94" s="747"/>
      <c r="G94" s="748"/>
      <c r="H94" s="747"/>
      <c r="I94" s="749"/>
    </row>
    <row r="95" spans="1:9" ht="14" thickBot="1">
      <c r="A95" s="745"/>
      <c r="B95" s="746"/>
      <c r="C95" s="741" t="s">
        <v>489</v>
      </c>
      <c r="D95" s="747"/>
      <c r="E95" s="748"/>
      <c r="F95" s="747"/>
      <c r="G95" s="748"/>
      <c r="H95" s="747"/>
      <c r="I95" s="749"/>
    </row>
    <row r="96" spans="1:9" ht="14" thickBot="1">
      <c r="A96" s="745"/>
      <c r="B96" s="746"/>
      <c r="C96" s="741" t="s">
        <v>489</v>
      </c>
      <c r="D96" s="747"/>
      <c r="E96" s="748"/>
      <c r="F96" s="747"/>
      <c r="G96" s="748"/>
      <c r="H96" s="747"/>
      <c r="I96" s="749"/>
    </row>
    <row r="97" spans="1:9" ht="14" thickBot="1">
      <c r="A97" s="745"/>
      <c r="B97" s="746"/>
      <c r="C97" s="741" t="s">
        <v>489</v>
      </c>
      <c r="D97" s="747"/>
      <c r="E97" s="748"/>
      <c r="F97" s="747"/>
      <c r="G97" s="748"/>
      <c r="H97" s="747"/>
      <c r="I97" s="749"/>
    </row>
    <row r="98" spans="1:9" ht="14" thickBot="1">
      <c r="A98" s="745"/>
      <c r="B98" s="746"/>
      <c r="C98" s="741" t="s">
        <v>489</v>
      </c>
      <c r="D98" s="747"/>
      <c r="E98" s="748"/>
      <c r="F98" s="747"/>
      <c r="G98" s="748"/>
      <c r="H98" s="747"/>
      <c r="I98" s="749"/>
    </row>
    <row r="99" spans="1:9" ht="14" thickBot="1">
      <c r="A99" s="745"/>
      <c r="B99" s="746"/>
      <c r="C99" s="741" t="s">
        <v>489</v>
      </c>
      <c r="D99" s="747"/>
      <c r="E99" s="748"/>
      <c r="F99" s="747"/>
      <c r="G99" s="748"/>
      <c r="H99" s="747"/>
      <c r="I99" s="749"/>
    </row>
    <row r="100" spans="1:9" ht="14" thickBot="1">
      <c r="A100" s="745"/>
      <c r="B100" s="746"/>
      <c r="C100" s="741" t="s">
        <v>489</v>
      </c>
      <c r="D100" s="747"/>
      <c r="E100" s="748"/>
      <c r="F100" s="747"/>
      <c r="G100" s="748"/>
      <c r="H100" s="747"/>
      <c r="I100" s="749"/>
    </row>
    <row r="101" spans="1:9" ht="14" thickBot="1">
      <c r="A101" s="745"/>
      <c r="B101" s="746"/>
      <c r="C101" s="741" t="s">
        <v>489</v>
      </c>
      <c r="D101" s="747"/>
      <c r="E101" s="748"/>
      <c r="F101" s="747"/>
      <c r="G101" s="748"/>
      <c r="H101" s="747"/>
      <c r="I101" s="749"/>
    </row>
    <row r="102" spans="1:9" ht="14" thickBot="1">
      <c r="A102" s="745"/>
      <c r="B102" s="746"/>
      <c r="C102" s="741" t="s">
        <v>489</v>
      </c>
      <c r="D102" s="747"/>
      <c r="E102" s="748"/>
      <c r="F102" s="747"/>
      <c r="G102" s="748"/>
      <c r="H102" s="747"/>
      <c r="I102" s="749"/>
    </row>
    <row r="103" spans="1:9" ht="14" thickBot="1">
      <c r="A103" s="745"/>
      <c r="B103" s="746"/>
      <c r="C103" s="741" t="s">
        <v>489</v>
      </c>
      <c r="D103" s="747"/>
      <c r="E103" s="748"/>
      <c r="F103" s="747"/>
      <c r="G103" s="748"/>
      <c r="H103" s="747"/>
      <c r="I103" s="749"/>
    </row>
    <row r="104" spans="1:9" s="148" customFormat="1" ht="18.75" customHeight="1" thickBot="1">
      <c r="A104" s="750" t="s">
        <v>629</v>
      </c>
      <c r="B104" s="751">
        <v>82</v>
      </c>
      <c r="C104" s="752">
        <v>5</v>
      </c>
      <c r="D104" s="753">
        <v>302255</v>
      </c>
      <c r="E104" s="754">
        <v>207719.49052999998</v>
      </c>
      <c r="F104" s="753">
        <v>47154.393679999994</v>
      </c>
      <c r="G104" s="754">
        <v>40369.73906</v>
      </c>
      <c r="H104" s="753">
        <v>103005.97705000002</v>
      </c>
      <c r="I104" s="755">
        <v>438473.90394000005</v>
      </c>
    </row>
    <row r="105" spans="1:9" ht="16.5" customHeight="1" thickBot="1">
      <c r="A105" s="98" t="s">
        <v>1256</v>
      </c>
      <c r="C105" s="756"/>
      <c r="D105" s="757"/>
      <c r="E105" s="757"/>
      <c r="F105" s="758"/>
      <c r="G105" s="757"/>
      <c r="H105" s="759"/>
      <c r="I105" s="760"/>
    </row>
    <row r="107" spans="1:9">
      <c r="A107" s="2" t="s">
        <v>2052</v>
      </c>
    </row>
    <row r="109" spans="1:9">
      <c r="A109" s="101" t="s">
        <v>2053</v>
      </c>
    </row>
    <row r="110" spans="1:9">
      <c r="A110" s="95">
        <v>0</v>
      </c>
      <c r="B110" s="101" t="s">
        <v>2054</v>
      </c>
    </row>
    <row r="111" spans="1:9">
      <c r="A111" s="95">
        <v>1</v>
      </c>
      <c r="B111" s="101" t="s">
        <v>2055</v>
      </c>
    </row>
    <row r="112" spans="1:9">
      <c r="A112" s="95">
        <v>2</v>
      </c>
      <c r="B112" s="101" t="s">
        <v>2056</v>
      </c>
    </row>
    <row r="113" spans="1:2">
      <c r="A113" s="95">
        <v>3</v>
      </c>
      <c r="B113" s="101" t="s">
        <v>2057</v>
      </c>
    </row>
    <row r="114" spans="1:2">
      <c r="A114" s="95" t="s">
        <v>2058</v>
      </c>
      <c r="B114" s="101" t="s">
        <v>2059</v>
      </c>
    </row>
    <row r="115" spans="1:2">
      <c r="A115" s="95">
        <v>5</v>
      </c>
      <c r="B115" s="101" t="s">
        <v>2060</v>
      </c>
    </row>
    <row r="116" spans="1:2">
      <c r="A116" s="95">
        <v>6</v>
      </c>
      <c r="B116" s="101" t="s">
        <v>2061</v>
      </c>
    </row>
    <row r="117" spans="1:2">
      <c r="A117" s="95">
        <v>7</v>
      </c>
      <c r="B117" s="101" t="s">
        <v>2062</v>
      </c>
    </row>
    <row r="120" spans="1:2">
      <c r="A120" s="2" t="s">
        <v>634</v>
      </c>
    </row>
  </sheetData>
  <phoneticPr fontId="0" type="noConversion"/>
  <pageMargins left="0.51" right="0.35" top="0.62" bottom="0.66" header="0.36" footer="0.28000000000000003"/>
  <pageSetup paperSize="9" scale="68" fitToHeight="2" pageOrder="overThenDown" orientation="portrait" horizontalDpi="1200" verticalDpi="1200"/>
  <headerFooter alignWithMargins="0">
    <oddFooter>&amp;R&amp;P/&amp;N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29B0-D81F-624F-812B-41183670843A}">
  <sheetPr>
    <pageSetUpPr fitToPage="1"/>
  </sheetPr>
  <dimension ref="A1:O33"/>
  <sheetViews>
    <sheetView zoomScale="75" zoomScaleNormal="75" workbookViewId="0">
      <selection activeCell="C10" sqref="C10"/>
    </sheetView>
  </sheetViews>
  <sheetFormatPr baseColWidth="10" defaultColWidth="11.3984375" defaultRowHeight="13"/>
  <cols>
    <col min="1" max="1" width="5.796875" style="2" customWidth="1"/>
    <col min="2" max="2" width="35.796875" style="95" customWidth="1"/>
    <col min="3" max="3" width="10.796875" style="95" customWidth="1"/>
    <col min="4" max="4" width="11.19921875" style="95" customWidth="1"/>
    <col min="5" max="5" width="10.19921875" style="8" customWidth="1"/>
    <col min="6" max="6" width="17.59765625" style="8" customWidth="1"/>
    <col min="7" max="7" width="15.796875" style="2" customWidth="1"/>
    <col min="8" max="8" width="7.59765625" style="96" customWidth="1"/>
    <col min="9" max="9" width="26.19921875" style="2" customWidth="1"/>
    <col min="10" max="16384" width="11.3984375" style="2"/>
  </cols>
  <sheetData>
    <row r="1" spans="1:9" s="1" customFormat="1" ht="14" customHeight="1">
      <c r="A1" s="52"/>
      <c r="B1" s="53"/>
      <c r="C1" s="53"/>
      <c r="D1" s="53"/>
      <c r="E1" s="52"/>
      <c r="F1" s="54"/>
      <c r="G1" s="52"/>
      <c r="H1" s="55"/>
      <c r="I1" s="52"/>
    </row>
    <row r="2" spans="1:9" s="1" customFormat="1" ht="19.5" customHeight="1">
      <c r="A2" s="56" t="s">
        <v>1651</v>
      </c>
      <c r="C2" s="53"/>
      <c r="D2" s="53"/>
      <c r="E2" s="54"/>
      <c r="F2" s="54"/>
      <c r="G2" s="57"/>
      <c r="H2" s="55"/>
      <c r="I2" s="56">
        <v>2007</v>
      </c>
    </row>
    <row r="3" spans="1:9" s="1" customFormat="1" ht="11.25" customHeight="1">
      <c r="A3" s="52"/>
      <c r="B3" s="52"/>
      <c r="C3" s="53"/>
      <c r="D3" s="53"/>
      <c r="E3" s="54"/>
      <c r="F3" s="54"/>
      <c r="G3" s="52"/>
      <c r="H3" s="55"/>
      <c r="I3" s="52"/>
    </row>
    <row r="4" spans="1:9" ht="18" customHeight="1">
      <c r="A4" s="58" t="s">
        <v>1652</v>
      </c>
      <c r="B4" s="58" t="s">
        <v>1653</v>
      </c>
      <c r="C4" s="59" t="s">
        <v>1654</v>
      </c>
      <c r="D4" s="60" t="s">
        <v>616</v>
      </c>
      <c r="E4" s="61" t="s">
        <v>617</v>
      </c>
      <c r="F4" s="62" t="s">
        <v>618</v>
      </c>
      <c r="G4" s="59" t="s">
        <v>619</v>
      </c>
      <c r="H4" s="63" t="s">
        <v>620</v>
      </c>
      <c r="I4" s="60"/>
    </row>
    <row r="5" spans="1:9" ht="15" customHeight="1">
      <c r="A5" s="64" t="s">
        <v>621</v>
      </c>
      <c r="B5" s="64"/>
      <c r="C5" s="65"/>
      <c r="D5" s="66" t="s">
        <v>622</v>
      </c>
      <c r="E5" s="67" t="s">
        <v>623</v>
      </c>
      <c r="F5" s="68" t="s">
        <v>624</v>
      </c>
      <c r="G5" s="65" t="s">
        <v>625</v>
      </c>
      <c r="H5" s="69" t="s">
        <v>626</v>
      </c>
      <c r="I5" s="66"/>
    </row>
    <row r="6" spans="1:9" ht="15" customHeight="1">
      <c r="A6" s="64"/>
      <c r="B6" s="64"/>
      <c r="C6" s="65"/>
      <c r="D6" s="66" t="s">
        <v>631</v>
      </c>
      <c r="E6" s="67"/>
      <c r="F6" s="68"/>
      <c r="G6" s="65" t="s">
        <v>627</v>
      </c>
      <c r="H6" s="70"/>
      <c r="I6" s="66"/>
    </row>
    <row r="7" spans="1:9" ht="18" customHeight="1">
      <c r="A7" s="71"/>
      <c r="B7" s="72"/>
      <c r="C7" s="73"/>
      <c r="D7" s="74"/>
      <c r="E7" s="75"/>
      <c r="F7" s="76"/>
      <c r="G7" s="73"/>
      <c r="H7" s="77"/>
      <c r="I7" s="74"/>
    </row>
    <row r="8" spans="1:9" ht="36" customHeight="1" thickBot="1">
      <c r="A8" s="78">
        <v>57</v>
      </c>
      <c r="B8" s="79" t="s">
        <v>200</v>
      </c>
      <c r="C8" s="80" t="s">
        <v>1684</v>
      </c>
      <c r="D8" s="81"/>
      <c r="E8" s="82"/>
      <c r="F8" s="83" t="s">
        <v>1685</v>
      </c>
      <c r="G8" s="82"/>
      <c r="H8" s="84"/>
      <c r="I8" s="85"/>
    </row>
    <row r="9" spans="1:9" ht="37.5" customHeight="1" thickBot="1">
      <c r="A9" s="78">
        <v>290</v>
      </c>
      <c r="B9" s="79" t="s">
        <v>1686</v>
      </c>
      <c r="C9" s="80" t="s">
        <v>1684</v>
      </c>
      <c r="D9" s="81"/>
      <c r="E9" s="82"/>
      <c r="F9" s="83" t="s">
        <v>1687</v>
      </c>
      <c r="G9" s="82"/>
      <c r="H9" s="84"/>
      <c r="I9" s="86"/>
    </row>
    <row r="10" spans="1:9" ht="30" customHeight="1" thickBot="1">
      <c r="A10" s="78">
        <v>376</v>
      </c>
      <c r="B10" s="86" t="s">
        <v>1688</v>
      </c>
      <c r="C10" s="80" t="s">
        <v>1684</v>
      </c>
      <c r="D10" s="81"/>
      <c r="E10" s="82"/>
      <c r="F10" s="86" t="s">
        <v>1689</v>
      </c>
      <c r="G10" s="82"/>
      <c r="H10" s="84"/>
      <c r="I10" s="81"/>
    </row>
    <row r="11" spans="1:9" ht="39" customHeight="1" thickBot="1">
      <c r="A11" s="78">
        <v>1040</v>
      </c>
      <c r="B11" s="79" t="s">
        <v>1690</v>
      </c>
      <c r="C11" s="80" t="s">
        <v>1684</v>
      </c>
      <c r="D11" s="81"/>
      <c r="E11" s="82"/>
      <c r="F11" s="87"/>
      <c r="G11" s="82" t="s">
        <v>1691</v>
      </c>
      <c r="H11" s="78"/>
      <c r="I11" s="86"/>
    </row>
    <row r="12" spans="1:9" ht="40.5" customHeight="1" thickBot="1">
      <c r="A12" s="78">
        <v>1159</v>
      </c>
      <c r="B12" s="79" t="s">
        <v>1692</v>
      </c>
      <c r="C12" s="80" t="s">
        <v>1684</v>
      </c>
      <c r="D12" s="81"/>
      <c r="E12" s="82"/>
      <c r="F12" s="86" t="s">
        <v>1693</v>
      </c>
      <c r="G12" s="82"/>
      <c r="H12" s="84"/>
      <c r="I12" s="85"/>
    </row>
    <row r="13" spans="1:9" ht="35.25" customHeight="1" thickBot="1">
      <c r="A13" s="78">
        <v>1395</v>
      </c>
      <c r="B13" s="79" t="s">
        <v>1694</v>
      </c>
      <c r="C13" s="80" t="s">
        <v>1695</v>
      </c>
      <c r="D13" s="81"/>
      <c r="E13" s="82"/>
      <c r="F13" s="87" t="s">
        <v>1696</v>
      </c>
      <c r="G13" s="82"/>
      <c r="H13" s="84"/>
      <c r="I13" s="85"/>
    </row>
    <row r="14" spans="1:9" ht="30" customHeight="1" thickBot="1">
      <c r="A14" s="78"/>
      <c r="B14" s="79"/>
      <c r="C14" s="80"/>
      <c r="D14" s="81"/>
      <c r="E14" s="82"/>
      <c r="F14" s="81"/>
      <c r="G14" s="82"/>
      <c r="H14" s="84"/>
      <c r="I14" s="85"/>
    </row>
    <row r="15" spans="1:9" ht="33.75" customHeight="1" thickBot="1">
      <c r="A15" s="78"/>
      <c r="B15" s="79"/>
      <c r="C15" s="80"/>
      <c r="D15" s="81"/>
      <c r="E15" s="82"/>
      <c r="F15" s="81"/>
      <c r="G15" s="82"/>
      <c r="H15" s="84"/>
      <c r="I15" s="85"/>
    </row>
    <row r="16" spans="1:9" ht="44.25" customHeight="1" thickBot="1">
      <c r="A16" s="78"/>
      <c r="B16" s="79"/>
      <c r="C16" s="80"/>
      <c r="D16" s="81"/>
      <c r="E16" s="82"/>
      <c r="F16" s="81"/>
      <c r="G16" s="82"/>
      <c r="H16" s="84"/>
      <c r="I16" s="81"/>
    </row>
    <row r="17" spans="1:15" ht="33.75" customHeight="1" thickBot="1">
      <c r="A17" s="78"/>
      <c r="B17" s="79"/>
      <c r="C17" s="80"/>
      <c r="D17" s="81"/>
      <c r="E17" s="82"/>
      <c r="F17" s="81"/>
      <c r="G17" s="82"/>
      <c r="H17" s="84"/>
      <c r="I17" s="81"/>
    </row>
    <row r="18" spans="1:15" ht="30.75" customHeight="1" thickBot="1">
      <c r="A18" s="78"/>
      <c r="B18" s="79"/>
      <c r="C18" s="80"/>
      <c r="D18" s="81"/>
      <c r="E18" s="82"/>
      <c r="F18" s="81"/>
      <c r="G18" s="82"/>
      <c r="H18" s="84"/>
      <c r="I18" s="86"/>
    </row>
    <row r="19" spans="1:15" ht="30.75" customHeight="1" thickBot="1">
      <c r="A19" s="78"/>
      <c r="B19" s="79"/>
      <c r="C19" s="80"/>
      <c r="D19" s="81"/>
      <c r="E19" s="82"/>
      <c r="F19" s="81"/>
      <c r="G19" s="82"/>
      <c r="H19" s="84"/>
      <c r="I19" s="81"/>
    </row>
    <row r="20" spans="1:15" ht="28.5" customHeight="1" thickBot="1">
      <c r="A20" s="78"/>
      <c r="B20" s="79"/>
      <c r="C20" s="80"/>
      <c r="D20" s="81"/>
      <c r="E20" s="82"/>
      <c r="F20" s="81"/>
      <c r="G20" s="82"/>
      <c r="H20" s="84"/>
      <c r="I20" s="85"/>
    </row>
    <row r="21" spans="1:15" s="88" customFormat="1" ht="28.5" customHeight="1" thickBot="1">
      <c r="A21" s="78"/>
      <c r="B21" s="79"/>
      <c r="C21" s="80"/>
      <c r="D21" s="81"/>
      <c r="E21" s="82"/>
      <c r="F21" s="81"/>
      <c r="G21" s="82"/>
      <c r="H21" s="84"/>
      <c r="I21" s="79"/>
    </row>
    <row r="22" spans="1:15" ht="28.5" customHeight="1" thickBot="1">
      <c r="A22" s="78"/>
      <c r="B22" s="79"/>
      <c r="C22" s="80"/>
      <c r="D22" s="81"/>
      <c r="E22" s="82"/>
      <c r="F22" s="86"/>
      <c r="G22" s="82"/>
      <c r="H22" s="84"/>
      <c r="I22" s="81"/>
    </row>
    <row r="23" spans="1:15" ht="24.75" customHeight="1" thickBot="1">
      <c r="A23" s="78"/>
      <c r="B23" s="79"/>
      <c r="C23" s="89"/>
      <c r="D23" s="81"/>
      <c r="E23" s="82"/>
      <c r="F23" s="81"/>
      <c r="G23" s="82"/>
      <c r="H23" s="84"/>
      <c r="I23" s="81"/>
      <c r="J23"/>
      <c r="K23"/>
      <c r="L23"/>
      <c r="M23"/>
      <c r="N23"/>
      <c r="O23"/>
    </row>
    <row r="24" spans="1:15" ht="25.5" customHeight="1" thickBot="1">
      <c r="A24" s="90"/>
      <c r="B24" s="91" t="s">
        <v>629</v>
      </c>
      <c r="C24" s="92"/>
      <c r="D24" s="90">
        <v>0</v>
      </c>
      <c r="E24" s="93">
        <v>0</v>
      </c>
      <c r="F24" s="90">
        <v>5</v>
      </c>
      <c r="G24" s="92">
        <v>1</v>
      </c>
      <c r="H24" s="90">
        <v>0</v>
      </c>
      <c r="I24" s="90"/>
      <c r="J24"/>
      <c r="K24"/>
      <c r="L24"/>
      <c r="M24"/>
      <c r="N24"/>
      <c r="O24"/>
    </row>
    <row r="25" spans="1:15">
      <c r="B25" s="94"/>
    </row>
    <row r="26" spans="1:15">
      <c r="A26" s="97" t="s">
        <v>1699</v>
      </c>
      <c r="G26" s="98"/>
      <c r="I26" s="98"/>
    </row>
    <row r="27" spans="1:15">
      <c r="A27" s="97"/>
      <c r="G27" s="98"/>
      <c r="I27" s="98"/>
    </row>
    <row r="28" spans="1:15">
      <c r="A28" s="99" t="s">
        <v>630</v>
      </c>
      <c r="G28" s="98"/>
      <c r="I28" s="98"/>
    </row>
    <row r="29" spans="1:15">
      <c r="A29" s="100"/>
    </row>
    <row r="30" spans="1:15">
      <c r="A30" s="101" t="s">
        <v>1697</v>
      </c>
    </row>
    <row r="31" spans="1:15">
      <c r="A31" s="101"/>
    </row>
    <row r="32" spans="1:15">
      <c r="A32" s="101"/>
    </row>
    <row r="33" spans="1:1">
      <c r="A33" s="101" t="s">
        <v>634</v>
      </c>
    </row>
  </sheetData>
  <phoneticPr fontId="0" type="noConversion"/>
  <pageMargins left="0.6" right="0.55000000000000004" top="0.62992125984251968" bottom="0.74803149606299213" header="0.31496062992125984" footer="0.27559055118110237"/>
  <pageSetup paperSize="9" scale="63" pageOrder="overThenDown" orientation="portrait" horizontalDpi="1200" verticalDpi="120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85EB-E5C2-4644-8B01-AD19A2F0FEFE}">
  <sheetPr>
    <pageSetUpPr fitToPage="1"/>
  </sheetPr>
  <dimension ref="A1:B11"/>
  <sheetViews>
    <sheetView workbookViewId="0">
      <selection activeCell="B3" sqref="B3:B8"/>
    </sheetView>
  </sheetViews>
  <sheetFormatPr baseColWidth="10" defaultColWidth="11.3984375" defaultRowHeight="13"/>
  <cols>
    <col min="1" max="1" width="5.59765625" style="214" customWidth="1"/>
    <col min="2" max="16384" width="11.3984375" style="214"/>
  </cols>
  <sheetData>
    <row r="1" spans="1:2" ht="16">
      <c r="A1" s="213" t="s">
        <v>138</v>
      </c>
    </row>
    <row r="2" spans="1:2" ht="16">
      <c r="A2" s="215"/>
    </row>
    <row r="3" spans="1:2">
      <c r="A3" s="214">
        <v>6.01</v>
      </c>
      <c r="B3" s="216" t="s">
        <v>1724</v>
      </c>
    </row>
    <row r="4" spans="1:2">
      <c r="A4" s="214">
        <v>6.02</v>
      </c>
      <c r="B4" s="216" t="s">
        <v>1725</v>
      </c>
    </row>
    <row r="5" spans="1:2">
      <c r="A5" s="214">
        <v>6.03</v>
      </c>
      <c r="B5" s="216" t="s">
        <v>139</v>
      </c>
    </row>
    <row r="6" spans="1:2">
      <c r="A6" s="214">
        <v>6.04</v>
      </c>
      <c r="B6" s="216" t="s">
        <v>140</v>
      </c>
    </row>
    <row r="7" spans="1:2">
      <c r="A7" s="214">
        <v>6.05</v>
      </c>
      <c r="B7" s="216" t="s">
        <v>141</v>
      </c>
    </row>
    <row r="8" spans="1:2">
      <c r="A8" s="214">
        <v>6.06</v>
      </c>
      <c r="B8" s="216" t="s">
        <v>142</v>
      </c>
    </row>
    <row r="11" spans="1:2">
      <c r="A11" s="217" t="s">
        <v>634</v>
      </c>
    </row>
  </sheetData>
  <phoneticPr fontId="30" type="noConversion"/>
  <pageMargins left="0.46" right="0.35" top="0.69" bottom="0.984251969" header="0.36" footer="0.4921259845"/>
  <pageSetup paperSize="9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DCF8-DBE8-F646-B19F-50F66218C60C}">
  <sheetPr>
    <pageSetUpPr fitToPage="1"/>
  </sheetPr>
  <dimension ref="A1:G27"/>
  <sheetViews>
    <sheetView zoomScale="75" workbookViewId="0">
      <selection activeCell="A2" sqref="A2:F2"/>
    </sheetView>
  </sheetViews>
  <sheetFormatPr baseColWidth="10" defaultColWidth="11.3984375" defaultRowHeight="13"/>
  <cols>
    <col min="1" max="1" width="16.796875" style="2" customWidth="1"/>
    <col min="2" max="4" width="14.796875" style="2" customWidth="1"/>
    <col min="5" max="5" width="15.3984375" style="2" customWidth="1"/>
    <col min="6" max="7" width="14.796875" style="2" customWidth="1"/>
    <col min="8" max="16384" width="11.3984375" style="2"/>
  </cols>
  <sheetData>
    <row r="1" spans="1:7" s="1" customFormat="1" ht="14" customHeight="1"/>
    <row r="2" spans="1:7" s="1" customFormat="1" ht="31.5" customHeight="1">
      <c r="A2" s="1800" t="s">
        <v>1055</v>
      </c>
      <c r="B2" s="1804"/>
      <c r="C2" s="1804"/>
      <c r="D2" s="1804"/>
      <c r="E2" s="1804"/>
      <c r="F2" s="1804"/>
      <c r="G2" s="56">
        <v>2007</v>
      </c>
    </row>
    <row r="3" spans="1:7" ht="24" customHeight="1">
      <c r="A3" s="110" t="s">
        <v>533</v>
      </c>
      <c r="B3" s="111" t="s">
        <v>1056</v>
      </c>
      <c r="C3" s="112" t="s">
        <v>1056</v>
      </c>
      <c r="D3" s="111" t="s">
        <v>535</v>
      </c>
      <c r="E3" s="112" t="s">
        <v>535</v>
      </c>
      <c r="F3" s="111" t="s">
        <v>1057</v>
      </c>
      <c r="G3" s="167" t="s">
        <v>1057</v>
      </c>
    </row>
    <row r="4" spans="1:7" ht="15" customHeight="1">
      <c r="A4" s="308"/>
      <c r="B4" s="114" t="s">
        <v>1058</v>
      </c>
      <c r="C4" s="115" t="s">
        <v>1059</v>
      </c>
      <c r="D4" s="114" t="s">
        <v>1058</v>
      </c>
      <c r="E4" s="115" t="s">
        <v>1059</v>
      </c>
      <c r="F4" s="114" t="s">
        <v>1060</v>
      </c>
      <c r="G4" s="113" t="s">
        <v>1061</v>
      </c>
    </row>
    <row r="5" spans="1:7" ht="15" customHeight="1">
      <c r="A5" s="308"/>
      <c r="B5" s="114"/>
      <c r="C5" s="115" t="s">
        <v>1062</v>
      </c>
      <c r="D5" s="114"/>
      <c r="E5" s="115" t="s">
        <v>1062</v>
      </c>
      <c r="F5" s="114" t="s">
        <v>1066</v>
      </c>
      <c r="G5" s="113" t="s">
        <v>1063</v>
      </c>
    </row>
    <row r="6" spans="1:7" ht="24" customHeight="1">
      <c r="A6" s="309"/>
      <c r="B6" s="120"/>
      <c r="C6" s="119" t="s">
        <v>1067</v>
      </c>
      <c r="D6" s="120"/>
      <c r="E6" s="119" t="s">
        <v>1067</v>
      </c>
      <c r="F6" s="120"/>
      <c r="G6" s="117"/>
    </row>
    <row r="7" spans="1:7" ht="1.5" customHeight="1" thickBot="1">
      <c r="A7" s="310">
        <v>1996</v>
      </c>
      <c r="B7" s="682">
        <v>834.29346030999989</v>
      </c>
      <c r="C7" s="447">
        <v>147.33000000000001</v>
      </c>
      <c r="D7" s="682">
        <v>872.50191104999999</v>
      </c>
      <c r="E7" s="447">
        <v>174.02</v>
      </c>
      <c r="F7" s="448">
        <v>1497811</v>
      </c>
      <c r="G7" s="683">
        <v>150</v>
      </c>
    </row>
    <row r="8" spans="1:7" ht="20" customHeight="1" thickBot="1">
      <c r="A8" s="312">
        <v>1997</v>
      </c>
      <c r="B8" s="462">
        <v>560.57016199999998</v>
      </c>
      <c r="C8" s="457">
        <v>177.97135605247547</v>
      </c>
      <c r="D8" s="462">
        <v>621.52611999999999</v>
      </c>
      <c r="E8" s="457">
        <v>219.40142149615536</v>
      </c>
      <c r="F8" s="458">
        <v>962507</v>
      </c>
      <c r="G8" s="684">
        <v>134</v>
      </c>
    </row>
    <row r="9" spans="1:7" ht="20" customHeight="1" thickBot="1">
      <c r="A9" s="312">
        <v>1998</v>
      </c>
      <c r="B9" s="462">
        <v>511.39633099999998</v>
      </c>
      <c r="C9" s="457">
        <v>210.006745555365</v>
      </c>
      <c r="D9" s="462">
        <v>456.36259100000001</v>
      </c>
      <c r="E9" s="457">
        <v>198.92326535477412</v>
      </c>
      <c r="F9" s="458">
        <v>822171</v>
      </c>
      <c r="G9" s="684">
        <v>115</v>
      </c>
    </row>
    <row r="10" spans="1:7" ht="20" customHeight="1" thickBot="1">
      <c r="A10" s="312">
        <v>1999</v>
      </c>
      <c r="B10" s="462">
        <v>464.48300699999999</v>
      </c>
      <c r="C10" s="457">
        <v>208.58087392018217</v>
      </c>
      <c r="D10" s="462">
        <v>412.14915300000001</v>
      </c>
      <c r="E10" s="457">
        <v>192.54405491703864</v>
      </c>
      <c r="F10" s="458">
        <v>727206</v>
      </c>
      <c r="G10" s="684">
        <v>109</v>
      </c>
    </row>
    <row r="11" spans="1:7" ht="20" customHeight="1" thickBot="1">
      <c r="A11" s="312">
        <v>2000</v>
      </c>
      <c r="B11" s="462">
        <v>439.22602000000001</v>
      </c>
      <c r="C11" s="457">
        <v>209.03</v>
      </c>
      <c r="D11" s="462">
        <v>381.63992000000002</v>
      </c>
      <c r="E11" s="457">
        <v>199.95</v>
      </c>
      <c r="F11" s="458">
        <v>639885</v>
      </c>
      <c r="G11" s="684">
        <v>102</v>
      </c>
    </row>
    <row r="12" spans="1:7" ht="20" customHeight="1" thickBot="1">
      <c r="A12" s="312">
        <v>2001</v>
      </c>
      <c r="B12" s="462">
        <v>400.71188914999999</v>
      </c>
      <c r="C12" s="457">
        <v>221.99</v>
      </c>
      <c r="D12" s="462">
        <v>351.97137099999998</v>
      </c>
      <c r="E12" s="457">
        <v>196.51</v>
      </c>
      <c r="F12" s="458">
        <v>561848</v>
      </c>
      <c r="G12" s="684">
        <v>102</v>
      </c>
    </row>
    <row r="13" spans="1:7" ht="20" customHeight="1" thickBot="1">
      <c r="A13" s="312">
        <v>2002</v>
      </c>
      <c r="B13" s="462">
        <v>371.74367599999999</v>
      </c>
      <c r="C13" s="457">
        <v>218.55</v>
      </c>
      <c r="D13" s="462">
        <v>329.14910600000002</v>
      </c>
      <c r="E13" s="457">
        <v>192.51</v>
      </c>
      <c r="F13" s="458">
        <v>495344</v>
      </c>
      <c r="G13" s="684">
        <v>93</v>
      </c>
    </row>
    <row r="14" spans="1:7" ht="20" customHeight="1" thickBot="1">
      <c r="A14" s="312">
        <v>2003</v>
      </c>
      <c r="B14" s="462">
        <v>357.14315599999998</v>
      </c>
      <c r="C14" s="457">
        <v>230.55</v>
      </c>
      <c r="D14" s="462">
        <v>309.91303299999998</v>
      </c>
      <c r="E14" s="457">
        <v>196.87</v>
      </c>
      <c r="F14" s="458">
        <v>439082</v>
      </c>
      <c r="G14" s="684">
        <v>92</v>
      </c>
    </row>
    <row r="15" spans="1:7" ht="20" customHeight="1" thickBot="1">
      <c r="A15" s="312">
        <v>2004</v>
      </c>
      <c r="B15" s="462">
        <v>356.58952599999998</v>
      </c>
      <c r="C15" s="457">
        <v>237.95</v>
      </c>
      <c r="D15" s="462">
        <v>277.93515500000001</v>
      </c>
      <c r="E15" s="457">
        <v>191.46</v>
      </c>
      <c r="F15" s="458">
        <v>384858</v>
      </c>
      <c r="G15" s="684">
        <v>93</v>
      </c>
    </row>
    <row r="16" spans="1:7" ht="20" customHeight="1" thickBot="1">
      <c r="A16" s="312">
        <v>2005</v>
      </c>
      <c r="B16" s="462">
        <v>342.30109299999998</v>
      </c>
      <c r="C16" s="457">
        <v>202.99</v>
      </c>
      <c r="D16" s="462">
        <v>251.061485</v>
      </c>
      <c r="E16" s="457">
        <v>158.24</v>
      </c>
      <c r="F16" s="458">
        <v>409989</v>
      </c>
      <c r="G16" s="684">
        <v>82</v>
      </c>
    </row>
    <row r="17" spans="1:7" ht="20" customHeight="1" thickBot="1">
      <c r="A17" s="312">
        <v>2006</v>
      </c>
      <c r="B17" s="462">
        <v>318.09682500000002</v>
      </c>
      <c r="C17" s="457">
        <v>203.43</v>
      </c>
      <c r="D17" s="462">
        <v>220.62135799999999</v>
      </c>
      <c r="E17" s="457">
        <v>148.53</v>
      </c>
      <c r="F17" s="458">
        <v>376229</v>
      </c>
      <c r="G17" s="684">
        <v>81</v>
      </c>
    </row>
    <row r="18" spans="1:7" ht="30" customHeight="1" thickBot="1">
      <c r="A18" s="418">
        <v>2007</v>
      </c>
      <c r="B18" s="685">
        <v>302.25500452</v>
      </c>
      <c r="C18" s="177">
        <v>192.28</v>
      </c>
      <c r="D18" s="685">
        <v>207.71949053</v>
      </c>
      <c r="E18" s="177">
        <v>139.46</v>
      </c>
      <c r="F18" s="176">
        <v>342046.54</v>
      </c>
      <c r="G18" s="686">
        <v>81</v>
      </c>
    </row>
    <row r="19" spans="1:7" ht="20" customHeight="1">
      <c r="A19" s="133" t="s">
        <v>1070</v>
      </c>
      <c r="B19" s="133"/>
      <c r="C19" s="133"/>
      <c r="D19" s="133"/>
      <c r="E19" s="133"/>
      <c r="F19" s="133"/>
      <c r="G19" s="133"/>
    </row>
    <row r="20" spans="1:7" ht="13.5" customHeight="1">
      <c r="A20" s="3"/>
      <c r="B20" s="3"/>
      <c r="C20" s="3"/>
      <c r="D20" s="3"/>
      <c r="E20" s="3"/>
      <c r="F20" s="3"/>
      <c r="G20" s="3"/>
    </row>
    <row r="21" spans="1:7" ht="15.75" customHeight="1">
      <c r="A21" s="3" t="s">
        <v>1064</v>
      </c>
      <c r="B21" s="3"/>
      <c r="C21" s="3"/>
      <c r="D21" s="3"/>
      <c r="E21" s="3"/>
      <c r="F21" s="3"/>
      <c r="G21" s="3"/>
    </row>
    <row r="22" spans="1:7" ht="14.25" customHeight="1">
      <c r="A22" s="3"/>
      <c r="B22" s="3"/>
      <c r="C22" s="3"/>
      <c r="D22" s="3"/>
      <c r="E22" s="3"/>
      <c r="F22" s="3"/>
      <c r="G22" s="3"/>
    </row>
    <row r="23" spans="1:7" ht="12.75" customHeight="1">
      <c r="A23" s="3" t="s">
        <v>1065</v>
      </c>
      <c r="B23" s="3"/>
      <c r="C23" s="3"/>
      <c r="D23" s="3"/>
      <c r="E23" s="3"/>
      <c r="F23" s="3"/>
      <c r="G23" s="3"/>
    </row>
    <row r="24" spans="1:7">
      <c r="A24" s="2" t="s">
        <v>1068</v>
      </c>
    </row>
    <row r="27" spans="1:7">
      <c r="A27" s="2" t="s">
        <v>634</v>
      </c>
    </row>
  </sheetData>
  <mergeCells count="1">
    <mergeCell ref="A2:F2"/>
  </mergeCells>
  <phoneticPr fontId="0" type="noConversion"/>
  <pageMargins left="0.62" right="0.64" top="1.01" bottom="0.49" header="0.53" footer="0.4921259845"/>
  <pageSetup paperSize="9" scale="86" orientation="portrait" horizontalDpi="4294967292" verticalDpi="4294967292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B7D7-E804-2B45-90D2-DECA5938662A}">
  <sheetPr>
    <pageSetUpPr fitToPage="1"/>
  </sheetPr>
  <dimension ref="A1:K24"/>
  <sheetViews>
    <sheetView zoomScale="75" workbookViewId="0">
      <selection activeCell="J15" sqref="J15"/>
    </sheetView>
  </sheetViews>
  <sheetFormatPr baseColWidth="10" defaultColWidth="11.3984375" defaultRowHeight="13"/>
  <cols>
    <col min="1" max="1" width="16.796875" style="2" customWidth="1"/>
    <col min="2" max="2" width="14.796875" style="2" customWidth="1"/>
    <col min="3" max="3" width="14.796875" style="95" customWidth="1"/>
    <col min="4" max="4" width="14.796875" style="2" customWidth="1"/>
    <col min="5" max="5" width="14.796875" style="95" customWidth="1"/>
    <col min="6" max="6" width="14.796875" style="2" customWidth="1"/>
    <col min="7" max="7" width="15.3984375" style="95" customWidth="1"/>
    <col min="8" max="16384" width="11.3984375" style="2"/>
  </cols>
  <sheetData>
    <row r="1" spans="1:11" s="1" customFormat="1" ht="14" customHeight="1">
      <c r="C1" s="166"/>
      <c r="E1" s="166"/>
      <c r="G1" s="166"/>
    </row>
    <row r="2" spans="1:11" s="1" customFormat="1" ht="28" customHeight="1">
      <c r="A2" s="56" t="s">
        <v>1045</v>
      </c>
      <c r="C2" s="166"/>
      <c r="E2" s="166"/>
      <c r="G2" s="56">
        <v>2007</v>
      </c>
    </row>
    <row r="3" spans="1:11" ht="24" customHeight="1">
      <c r="A3" s="110" t="s">
        <v>533</v>
      </c>
      <c r="B3" s="111" t="s">
        <v>1046</v>
      </c>
      <c r="C3" s="167" t="s">
        <v>1801</v>
      </c>
      <c r="D3" s="111" t="s">
        <v>1047</v>
      </c>
      <c r="E3" s="167" t="s">
        <v>1801</v>
      </c>
      <c r="F3" s="111" t="s">
        <v>431</v>
      </c>
      <c r="G3" s="167" t="s">
        <v>1801</v>
      </c>
    </row>
    <row r="4" spans="1:11" ht="15" customHeight="1">
      <c r="A4" s="308"/>
      <c r="B4" s="114" t="s">
        <v>431</v>
      </c>
      <c r="C4" s="113" t="s">
        <v>1802</v>
      </c>
      <c r="D4" s="114" t="s">
        <v>1048</v>
      </c>
      <c r="E4" s="113" t="s">
        <v>1802</v>
      </c>
      <c r="F4" s="114" t="s">
        <v>1049</v>
      </c>
      <c r="G4" s="113" t="s">
        <v>1802</v>
      </c>
    </row>
    <row r="5" spans="1:11" ht="15" customHeight="1">
      <c r="A5" s="308"/>
      <c r="B5" s="114" t="s">
        <v>1050</v>
      </c>
      <c r="C5" s="113" t="s">
        <v>1806</v>
      </c>
      <c r="D5" s="114" t="s">
        <v>1051</v>
      </c>
      <c r="E5" s="113" t="s">
        <v>1806</v>
      </c>
      <c r="F5" s="114" t="s">
        <v>1052</v>
      </c>
      <c r="G5" s="113" t="s">
        <v>1806</v>
      </c>
    </row>
    <row r="6" spans="1:11" ht="24" customHeight="1">
      <c r="A6" s="309"/>
      <c r="B6" s="120"/>
      <c r="C6" s="117"/>
      <c r="D6" s="120" t="s">
        <v>1053</v>
      </c>
      <c r="E6" s="117"/>
      <c r="F6" s="120"/>
      <c r="G6" s="117"/>
    </row>
    <row r="7" spans="1:11" ht="1.5" customHeight="1" thickBot="1">
      <c r="A7" s="310">
        <v>1996</v>
      </c>
      <c r="B7" s="142">
        <v>842626041.5999999</v>
      </c>
      <c r="C7" s="680">
        <v>-0.22395165786377283</v>
      </c>
      <c r="D7" s="142">
        <v>918792074.10000002</v>
      </c>
      <c r="E7" s="680">
        <v>-0.174100182026726</v>
      </c>
      <c r="F7" s="142">
        <v>-76164233.309999987</v>
      </c>
      <c r="G7" s="680">
        <v>-1.8543740517491432</v>
      </c>
      <c r="I7" s="9"/>
      <c r="J7" s="9"/>
      <c r="K7" s="9"/>
    </row>
    <row r="8" spans="1:11" ht="20" customHeight="1" thickBot="1">
      <c r="A8" s="312">
        <v>1997</v>
      </c>
      <c r="B8" s="144">
        <v>582586264.20000005</v>
      </c>
      <c r="C8" s="667">
        <v>-0.30860638594343665</v>
      </c>
      <c r="D8" s="144">
        <v>600844654.99000001</v>
      </c>
      <c r="E8" s="667">
        <v>-0.34604937076916387</v>
      </c>
      <c r="F8" s="144">
        <v>-18258290.829999998</v>
      </c>
      <c r="G8" s="667">
        <v>0.76027736331716245</v>
      </c>
    </row>
    <row r="9" spans="1:11" ht="20" customHeight="1" thickBot="1">
      <c r="A9" s="312">
        <v>1998</v>
      </c>
      <c r="B9" s="144">
        <v>506597985.24000001</v>
      </c>
      <c r="C9" s="667">
        <v>-0.13043266487641306</v>
      </c>
      <c r="D9" s="144">
        <v>466707907.44999999</v>
      </c>
      <c r="E9" s="667">
        <v>-0.22324696812395292</v>
      </c>
      <c r="F9" s="144">
        <v>39890107.789999999</v>
      </c>
      <c r="G9" s="667">
        <v>3.1847668087561076</v>
      </c>
    </row>
    <row r="10" spans="1:11" ht="20" customHeight="1" thickBot="1">
      <c r="A10" s="312">
        <v>1999</v>
      </c>
      <c r="B10" s="144">
        <v>464005598.98000002</v>
      </c>
      <c r="C10" s="667">
        <v>-8.4075317117224449E-2</v>
      </c>
      <c r="D10" s="144">
        <v>422158429.66000003</v>
      </c>
      <c r="E10" s="667">
        <v>-9.5454731061681661E-2</v>
      </c>
      <c r="F10" s="144">
        <v>41847169.719999999</v>
      </c>
      <c r="G10" s="667">
        <v>4.9061334712427351E-2</v>
      </c>
    </row>
    <row r="11" spans="1:11" ht="20" customHeight="1" thickBot="1">
      <c r="A11" s="312">
        <v>2000</v>
      </c>
      <c r="B11" s="144">
        <v>458973777.85000002</v>
      </c>
      <c r="C11" s="667">
        <v>-1.0844311234737667E-2</v>
      </c>
      <c r="D11" s="144">
        <v>416527371.23000002</v>
      </c>
      <c r="E11" s="667">
        <v>-1.3338732651945802E-2</v>
      </c>
      <c r="F11" s="144">
        <v>42446406.640000001</v>
      </c>
      <c r="G11" s="667">
        <v>1.4319652296905794E-2</v>
      </c>
    </row>
    <row r="12" spans="1:11" ht="20" customHeight="1" thickBot="1">
      <c r="A12" s="312">
        <v>2001</v>
      </c>
      <c r="B12" s="144">
        <v>405199385</v>
      </c>
      <c r="C12" s="667">
        <v>-0.11716223332387053</v>
      </c>
      <c r="D12" s="144">
        <v>389159830</v>
      </c>
      <c r="E12" s="667">
        <v>-6.5704064415224431E-2</v>
      </c>
      <c r="F12" s="144">
        <v>16039555</v>
      </c>
      <c r="G12" s="667">
        <v>-0.62212219432292559</v>
      </c>
    </row>
    <row r="13" spans="1:11" ht="20" customHeight="1" thickBot="1">
      <c r="A13" s="312">
        <v>2002</v>
      </c>
      <c r="B13" s="144">
        <v>372184863.34999996</v>
      </c>
      <c r="C13" s="667">
        <v>-8.147722546518682E-2</v>
      </c>
      <c r="D13" s="144">
        <v>361726442.44999999</v>
      </c>
      <c r="E13" s="667">
        <v>-7.0493883065988625E-2</v>
      </c>
      <c r="F13" s="144">
        <v>10458420.890000001</v>
      </c>
      <c r="G13" s="667">
        <v>-0.34796065788608221</v>
      </c>
    </row>
    <row r="14" spans="1:11" ht="20" customHeight="1" thickBot="1">
      <c r="A14" s="312">
        <v>2003</v>
      </c>
      <c r="B14" s="144">
        <v>364678826.25</v>
      </c>
      <c r="C14" s="667">
        <v>-2.016749695954545E-2</v>
      </c>
      <c r="D14" s="144">
        <v>338730046.06999999</v>
      </c>
      <c r="E14" s="667">
        <v>-6.357399869427216E-2</v>
      </c>
      <c r="F14" s="144">
        <v>25948780.16</v>
      </c>
      <c r="G14" s="667">
        <v>1.4811374903463079</v>
      </c>
    </row>
    <row r="15" spans="1:11" ht="20" customHeight="1" thickBot="1">
      <c r="A15" s="312">
        <v>2004</v>
      </c>
      <c r="B15" s="144">
        <v>363267822.86999995</v>
      </c>
      <c r="C15" s="667">
        <v>-3.8691672738706551E-3</v>
      </c>
      <c r="D15" s="144">
        <v>315178869.18000001</v>
      </c>
      <c r="E15" s="667">
        <v>-6.9527864927379501E-2</v>
      </c>
      <c r="F15" s="144">
        <v>48088953.700000003</v>
      </c>
      <c r="G15" s="667">
        <v>0.85322598609583356</v>
      </c>
    </row>
    <row r="16" spans="1:11" ht="20" customHeight="1" thickBot="1">
      <c r="A16" s="312">
        <v>2005</v>
      </c>
      <c r="B16" s="144">
        <v>347836052.75999999</v>
      </c>
      <c r="C16" s="667">
        <v>-4.2480421161668391E-2</v>
      </c>
      <c r="D16" s="144">
        <v>299546558.91000003</v>
      </c>
      <c r="E16" s="667">
        <v>-4.9598218023532259E-2</v>
      </c>
      <c r="F16" s="144">
        <v>48289493.789999999</v>
      </c>
      <c r="G16" s="667">
        <v>4.1701903362476589E-3</v>
      </c>
    </row>
    <row r="17" spans="1:7" ht="20" customHeight="1" thickBot="1">
      <c r="A17" s="312">
        <v>2006</v>
      </c>
      <c r="B17" s="144">
        <v>318876960.83999997</v>
      </c>
      <c r="C17" s="667">
        <v>-8.3255003873854427E-2</v>
      </c>
      <c r="D17" s="144">
        <v>268580125.52999997</v>
      </c>
      <c r="E17" s="667">
        <v>-0.10337769691857501</v>
      </c>
      <c r="F17" s="144">
        <v>50296835.340000004</v>
      </c>
      <c r="G17" s="667">
        <v>4.1568908523445636E-2</v>
      </c>
    </row>
    <row r="18" spans="1:7" ht="30" customHeight="1" thickBot="1">
      <c r="A18" s="418">
        <v>2007</v>
      </c>
      <c r="B18" s="146">
        <v>303789909.62</v>
      </c>
      <c r="C18" s="681">
        <v>-4.7313080193241208E-2</v>
      </c>
      <c r="D18" s="146">
        <v>263420170.53999999</v>
      </c>
      <c r="E18" s="681">
        <v>-1.9211976239186135E-2</v>
      </c>
      <c r="F18" s="146">
        <v>40369739.060000002</v>
      </c>
      <c r="G18" s="681">
        <v>-0.19737019661165822</v>
      </c>
    </row>
    <row r="19" spans="1:7" ht="20" customHeight="1">
      <c r="A19" s="133" t="s">
        <v>1070</v>
      </c>
      <c r="B19" s="133"/>
      <c r="C19" s="170"/>
      <c r="D19" s="133"/>
      <c r="E19" s="170"/>
      <c r="F19" s="133"/>
      <c r="G19" s="170"/>
    </row>
    <row r="20" spans="1:7" ht="15.75" customHeight="1">
      <c r="A20" s="3"/>
      <c r="B20" s="3"/>
      <c r="C20" s="171"/>
      <c r="D20" s="3"/>
      <c r="E20" s="171"/>
      <c r="F20" s="3"/>
      <c r="G20" s="171"/>
    </row>
    <row r="21" spans="1:7" ht="15.75" customHeight="1">
      <c r="A21" s="3" t="s">
        <v>1054</v>
      </c>
      <c r="B21" s="3"/>
      <c r="C21" s="171"/>
      <c r="D21" s="3"/>
      <c r="E21" s="171"/>
      <c r="F21" s="3"/>
      <c r="G21" s="171"/>
    </row>
    <row r="24" spans="1:7">
      <c r="A24" s="2" t="s">
        <v>634</v>
      </c>
    </row>
  </sheetData>
  <phoneticPr fontId="0" type="noConversion"/>
  <pageMargins left="0.57999999999999996" right="0.65" top="0.96" bottom="0.49" header="0.49" footer="0.4921259845"/>
  <pageSetup paperSize="9" scale="86" orientation="portrait" horizontalDpi="4294967292" verticalDpi="4294967292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0CE7-88D9-7747-B356-90067C973566}">
  <sheetPr>
    <pageSetUpPr fitToPage="1"/>
  </sheetPr>
  <dimension ref="A1:H39"/>
  <sheetViews>
    <sheetView topLeftCell="A20" zoomScale="75" workbookViewId="0">
      <selection activeCell="I9" sqref="I9"/>
    </sheetView>
  </sheetViews>
  <sheetFormatPr baseColWidth="10" defaultColWidth="11.3984375" defaultRowHeight="13"/>
  <cols>
    <col min="1" max="1" width="33.796875" style="2" customWidth="1"/>
    <col min="2" max="3" width="17.59765625" style="2" customWidth="1"/>
    <col min="4" max="4" width="17.59765625" style="148" customWidth="1"/>
    <col min="5" max="5" width="17.59765625" style="676" customWidth="1"/>
    <col min="6" max="6" width="11.3984375" style="2"/>
    <col min="7" max="7" width="14.796875" style="2" hidden="1" customWidth="1"/>
    <col min="8" max="8" width="14.3984375" style="2" hidden="1" customWidth="1"/>
    <col min="9" max="16384" width="11.3984375" style="2"/>
  </cols>
  <sheetData>
    <row r="1" spans="1:8" s="1" customFormat="1" ht="14" customHeight="1">
      <c r="D1" s="17"/>
      <c r="E1" s="610"/>
    </row>
    <row r="2" spans="1:8" s="1" customFormat="1" ht="40.5" customHeight="1">
      <c r="A2" s="1800" t="s">
        <v>1036</v>
      </c>
      <c r="B2" s="1804"/>
      <c r="C2" s="1804"/>
      <c r="D2" s="1804"/>
      <c r="E2" s="56">
        <v>2007</v>
      </c>
    </row>
    <row r="3" spans="1:8" ht="24" customHeight="1">
      <c r="A3" s="110" t="s">
        <v>1019</v>
      </c>
      <c r="B3" s="111" t="s">
        <v>1020</v>
      </c>
      <c r="C3" s="112" t="s">
        <v>1021</v>
      </c>
      <c r="D3" s="385" t="s">
        <v>629</v>
      </c>
      <c r="E3" s="660" t="s">
        <v>1801</v>
      </c>
    </row>
    <row r="4" spans="1:8" ht="15" customHeight="1">
      <c r="A4" s="308"/>
      <c r="B4" s="114" t="s">
        <v>1022</v>
      </c>
      <c r="C4" s="115" t="s">
        <v>1022</v>
      </c>
      <c r="D4" s="387"/>
      <c r="E4" s="661" t="s">
        <v>1802</v>
      </c>
    </row>
    <row r="5" spans="1:8" ht="15" customHeight="1">
      <c r="A5" s="308"/>
      <c r="B5" s="114" t="s">
        <v>1336</v>
      </c>
      <c r="C5" s="115" t="s">
        <v>1037</v>
      </c>
      <c r="D5" s="387"/>
      <c r="E5" s="661" t="s">
        <v>1806</v>
      </c>
    </row>
    <row r="6" spans="1:8" ht="24" customHeight="1">
      <c r="A6" s="309"/>
      <c r="B6" s="120"/>
      <c r="C6" s="119"/>
      <c r="D6" s="441"/>
      <c r="E6" s="662"/>
      <c r="G6" s="663" t="s">
        <v>1023</v>
      </c>
      <c r="H6" s="663" t="s">
        <v>1024</v>
      </c>
    </row>
    <row r="7" spans="1:8" ht="30" customHeight="1" thickBot="1">
      <c r="A7" s="664" t="s">
        <v>1025</v>
      </c>
      <c r="B7" s="142">
        <v>79</v>
      </c>
      <c r="C7" s="291">
        <v>44</v>
      </c>
      <c r="D7" s="520">
        <v>81</v>
      </c>
      <c r="E7" s="665">
        <v>0</v>
      </c>
      <c r="F7" s="8"/>
      <c r="G7" s="326">
        <v>109</v>
      </c>
      <c r="H7" s="326">
        <v>109</v>
      </c>
    </row>
    <row r="8" spans="1:8" ht="25.5" customHeight="1" thickBot="1">
      <c r="A8" s="666" t="s">
        <v>1038</v>
      </c>
      <c r="B8" s="144"/>
      <c r="C8" s="297"/>
      <c r="D8" s="314"/>
      <c r="E8" s="667" t="s">
        <v>489</v>
      </c>
      <c r="G8" s="144"/>
      <c r="H8" s="144"/>
    </row>
    <row r="9" spans="1:8" ht="20" customHeight="1" thickBot="1">
      <c r="A9" s="457" t="s">
        <v>869</v>
      </c>
      <c r="B9" s="144">
        <v>148687.82999999999</v>
      </c>
      <c r="C9" s="297" t="s">
        <v>59</v>
      </c>
      <c r="D9" s="314" t="s">
        <v>59</v>
      </c>
      <c r="E9" s="667">
        <v>-9.1533338628573602E-2</v>
      </c>
      <c r="G9" s="144">
        <v>747913</v>
      </c>
      <c r="H9" s="144">
        <v>541989</v>
      </c>
    </row>
    <row r="10" spans="1:8" ht="20" customHeight="1" thickBot="1">
      <c r="A10" s="457" t="s">
        <v>871</v>
      </c>
      <c r="B10" s="144">
        <v>193358.71</v>
      </c>
      <c r="C10" s="297" t="s">
        <v>59</v>
      </c>
      <c r="D10" s="314" t="s">
        <v>59</v>
      </c>
      <c r="E10" s="667">
        <v>-9.0337785388664937E-2</v>
      </c>
      <c r="G10" s="144">
        <v>671493</v>
      </c>
      <c r="H10" s="144">
        <v>525355</v>
      </c>
    </row>
    <row r="11" spans="1:8" ht="20" customHeight="1" thickBot="1">
      <c r="A11" s="457" t="s">
        <v>629</v>
      </c>
      <c r="B11" s="144">
        <v>342046.54</v>
      </c>
      <c r="C11" s="297" t="s">
        <v>59</v>
      </c>
      <c r="D11" s="314" t="s">
        <v>59</v>
      </c>
      <c r="E11" s="667">
        <v>-9.0855463029165806E-2</v>
      </c>
      <c r="G11" s="144">
        <v>1419406</v>
      </c>
      <c r="H11" s="144">
        <v>1067344</v>
      </c>
    </row>
    <row r="12" spans="1:8" ht="24" customHeight="1" thickBot="1">
      <c r="A12" s="666" t="s">
        <v>1026</v>
      </c>
      <c r="B12" s="144"/>
      <c r="C12" s="297"/>
      <c r="D12" s="314"/>
      <c r="E12" s="667" t="s">
        <v>489</v>
      </c>
      <c r="G12" s="144"/>
      <c r="H12" s="144"/>
    </row>
    <row r="13" spans="1:8" ht="20" customHeight="1" thickBot="1">
      <c r="A13" s="457" t="s">
        <v>869</v>
      </c>
      <c r="B13" s="144">
        <v>39176718.25</v>
      </c>
      <c r="C13" s="297">
        <v>162525954.53999999</v>
      </c>
      <c r="D13" s="314">
        <v>201702672.81</v>
      </c>
      <c r="E13" s="668">
        <v>-5.7786787729883889E-2</v>
      </c>
      <c r="G13" s="144">
        <v>346254879</v>
      </c>
      <c r="H13" s="144">
        <v>346254879</v>
      </c>
    </row>
    <row r="14" spans="1:8" ht="20" customHeight="1" thickBot="1">
      <c r="A14" s="457" t="s">
        <v>871</v>
      </c>
      <c r="B14" s="144">
        <v>26592270.93</v>
      </c>
      <c r="C14" s="297">
        <v>73960060.790000007</v>
      </c>
      <c r="D14" s="314">
        <v>100552331.70999999</v>
      </c>
      <c r="E14" s="668">
        <v>-3.3369486911540014E-2</v>
      </c>
      <c r="G14" s="144">
        <v>118228128</v>
      </c>
      <c r="H14" s="144">
        <v>118228128</v>
      </c>
    </row>
    <row r="15" spans="1:8" ht="20" customHeight="1" thickBot="1">
      <c r="A15" s="457" t="s">
        <v>629</v>
      </c>
      <c r="B15" s="144">
        <v>65768989.200000003</v>
      </c>
      <c r="C15" s="297">
        <v>236486015.34</v>
      </c>
      <c r="D15" s="314">
        <v>302255004.51999998</v>
      </c>
      <c r="E15" s="668">
        <v>-4.9801881801240927E-2</v>
      </c>
      <c r="G15" s="144">
        <v>464483007</v>
      </c>
      <c r="H15" s="144">
        <v>464483007</v>
      </c>
    </row>
    <row r="16" spans="1:8" ht="33.75" customHeight="1" thickBot="1">
      <c r="A16" s="669" t="s">
        <v>1027</v>
      </c>
      <c r="B16" s="144"/>
      <c r="C16" s="297"/>
      <c r="D16" s="314"/>
      <c r="E16" s="667" t="s">
        <v>489</v>
      </c>
      <c r="G16" s="144"/>
      <c r="H16" s="144"/>
    </row>
    <row r="17" spans="1:8" ht="20" customHeight="1" thickBot="1">
      <c r="A17" s="457" t="s">
        <v>869</v>
      </c>
      <c r="B17" s="144">
        <v>263.48</v>
      </c>
      <c r="C17" s="297" t="s">
        <v>59</v>
      </c>
      <c r="D17" s="314" t="s">
        <v>59</v>
      </c>
      <c r="E17" s="667">
        <v>-5.9839429081177453E-2</v>
      </c>
      <c r="G17" s="144">
        <v>462.96</v>
      </c>
      <c r="H17" s="144">
        <v>638.86</v>
      </c>
    </row>
    <row r="18" spans="1:8" ht="20" customHeight="1" thickBot="1">
      <c r="A18" s="457" t="s">
        <v>871</v>
      </c>
      <c r="B18" s="144">
        <v>137.53</v>
      </c>
      <c r="C18" s="297" t="s">
        <v>59</v>
      </c>
      <c r="D18" s="314" t="s">
        <v>59</v>
      </c>
      <c r="E18" s="667">
        <v>-4.6850093561577322E-2</v>
      </c>
      <c r="G18" s="144">
        <v>176.07</v>
      </c>
      <c r="H18" s="144">
        <v>225.04</v>
      </c>
    </row>
    <row r="19" spans="1:8" ht="20" customHeight="1" thickBot="1">
      <c r="A19" s="457" t="s">
        <v>629</v>
      </c>
      <c r="B19" s="144">
        <v>192.28</v>
      </c>
      <c r="C19" s="297" t="s">
        <v>59</v>
      </c>
      <c r="D19" s="314" t="s">
        <v>59</v>
      </c>
      <c r="E19" s="667">
        <v>-5.4810008356682913E-2</v>
      </c>
      <c r="G19" s="144">
        <v>327.24</v>
      </c>
      <c r="H19" s="144">
        <v>435.18</v>
      </c>
    </row>
    <row r="20" spans="1:8" ht="24" customHeight="1" thickBot="1">
      <c r="A20" s="666" t="s">
        <v>1028</v>
      </c>
      <c r="B20" s="144"/>
      <c r="C20" s="297"/>
      <c r="D20" s="314"/>
      <c r="E20" s="667" t="s">
        <v>489</v>
      </c>
      <c r="G20" s="144"/>
      <c r="H20" s="144"/>
    </row>
    <row r="21" spans="1:8" ht="20" customHeight="1" thickBot="1">
      <c r="A21" s="457" t="s">
        <v>869</v>
      </c>
      <c r="B21" s="144">
        <v>30659743.219999999</v>
      </c>
      <c r="C21" s="297">
        <v>120207636.09</v>
      </c>
      <c r="D21" s="314">
        <v>150867379.30000001</v>
      </c>
      <c r="E21" s="668">
        <v>-3.7917840633586067E-2</v>
      </c>
      <c r="G21" s="144">
        <v>297772901</v>
      </c>
      <c r="H21" s="144">
        <v>297772901</v>
      </c>
    </row>
    <row r="22" spans="1:8" ht="20" customHeight="1" thickBot="1">
      <c r="A22" s="457" t="s">
        <v>871</v>
      </c>
      <c r="B22" s="144">
        <v>17043708.550000001</v>
      </c>
      <c r="C22" s="297">
        <v>39808402.68</v>
      </c>
      <c r="D22" s="314">
        <v>56852111.229999997</v>
      </c>
      <c r="E22" s="668">
        <v>-0.10901214414447684</v>
      </c>
      <c r="G22" s="144">
        <v>114376252</v>
      </c>
      <c r="H22" s="144">
        <v>114376252</v>
      </c>
    </row>
    <row r="23" spans="1:8" ht="20" customHeight="1" thickBot="1">
      <c r="A23" s="457" t="s">
        <v>629</v>
      </c>
      <c r="B23" s="144">
        <v>47703451.75</v>
      </c>
      <c r="C23" s="297">
        <v>160016038.78</v>
      </c>
      <c r="D23" s="314">
        <v>207719490.53</v>
      </c>
      <c r="E23" s="668">
        <v>-5.8479684772858656E-2</v>
      </c>
      <c r="G23" s="144">
        <v>412149153</v>
      </c>
      <c r="H23" s="144">
        <v>412149153</v>
      </c>
    </row>
    <row r="24" spans="1:8" ht="24" customHeight="1" thickBot="1">
      <c r="A24" s="569" t="s">
        <v>1029</v>
      </c>
      <c r="B24" s="144">
        <v>353367.2</v>
      </c>
      <c r="C24" s="297">
        <v>4690174.6100000003</v>
      </c>
      <c r="D24" s="314">
        <v>5043541.8099999996</v>
      </c>
      <c r="E24" s="668">
        <v>-4.6449932371957714E-2</v>
      </c>
      <c r="G24" s="509">
        <v>21005933</v>
      </c>
      <c r="H24" s="509">
        <v>21005933</v>
      </c>
    </row>
    <row r="25" spans="1:8" ht="34.5" customHeight="1" thickBot="1">
      <c r="A25" s="669" t="s">
        <v>1030</v>
      </c>
      <c r="B25" s="144"/>
      <c r="C25" s="297"/>
      <c r="D25" s="314"/>
      <c r="E25" s="667" t="s">
        <v>489</v>
      </c>
      <c r="G25" s="144"/>
      <c r="H25" s="144"/>
    </row>
    <row r="26" spans="1:8" ht="20" customHeight="1" thickBot="1">
      <c r="A26" s="457" t="s">
        <v>869</v>
      </c>
      <c r="B26" s="144">
        <v>206.2</v>
      </c>
      <c r="C26" s="297" t="s">
        <v>59</v>
      </c>
      <c r="D26" s="314" t="s">
        <v>59</v>
      </c>
      <c r="E26" s="667">
        <v>-6.5488329934285147E-2</v>
      </c>
      <c r="G26" s="144">
        <v>398.14</v>
      </c>
      <c r="H26" s="144">
        <v>549.41</v>
      </c>
    </row>
    <row r="27" spans="1:8" ht="20" customHeight="1" thickBot="1">
      <c r="A27" s="457" t="s">
        <v>871</v>
      </c>
      <c r="B27" s="144">
        <v>88.15</v>
      </c>
      <c r="C27" s="297" t="s">
        <v>59</v>
      </c>
      <c r="D27" s="314" t="s">
        <v>59</v>
      </c>
      <c r="E27" s="667">
        <v>-5.2048607377137214E-2</v>
      </c>
      <c r="G27" s="144">
        <v>170.33</v>
      </c>
      <c r="H27" s="144">
        <v>217.71</v>
      </c>
    </row>
    <row r="28" spans="1:8" ht="30" customHeight="1" thickBot="1">
      <c r="A28" s="670" t="s">
        <v>629</v>
      </c>
      <c r="B28" s="509">
        <v>139.46</v>
      </c>
      <c r="C28" s="510" t="s">
        <v>59</v>
      </c>
      <c r="D28" s="146" t="s">
        <v>59</v>
      </c>
      <c r="E28" s="671">
        <v>-6.1065104692654637E-2</v>
      </c>
      <c r="G28" s="672">
        <v>290.37</v>
      </c>
      <c r="H28" s="672">
        <v>386.14</v>
      </c>
    </row>
    <row r="29" spans="1:8" ht="20" customHeight="1">
      <c r="A29" s="133" t="s">
        <v>1070</v>
      </c>
      <c r="B29" s="133"/>
      <c r="C29" s="133"/>
      <c r="D29" s="673"/>
      <c r="E29" s="674"/>
    </row>
    <row r="30" spans="1:8" ht="14.25" customHeight="1">
      <c r="A30" s="3"/>
      <c r="B30" s="3"/>
      <c r="C30" s="3"/>
      <c r="D30" s="486"/>
      <c r="E30" s="675"/>
    </row>
    <row r="31" spans="1:8" ht="14.25" customHeight="1">
      <c r="A31" s="3" t="s">
        <v>1031</v>
      </c>
      <c r="B31" s="3"/>
      <c r="C31" s="3"/>
      <c r="D31" s="486"/>
      <c r="E31" s="675"/>
    </row>
    <row r="32" spans="1:8" ht="14.25" customHeight="1">
      <c r="A32" s="3"/>
      <c r="B32" s="3"/>
      <c r="C32" s="3"/>
      <c r="D32" s="486"/>
      <c r="E32" s="675"/>
    </row>
    <row r="33" spans="1:1">
      <c r="A33" s="3" t="s">
        <v>1032</v>
      </c>
    </row>
    <row r="34" spans="1:1">
      <c r="A34" s="2" t="s">
        <v>1033</v>
      </c>
    </row>
    <row r="35" spans="1:1">
      <c r="A35" s="2" t="s">
        <v>1034</v>
      </c>
    </row>
    <row r="36" spans="1:1">
      <c r="A36" s="2" t="s">
        <v>1035</v>
      </c>
    </row>
    <row r="39" spans="1:1">
      <c r="A39" s="2" t="s">
        <v>634</v>
      </c>
    </row>
  </sheetData>
  <mergeCells count="1">
    <mergeCell ref="A2:D2"/>
  </mergeCells>
  <phoneticPr fontId="0" type="noConversion"/>
  <pageMargins left="0.56999999999999995" right="0.56000000000000005" top="0.96" bottom="0.49" header="0.56000000000000005" footer="0.4921259845"/>
  <pageSetup paperSize="9" scale="89" orientation="portrait" horizontalDpi="1200" verticalDpi="1200"/>
  <headerFooter alignWithMargins="0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9526-B0D5-3B41-AAB1-95B846692D0E}">
  <dimension ref="A1:E37"/>
  <sheetViews>
    <sheetView zoomScale="75" workbookViewId="0">
      <selection activeCell="E3" sqref="E3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6.796875" style="2" customWidth="1"/>
    <col min="4" max="4" width="16.796875" style="8" customWidth="1"/>
    <col min="5" max="5" width="16.796875" style="533" customWidth="1"/>
    <col min="6" max="16384" width="11.3984375" style="2"/>
  </cols>
  <sheetData>
    <row r="1" spans="1:5" s="1" customFormat="1" ht="14" customHeight="1">
      <c r="B1" s="166"/>
      <c r="D1" s="274"/>
      <c r="E1" s="677"/>
    </row>
    <row r="2" spans="1:5" s="1" customFormat="1" ht="28" customHeight="1">
      <c r="A2" s="56" t="s">
        <v>1043</v>
      </c>
      <c r="B2" s="166"/>
      <c r="D2" s="274"/>
      <c r="E2" s="56">
        <v>2007</v>
      </c>
    </row>
    <row r="3" spans="1:5" ht="39" customHeight="1">
      <c r="A3" s="519" t="s">
        <v>1485</v>
      </c>
      <c r="B3" s="167"/>
      <c r="C3" s="111" t="s">
        <v>1486</v>
      </c>
      <c r="D3" s="276" t="s">
        <v>1487</v>
      </c>
      <c r="E3" s="504" t="s">
        <v>629</v>
      </c>
    </row>
    <row r="4" spans="1:5" ht="38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122">
        <v>60</v>
      </c>
      <c r="B5" s="122" t="s">
        <v>1488</v>
      </c>
      <c r="C5" s="142">
        <v>278530081.85000002</v>
      </c>
      <c r="D5" s="291">
        <v>23724920.32</v>
      </c>
      <c r="E5" s="520">
        <v>302255002.17000002</v>
      </c>
    </row>
    <row r="6" spans="1:5" ht="20" customHeight="1" thickBot="1">
      <c r="A6" s="127">
        <v>64</v>
      </c>
      <c r="B6" s="127" t="s">
        <v>1489</v>
      </c>
      <c r="C6" s="144">
        <v>-3157538.23</v>
      </c>
      <c r="D6" s="297">
        <v>-193873.67</v>
      </c>
      <c r="E6" s="314">
        <v>-3351411.9</v>
      </c>
    </row>
    <row r="7" spans="1:5" ht="20" customHeight="1" thickBot="1">
      <c r="A7" s="127">
        <v>65</v>
      </c>
      <c r="B7" s="127" t="s">
        <v>1490</v>
      </c>
      <c r="C7" s="144">
        <v>346824.09</v>
      </c>
      <c r="D7" s="297">
        <v>4193.74</v>
      </c>
      <c r="E7" s="314">
        <v>351017.83</v>
      </c>
    </row>
    <row r="8" spans="1:5" ht="27" customHeight="1" thickBot="1">
      <c r="A8" s="128" t="s">
        <v>1491</v>
      </c>
      <c r="B8" s="128" t="s">
        <v>1492</v>
      </c>
      <c r="C8" s="144">
        <v>275719367.72000003</v>
      </c>
      <c r="D8" s="297">
        <v>23535240.379999999</v>
      </c>
      <c r="E8" s="314">
        <v>299254608.10000002</v>
      </c>
    </row>
    <row r="9" spans="1:5" ht="20" customHeight="1" thickBot="1">
      <c r="A9" s="127">
        <v>66</v>
      </c>
      <c r="B9" s="127" t="s">
        <v>1493</v>
      </c>
      <c r="C9" s="144">
        <v>-1364244.42</v>
      </c>
      <c r="D9" s="297">
        <v>-67293.820000000007</v>
      </c>
      <c r="E9" s="314">
        <v>-1431538.24</v>
      </c>
    </row>
    <row r="10" spans="1:5" ht="27" customHeight="1" thickBot="1">
      <c r="A10" s="128" t="s">
        <v>1494</v>
      </c>
      <c r="B10" s="128" t="s">
        <v>1495</v>
      </c>
      <c r="C10" s="144">
        <v>274355123.31</v>
      </c>
      <c r="D10" s="297">
        <v>23467946.559999999</v>
      </c>
      <c r="E10" s="314">
        <v>297823069.87</v>
      </c>
    </row>
    <row r="11" spans="1:5" ht="20" customHeight="1" thickBot="1">
      <c r="A11" s="127">
        <v>67</v>
      </c>
      <c r="B11" s="127" t="s">
        <v>1496</v>
      </c>
      <c r="C11" s="144">
        <v>168379.45</v>
      </c>
      <c r="D11" s="297">
        <v>45211.7</v>
      </c>
      <c r="E11" s="314">
        <v>213591.15</v>
      </c>
    </row>
    <row r="12" spans="1:5" ht="20" customHeight="1" thickBot="1">
      <c r="A12" s="127">
        <v>68</v>
      </c>
      <c r="B12" s="127" t="s">
        <v>1497</v>
      </c>
      <c r="C12" s="144">
        <v>-28.53</v>
      </c>
      <c r="D12" s="297">
        <v>-2.83</v>
      </c>
      <c r="E12" s="314">
        <v>-31.36</v>
      </c>
    </row>
    <row r="13" spans="1:5" ht="20" customHeight="1" thickBot="1">
      <c r="A13" s="127">
        <v>69</v>
      </c>
      <c r="B13" s="127" t="s">
        <v>1498</v>
      </c>
      <c r="C13" s="144">
        <v>1873290.27</v>
      </c>
      <c r="D13" s="297">
        <v>15549.7</v>
      </c>
      <c r="E13" s="314">
        <v>1888839.97</v>
      </c>
    </row>
    <row r="14" spans="1:5" ht="27" customHeight="1" thickBot="1">
      <c r="A14" s="128">
        <v>6</v>
      </c>
      <c r="B14" s="128" t="s">
        <v>1499</v>
      </c>
      <c r="C14" s="144">
        <v>276396764.5</v>
      </c>
      <c r="D14" s="297">
        <v>23528705.129999999</v>
      </c>
      <c r="E14" s="314">
        <v>299925469.63</v>
      </c>
    </row>
    <row r="15" spans="1:5" ht="20" customHeight="1" thickBot="1">
      <c r="A15" s="127">
        <v>30</v>
      </c>
      <c r="B15" s="127" t="s">
        <v>535</v>
      </c>
      <c r="C15" s="144">
        <v>190692352.86000001</v>
      </c>
      <c r="D15" s="297">
        <v>17027137.66</v>
      </c>
      <c r="E15" s="314">
        <v>207719490.52000001</v>
      </c>
    </row>
    <row r="16" spans="1:5" ht="20" customHeight="1" thickBot="1">
      <c r="A16" s="127">
        <v>32</v>
      </c>
      <c r="B16" s="127" t="s">
        <v>1500</v>
      </c>
      <c r="C16" s="144" t="s">
        <v>1071</v>
      </c>
      <c r="D16" s="297" t="s">
        <v>1071</v>
      </c>
      <c r="E16" s="314" t="s">
        <v>1071</v>
      </c>
    </row>
    <row r="17" spans="1:5" ht="27" customHeight="1" thickBot="1">
      <c r="A17" s="128" t="s">
        <v>1501</v>
      </c>
      <c r="B17" s="128" t="s">
        <v>1502</v>
      </c>
      <c r="C17" s="144">
        <v>190692352.86000001</v>
      </c>
      <c r="D17" s="297">
        <v>17027137.66</v>
      </c>
      <c r="E17" s="314">
        <v>207719490.52000001</v>
      </c>
    </row>
    <row r="18" spans="1:5" ht="20" customHeight="1" thickBot="1">
      <c r="A18" s="127">
        <v>34</v>
      </c>
      <c r="B18" s="127" t="s">
        <v>1503</v>
      </c>
      <c r="C18" s="144">
        <v>703489.24</v>
      </c>
      <c r="D18" s="297">
        <v>31128.76</v>
      </c>
      <c r="E18" s="314">
        <v>734618</v>
      </c>
    </row>
    <row r="19" spans="1:5" ht="20" customHeight="1" thickBot="1">
      <c r="A19" s="127">
        <v>35</v>
      </c>
      <c r="B19" s="127" t="s">
        <v>1504</v>
      </c>
      <c r="C19" s="144">
        <v>6779439.6600000001</v>
      </c>
      <c r="D19" s="297">
        <v>994976.5</v>
      </c>
      <c r="E19" s="314">
        <v>7774416.1600000001</v>
      </c>
    </row>
    <row r="20" spans="1:5" ht="27" customHeight="1" thickBot="1">
      <c r="A20" s="128" t="s">
        <v>1505</v>
      </c>
      <c r="B20" s="128" t="s">
        <v>1506</v>
      </c>
      <c r="C20" s="144">
        <v>198175281.78</v>
      </c>
      <c r="D20" s="297">
        <v>18053242.920000002</v>
      </c>
      <c r="E20" s="314">
        <v>216228524.69999999</v>
      </c>
    </row>
    <row r="21" spans="1:5" ht="20" customHeight="1" thickBot="1">
      <c r="A21" s="127">
        <v>36</v>
      </c>
      <c r="B21" s="127" t="s">
        <v>614</v>
      </c>
      <c r="C21" s="144">
        <v>-927368.48</v>
      </c>
      <c r="D21" s="297">
        <v>-54465.33</v>
      </c>
      <c r="E21" s="314">
        <v>-981833.81</v>
      </c>
    </row>
    <row r="22" spans="1:5" ht="20" customHeight="1" thickBot="1">
      <c r="A22" s="127">
        <v>37</v>
      </c>
      <c r="B22" s="127" t="s">
        <v>615</v>
      </c>
      <c r="C22" s="144" t="s">
        <v>1071</v>
      </c>
      <c r="D22" s="297" t="s">
        <v>1071</v>
      </c>
      <c r="E22" s="314" t="s">
        <v>1071</v>
      </c>
    </row>
    <row r="23" spans="1:5" ht="27" customHeight="1" thickBot="1">
      <c r="A23" s="128">
        <v>3</v>
      </c>
      <c r="B23" s="128" t="s">
        <v>2111</v>
      </c>
      <c r="C23" s="144">
        <v>197247913.30000001</v>
      </c>
      <c r="D23" s="297">
        <v>17998777.59</v>
      </c>
      <c r="E23" s="314">
        <v>215246690.88999999</v>
      </c>
    </row>
    <row r="24" spans="1:5" ht="20" customHeight="1" thickBot="1">
      <c r="A24" s="127" t="s">
        <v>2112</v>
      </c>
      <c r="B24" s="127" t="s">
        <v>2113</v>
      </c>
      <c r="C24" s="144">
        <v>42525972.460000001</v>
      </c>
      <c r="D24" s="297">
        <v>3781685.48</v>
      </c>
      <c r="E24" s="314">
        <v>46307657.939999998</v>
      </c>
    </row>
    <row r="25" spans="1:5" ht="20" customHeight="1" thickBot="1">
      <c r="A25" s="127">
        <v>48</v>
      </c>
      <c r="B25" s="127" t="s">
        <v>2114</v>
      </c>
      <c r="C25" s="144">
        <v>731233.38</v>
      </c>
      <c r="D25" s="297">
        <v>115502.36</v>
      </c>
      <c r="E25" s="314">
        <v>846735.74</v>
      </c>
    </row>
    <row r="26" spans="1:5" ht="20" customHeight="1" thickBot="1">
      <c r="A26" s="127">
        <v>49</v>
      </c>
      <c r="B26" s="127" t="s">
        <v>2115</v>
      </c>
      <c r="C26" s="144">
        <v>900470.48</v>
      </c>
      <c r="D26" s="297">
        <v>118615.5</v>
      </c>
      <c r="E26" s="314">
        <v>1019085.98</v>
      </c>
    </row>
    <row r="27" spans="1:5" ht="27" customHeight="1" thickBot="1">
      <c r="A27" s="128">
        <v>4</v>
      </c>
      <c r="B27" s="128" t="s">
        <v>2116</v>
      </c>
      <c r="C27" s="144">
        <v>44157676.299999997</v>
      </c>
      <c r="D27" s="297">
        <v>4015803.34</v>
      </c>
      <c r="E27" s="314">
        <v>48173479.640000001</v>
      </c>
    </row>
    <row r="28" spans="1:5" ht="27" customHeight="1" thickBot="1">
      <c r="A28" s="128" t="s">
        <v>2117</v>
      </c>
      <c r="B28" s="128" t="s">
        <v>2118</v>
      </c>
      <c r="C28" s="144">
        <v>241405589.61000001</v>
      </c>
      <c r="D28" s="297">
        <v>22014580.93</v>
      </c>
      <c r="E28" s="314">
        <v>263420170.53999999</v>
      </c>
    </row>
    <row r="29" spans="1:5" ht="27" customHeight="1" thickBot="1">
      <c r="A29" s="128"/>
      <c r="B29" s="128" t="s">
        <v>2119</v>
      </c>
      <c r="C29" s="144">
        <v>34991174.869999997</v>
      </c>
      <c r="D29" s="297">
        <v>1514124.21</v>
      </c>
      <c r="E29" s="314">
        <v>36505299.079999998</v>
      </c>
    </row>
    <row r="30" spans="1:5" ht="27" customHeight="1" thickBot="1">
      <c r="A30" s="128">
        <v>7</v>
      </c>
      <c r="B30" s="128" t="s">
        <v>2120</v>
      </c>
      <c r="C30" s="144">
        <v>3574285.65</v>
      </c>
      <c r="D30" s="297">
        <v>290154.34000000003</v>
      </c>
      <c r="E30" s="314">
        <v>3864439.99</v>
      </c>
    </row>
    <row r="31" spans="1:5" ht="34.5" customHeight="1" thickBot="1">
      <c r="A31" s="578"/>
      <c r="B31" s="578" t="s">
        <v>2121</v>
      </c>
      <c r="C31" s="509">
        <v>38565460.520000003</v>
      </c>
      <c r="D31" s="510">
        <v>1804278.54</v>
      </c>
      <c r="E31" s="146">
        <v>40369739.060000002</v>
      </c>
    </row>
    <row r="32" spans="1:5" ht="19.5" customHeight="1">
      <c r="A32" s="133" t="s">
        <v>1070</v>
      </c>
      <c r="B32" s="170"/>
      <c r="C32" s="133"/>
      <c r="D32" s="287"/>
      <c r="E32" s="532"/>
    </row>
    <row r="34" spans="1:1">
      <c r="A34" s="2" t="s">
        <v>1044</v>
      </c>
    </row>
    <row r="37" spans="1:1">
      <c r="A37" s="2" t="s">
        <v>634</v>
      </c>
    </row>
  </sheetData>
  <phoneticPr fontId="0" type="noConversion"/>
  <pageMargins left="0.62" right="0.68" top="0.87" bottom="0.49" header="0.49" footer="0.4921259845"/>
  <pageSetup paperSize="9" scale="80" orientation="portrait" horizontalDpi="4294967292" verticalDpi="4294967292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09E0-D51B-A84E-9C99-194E5F4D09AE}">
  <sheetPr>
    <pageSetUpPr fitToPage="1"/>
  </sheetPr>
  <dimension ref="A1:E40"/>
  <sheetViews>
    <sheetView topLeftCell="A22" zoomScale="75" workbookViewId="0">
      <selection activeCell="A35" sqref="A35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6.796875" style="2" customWidth="1"/>
    <col min="4" max="4" width="16.796875" style="8" customWidth="1"/>
    <col min="5" max="5" width="16.796875" style="533" customWidth="1"/>
    <col min="6" max="16384" width="11.3984375" style="2"/>
  </cols>
  <sheetData>
    <row r="1" spans="1:5" s="1" customFormat="1" ht="14" customHeight="1">
      <c r="B1" s="166"/>
      <c r="D1" s="274"/>
      <c r="E1" s="677"/>
    </row>
    <row r="2" spans="1:5" s="1" customFormat="1" ht="28" customHeight="1">
      <c r="A2" s="56" t="s">
        <v>1042</v>
      </c>
      <c r="B2" s="166"/>
      <c r="D2" s="274"/>
      <c r="E2" s="56">
        <v>2007</v>
      </c>
    </row>
    <row r="3" spans="1:5" ht="39" customHeight="1">
      <c r="A3" s="519" t="s">
        <v>1485</v>
      </c>
      <c r="B3" s="167"/>
      <c r="C3" s="111" t="s">
        <v>1486</v>
      </c>
      <c r="D3" s="276" t="s">
        <v>1487</v>
      </c>
      <c r="E3" s="504" t="s">
        <v>629</v>
      </c>
    </row>
    <row r="4" spans="1:5" ht="38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678">
        <v>60</v>
      </c>
      <c r="B5" s="678" t="s">
        <v>1488</v>
      </c>
      <c r="C5" s="530">
        <v>59269141.200000003</v>
      </c>
      <c r="D5" s="531">
        <v>6499845.6900000004</v>
      </c>
      <c r="E5" s="292">
        <v>65768986.890000001</v>
      </c>
    </row>
    <row r="6" spans="1:5" ht="20" customHeight="1" thickBot="1">
      <c r="A6" s="128">
        <v>64</v>
      </c>
      <c r="B6" s="128" t="s">
        <v>1489</v>
      </c>
      <c r="C6" s="509">
        <v>-381655.43</v>
      </c>
      <c r="D6" s="510">
        <v>-31552.22</v>
      </c>
      <c r="E6" s="146">
        <v>-413207.65</v>
      </c>
    </row>
    <row r="7" spans="1:5" ht="20" customHeight="1" thickBot="1">
      <c r="A7" s="128">
        <v>65</v>
      </c>
      <c r="B7" s="128" t="s">
        <v>1490</v>
      </c>
      <c r="C7" s="509">
        <v>71390.14</v>
      </c>
      <c r="D7" s="510">
        <v>1707.39</v>
      </c>
      <c r="E7" s="146">
        <v>73097.53</v>
      </c>
    </row>
    <row r="8" spans="1:5" ht="27" customHeight="1" thickBot="1">
      <c r="A8" s="128" t="s">
        <v>1491</v>
      </c>
      <c r="B8" s="128" t="s">
        <v>1492</v>
      </c>
      <c r="C8" s="509">
        <v>58958875.909999996</v>
      </c>
      <c r="D8" s="510">
        <v>6470000.8499999996</v>
      </c>
      <c r="E8" s="146">
        <v>65428876.759999998</v>
      </c>
    </row>
    <row r="9" spans="1:5" ht="20" customHeight="1" thickBot="1">
      <c r="A9" s="128">
        <v>66</v>
      </c>
      <c r="B9" s="128" t="s">
        <v>1493</v>
      </c>
      <c r="C9" s="509">
        <v>-611567.13</v>
      </c>
      <c r="D9" s="510">
        <v>-59637.4</v>
      </c>
      <c r="E9" s="146">
        <v>-671204.53</v>
      </c>
    </row>
    <row r="10" spans="1:5" ht="27" customHeight="1" thickBot="1">
      <c r="A10" s="128" t="s">
        <v>1494</v>
      </c>
      <c r="B10" s="128" t="s">
        <v>1495</v>
      </c>
      <c r="C10" s="509">
        <v>58347308.780000001</v>
      </c>
      <c r="D10" s="510">
        <v>6410363.4500000002</v>
      </c>
      <c r="E10" s="146">
        <v>64757672.229999997</v>
      </c>
    </row>
    <row r="11" spans="1:5" ht="20" customHeight="1" thickBot="1">
      <c r="A11" s="128">
        <v>67</v>
      </c>
      <c r="B11" s="128" t="s">
        <v>1496</v>
      </c>
      <c r="C11" s="509">
        <v>168245.2</v>
      </c>
      <c r="D11" s="510">
        <v>45211.7</v>
      </c>
      <c r="E11" s="146">
        <v>213456.9</v>
      </c>
    </row>
    <row r="12" spans="1:5" ht="20" customHeight="1" thickBot="1">
      <c r="A12" s="128">
        <v>68</v>
      </c>
      <c r="B12" s="128" t="s">
        <v>1497</v>
      </c>
      <c r="C12" s="509">
        <v>-28.53</v>
      </c>
      <c r="D12" s="510">
        <v>-2.83</v>
      </c>
      <c r="E12" s="146">
        <v>-31.36</v>
      </c>
    </row>
    <row r="13" spans="1:5" ht="20" customHeight="1" thickBot="1">
      <c r="A13" s="128">
        <v>69</v>
      </c>
      <c r="B13" s="128" t="s">
        <v>1498</v>
      </c>
      <c r="C13" s="509">
        <v>311615.28999999998</v>
      </c>
      <c r="D13" s="510">
        <v>8312.7999999999993</v>
      </c>
      <c r="E13" s="146">
        <v>319928.09000000003</v>
      </c>
    </row>
    <row r="14" spans="1:5" ht="27" customHeight="1" thickBot="1">
      <c r="A14" s="128">
        <v>6</v>
      </c>
      <c r="B14" s="128" t="s">
        <v>1499</v>
      </c>
      <c r="C14" s="509">
        <v>58827140.740000002</v>
      </c>
      <c r="D14" s="510">
        <v>6463885.1200000001</v>
      </c>
      <c r="E14" s="146">
        <v>65291025.859999999</v>
      </c>
    </row>
    <row r="15" spans="1:5" ht="20" customHeight="1" thickBot="1">
      <c r="A15" s="128">
        <v>30</v>
      </c>
      <c r="B15" s="128" t="s">
        <v>535</v>
      </c>
      <c r="C15" s="509">
        <v>43830915.119999997</v>
      </c>
      <c r="D15" s="510">
        <v>3872536.48</v>
      </c>
      <c r="E15" s="146">
        <v>47703451.600000001</v>
      </c>
    </row>
    <row r="16" spans="1:5" ht="20" customHeight="1" thickBot="1">
      <c r="A16" s="128">
        <v>32</v>
      </c>
      <c r="B16" s="128" t="s">
        <v>1500</v>
      </c>
      <c r="C16" s="509" t="s">
        <v>1071</v>
      </c>
      <c r="D16" s="510" t="s">
        <v>1071</v>
      </c>
      <c r="E16" s="146" t="s">
        <v>1071</v>
      </c>
    </row>
    <row r="17" spans="1:5" ht="27" customHeight="1" thickBot="1">
      <c r="A17" s="128" t="s">
        <v>1501</v>
      </c>
      <c r="B17" s="128" t="s">
        <v>1502</v>
      </c>
      <c r="C17" s="509">
        <v>43830915.119999997</v>
      </c>
      <c r="D17" s="510">
        <v>3872536.48</v>
      </c>
      <c r="E17" s="146">
        <v>47703451.600000001</v>
      </c>
    </row>
    <row r="18" spans="1:5" ht="20" customHeight="1" thickBot="1">
      <c r="A18" s="128">
        <v>34</v>
      </c>
      <c r="B18" s="128" t="s">
        <v>1503</v>
      </c>
      <c r="C18" s="509">
        <v>92865.24</v>
      </c>
      <c r="D18" s="510">
        <v>4718.29</v>
      </c>
      <c r="E18" s="146">
        <v>97583.53</v>
      </c>
    </row>
    <row r="19" spans="1:5" ht="20" customHeight="1" thickBot="1">
      <c r="A19" s="128">
        <v>35</v>
      </c>
      <c r="B19" s="128" t="s">
        <v>1504</v>
      </c>
      <c r="C19" s="509">
        <v>20169.47</v>
      </c>
      <c r="D19" s="510">
        <v>106924.78</v>
      </c>
      <c r="E19" s="146">
        <v>127094.25</v>
      </c>
    </row>
    <row r="20" spans="1:5" ht="27" customHeight="1" thickBot="1">
      <c r="A20" s="128" t="s">
        <v>1505</v>
      </c>
      <c r="B20" s="128" t="s">
        <v>1506</v>
      </c>
      <c r="C20" s="509">
        <v>43943949.840000004</v>
      </c>
      <c r="D20" s="510">
        <v>3984179.55</v>
      </c>
      <c r="E20" s="146">
        <v>47928129.390000001</v>
      </c>
    </row>
    <row r="21" spans="1:5" ht="20" customHeight="1" thickBot="1">
      <c r="A21" s="128">
        <v>36</v>
      </c>
      <c r="B21" s="128" t="s">
        <v>614</v>
      </c>
      <c r="C21" s="509">
        <v>-379549.11</v>
      </c>
      <c r="D21" s="510">
        <v>-47309.99</v>
      </c>
      <c r="E21" s="146">
        <v>-426859.1</v>
      </c>
    </row>
    <row r="22" spans="1:5" ht="20" customHeight="1" thickBot="1">
      <c r="A22" s="128">
        <v>37</v>
      </c>
      <c r="B22" s="128" t="s">
        <v>615</v>
      </c>
      <c r="C22" s="509" t="s">
        <v>1071</v>
      </c>
      <c r="D22" s="510" t="s">
        <v>1071</v>
      </c>
      <c r="E22" s="146" t="s">
        <v>1071</v>
      </c>
    </row>
    <row r="23" spans="1:5" ht="27" customHeight="1" thickBot="1">
      <c r="A23" s="128">
        <v>3</v>
      </c>
      <c r="B23" s="128" t="s">
        <v>2111</v>
      </c>
      <c r="C23" s="509">
        <v>43564400.729999997</v>
      </c>
      <c r="D23" s="510">
        <v>3936869.56</v>
      </c>
      <c r="E23" s="146">
        <v>47501270.289999999</v>
      </c>
    </row>
    <row r="24" spans="1:5" ht="20" customHeight="1" thickBot="1">
      <c r="A24" s="127" t="s">
        <v>2112</v>
      </c>
      <c r="B24" s="127" t="s">
        <v>2113</v>
      </c>
      <c r="C24" s="509">
        <v>10398580.99</v>
      </c>
      <c r="D24" s="510">
        <v>1080882.6499999999</v>
      </c>
      <c r="E24" s="146">
        <v>11479463.640000001</v>
      </c>
    </row>
    <row r="25" spans="1:5" ht="20" customHeight="1" thickBot="1">
      <c r="A25" s="127">
        <v>48</v>
      </c>
      <c r="B25" s="127" t="s">
        <v>2114</v>
      </c>
      <c r="C25" s="509">
        <v>170360.98</v>
      </c>
      <c r="D25" s="510">
        <v>25693.91</v>
      </c>
      <c r="E25" s="146">
        <v>196054.89</v>
      </c>
    </row>
    <row r="26" spans="1:5" ht="20" customHeight="1" thickBot="1">
      <c r="A26" s="128">
        <v>49</v>
      </c>
      <c r="B26" s="128" t="s">
        <v>2115</v>
      </c>
      <c r="C26" s="509">
        <v>96116.01</v>
      </c>
      <c r="D26" s="510">
        <v>16084.27</v>
      </c>
      <c r="E26" s="146">
        <v>112200.28</v>
      </c>
    </row>
    <row r="27" spans="1:5" ht="27" customHeight="1" thickBot="1">
      <c r="A27" s="128">
        <v>4</v>
      </c>
      <c r="B27" s="128" t="s">
        <v>2116</v>
      </c>
      <c r="C27" s="509">
        <v>10665057.970000001</v>
      </c>
      <c r="D27" s="510">
        <v>1122660.83</v>
      </c>
      <c r="E27" s="146">
        <v>11787718.800000001</v>
      </c>
    </row>
    <row r="28" spans="1:5" ht="27" customHeight="1" thickBot="1">
      <c r="A28" s="128" t="s">
        <v>2117</v>
      </c>
      <c r="B28" s="128" t="s">
        <v>2118</v>
      </c>
      <c r="C28" s="509">
        <v>54229458.729999997</v>
      </c>
      <c r="D28" s="510">
        <v>5059530.3899999997</v>
      </c>
      <c r="E28" s="146">
        <v>59288989.119999997</v>
      </c>
    </row>
    <row r="29" spans="1:5" ht="27" customHeight="1" thickBot="1">
      <c r="A29" s="128"/>
      <c r="B29" s="128" t="s">
        <v>2119</v>
      </c>
      <c r="C29" s="509">
        <v>4597682.01</v>
      </c>
      <c r="D29" s="510">
        <v>1404354.73</v>
      </c>
      <c r="E29" s="146">
        <v>6002036.7400000002</v>
      </c>
    </row>
    <row r="30" spans="1:5" ht="27" customHeight="1" thickBot="1">
      <c r="A30" s="128">
        <v>7</v>
      </c>
      <c r="B30" s="128" t="s">
        <v>2120</v>
      </c>
      <c r="C30" s="509">
        <v>1150901.8600000001</v>
      </c>
      <c r="D30" s="510">
        <v>125717.47</v>
      </c>
      <c r="E30" s="146">
        <v>1276619.33</v>
      </c>
    </row>
    <row r="31" spans="1:5" ht="34.5" customHeight="1" thickBot="1">
      <c r="A31" s="578"/>
      <c r="B31" s="578" t="s">
        <v>2121</v>
      </c>
      <c r="C31" s="509">
        <v>5748583.8600000003</v>
      </c>
      <c r="D31" s="510">
        <v>1530072.18</v>
      </c>
      <c r="E31" s="146">
        <v>7278656.04</v>
      </c>
    </row>
    <row r="32" spans="1:5" ht="20" customHeight="1">
      <c r="A32" s="133" t="s">
        <v>1070</v>
      </c>
      <c r="B32" s="170"/>
      <c r="C32" s="133"/>
      <c r="D32" s="287"/>
      <c r="E32" s="532"/>
    </row>
    <row r="33" spans="1:5" ht="15.75" customHeight="1">
      <c r="A33" s="3"/>
      <c r="B33" s="171"/>
      <c r="C33" s="3"/>
      <c r="D33" s="288"/>
      <c r="E33" s="679"/>
    </row>
    <row r="34" spans="1:5" ht="15.75" customHeight="1">
      <c r="A34" s="2" t="s">
        <v>1041</v>
      </c>
      <c r="B34" s="171"/>
      <c r="C34" s="3"/>
      <c r="D34" s="288"/>
      <c r="E34" s="679"/>
    </row>
    <row r="35" spans="1:5" ht="13.5" customHeight="1">
      <c r="A35" s="3"/>
      <c r="B35" s="171"/>
      <c r="C35" s="3"/>
      <c r="D35" s="288"/>
      <c r="E35" s="679"/>
    </row>
    <row r="36" spans="1:5">
      <c r="A36" s="3" t="s">
        <v>1032</v>
      </c>
    </row>
    <row r="37" spans="1:5">
      <c r="A37" s="2" t="s">
        <v>1033</v>
      </c>
    </row>
    <row r="40" spans="1:5">
      <c r="A40" s="2" t="s">
        <v>634</v>
      </c>
    </row>
  </sheetData>
  <phoneticPr fontId="0" type="noConversion"/>
  <pageMargins left="0.6" right="0.6" top="0.78" bottom="0.49" header="0.49" footer="0.4921259845"/>
  <pageSetup paperSize="9" scale="84" orientation="portrait" horizontalDpi="4294967292" verticalDpi="4294967292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9F20-7063-E04C-9832-ABEBD20D2107}">
  <sheetPr>
    <pageSetUpPr fitToPage="1"/>
  </sheetPr>
  <dimension ref="A1:E40"/>
  <sheetViews>
    <sheetView topLeftCell="A22" zoomScale="75" workbookViewId="0">
      <selection activeCell="A35" sqref="A35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6.796875" style="2" customWidth="1"/>
    <col min="4" max="4" width="16.796875" style="8" customWidth="1"/>
    <col min="5" max="5" width="16.796875" style="533" customWidth="1"/>
    <col min="6" max="16384" width="11.3984375" style="2"/>
  </cols>
  <sheetData>
    <row r="1" spans="1:5" s="1" customFormat="1" ht="14" customHeight="1">
      <c r="B1" s="166"/>
      <c r="D1" s="274"/>
      <c r="E1" s="677"/>
    </row>
    <row r="2" spans="1:5" s="1" customFormat="1" ht="28" customHeight="1">
      <c r="A2" s="56" t="s">
        <v>1040</v>
      </c>
      <c r="B2" s="166"/>
      <c r="D2" s="274"/>
      <c r="E2" s="56">
        <v>2007</v>
      </c>
    </row>
    <row r="3" spans="1:5" ht="39" customHeight="1">
      <c r="A3" s="110" t="s">
        <v>1485</v>
      </c>
      <c r="B3" s="167"/>
      <c r="C3" s="111" t="s">
        <v>1486</v>
      </c>
      <c r="D3" s="276" t="s">
        <v>1487</v>
      </c>
      <c r="E3" s="504" t="s">
        <v>629</v>
      </c>
    </row>
    <row r="4" spans="1:5" ht="38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678">
        <v>60</v>
      </c>
      <c r="B5" s="678" t="s">
        <v>1488</v>
      </c>
      <c r="C5" s="530">
        <v>219260940.65000001</v>
      </c>
      <c r="D5" s="531">
        <v>17225074.629999999</v>
      </c>
      <c r="E5" s="292">
        <v>236486015.28</v>
      </c>
    </row>
    <row r="6" spans="1:5" ht="20" customHeight="1" thickBot="1">
      <c r="A6" s="128">
        <v>64</v>
      </c>
      <c r="B6" s="128" t="s">
        <v>1489</v>
      </c>
      <c r="C6" s="530">
        <v>-2775882.8</v>
      </c>
      <c r="D6" s="531">
        <v>-162321.45000000001</v>
      </c>
      <c r="E6" s="292">
        <v>-2938204.25</v>
      </c>
    </row>
    <row r="7" spans="1:5" ht="20" customHeight="1" thickBot="1">
      <c r="A7" s="128">
        <v>65</v>
      </c>
      <c r="B7" s="128" t="s">
        <v>1490</v>
      </c>
      <c r="C7" s="530">
        <v>275433.95</v>
      </c>
      <c r="D7" s="531">
        <v>2486.35</v>
      </c>
      <c r="E7" s="292">
        <v>277920.3</v>
      </c>
    </row>
    <row r="8" spans="1:5" ht="27" customHeight="1" thickBot="1">
      <c r="A8" s="128" t="s">
        <v>1491</v>
      </c>
      <c r="B8" s="128" t="s">
        <v>1492</v>
      </c>
      <c r="C8" s="530">
        <v>216760491.81</v>
      </c>
      <c r="D8" s="531">
        <v>17065239.530000001</v>
      </c>
      <c r="E8" s="292">
        <v>233825731.34</v>
      </c>
    </row>
    <row r="9" spans="1:5" ht="20" customHeight="1" thickBot="1">
      <c r="A9" s="128">
        <v>66</v>
      </c>
      <c r="B9" s="128" t="s">
        <v>1493</v>
      </c>
      <c r="C9" s="530">
        <v>-752677.29</v>
      </c>
      <c r="D9" s="531">
        <v>-7656.42</v>
      </c>
      <c r="E9" s="292">
        <v>-760333.71</v>
      </c>
    </row>
    <row r="10" spans="1:5" ht="27" customHeight="1" thickBot="1">
      <c r="A10" s="128" t="s">
        <v>1494</v>
      </c>
      <c r="B10" s="128" t="s">
        <v>1495</v>
      </c>
      <c r="C10" s="530">
        <v>216007814.53</v>
      </c>
      <c r="D10" s="531">
        <v>17057583.109999999</v>
      </c>
      <c r="E10" s="292">
        <v>233065397.63999999</v>
      </c>
    </row>
    <row r="11" spans="1:5" ht="20" customHeight="1" thickBot="1">
      <c r="A11" s="128">
        <v>67</v>
      </c>
      <c r="B11" s="128" t="s">
        <v>1496</v>
      </c>
      <c r="C11" s="530">
        <v>134.25</v>
      </c>
      <c r="D11" s="531">
        <v>0</v>
      </c>
      <c r="E11" s="292">
        <v>134.25</v>
      </c>
    </row>
    <row r="12" spans="1:5" ht="20" customHeight="1" thickBot="1">
      <c r="A12" s="128">
        <v>68</v>
      </c>
      <c r="B12" s="128" t="s">
        <v>1497</v>
      </c>
      <c r="C12" s="530">
        <v>0</v>
      </c>
      <c r="D12" s="531">
        <v>0</v>
      </c>
      <c r="E12" s="292">
        <v>0</v>
      </c>
    </row>
    <row r="13" spans="1:5" ht="20" customHeight="1" thickBot="1">
      <c r="A13" s="128">
        <v>69</v>
      </c>
      <c r="B13" s="128" t="s">
        <v>1498</v>
      </c>
      <c r="C13" s="530">
        <v>1561674.98</v>
      </c>
      <c r="D13" s="531">
        <v>7236.9</v>
      </c>
      <c r="E13" s="292">
        <v>1568911.88</v>
      </c>
    </row>
    <row r="14" spans="1:5" ht="27" customHeight="1" thickBot="1">
      <c r="A14" s="128">
        <v>6</v>
      </c>
      <c r="B14" s="128" t="s">
        <v>1499</v>
      </c>
      <c r="C14" s="530">
        <v>217569623.75999999</v>
      </c>
      <c r="D14" s="531">
        <v>17064820.010000002</v>
      </c>
      <c r="E14" s="292">
        <v>234634443.77000001</v>
      </c>
    </row>
    <row r="15" spans="1:5" ht="20" customHeight="1" thickBot="1">
      <c r="A15" s="128">
        <v>30</v>
      </c>
      <c r="B15" s="128" t="s">
        <v>535</v>
      </c>
      <c r="C15" s="530">
        <v>146861437.74000001</v>
      </c>
      <c r="D15" s="531">
        <v>13154601.18</v>
      </c>
      <c r="E15" s="292">
        <v>160016038.91999999</v>
      </c>
    </row>
    <row r="16" spans="1:5" ht="20" customHeight="1" thickBot="1">
      <c r="A16" s="128">
        <v>32</v>
      </c>
      <c r="B16" s="128" t="s">
        <v>1500</v>
      </c>
      <c r="C16" s="530" t="s">
        <v>1071</v>
      </c>
      <c r="D16" s="531" t="s">
        <v>1071</v>
      </c>
      <c r="E16" s="292" t="s">
        <v>1071</v>
      </c>
    </row>
    <row r="17" spans="1:5" ht="27" customHeight="1" thickBot="1">
      <c r="A17" s="128" t="s">
        <v>1501</v>
      </c>
      <c r="B17" s="128" t="s">
        <v>1502</v>
      </c>
      <c r="C17" s="530">
        <v>146861437.74000001</v>
      </c>
      <c r="D17" s="531">
        <v>13154601.18</v>
      </c>
      <c r="E17" s="292">
        <v>160016038.91999999</v>
      </c>
    </row>
    <row r="18" spans="1:5" ht="20" customHeight="1" thickBot="1">
      <c r="A18" s="128">
        <v>34</v>
      </c>
      <c r="B18" s="128" t="s">
        <v>1503</v>
      </c>
      <c r="C18" s="530">
        <v>610624</v>
      </c>
      <c r="D18" s="531">
        <v>26410.47</v>
      </c>
      <c r="E18" s="292">
        <v>637034.47</v>
      </c>
    </row>
    <row r="19" spans="1:5" ht="20" customHeight="1" thickBot="1">
      <c r="A19" s="128">
        <v>35</v>
      </c>
      <c r="B19" s="128" t="s">
        <v>1504</v>
      </c>
      <c r="C19" s="530">
        <v>6759270.1900000004</v>
      </c>
      <c r="D19" s="531">
        <v>888051.72</v>
      </c>
      <c r="E19" s="292">
        <v>7647321.9100000001</v>
      </c>
    </row>
    <row r="20" spans="1:5" ht="27" customHeight="1" thickBot="1">
      <c r="A20" s="128" t="s">
        <v>1505</v>
      </c>
      <c r="B20" s="128" t="s">
        <v>1506</v>
      </c>
      <c r="C20" s="530">
        <v>154231331.94</v>
      </c>
      <c r="D20" s="531">
        <v>14069063.369999999</v>
      </c>
      <c r="E20" s="292">
        <v>168300395.31</v>
      </c>
    </row>
    <row r="21" spans="1:5" ht="20" customHeight="1" thickBot="1">
      <c r="A21" s="128">
        <v>36</v>
      </c>
      <c r="B21" s="128" t="s">
        <v>614</v>
      </c>
      <c r="C21" s="530">
        <v>-547819.37</v>
      </c>
      <c r="D21" s="531">
        <v>-7155.34</v>
      </c>
      <c r="E21" s="292">
        <v>-554974.71</v>
      </c>
    </row>
    <row r="22" spans="1:5" ht="20" customHeight="1" thickBot="1">
      <c r="A22" s="128">
        <v>37</v>
      </c>
      <c r="B22" s="128" t="s">
        <v>615</v>
      </c>
      <c r="C22" s="530" t="s">
        <v>1071</v>
      </c>
      <c r="D22" s="531" t="s">
        <v>1071</v>
      </c>
      <c r="E22" s="292" t="s">
        <v>1071</v>
      </c>
    </row>
    <row r="23" spans="1:5" ht="27" customHeight="1" thickBot="1">
      <c r="A23" s="128">
        <v>3</v>
      </c>
      <c r="B23" s="128" t="s">
        <v>2111</v>
      </c>
      <c r="C23" s="530">
        <v>153683512.56999999</v>
      </c>
      <c r="D23" s="531">
        <v>14061908.029999999</v>
      </c>
      <c r="E23" s="292">
        <v>167745420.59999999</v>
      </c>
    </row>
    <row r="24" spans="1:5" ht="20" customHeight="1" thickBot="1">
      <c r="A24" s="127" t="s">
        <v>2112</v>
      </c>
      <c r="B24" s="127" t="s">
        <v>2113</v>
      </c>
      <c r="C24" s="530">
        <v>32127391.469999999</v>
      </c>
      <c r="D24" s="531">
        <v>2700802.83</v>
      </c>
      <c r="E24" s="292">
        <v>34828194.299999997</v>
      </c>
    </row>
    <row r="25" spans="1:5" ht="20" customHeight="1" thickBot="1">
      <c r="A25" s="127">
        <v>48</v>
      </c>
      <c r="B25" s="127" t="s">
        <v>2114</v>
      </c>
      <c r="C25" s="530">
        <v>560872.4</v>
      </c>
      <c r="D25" s="531">
        <v>89808.45</v>
      </c>
      <c r="E25" s="292">
        <v>650680.85</v>
      </c>
    </row>
    <row r="26" spans="1:5" ht="20" customHeight="1" thickBot="1">
      <c r="A26" s="128">
        <v>49</v>
      </c>
      <c r="B26" s="128" t="s">
        <v>2115</v>
      </c>
      <c r="C26" s="530">
        <v>804354.47</v>
      </c>
      <c r="D26" s="531">
        <v>102531.23</v>
      </c>
      <c r="E26" s="292">
        <v>906885.7</v>
      </c>
    </row>
    <row r="27" spans="1:5" ht="27" customHeight="1" thickBot="1">
      <c r="A27" s="128">
        <v>4</v>
      </c>
      <c r="B27" s="128" t="s">
        <v>2116</v>
      </c>
      <c r="C27" s="530">
        <v>33492618.329999998</v>
      </c>
      <c r="D27" s="531">
        <v>2893142.51</v>
      </c>
      <c r="E27" s="292">
        <v>36385760.840000004</v>
      </c>
    </row>
    <row r="28" spans="1:5" ht="27" customHeight="1" thickBot="1">
      <c r="A28" s="128" t="s">
        <v>2117</v>
      </c>
      <c r="B28" s="128" t="s">
        <v>2118</v>
      </c>
      <c r="C28" s="530">
        <v>187176130.88</v>
      </c>
      <c r="D28" s="531">
        <v>16955050.539999999</v>
      </c>
      <c r="E28" s="292">
        <v>204131181.41999999</v>
      </c>
    </row>
    <row r="29" spans="1:5" ht="27" customHeight="1" thickBot="1">
      <c r="A29" s="128"/>
      <c r="B29" s="128" t="s">
        <v>2119</v>
      </c>
      <c r="C29" s="530">
        <v>30393492.859999999</v>
      </c>
      <c r="D29" s="531">
        <v>109769.48</v>
      </c>
      <c r="E29" s="292">
        <v>30503262.34</v>
      </c>
    </row>
    <row r="30" spans="1:5" ht="27" customHeight="1" thickBot="1">
      <c r="A30" s="128">
        <v>7</v>
      </c>
      <c r="B30" s="128" t="s">
        <v>2120</v>
      </c>
      <c r="C30" s="530">
        <v>2423383.79</v>
      </c>
      <c r="D30" s="531">
        <v>164436.87</v>
      </c>
      <c r="E30" s="292">
        <v>2587820.66</v>
      </c>
    </row>
    <row r="31" spans="1:5" ht="34.5" customHeight="1" thickBot="1">
      <c r="A31" s="578"/>
      <c r="B31" s="578" t="s">
        <v>2121</v>
      </c>
      <c r="C31" s="530">
        <v>32816876.66</v>
      </c>
      <c r="D31" s="531">
        <v>274206.36</v>
      </c>
      <c r="E31" s="292">
        <v>33091083.02</v>
      </c>
    </row>
    <row r="32" spans="1:5" ht="20" customHeight="1">
      <c r="A32" s="133" t="s">
        <v>1070</v>
      </c>
      <c r="B32" s="170"/>
      <c r="C32" s="133"/>
      <c r="D32" s="287"/>
      <c r="E32" s="532"/>
    </row>
    <row r="33" spans="1:5" ht="14.25" customHeight="1">
      <c r="A33" s="3"/>
      <c r="B33" s="171"/>
      <c r="C33" s="3"/>
      <c r="D33" s="288"/>
      <c r="E33" s="679"/>
    </row>
    <row r="34" spans="1:5" ht="15.75" customHeight="1">
      <c r="A34" s="2" t="s">
        <v>1039</v>
      </c>
      <c r="B34" s="171"/>
      <c r="C34" s="3"/>
      <c r="D34" s="288"/>
      <c r="E34" s="679"/>
    </row>
    <row r="35" spans="1:5" ht="13.5" customHeight="1">
      <c r="A35" s="3"/>
      <c r="B35" s="171"/>
      <c r="C35" s="3"/>
      <c r="D35" s="288"/>
      <c r="E35" s="679"/>
    </row>
    <row r="36" spans="1:5">
      <c r="A36" s="3" t="s">
        <v>1032</v>
      </c>
    </row>
    <row r="37" spans="1:5">
      <c r="A37" s="2" t="s">
        <v>1033</v>
      </c>
    </row>
    <row r="40" spans="1:5">
      <c r="A40" s="2" t="s">
        <v>634</v>
      </c>
    </row>
  </sheetData>
  <phoneticPr fontId="0" type="noConversion"/>
  <pageMargins left="0.57999999999999996" right="0.65" top="0.92" bottom="0.49" header="0.49" footer="0.4921259845"/>
  <pageSetup paperSize="9" scale="84" orientation="portrait" horizontalDpi="4294967292" verticalDpi="4294967292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02FE-9AB3-6B43-98CA-DACE367EA5BB}">
  <sheetPr>
    <pageSetUpPr fitToPage="1"/>
  </sheetPr>
  <dimension ref="A1:B10"/>
  <sheetViews>
    <sheetView workbookViewId="0">
      <selection activeCell="B3" sqref="B3:B7"/>
    </sheetView>
  </sheetViews>
  <sheetFormatPr baseColWidth="10" defaultColWidth="11.3984375" defaultRowHeight="13"/>
  <cols>
    <col min="1" max="1" width="5.59765625" style="219" customWidth="1"/>
    <col min="2" max="16384" width="11.3984375" style="219"/>
  </cols>
  <sheetData>
    <row r="1" spans="1:2" ht="16">
      <c r="A1" s="218" t="s">
        <v>143</v>
      </c>
    </row>
    <row r="2" spans="1:2" ht="16">
      <c r="A2" s="220"/>
    </row>
    <row r="3" spans="1:2">
      <c r="A3" s="221">
        <v>7.01</v>
      </c>
      <c r="B3" s="222" t="s">
        <v>1726</v>
      </c>
    </row>
    <row r="4" spans="1:2">
      <c r="A4" s="221">
        <v>7.02</v>
      </c>
      <c r="B4" s="222" t="s">
        <v>144</v>
      </c>
    </row>
    <row r="5" spans="1:2">
      <c r="A5" s="221">
        <v>7.03</v>
      </c>
      <c r="B5" s="222" t="s">
        <v>145</v>
      </c>
    </row>
    <row r="6" spans="1:2">
      <c r="A6" s="221">
        <v>7.04</v>
      </c>
      <c r="B6" s="222" t="s">
        <v>146</v>
      </c>
    </row>
    <row r="7" spans="1:2">
      <c r="A7" s="221">
        <v>7.05</v>
      </c>
      <c r="B7" s="222" t="s">
        <v>147</v>
      </c>
    </row>
    <row r="10" spans="1:2">
      <c r="A10" s="223" t="s">
        <v>634</v>
      </c>
    </row>
  </sheetData>
  <phoneticPr fontId="30" type="noConversion"/>
  <pageMargins left="0.46" right="0.35" top="0.62" bottom="0.984251969" header="0.36" footer="0.4921259845"/>
  <pageSetup paperSize="9" orientation="portrait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E195-8EBC-2F4B-8C0C-286FE4F47550}">
  <sheetPr>
    <pageSetUpPr fitToPage="1"/>
  </sheetPr>
  <dimension ref="A1:K30"/>
  <sheetViews>
    <sheetView topLeftCell="A3" zoomScale="75" workbookViewId="0">
      <selection activeCell="I11" sqref="I11"/>
    </sheetView>
  </sheetViews>
  <sheetFormatPr baseColWidth="10" defaultColWidth="11.3984375" defaultRowHeight="13"/>
  <cols>
    <col min="1" max="1" width="16.796875" style="2" customWidth="1"/>
    <col min="2" max="2" width="16.19921875" style="2" customWidth="1"/>
    <col min="3" max="3" width="15" style="2" customWidth="1"/>
    <col min="4" max="4" width="16.19921875" style="2" customWidth="1"/>
    <col min="5" max="7" width="15" style="2" customWidth="1"/>
    <col min="8" max="16384" width="11.3984375" style="2"/>
  </cols>
  <sheetData>
    <row r="1" spans="1:11" s="1" customFormat="1" ht="14" customHeight="1"/>
    <row r="2" spans="1:11" s="1" customFormat="1" ht="42" customHeight="1">
      <c r="A2" s="1800" t="s">
        <v>1341</v>
      </c>
      <c r="B2" s="1804"/>
      <c r="C2" s="1804"/>
      <c r="D2" s="1804"/>
      <c r="E2" s="1804"/>
      <c r="F2" s="1804"/>
      <c r="G2" s="56">
        <v>2007</v>
      </c>
    </row>
    <row r="3" spans="1:11" ht="24" customHeight="1">
      <c r="A3" s="110" t="s">
        <v>1342</v>
      </c>
      <c r="B3" s="111" t="s">
        <v>1046</v>
      </c>
      <c r="C3" s="112" t="s">
        <v>1801</v>
      </c>
      <c r="D3" s="111" t="s">
        <v>1047</v>
      </c>
      <c r="E3" s="112" t="s">
        <v>1801</v>
      </c>
      <c r="F3" s="111" t="s">
        <v>431</v>
      </c>
      <c r="G3" s="112" t="s">
        <v>1801</v>
      </c>
    </row>
    <row r="4" spans="1:11" ht="15" customHeight="1">
      <c r="A4" s="308"/>
      <c r="B4" s="114" t="s">
        <v>431</v>
      </c>
      <c r="C4" s="115" t="s">
        <v>1802</v>
      </c>
      <c r="D4" s="114" t="s">
        <v>1048</v>
      </c>
      <c r="E4" s="115" t="s">
        <v>1802</v>
      </c>
      <c r="F4" s="114" t="s">
        <v>1049</v>
      </c>
      <c r="G4" s="115" t="s">
        <v>1802</v>
      </c>
    </row>
    <row r="5" spans="1:11" ht="15" customHeight="1">
      <c r="A5" s="308"/>
      <c r="B5" s="114" t="s">
        <v>1050</v>
      </c>
      <c r="C5" s="115" t="s">
        <v>1806</v>
      </c>
      <c r="D5" s="114" t="s">
        <v>1051</v>
      </c>
      <c r="E5" s="115" t="s">
        <v>1806</v>
      </c>
      <c r="F5" s="114" t="s">
        <v>1052</v>
      </c>
      <c r="G5" s="115" t="s">
        <v>1806</v>
      </c>
    </row>
    <row r="6" spans="1:11" ht="24" customHeight="1">
      <c r="A6" s="309"/>
      <c r="B6" s="120"/>
      <c r="C6" s="119"/>
      <c r="D6" s="120" t="s">
        <v>1105</v>
      </c>
      <c r="E6" s="119"/>
      <c r="F6" s="120"/>
      <c r="G6" s="119"/>
    </row>
    <row r="7" spans="1:11" ht="1.5" customHeight="1" thickBot="1">
      <c r="A7" s="310">
        <v>1996</v>
      </c>
      <c r="B7" s="142">
        <v>4599022226.4899998</v>
      </c>
      <c r="C7" s="143">
        <v>4.7135061423122571E-2</v>
      </c>
      <c r="D7" s="142">
        <v>4507461189</v>
      </c>
      <c r="E7" s="143">
        <v>8.2125105302542703E-2</v>
      </c>
      <c r="F7" s="142">
        <v>91699445.469999999</v>
      </c>
      <c r="G7" s="143">
        <v>-0.59537068849307151</v>
      </c>
      <c r="I7" s="9"/>
      <c r="J7" s="9"/>
      <c r="K7" s="9"/>
    </row>
    <row r="8" spans="1:11" ht="20" customHeight="1" thickBot="1">
      <c r="A8" s="312">
        <v>1997</v>
      </c>
      <c r="B8" s="144">
        <v>4851626656</v>
      </c>
      <c r="C8" s="145">
        <v>5.4925681388321837E-2</v>
      </c>
      <c r="D8" s="144">
        <v>4710142665.8999996</v>
      </c>
      <c r="E8" s="145">
        <v>4.4965773059704457E-2</v>
      </c>
      <c r="F8" s="144">
        <v>141483990.28999999</v>
      </c>
      <c r="G8" s="145">
        <v>0.54290998778490207</v>
      </c>
    </row>
    <row r="9" spans="1:11" ht="20" customHeight="1" thickBot="1">
      <c r="A9" s="312">
        <v>1998</v>
      </c>
      <c r="B9" s="144">
        <v>4992640209.6999998</v>
      </c>
      <c r="C9" s="145">
        <v>2.9065211257673453E-2</v>
      </c>
      <c r="D9" s="144">
        <v>4882154897.6999998</v>
      </c>
      <c r="E9" s="145">
        <v>3.6519537517476157E-2</v>
      </c>
      <c r="F9" s="144">
        <v>110485312.03</v>
      </c>
      <c r="G9" s="145">
        <v>-0.2190967203883771</v>
      </c>
    </row>
    <row r="10" spans="1:11" ht="20" customHeight="1" thickBot="1">
      <c r="A10" s="312">
        <v>1999</v>
      </c>
      <c r="B10" s="144">
        <v>4257016347.5999999</v>
      </c>
      <c r="C10" s="145">
        <v>-0.14734165315393366</v>
      </c>
      <c r="D10" s="144">
        <v>4120691131.5999999</v>
      </c>
      <c r="E10" s="145">
        <v>-0.15596878469766051</v>
      </c>
      <c r="F10" s="144">
        <v>136325216.02000001</v>
      </c>
      <c r="G10" s="145">
        <v>0.23387637248092957</v>
      </c>
    </row>
    <row r="11" spans="1:11" ht="20" customHeight="1" thickBot="1">
      <c r="A11" s="312">
        <v>2000</v>
      </c>
      <c r="B11" s="144">
        <v>3297340718.6999998</v>
      </c>
      <c r="C11" s="145">
        <v>-0.22543386037054836</v>
      </c>
      <c r="D11" s="144">
        <v>3197872772.4000001</v>
      </c>
      <c r="E11" s="145">
        <v>-0.22394747136548521</v>
      </c>
      <c r="F11" s="144">
        <v>99467946.299999997</v>
      </c>
      <c r="G11" s="145">
        <v>-0.27036281911772475</v>
      </c>
    </row>
    <row r="12" spans="1:11" ht="19.5" customHeight="1" thickBot="1">
      <c r="A12" s="312">
        <v>2001</v>
      </c>
      <c r="B12" s="144">
        <v>2297775177.9000001</v>
      </c>
      <c r="C12" s="145">
        <v>-0.30314293428374783</v>
      </c>
      <c r="D12" s="144">
        <v>2245296158.4000001</v>
      </c>
      <c r="E12" s="145">
        <v>-0.29787820898362138</v>
      </c>
      <c r="F12" s="144">
        <v>52479019.649999999</v>
      </c>
      <c r="G12" s="145">
        <v>-0.4724027025578591</v>
      </c>
    </row>
    <row r="13" spans="1:11" ht="19.5" customHeight="1" thickBot="1">
      <c r="A13" s="312">
        <v>2002</v>
      </c>
      <c r="B13" s="144">
        <v>2179075331.1500001</v>
      </c>
      <c r="C13" s="145">
        <v>-5.1658599105628311E-2</v>
      </c>
      <c r="D13" s="144">
        <v>2190020061.2499995</v>
      </c>
      <c r="E13" s="145">
        <v>-2.4618621887898429E-2</v>
      </c>
      <c r="F13" s="144">
        <v>-10944730.16</v>
      </c>
      <c r="G13" s="145">
        <v>-1.2085543943654824</v>
      </c>
    </row>
    <row r="14" spans="1:11" ht="19.5" customHeight="1" thickBot="1">
      <c r="A14" s="312">
        <v>2003</v>
      </c>
      <c r="B14" s="144">
        <v>2288718484.4899998</v>
      </c>
      <c r="C14" s="145">
        <v>5.0316366659125977E-2</v>
      </c>
      <c r="D14" s="144">
        <v>2230195619.6600003</v>
      </c>
      <c r="E14" s="145">
        <v>1.8344835794366965E-2</v>
      </c>
      <c r="F14" s="144">
        <v>58522864.830000006</v>
      </c>
      <c r="G14" s="145">
        <v>6.3471272452093057</v>
      </c>
    </row>
    <row r="15" spans="1:11" ht="19.5" customHeight="1" thickBot="1">
      <c r="A15" s="312">
        <v>2004</v>
      </c>
      <c r="B15" s="144">
        <v>1913538530.5999999</v>
      </c>
      <c r="C15" s="145">
        <v>-0.16392577611990666</v>
      </c>
      <c r="D15" s="144">
        <v>1875065073.2299998</v>
      </c>
      <c r="E15" s="145">
        <v>-0.15923739751768551</v>
      </c>
      <c r="F15" s="144">
        <v>38473457.389999993</v>
      </c>
      <c r="G15" s="145">
        <v>-0.34259101119264213</v>
      </c>
    </row>
    <row r="16" spans="1:11" ht="19.5" customHeight="1" thickBot="1">
      <c r="A16" s="312">
        <v>2005</v>
      </c>
      <c r="B16" s="144">
        <v>2014328063.2799997</v>
      </c>
      <c r="C16" s="145">
        <v>5.2671807266089665E-2</v>
      </c>
      <c r="D16" s="144">
        <v>1987939073.0000002</v>
      </c>
      <c r="E16" s="145">
        <v>6.0197377350516668E-2</v>
      </c>
      <c r="F16" s="144">
        <v>26388990.279999997</v>
      </c>
      <c r="G16" s="145">
        <v>-0.31409880810818386</v>
      </c>
    </row>
    <row r="17" spans="1:7" ht="19.5" customHeight="1" thickBot="1">
      <c r="A17" s="312">
        <v>2006</v>
      </c>
      <c r="B17" s="144">
        <v>2046344832.71</v>
      </c>
      <c r="C17" s="145">
        <v>1.5894515900188644E-2</v>
      </c>
      <c r="D17" s="144">
        <v>2023719014.0099998</v>
      </c>
      <c r="E17" s="145">
        <v>1.7998509861775647E-2</v>
      </c>
      <c r="F17" s="144">
        <v>22625818.670000002</v>
      </c>
      <c r="G17" s="145">
        <v>-0.31409880810818386</v>
      </c>
    </row>
    <row r="18" spans="1:7" ht="30" customHeight="1" thickBot="1">
      <c r="A18" s="418">
        <v>2007</v>
      </c>
      <c r="B18" s="146">
        <v>1992425089.54</v>
      </c>
      <c r="C18" s="147">
        <v>-2.6349294756247699E-2</v>
      </c>
      <c r="D18" s="146">
        <v>1981658420.0599999</v>
      </c>
      <c r="E18" s="147">
        <v>-2.0783811220242865E-2</v>
      </c>
      <c r="F18" s="146">
        <v>10766669.48</v>
      </c>
      <c r="G18" s="147">
        <v>-0.5241423244377128</v>
      </c>
    </row>
    <row r="19" spans="1:7" ht="20" customHeight="1">
      <c r="A19" s="133" t="s">
        <v>1256</v>
      </c>
      <c r="B19" s="133"/>
      <c r="C19" s="133"/>
      <c r="D19" s="133"/>
      <c r="E19" s="133"/>
      <c r="F19" s="133"/>
      <c r="G19" s="133"/>
    </row>
    <row r="20" spans="1:7" ht="9.75" customHeight="1">
      <c r="A20" s="3"/>
      <c r="B20" s="3"/>
      <c r="C20" s="3"/>
      <c r="D20" s="3"/>
      <c r="E20" s="3"/>
      <c r="F20" s="3"/>
      <c r="G20" s="3"/>
    </row>
    <row r="21" spans="1:7">
      <c r="A21" s="3" t="s">
        <v>1106</v>
      </c>
    </row>
    <row r="22" spans="1:7">
      <c r="A22" s="2" t="s">
        <v>1107</v>
      </c>
    </row>
    <row r="23" spans="1:7">
      <c r="A23" s="2" t="s">
        <v>1108</v>
      </c>
    </row>
    <row r="24" spans="1:7">
      <c r="A24" s="2" t="s">
        <v>1109</v>
      </c>
    </row>
    <row r="25" spans="1:7">
      <c r="A25" s="2" t="s">
        <v>1110</v>
      </c>
    </row>
    <row r="27" spans="1:7" ht="15.75" customHeight="1">
      <c r="A27" s="3" t="s">
        <v>1111</v>
      </c>
      <c r="B27" s="3"/>
      <c r="C27" s="3"/>
      <c r="D27" s="3"/>
      <c r="E27" s="3"/>
      <c r="F27" s="3"/>
      <c r="G27" s="3"/>
    </row>
    <row r="30" spans="1:7">
      <c r="A30" s="2" t="s">
        <v>634</v>
      </c>
    </row>
  </sheetData>
  <mergeCells count="1">
    <mergeCell ref="A2:F2"/>
  </mergeCells>
  <phoneticPr fontId="0" type="noConversion"/>
  <pageMargins left="0.56000000000000005" right="0.59" top="0.89" bottom="0.49" header="0.49" footer="0.4921259845"/>
  <pageSetup paperSize="9" scale="84" orientation="portrait" horizontalDpi="1200" verticalDpi="120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1056-6D20-494E-BA7C-8CC875F88BA3}">
  <sheetPr>
    <pageSetUpPr fitToPage="1"/>
  </sheetPr>
  <dimension ref="A1:I23"/>
  <sheetViews>
    <sheetView zoomScale="75" workbookViewId="0"/>
  </sheetViews>
  <sheetFormatPr baseColWidth="10" defaultColWidth="11.3984375" defaultRowHeight="13"/>
  <cols>
    <col min="1" max="1" width="33.3984375" style="2" customWidth="1"/>
    <col min="2" max="2" width="15.19921875" style="2" customWidth="1"/>
    <col min="3" max="3" width="15.59765625" style="2" customWidth="1"/>
    <col min="4" max="4" width="15.19921875" style="2" customWidth="1"/>
    <col min="5" max="5" width="17.796875" style="148" customWidth="1"/>
    <col min="6" max="6" width="15.19921875" style="2" customWidth="1"/>
    <col min="7" max="16384" width="11.3984375" style="2"/>
  </cols>
  <sheetData>
    <row r="1" spans="1:9" s="1" customFormat="1" ht="14" customHeight="1">
      <c r="E1" s="17"/>
    </row>
    <row r="2" spans="1:9" s="1" customFormat="1" ht="28" customHeight="1">
      <c r="A2" s="56" t="s">
        <v>1083</v>
      </c>
      <c r="E2" s="17"/>
      <c r="F2" s="56">
        <v>2007</v>
      </c>
    </row>
    <row r="3" spans="1:9" ht="24" customHeight="1">
      <c r="A3" s="519" t="s">
        <v>1485</v>
      </c>
      <c r="B3" s="111" t="s">
        <v>1084</v>
      </c>
      <c r="C3" s="112" t="s">
        <v>1085</v>
      </c>
      <c r="D3" s="111" t="s">
        <v>1086</v>
      </c>
      <c r="E3" s="340" t="s">
        <v>629</v>
      </c>
      <c r="F3" s="503" t="s">
        <v>1801</v>
      </c>
    </row>
    <row r="4" spans="1:9" ht="15" customHeight="1">
      <c r="A4" s="308"/>
      <c r="B4" s="114" t="s">
        <v>1087</v>
      </c>
      <c r="C4" s="115" t="s">
        <v>1088</v>
      </c>
      <c r="D4" s="114" t="s">
        <v>1089</v>
      </c>
      <c r="E4" s="350"/>
      <c r="F4" s="116" t="s">
        <v>1802</v>
      </c>
    </row>
    <row r="5" spans="1:9" ht="15" customHeight="1">
      <c r="A5" s="308"/>
      <c r="B5" s="114" t="s">
        <v>1090</v>
      </c>
      <c r="C5" s="115" t="s">
        <v>1091</v>
      </c>
      <c r="D5" s="114" t="s">
        <v>1000</v>
      </c>
      <c r="E5" s="350"/>
      <c r="F5" s="116" t="s">
        <v>1806</v>
      </c>
    </row>
    <row r="6" spans="1:9" ht="15" customHeight="1">
      <c r="A6" s="308"/>
      <c r="B6" s="114"/>
      <c r="C6" s="115" t="s">
        <v>1092</v>
      </c>
      <c r="D6" s="114" t="s">
        <v>1093</v>
      </c>
      <c r="E6" s="350"/>
      <c r="F6" s="690"/>
    </row>
    <row r="7" spans="1:9" ht="15" customHeight="1">
      <c r="A7" s="308"/>
      <c r="B7" s="114"/>
      <c r="C7" s="115" t="s">
        <v>1094</v>
      </c>
      <c r="D7" s="391" t="s">
        <v>1095</v>
      </c>
      <c r="E7" s="350"/>
      <c r="F7" s="116"/>
    </row>
    <row r="8" spans="1:9" ht="24" customHeight="1">
      <c r="A8" s="309"/>
      <c r="B8" s="120"/>
      <c r="C8" s="119"/>
      <c r="D8" s="120"/>
      <c r="E8" s="351"/>
      <c r="F8" s="118"/>
    </row>
    <row r="9" spans="1:9" ht="30" customHeight="1" thickBot="1">
      <c r="A9" s="691" t="s">
        <v>1096</v>
      </c>
      <c r="B9" s="530">
        <v>1941355941.1099999</v>
      </c>
      <c r="C9" s="531">
        <v>97363608.799999997</v>
      </c>
      <c r="D9" s="530">
        <v>3431587.28</v>
      </c>
      <c r="E9" s="293">
        <v>2042151137.1899998</v>
      </c>
      <c r="F9" s="692">
        <v>1.2306850865148397E-2</v>
      </c>
      <c r="G9" s="8"/>
    </row>
    <row r="10" spans="1:9" ht="20" customHeight="1" thickBot="1">
      <c r="A10" s="128" t="s">
        <v>1097</v>
      </c>
      <c r="B10" s="509">
        <v>1955030716.8800001</v>
      </c>
      <c r="C10" s="510">
        <v>56585432.43</v>
      </c>
      <c r="D10" s="509">
        <v>3431169.7</v>
      </c>
      <c r="E10" s="298">
        <v>2015047319.0100002</v>
      </c>
      <c r="F10" s="693">
        <v>1.2068722308307715E-2</v>
      </c>
      <c r="H10" s="9"/>
      <c r="I10" s="9"/>
    </row>
    <row r="11" spans="1:9" ht="20" customHeight="1" thickBot="1">
      <c r="A11" s="312" t="s">
        <v>1098</v>
      </c>
      <c r="B11" s="509">
        <v>-49251879.020000003</v>
      </c>
      <c r="C11" s="510">
        <v>-362592.51</v>
      </c>
      <c r="D11" s="509">
        <v>-111576.12</v>
      </c>
      <c r="E11" s="298">
        <v>-49726047.649999999</v>
      </c>
      <c r="F11" s="693">
        <v>-2.713473907561458</v>
      </c>
      <c r="H11" s="9"/>
      <c r="I11" s="9"/>
    </row>
    <row r="12" spans="1:9" ht="20" customHeight="1" thickBot="1">
      <c r="A12" s="312" t="s">
        <v>1099</v>
      </c>
      <c r="B12" s="509">
        <v>1892104062.0899999</v>
      </c>
      <c r="C12" s="510">
        <v>97001016.289999992</v>
      </c>
      <c r="D12" s="509">
        <v>3320011.16</v>
      </c>
      <c r="E12" s="298">
        <v>1992425089.54</v>
      </c>
      <c r="F12" s="693">
        <v>-2.634929475624765E-2</v>
      </c>
      <c r="H12" s="9"/>
      <c r="I12" s="9"/>
    </row>
    <row r="13" spans="1:9" ht="20" customHeight="1" thickBot="1">
      <c r="A13" s="312" t="s">
        <v>1100</v>
      </c>
      <c r="B13" s="509">
        <v>1588148213.28</v>
      </c>
      <c r="C13" s="510">
        <v>93892318.870000005</v>
      </c>
      <c r="D13" s="509">
        <v>9064586.6099999994</v>
      </c>
      <c r="E13" s="298">
        <v>1691105118.76</v>
      </c>
      <c r="F13" s="693">
        <v>-2.9059587203711813E-2</v>
      </c>
      <c r="H13" s="9"/>
      <c r="I13" s="9"/>
    </row>
    <row r="14" spans="1:9" ht="20" customHeight="1" thickBot="1">
      <c r="A14" s="128" t="s">
        <v>1101</v>
      </c>
      <c r="B14" s="509">
        <v>1596299737.4400001</v>
      </c>
      <c r="C14" s="510">
        <v>93892318.870000005</v>
      </c>
      <c r="D14" s="509">
        <v>9064586.6099999994</v>
      </c>
      <c r="E14" s="298">
        <v>1699256642.9199998</v>
      </c>
      <c r="F14" s="693">
        <v>-2.8359374933975459E-2</v>
      </c>
      <c r="H14" s="9"/>
      <c r="I14" s="9"/>
    </row>
    <row r="15" spans="1:9" ht="20" customHeight="1" thickBot="1">
      <c r="A15" s="312" t="s">
        <v>1102</v>
      </c>
      <c r="B15" s="509">
        <v>283974747.51999998</v>
      </c>
      <c r="C15" s="510">
        <v>6243210.4199999999</v>
      </c>
      <c r="D15" s="509">
        <v>335343.37</v>
      </c>
      <c r="E15" s="298">
        <v>290553301.31</v>
      </c>
      <c r="F15" s="693">
        <v>3.0329878503442268E-2</v>
      </c>
      <c r="H15" s="9"/>
      <c r="I15" s="9"/>
    </row>
    <row r="16" spans="1:9" ht="20" customHeight="1" thickBot="1">
      <c r="A16" s="312" t="s">
        <v>1103</v>
      </c>
      <c r="B16" s="509">
        <v>1872122960.8</v>
      </c>
      <c r="C16" s="510">
        <v>100135529.29000001</v>
      </c>
      <c r="D16" s="509">
        <v>9399929.9700000007</v>
      </c>
      <c r="E16" s="298">
        <v>1981658420.0599999</v>
      </c>
      <c r="F16" s="693">
        <v>-2.0783811220242841E-2</v>
      </c>
      <c r="H16" s="9"/>
      <c r="I16" s="9"/>
    </row>
    <row r="17" spans="1:6" ht="30" customHeight="1" thickBot="1">
      <c r="A17" s="694" t="s">
        <v>2121</v>
      </c>
      <c r="B17" s="509">
        <v>19981101.280000001</v>
      </c>
      <c r="C17" s="510">
        <v>-3134513</v>
      </c>
      <c r="D17" s="509">
        <v>-6079918.7999999998</v>
      </c>
      <c r="E17" s="298">
        <v>10766669.48</v>
      </c>
      <c r="F17" s="693">
        <v>-0.5241423244377128</v>
      </c>
    </row>
    <row r="18" spans="1:6" ht="20" customHeight="1">
      <c r="A18" s="133" t="s">
        <v>1256</v>
      </c>
      <c r="B18" s="133"/>
      <c r="C18" s="133"/>
      <c r="D18" s="133"/>
      <c r="E18" s="673"/>
      <c r="F18" s="133"/>
    </row>
    <row r="19" spans="1:6">
      <c r="A19" s="3"/>
    </row>
    <row r="20" spans="1:6">
      <c r="A20" s="2" t="s">
        <v>1104</v>
      </c>
    </row>
    <row r="23" spans="1:6">
      <c r="A23" s="2" t="s">
        <v>634</v>
      </c>
    </row>
  </sheetData>
  <phoneticPr fontId="0" type="noConversion"/>
  <pageMargins left="0.47" right="0.47" top="0.92" bottom="0.49" header="0.49" footer="0.4921259845"/>
  <pageSetup paperSize="9" scale="84" orientation="portrait" horizontalDpi="1200" verticalDpi="120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0EF8-6213-554A-B595-B03C6909F201}">
  <sheetPr>
    <pageSetUpPr fitToPage="1"/>
  </sheetPr>
  <dimension ref="A1:E43"/>
  <sheetViews>
    <sheetView topLeftCell="A25" zoomScale="75" workbookViewId="0">
      <selection activeCell="E3" sqref="E3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6.59765625" style="2" customWidth="1"/>
    <col min="4" max="4" width="16.59765625" style="8" customWidth="1"/>
    <col min="5" max="5" width="15.3984375" style="533" customWidth="1"/>
    <col min="6" max="16384" width="11.3984375" style="2"/>
  </cols>
  <sheetData>
    <row r="1" spans="1:5" s="1" customFormat="1" ht="14" customHeight="1">
      <c r="B1" s="166"/>
      <c r="D1" s="274"/>
      <c r="E1" s="677"/>
    </row>
    <row r="2" spans="1:5" s="1" customFormat="1" ht="25.5" customHeight="1">
      <c r="A2" s="1800" t="s">
        <v>1082</v>
      </c>
      <c r="B2" s="1804"/>
      <c r="C2" s="1804"/>
      <c r="D2" s="1804"/>
      <c r="E2" s="56">
        <v>2007</v>
      </c>
    </row>
    <row r="3" spans="1:5" ht="39" customHeight="1">
      <c r="A3" s="519" t="s">
        <v>1485</v>
      </c>
      <c r="B3" s="167"/>
      <c r="C3" s="111" t="s">
        <v>1486</v>
      </c>
      <c r="D3" s="276" t="s">
        <v>1487</v>
      </c>
      <c r="E3" s="504" t="s">
        <v>629</v>
      </c>
    </row>
    <row r="4" spans="1:5" ht="38" customHeight="1">
      <c r="A4" s="505"/>
      <c r="B4" s="506"/>
      <c r="C4" s="120" t="s">
        <v>494</v>
      </c>
      <c r="D4" s="282" t="s">
        <v>494</v>
      </c>
      <c r="E4" s="507" t="s">
        <v>494</v>
      </c>
    </row>
    <row r="5" spans="1:5" ht="30" customHeight="1" thickBot="1">
      <c r="A5" s="122">
        <v>63</v>
      </c>
      <c r="B5" s="122" t="s">
        <v>1488</v>
      </c>
      <c r="C5" s="142">
        <v>1908048609.3299999</v>
      </c>
      <c r="D5" s="291">
        <v>82415910.730000004</v>
      </c>
      <c r="E5" s="520">
        <v>1990464520.0599999</v>
      </c>
    </row>
    <row r="6" spans="1:5" ht="20" customHeight="1" thickBot="1">
      <c r="A6" s="127">
        <v>64</v>
      </c>
      <c r="B6" s="127" t="s">
        <v>1489</v>
      </c>
      <c r="C6" s="144">
        <v>-33325213.390000001</v>
      </c>
      <c r="D6" s="297">
        <v>-842806.26</v>
      </c>
      <c r="E6" s="314">
        <v>-34168019.649999999</v>
      </c>
    </row>
    <row r="7" spans="1:5" ht="20" customHeight="1" thickBot="1">
      <c r="A7" s="127">
        <v>65</v>
      </c>
      <c r="B7" s="127" t="s">
        <v>1490</v>
      </c>
      <c r="C7" s="144">
        <v>-1114465.3899999999</v>
      </c>
      <c r="D7" s="297">
        <v>-151318.14000000001</v>
      </c>
      <c r="E7" s="314">
        <v>-1265783.53</v>
      </c>
    </row>
    <row r="8" spans="1:5" ht="27" customHeight="1" thickBot="1">
      <c r="A8" s="128" t="s">
        <v>1491</v>
      </c>
      <c r="B8" s="128" t="s">
        <v>1492</v>
      </c>
      <c r="C8" s="144">
        <v>1873608930.55</v>
      </c>
      <c r="D8" s="297">
        <v>81421786.329999998</v>
      </c>
      <c r="E8" s="314">
        <v>1955030716.8800001</v>
      </c>
    </row>
    <row r="9" spans="1:5" ht="20" customHeight="1" thickBot="1">
      <c r="A9" s="127">
        <v>66</v>
      </c>
      <c r="B9" s="127" t="s">
        <v>1493</v>
      </c>
      <c r="C9" s="144">
        <v>-15936679.6</v>
      </c>
      <c r="D9" s="297">
        <v>-1442471.54</v>
      </c>
      <c r="E9" s="314">
        <v>-17379151.140000001</v>
      </c>
    </row>
    <row r="10" spans="1:5" ht="27" customHeight="1" thickBot="1">
      <c r="A10" s="128" t="s">
        <v>1494</v>
      </c>
      <c r="B10" s="128" t="s">
        <v>1495</v>
      </c>
      <c r="C10" s="144">
        <v>1857672250.9400001</v>
      </c>
      <c r="D10" s="297">
        <v>79979314.799999997</v>
      </c>
      <c r="E10" s="314">
        <v>1937651565.74</v>
      </c>
    </row>
    <row r="11" spans="1:5" ht="20" customHeight="1" thickBot="1">
      <c r="A11" s="127">
        <v>67</v>
      </c>
      <c r="B11" s="127" t="s">
        <v>1496</v>
      </c>
      <c r="C11" s="144">
        <v>-1159914.52</v>
      </c>
      <c r="D11" s="297">
        <v>-105058.28</v>
      </c>
      <c r="E11" s="314">
        <v>-1264972.8</v>
      </c>
    </row>
    <row r="12" spans="1:5" ht="20" customHeight="1" thickBot="1">
      <c r="A12" s="127">
        <v>68</v>
      </c>
      <c r="B12" s="127" t="s">
        <v>1497</v>
      </c>
      <c r="C12" s="144">
        <v>-3337448.2</v>
      </c>
      <c r="D12" s="297">
        <v>0</v>
      </c>
      <c r="E12" s="314">
        <v>-3337448.2</v>
      </c>
    </row>
    <row r="13" spans="1:5" ht="20" customHeight="1" thickBot="1">
      <c r="A13" s="127">
        <v>69</v>
      </c>
      <c r="B13" s="127" t="s">
        <v>1498</v>
      </c>
      <c r="C13" s="144">
        <v>6559717.5099999998</v>
      </c>
      <c r="D13" s="297">
        <v>1747078.85</v>
      </c>
      <c r="E13" s="314">
        <v>8306796.3600000003</v>
      </c>
    </row>
    <row r="14" spans="1:5" ht="27" customHeight="1" thickBot="1">
      <c r="A14" s="128">
        <v>6</v>
      </c>
      <c r="B14" s="128" t="s">
        <v>1499</v>
      </c>
      <c r="C14" s="144">
        <v>1859734605.75</v>
      </c>
      <c r="D14" s="297">
        <v>81621335.359999999</v>
      </c>
      <c r="E14" s="314">
        <v>1941355941.1099999</v>
      </c>
    </row>
    <row r="15" spans="1:5" ht="20" customHeight="1" thickBot="1">
      <c r="A15" s="127">
        <v>33</v>
      </c>
      <c r="B15" s="127" t="s">
        <v>535</v>
      </c>
      <c r="C15" s="144">
        <v>1530666454.3900001</v>
      </c>
      <c r="D15" s="297">
        <v>47190023.299999997</v>
      </c>
      <c r="E15" s="314">
        <v>1577856477.6900001</v>
      </c>
    </row>
    <row r="16" spans="1:5" ht="20" customHeight="1" thickBot="1">
      <c r="A16" s="127">
        <v>32</v>
      </c>
      <c r="B16" s="127" t="s">
        <v>1500</v>
      </c>
      <c r="C16" s="144">
        <v>-44939007.68</v>
      </c>
      <c r="D16" s="297">
        <v>-975374.84</v>
      </c>
      <c r="E16" s="314">
        <v>-45914382.520000003</v>
      </c>
    </row>
    <row r="17" spans="1:5" ht="27" customHeight="1" thickBot="1">
      <c r="A17" s="128" t="s">
        <v>1501</v>
      </c>
      <c r="B17" s="128" t="s">
        <v>1502</v>
      </c>
      <c r="C17" s="144">
        <v>1485727446.71</v>
      </c>
      <c r="D17" s="297">
        <v>46214648.460000001</v>
      </c>
      <c r="E17" s="314">
        <v>1531942095.1700001</v>
      </c>
    </row>
    <row r="18" spans="1:5" ht="20" customHeight="1" thickBot="1">
      <c r="A18" s="127">
        <v>34</v>
      </c>
      <c r="B18" s="127" t="s">
        <v>1503</v>
      </c>
      <c r="C18" s="144">
        <v>8610835.9600000009</v>
      </c>
      <c r="D18" s="297">
        <v>179436.87</v>
      </c>
      <c r="E18" s="314">
        <v>8790272.8300000001</v>
      </c>
    </row>
    <row r="19" spans="1:5" ht="20" customHeight="1" thickBot="1">
      <c r="A19" s="127">
        <v>35</v>
      </c>
      <c r="B19" s="127" t="s">
        <v>1504</v>
      </c>
      <c r="C19" s="144">
        <v>53483984.810000002</v>
      </c>
      <c r="D19" s="297">
        <v>2083384.63</v>
      </c>
      <c r="E19" s="314">
        <v>55567369.439999998</v>
      </c>
    </row>
    <row r="20" spans="1:5" ht="27" customHeight="1" thickBot="1">
      <c r="A20" s="128" t="s">
        <v>1505</v>
      </c>
      <c r="B20" s="128" t="s">
        <v>1506</v>
      </c>
      <c r="C20" s="144">
        <v>1547822267.47</v>
      </c>
      <c r="D20" s="297">
        <v>48477469.969999999</v>
      </c>
      <c r="E20" s="314">
        <v>1596299737.4400001</v>
      </c>
    </row>
    <row r="21" spans="1:5" ht="20" customHeight="1" thickBot="1">
      <c r="A21" s="127">
        <v>36</v>
      </c>
      <c r="B21" s="127" t="s">
        <v>614</v>
      </c>
      <c r="C21" s="144">
        <v>-7669917.8499999996</v>
      </c>
      <c r="D21" s="297">
        <v>-481606.31</v>
      </c>
      <c r="E21" s="314">
        <v>-8151524.1600000001</v>
      </c>
    </row>
    <row r="22" spans="1:5" ht="20" customHeight="1" thickBot="1">
      <c r="A22" s="127">
        <v>37</v>
      </c>
      <c r="B22" s="127" t="s">
        <v>615</v>
      </c>
      <c r="C22" s="144">
        <v>0</v>
      </c>
      <c r="D22" s="297">
        <v>0</v>
      </c>
      <c r="E22" s="314">
        <v>0</v>
      </c>
    </row>
    <row r="23" spans="1:5" ht="26.25" customHeight="1" thickBot="1">
      <c r="A23" s="128">
        <v>3</v>
      </c>
      <c r="B23" s="128" t="s">
        <v>2111</v>
      </c>
      <c r="C23" s="144">
        <v>1540152349.6199999</v>
      </c>
      <c r="D23" s="297">
        <v>47995863.659999996</v>
      </c>
      <c r="E23" s="314">
        <v>1588148213.28</v>
      </c>
    </row>
    <row r="24" spans="1:5" ht="20" customHeight="1" thickBot="1">
      <c r="A24" s="127" t="s">
        <v>2112</v>
      </c>
      <c r="B24" s="127" t="s">
        <v>2113</v>
      </c>
      <c r="C24" s="144">
        <v>262687081.66999999</v>
      </c>
      <c r="D24" s="297">
        <v>15052726.460000001</v>
      </c>
      <c r="E24" s="314">
        <v>277739808.13</v>
      </c>
    </row>
    <row r="25" spans="1:5" ht="20" customHeight="1" thickBot="1">
      <c r="A25" s="127">
        <v>48</v>
      </c>
      <c r="B25" s="127" t="s">
        <v>2114</v>
      </c>
      <c r="C25" s="144">
        <v>4889971.29</v>
      </c>
      <c r="D25" s="297">
        <v>600549.35</v>
      </c>
      <c r="E25" s="314">
        <v>5490520.6399999997</v>
      </c>
    </row>
    <row r="26" spans="1:5" ht="20" customHeight="1" thickBot="1">
      <c r="A26" s="127">
        <v>49</v>
      </c>
      <c r="B26" s="127" t="s">
        <v>2115</v>
      </c>
      <c r="C26" s="144">
        <v>689053.05</v>
      </c>
      <c r="D26" s="297">
        <v>55365.7</v>
      </c>
      <c r="E26" s="314">
        <v>744418.75</v>
      </c>
    </row>
    <row r="27" spans="1:5" ht="27" customHeight="1" thickBot="1">
      <c r="A27" s="128">
        <v>4</v>
      </c>
      <c r="B27" s="128" t="s">
        <v>2116</v>
      </c>
      <c r="C27" s="144">
        <v>268266106.03</v>
      </c>
      <c r="D27" s="297">
        <v>15708641.49</v>
      </c>
      <c r="E27" s="314">
        <v>283974747.51999998</v>
      </c>
    </row>
    <row r="28" spans="1:5" ht="27" customHeight="1" thickBot="1">
      <c r="A28" s="128" t="s">
        <v>2117</v>
      </c>
      <c r="B28" s="128" t="s">
        <v>2118</v>
      </c>
      <c r="C28" s="144">
        <v>1808418455.6500001</v>
      </c>
      <c r="D28" s="297">
        <v>63704505.149999999</v>
      </c>
      <c r="E28" s="314">
        <v>1872122960.8</v>
      </c>
    </row>
    <row r="29" spans="1:5" ht="27" customHeight="1" thickBot="1">
      <c r="A29" s="128"/>
      <c r="B29" s="128" t="s">
        <v>2119</v>
      </c>
      <c r="C29" s="144">
        <v>51316150.090000004</v>
      </c>
      <c r="D29" s="297">
        <v>17916830.210000001</v>
      </c>
      <c r="E29" s="314">
        <v>69232980.299999997</v>
      </c>
    </row>
    <row r="30" spans="1:5" ht="27" customHeight="1" thickBot="1">
      <c r="A30" s="128">
        <v>7</v>
      </c>
      <c r="B30" s="128" t="s">
        <v>2120</v>
      </c>
      <c r="C30" s="144">
        <v>-41019657.789999999</v>
      </c>
      <c r="D30" s="297">
        <v>-8232221.2300000004</v>
      </c>
      <c r="E30" s="314">
        <v>-49251879.020000003</v>
      </c>
    </row>
    <row r="31" spans="1:5" ht="28.5" customHeight="1" thickBot="1">
      <c r="A31" s="522"/>
      <c r="B31" s="522" t="s">
        <v>2121</v>
      </c>
      <c r="C31" s="523">
        <v>10296492.310000001</v>
      </c>
      <c r="D31" s="524">
        <v>9684608.9700000007</v>
      </c>
      <c r="E31" s="525">
        <v>19981101.280000001</v>
      </c>
    </row>
    <row r="32" spans="1:5" ht="20" customHeight="1">
      <c r="A32" s="526"/>
      <c r="B32" s="526"/>
      <c r="C32" s="365"/>
      <c r="D32" s="365"/>
      <c r="E32" s="366"/>
    </row>
    <row r="33" spans="1:5" ht="23.25" customHeight="1">
      <c r="A33" s="527" t="s">
        <v>1077</v>
      </c>
      <c r="B33" s="528"/>
      <c r="C33" s="528"/>
      <c r="D33" s="528"/>
      <c r="E33" s="528"/>
    </row>
    <row r="34" spans="1:5" ht="19.5" customHeight="1" thickBot="1">
      <c r="A34" s="529"/>
      <c r="B34" s="529" t="s">
        <v>1078</v>
      </c>
      <c r="C34" s="530" t="s">
        <v>59</v>
      </c>
      <c r="D34" s="531" t="s">
        <v>59</v>
      </c>
      <c r="E34" s="292">
        <v>544407509.38</v>
      </c>
    </row>
    <row r="35" spans="1:5" ht="19.5" customHeight="1" thickBot="1">
      <c r="A35" s="128"/>
      <c r="B35" s="128" t="s">
        <v>1079</v>
      </c>
      <c r="C35" s="509" t="s">
        <v>59</v>
      </c>
      <c r="D35" s="510" t="s">
        <v>59</v>
      </c>
      <c r="E35" s="146">
        <v>361814789.56999999</v>
      </c>
    </row>
    <row r="36" spans="1:5" ht="15.75" customHeight="1">
      <c r="A36" s="133" t="s">
        <v>1256</v>
      </c>
      <c r="B36" s="170"/>
      <c r="C36" s="133"/>
      <c r="D36" s="287"/>
      <c r="E36" s="532"/>
    </row>
    <row r="37" spans="1:5">
      <c r="A37" s="3"/>
    </row>
    <row r="38" spans="1:5">
      <c r="A38" s="3" t="s">
        <v>1080</v>
      </c>
    </row>
    <row r="39" spans="1:5">
      <c r="A39" s="3"/>
    </row>
    <row r="40" spans="1:5">
      <c r="A40" s="2" t="s">
        <v>1081</v>
      </c>
    </row>
    <row r="43" spans="1:5">
      <c r="A43" s="2" t="s">
        <v>634</v>
      </c>
    </row>
  </sheetData>
  <mergeCells count="1">
    <mergeCell ref="A2:D2"/>
  </mergeCells>
  <phoneticPr fontId="0" type="noConversion"/>
  <pageMargins left="0.51181102362204722" right="0.47244094488188981" top="0.74" bottom="0.57999999999999996" header="0.41" footer="0.37"/>
  <pageSetup paperSize="9" scale="82" orientation="portrait" horizontalDpi="1200" verticalDpi="1200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E8A0-3636-2142-87E6-06CEBA39E607}">
  <sheetPr>
    <pageSetUpPr fitToPage="1"/>
  </sheetPr>
  <dimension ref="A1:H37"/>
  <sheetViews>
    <sheetView topLeftCell="A19" zoomScale="75" workbookViewId="0">
      <selection activeCell="F2" sqref="F2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7.3984375" style="2" customWidth="1"/>
    <col min="4" max="4" width="17.3984375" style="8" customWidth="1"/>
    <col min="5" max="5" width="17" style="533" customWidth="1"/>
    <col min="6" max="16384" width="11.3984375" style="2"/>
  </cols>
  <sheetData>
    <row r="1" spans="1:8" s="1" customFormat="1" ht="14" customHeight="1">
      <c r="B1" s="166"/>
      <c r="D1" s="274"/>
      <c r="E1" s="677"/>
    </row>
    <row r="2" spans="1:8" s="1" customFormat="1" ht="28" customHeight="1">
      <c r="A2" s="56" t="s">
        <v>1075</v>
      </c>
      <c r="B2" s="166"/>
      <c r="D2" s="274"/>
      <c r="E2" s="56">
        <v>2007</v>
      </c>
    </row>
    <row r="3" spans="1:8" ht="39" customHeight="1">
      <c r="A3" s="519" t="s">
        <v>1485</v>
      </c>
      <c r="B3" s="167"/>
      <c r="C3" s="111" t="s">
        <v>1486</v>
      </c>
      <c r="D3" s="276" t="s">
        <v>1487</v>
      </c>
      <c r="E3" s="504" t="s">
        <v>629</v>
      </c>
      <c r="G3" s="4"/>
      <c r="H3" s="4"/>
    </row>
    <row r="4" spans="1:8" ht="38" customHeight="1">
      <c r="A4" s="505"/>
      <c r="B4" s="506"/>
      <c r="C4" s="120" t="s">
        <v>494</v>
      </c>
      <c r="D4" s="282" t="s">
        <v>494</v>
      </c>
      <c r="E4" s="507" t="s">
        <v>494</v>
      </c>
      <c r="G4" s="687"/>
      <c r="H4" s="688"/>
    </row>
    <row r="5" spans="1:8" ht="30" customHeight="1" thickBot="1">
      <c r="A5" s="122">
        <v>63</v>
      </c>
      <c r="B5" s="122" t="s">
        <v>1488</v>
      </c>
      <c r="C5" s="142">
        <v>55337435.43</v>
      </c>
      <c r="D5" s="291">
        <v>1251421.99</v>
      </c>
      <c r="E5" s="520">
        <v>56588857.420000002</v>
      </c>
      <c r="G5" s="94"/>
      <c r="H5" s="688"/>
    </row>
    <row r="6" spans="1:8" ht="20" customHeight="1" thickBot="1">
      <c r="A6" s="127">
        <v>64</v>
      </c>
      <c r="B6" s="127" t="s">
        <v>1489</v>
      </c>
      <c r="C6" s="144">
        <v>-3309.92</v>
      </c>
      <c r="D6" s="297">
        <v>-115.07</v>
      </c>
      <c r="E6" s="314">
        <v>-3424.99</v>
      </c>
      <c r="G6" s="94"/>
      <c r="H6" s="688"/>
    </row>
    <row r="7" spans="1:8" ht="20" customHeight="1" thickBot="1">
      <c r="A7" s="127">
        <v>65</v>
      </c>
      <c r="B7" s="127" t="s">
        <v>1490</v>
      </c>
      <c r="C7" s="144">
        <v>0</v>
      </c>
      <c r="D7" s="297">
        <v>0</v>
      </c>
      <c r="E7" s="314">
        <v>0</v>
      </c>
      <c r="G7" s="94"/>
      <c r="H7" s="688"/>
    </row>
    <row r="8" spans="1:8" ht="27" customHeight="1" thickBot="1">
      <c r="A8" s="128" t="s">
        <v>1491</v>
      </c>
      <c r="B8" s="128" t="s">
        <v>1492</v>
      </c>
      <c r="C8" s="144">
        <v>55334125.509999998</v>
      </c>
      <c r="D8" s="297">
        <v>1251306.92</v>
      </c>
      <c r="E8" s="314">
        <v>56585432.43</v>
      </c>
      <c r="G8" s="94"/>
      <c r="H8" s="688"/>
    </row>
    <row r="9" spans="1:8" ht="21" customHeight="1" thickBot="1">
      <c r="A9" s="127">
        <v>66</v>
      </c>
      <c r="B9" s="127" t="s">
        <v>1493</v>
      </c>
      <c r="C9" s="144">
        <v>0</v>
      </c>
      <c r="D9" s="297">
        <v>0</v>
      </c>
      <c r="E9" s="314">
        <v>0</v>
      </c>
      <c r="G9" s="94"/>
      <c r="H9" s="688"/>
    </row>
    <row r="10" spans="1:8" ht="27" customHeight="1" thickBot="1">
      <c r="A10" s="128" t="s">
        <v>1494</v>
      </c>
      <c r="B10" s="128" t="s">
        <v>1495</v>
      </c>
      <c r="C10" s="144">
        <v>55334125.509999998</v>
      </c>
      <c r="D10" s="297">
        <v>1251306.92</v>
      </c>
      <c r="E10" s="314">
        <v>56585432.43</v>
      </c>
      <c r="G10" s="94"/>
      <c r="H10" s="688"/>
    </row>
    <row r="11" spans="1:8" ht="20" customHeight="1" thickBot="1">
      <c r="A11" s="127">
        <v>67</v>
      </c>
      <c r="B11" s="127" t="s">
        <v>1496</v>
      </c>
      <c r="C11" s="144">
        <v>39680367.420000002</v>
      </c>
      <c r="D11" s="297">
        <v>1087058.58</v>
      </c>
      <c r="E11" s="314">
        <v>40767426</v>
      </c>
      <c r="G11" s="689"/>
      <c r="H11" s="688"/>
    </row>
    <row r="12" spans="1:8" ht="20" customHeight="1" thickBot="1">
      <c r="A12" s="127">
        <v>68</v>
      </c>
      <c r="B12" s="127" t="s">
        <v>1497</v>
      </c>
      <c r="C12" s="144">
        <v>0</v>
      </c>
      <c r="D12" s="297">
        <v>0</v>
      </c>
      <c r="E12" s="314">
        <v>0</v>
      </c>
      <c r="G12" s="94"/>
      <c r="H12" s="688"/>
    </row>
    <row r="13" spans="1:8" ht="20" customHeight="1" thickBot="1">
      <c r="A13" s="127">
        <v>69</v>
      </c>
      <c r="B13" s="127" t="s">
        <v>1498</v>
      </c>
      <c r="C13" s="144">
        <v>10525.49</v>
      </c>
      <c r="D13" s="297">
        <v>224.88</v>
      </c>
      <c r="E13" s="314">
        <v>10750.37</v>
      </c>
    </row>
    <row r="14" spans="1:8" ht="27" customHeight="1" thickBot="1">
      <c r="A14" s="128">
        <v>6</v>
      </c>
      <c r="B14" s="128" t="s">
        <v>1499</v>
      </c>
      <c r="C14" s="144">
        <v>95025018.420000002</v>
      </c>
      <c r="D14" s="297">
        <v>2338590.38</v>
      </c>
      <c r="E14" s="314">
        <v>97363608.799999997</v>
      </c>
    </row>
    <row r="15" spans="1:8" ht="20" customHeight="1" thickBot="1">
      <c r="A15" s="127">
        <v>33</v>
      </c>
      <c r="B15" s="127" t="s">
        <v>535</v>
      </c>
      <c r="C15" s="144">
        <v>96077867.75</v>
      </c>
      <c r="D15" s="297">
        <v>2584037.0099999998</v>
      </c>
      <c r="E15" s="314">
        <v>98661904.760000005</v>
      </c>
    </row>
    <row r="16" spans="1:8" ht="20" customHeight="1" thickBot="1">
      <c r="A16" s="127">
        <v>32</v>
      </c>
      <c r="B16" s="127" t="s">
        <v>1500</v>
      </c>
      <c r="C16" s="144">
        <v>-6830517.2300000004</v>
      </c>
      <c r="D16" s="297">
        <v>-108022.5</v>
      </c>
      <c r="E16" s="314">
        <v>-6938539.7300000004</v>
      </c>
    </row>
    <row r="17" spans="1:5" ht="27" customHeight="1" thickBot="1">
      <c r="A17" s="128" t="s">
        <v>1501</v>
      </c>
      <c r="B17" s="128" t="s">
        <v>1502</v>
      </c>
      <c r="C17" s="144">
        <v>89247350.519999996</v>
      </c>
      <c r="D17" s="297">
        <v>2476014.5099999998</v>
      </c>
      <c r="E17" s="314">
        <v>91723365.030000001</v>
      </c>
    </row>
    <row r="18" spans="1:5" ht="20" customHeight="1" thickBot="1">
      <c r="A18" s="127">
        <v>34</v>
      </c>
      <c r="B18" s="127" t="s">
        <v>1503</v>
      </c>
      <c r="C18" s="144">
        <v>1159167.19</v>
      </c>
      <c r="D18" s="297">
        <v>31532.799999999999</v>
      </c>
      <c r="E18" s="314">
        <v>1190699.99</v>
      </c>
    </row>
    <row r="19" spans="1:5" ht="20" customHeight="1" thickBot="1">
      <c r="A19" s="127">
        <v>35</v>
      </c>
      <c r="B19" s="127" t="s">
        <v>1504</v>
      </c>
      <c r="C19" s="144">
        <v>952745.76</v>
      </c>
      <c r="D19" s="297">
        <v>25508.09</v>
      </c>
      <c r="E19" s="314">
        <v>978253.85</v>
      </c>
    </row>
    <row r="20" spans="1:5" ht="27" customHeight="1" thickBot="1">
      <c r="A20" s="128" t="s">
        <v>1505</v>
      </c>
      <c r="B20" s="128" t="s">
        <v>1506</v>
      </c>
      <c r="C20" s="144">
        <v>91359263.469999999</v>
      </c>
      <c r="D20" s="297">
        <v>2533055.4</v>
      </c>
      <c r="E20" s="314">
        <v>93892318.870000005</v>
      </c>
    </row>
    <row r="21" spans="1:5" ht="20" customHeight="1" thickBot="1">
      <c r="A21" s="127">
        <v>36</v>
      </c>
      <c r="B21" s="127" t="s">
        <v>614</v>
      </c>
      <c r="C21" s="144">
        <v>0</v>
      </c>
      <c r="D21" s="297">
        <v>0</v>
      </c>
      <c r="E21" s="314">
        <v>0</v>
      </c>
    </row>
    <row r="22" spans="1:5" ht="20" customHeight="1" thickBot="1">
      <c r="A22" s="127">
        <v>37</v>
      </c>
      <c r="B22" s="127" t="s">
        <v>615</v>
      </c>
      <c r="C22" s="144">
        <v>0</v>
      </c>
      <c r="D22" s="297">
        <v>0</v>
      </c>
      <c r="E22" s="314">
        <v>0</v>
      </c>
    </row>
    <row r="23" spans="1:5" ht="27" customHeight="1" thickBot="1">
      <c r="A23" s="128">
        <v>3</v>
      </c>
      <c r="B23" s="128" t="s">
        <v>2111</v>
      </c>
      <c r="C23" s="144">
        <v>91359263.469999999</v>
      </c>
      <c r="D23" s="297">
        <v>2533055.4</v>
      </c>
      <c r="E23" s="314">
        <v>93892318.870000005</v>
      </c>
    </row>
    <row r="24" spans="1:5" ht="20" customHeight="1" thickBot="1">
      <c r="A24" s="127" t="s">
        <v>2112</v>
      </c>
      <c r="B24" s="127" t="s">
        <v>2113</v>
      </c>
      <c r="C24" s="144">
        <v>5908935.6500000004</v>
      </c>
      <c r="D24" s="297">
        <v>127937.86</v>
      </c>
      <c r="E24" s="314">
        <v>6036873.5099999998</v>
      </c>
    </row>
    <row r="25" spans="1:5" ht="20" customHeight="1" thickBot="1">
      <c r="A25" s="127">
        <v>48</v>
      </c>
      <c r="B25" s="127" t="s">
        <v>2114</v>
      </c>
      <c r="C25" s="144">
        <v>182454.69</v>
      </c>
      <c r="D25" s="297">
        <v>3897.54</v>
      </c>
      <c r="E25" s="314">
        <v>186352.23</v>
      </c>
    </row>
    <row r="26" spans="1:5" ht="20" customHeight="1" thickBot="1">
      <c r="A26" s="127">
        <v>49</v>
      </c>
      <c r="B26" s="127" t="s">
        <v>2115</v>
      </c>
      <c r="C26" s="144">
        <v>19568.66</v>
      </c>
      <c r="D26" s="297">
        <v>416.02</v>
      </c>
      <c r="E26" s="314">
        <v>19984.68</v>
      </c>
    </row>
    <row r="27" spans="1:5" ht="27" customHeight="1" thickBot="1">
      <c r="A27" s="128">
        <v>4</v>
      </c>
      <c r="B27" s="128" t="s">
        <v>2116</v>
      </c>
      <c r="C27" s="144">
        <v>6110959</v>
      </c>
      <c r="D27" s="297">
        <v>132251.42000000001</v>
      </c>
      <c r="E27" s="314">
        <v>6243210.4199999999</v>
      </c>
    </row>
    <row r="28" spans="1:5" ht="27" customHeight="1" thickBot="1">
      <c r="A28" s="128" t="s">
        <v>2117</v>
      </c>
      <c r="B28" s="128" t="s">
        <v>2118</v>
      </c>
      <c r="C28" s="144">
        <v>97470222.469999999</v>
      </c>
      <c r="D28" s="297">
        <v>2665306.8199999998</v>
      </c>
      <c r="E28" s="314">
        <v>100135529.29000001</v>
      </c>
    </row>
    <row r="29" spans="1:5" ht="27" customHeight="1" thickBot="1">
      <c r="A29" s="128"/>
      <c r="B29" s="128" t="s">
        <v>2119</v>
      </c>
      <c r="C29" s="144">
        <v>-2445204.0499999998</v>
      </c>
      <c r="D29" s="297">
        <v>-326716.44</v>
      </c>
      <c r="E29" s="314">
        <v>-2771920.49</v>
      </c>
    </row>
    <row r="30" spans="1:5" ht="27" customHeight="1" thickBot="1">
      <c r="A30" s="128">
        <v>7</v>
      </c>
      <c r="B30" s="128" t="s">
        <v>2120</v>
      </c>
      <c r="C30" s="144">
        <v>-354431.12</v>
      </c>
      <c r="D30" s="297">
        <v>-8161.39</v>
      </c>
      <c r="E30" s="314">
        <v>-362592.51</v>
      </c>
    </row>
    <row r="31" spans="1:5" ht="26.25" customHeight="1" thickBot="1">
      <c r="A31" s="578"/>
      <c r="B31" s="578" t="s">
        <v>2121</v>
      </c>
      <c r="C31" s="144">
        <v>-2799635.17</v>
      </c>
      <c r="D31" s="297">
        <v>-334877.83</v>
      </c>
      <c r="E31" s="314">
        <v>-3134513</v>
      </c>
    </row>
    <row r="32" spans="1:5" ht="20.25" customHeight="1">
      <c r="A32" s="133" t="s">
        <v>1256</v>
      </c>
      <c r="B32" s="170"/>
      <c r="C32" s="133"/>
      <c r="D32" s="287"/>
      <c r="E32" s="532"/>
    </row>
    <row r="34" spans="1:1">
      <c r="A34" s="2" t="s">
        <v>1076</v>
      </c>
    </row>
    <row r="37" spans="1:1">
      <c r="A37" s="2" t="s">
        <v>634</v>
      </c>
    </row>
  </sheetData>
  <phoneticPr fontId="0" type="noConversion"/>
  <pageMargins left="0.51" right="0.56000000000000005" top="0.74" bottom="0.49" header="0.44" footer="0.4921259845"/>
  <pageSetup paperSize="9" scale="85" orientation="portrait" horizontalDpi="4294967292" verticalDpi="4294967292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B3D7-A5C4-E641-A0B8-33E3D566900C}">
  <sheetPr>
    <pageSetUpPr fitToPage="1"/>
  </sheetPr>
  <dimension ref="A1:H39"/>
  <sheetViews>
    <sheetView zoomScale="75" workbookViewId="0">
      <selection activeCell="F11" sqref="F11"/>
    </sheetView>
  </sheetViews>
  <sheetFormatPr baseColWidth="10" defaultColWidth="11.3984375" defaultRowHeight="13"/>
  <cols>
    <col min="1" max="1" width="8.796875" style="2" customWidth="1"/>
    <col min="2" max="2" width="48.796875" style="95" customWidth="1"/>
    <col min="3" max="3" width="16.796875" style="2" customWidth="1"/>
    <col min="4" max="4" width="16.796875" style="8" customWidth="1"/>
    <col min="5" max="5" width="16.796875" style="533" customWidth="1"/>
    <col min="6" max="16384" width="11.3984375" style="2"/>
  </cols>
  <sheetData>
    <row r="1" spans="1:8" s="1" customFormat="1" ht="39.75" customHeight="1">
      <c r="A1" s="1802" t="s">
        <v>1074</v>
      </c>
      <c r="B1" s="1803"/>
      <c r="C1" s="1803"/>
      <c r="D1" s="1803"/>
      <c r="E1" s="56">
        <v>2007</v>
      </c>
    </row>
    <row r="2" spans="1:8" s="1" customFormat="1" ht="12" customHeight="1">
      <c r="A2" s="353"/>
      <c r="B2" s="353"/>
      <c r="C2" s="353"/>
      <c r="D2" s="353"/>
      <c r="E2" s="353"/>
    </row>
    <row r="3" spans="1:8" ht="39" customHeight="1">
      <c r="A3" s="519" t="s">
        <v>1485</v>
      </c>
      <c r="B3" s="167"/>
      <c r="C3" s="111" t="s">
        <v>1486</v>
      </c>
      <c r="D3" s="276" t="s">
        <v>1487</v>
      </c>
      <c r="E3" s="504" t="s">
        <v>629</v>
      </c>
      <c r="G3" s="4"/>
      <c r="H3" s="4"/>
    </row>
    <row r="4" spans="1:8" ht="38" customHeight="1">
      <c r="A4" s="505"/>
      <c r="B4" s="506"/>
      <c r="C4" s="120" t="s">
        <v>494</v>
      </c>
      <c r="D4" s="282" t="s">
        <v>494</v>
      </c>
      <c r="E4" s="507" t="s">
        <v>494</v>
      </c>
      <c r="G4" s="687"/>
      <c r="H4" s="688"/>
    </row>
    <row r="5" spans="1:8" ht="30" customHeight="1" thickBot="1">
      <c r="A5" s="122">
        <v>63</v>
      </c>
      <c r="B5" s="122" t="s">
        <v>1488</v>
      </c>
      <c r="C5" s="142">
        <v>3372279.67</v>
      </c>
      <c r="D5" s="291">
        <v>157690.07999999999</v>
      </c>
      <c r="E5" s="520">
        <v>3529969.75</v>
      </c>
      <c r="G5" s="94"/>
      <c r="H5" s="688"/>
    </row>
    <row r="6" spans="1:8" ht="20" customHeight="1" thickBot="1">
      <c r="A6" s="127">
        <v>64</v>
      </c>
      <c r="B6" s="127" t="s">
        <v>1489</v>
      </c>
      <c r="C6" s="144">
        <v>-94553.14</v>
      </c>
      <c r="D6" s="297">
        <v>-4246.91</v>
      </c>
      <c r="E6" s="314">
        <v>-98800.05</v>
      </c>
      <c r="G6" s="94"/>
      <c r="H6" s="688"/>
    </row>
    <row r="7" spans="1:8" ht="20" customHeight="1" thickBot="1">
      <c r="A7" s="127">
        <v>65</v>
      </c>
      <c r="B7" s="127" t="s">
        <v>1490</v>
      </c>
      <c r="C7" s="144">
        <v>0</v>
      </c>
      <c r="D7" s="297">
        <v>0</v>
      </c>
      <c r="E7" s="314">
        <v>0</v>
      </c>
      <c r="G7" s="94"/>
      <c r="H7" s="688"/>
    </row>
    <row r="8" spans="1:8" ht="27" customHeight="1" thickBot="1">
      <c r="A8" s="128" t="s">
        <v>1491</v>
      </c>
      <c r="B8" s="128" t="s">
        <v>1492</v>
      </c>
      <c r="C8" s="144">
        <v>3277726.53</v>
      </c>
      <c r="D8" s="297">
        <v>153443.17000000001</v>
      </c>
      <c r="E8" s="314">
        <v>3431169.7</v>
      </c>
      <c r="G8" s="94"/>
      <c r="H8" s="688"/>
    </row>
    <row r="9" spans="1:8" ht="20" customHeight="1" thickBot="1">
      <c r="A9" s="127">
        <v>66</v>
      </c>
      <c r="B9" s="127" t="s">
        <v>1493</v>
      </c>
      <c r="C9" s="144">
        <v>0</v>
      </c>
      <c r="D9" s="297">
        <v>0</v>
      </c>
      <c r="E9" s="314">
        <v>0</v>
      </c>
      <c r="G9" s="94"/>
      <c r="H9" s="688"/>
    </row>
    <row r="10" spans="1:8" ht="27" customHeight="1" thickBot="1">
      <c r="A10" s="128" t="s">
        <v>1494</v>
      </c>
      <c r="B10" s="128" t="s">
        <v>1495</v>
      </c>
      <c r="C10" s="144">
        <v>3277726.53</v>
      </c>
      <c r="D10" s="297">
        <v>153443.17000000001</v>
      </c>
      <c r="E10" s="314">
        <v>3431169.7</v>
      </c>
      <c r="G10" s="94"/>
      <c r="H10" s="688"/>
    </row>
    <row r="11" spans="1:8" ht="21" customHeight="1" thickBot="1">
      <c r="A11" s="127">
        <v>67</v>
      </c>
      <c r="B11" s="127" t="s">
        <v>1496</v>
      </c>
      <c r="C11" s="144">
        <v>0</v>
      </c>
      <c r="D11" s="297">
        <v>0</v>
      </c>
      <c r="E11" s="314">
        <v>0</v>
      </c>
      <c r="G11" s="689"/>
      <c r="H11" s="688"/>
    </row>
    <row r="12" spans="1:8" ht="21" customHeight="1" thickBot="1">
      <c r="A12" s="127">
        <v>68</v>
      </c>
      <c r="B12" s="127" t="s">
        <v>1497</v>
      </c>
      <c r="C12" s="144">
        <v>0</v>
      </c>
      <c r="D12" s="297">
        <v>0</v>
      </c>
      <c r="E12" s="314">
        <v>0</v>
      </c>
      <c r="G12" s="94"/>
      <c r="H12" s="688"/>
    </row>
    <row r="13" spans="1:8" ht="21" customHeight="1" thickBot="1">
      <c r="A13" s="127">
        <v>69</v>
      </c>
      <c r="B13" s="127" t="s">
        <v>1498</v>
      </c>
      <c r="C13" s="144">
        <v>399.36</v>
      </c>
      <c r="D13" s="297">
        <v>18.21</v>
      </c>
      <c r="E13" s="314">
        <v>417.57</v>
      </c>
    </row>
    <row r="14" spans="1:8" ht="27" customHeight="1" thickBot="1">
      <c r="A14" s="128">
        <v>6</v>
      </c>
      <c r="B14" s="128" t="s">
        <v>1499</v>
      </c>
      <c r="C14" s="144">
        <v>3278125.89</v>
      </c>
      <c r="D14" s="297">
        <v>153461.39000000001</v>
      </c>
      <c r="E14" s="314">
        <v>3431587.28</v>
      </c>
    </row>
    <row r="15" spans="1:8" ht="20" customHeight="1" thickBot="1">
      <c r="A15" s="127">
        <v>33</v>
      </c>
      <c r="B15" s="127" t="s">
        <v>535</v>
      </c>
      <c r="C15" s="144">
        <v>9209866.8000000007</v>
      </c>
      <c r="D15" s="297">
        <v>89227.9</v>
      </c>
      <c r="E15" s="314">
        <v>9299094.6999999993</v>
      </c>
    </row>
    <row r="16" spans="1:8" ht="20" customHeight="1" thickBot="1">
      <c r="A16" s="127">
        <v>32</v>
      </c>
      <c r="B16" s="127" t="s">
        <v>1500</v>
      </c>
      <c r="C16" s="144">
        <v>-173915.27</v>
      </c>
      <c r="D16" s="297">
        <v>-4252.88</v>
      </c>
      <c r="E16" s="314">
        <v>-178168.15</v>
      </c>
    </row>
    <row r="17" spans="1:5" ht="27" customHeight="1" thickBot="1">
      <c r="A17" s="128" t="s">
        <v>1501</v>
      </c>
      <c r="B17" s="128" t="s">
        <v>1502</v>
      </c>
      <c r="C17" s="144">
        <v>9035951.5299999993</v>
      </c>
      <c r="D17" s="297">
        <v>84975.02</v>
      </c>
      <c r="E17" s="314">
        <v>9120926.5500000007</v>
      </c>
    </row>
    <row r="18" spans="1:5" ht="20" customHeight="1" thickBot="1">
      <c r="A18" s="127">
        <v>34</v>
      </c>
      <c r="B18" s="127" t="s">
        <v>1503</v>
      </c>
      <c r="C18" s="144">
        <v>66491.320000000007</v>
      </c>
      <c r="D18" s="297">
        <v>690.61</v>
      </c>
      <c r="E18" s="314">
        <v>67181.929999999993</v>
      </c>
    </row>
    <row r="19" spans="1:5" ht="20" customHeight="1" thickBot="1">
      <c r="A19" s="127">
        <v>35</v>
      </c>
      <c r="B19" s="127" t="s">
        <v>1504</v>
      </c>
      <c r="C19" s="144">
        <v>-122821.24</v>
      </c>
      <c r="D19" s="297">
        <v>-700.63</v>
      </c>
      <c r="E19" s="314">
        <v>-123521.87</v>
      </c>
    </row>
    <row r="20" spans="1:5" ht="27" customHeight="1" thickBot="1">
      <c r="A20" s="128" t="s">
        <v>1505</v>
      </c>
      <c r="B20" s="128" t="s">
        <v>1506</v>
      </c>
      <c r="C20" s="144">
        <v>8979621.6099999994</v>
      </c>
      <c r="D20" s="297">
        <v>84965</v>
      </c>
      <c r="E20" s="314">
        <v>9064586.6099999994</v>
      </c>
    </row>
    <row r="21" spans="1:5" ht="20" customHeight="1" thickBot="1">
      <c r="A21" s="127">
        <v>36</v>
      </c>
      <c r="B21" s="127" t="s">
        <v>614</v>
      </c>
      <c r="C21" s="144">
        <v>0</v>
      </c>
      <c r="D21" s="297">
        <v>0</v>
      </c>
      <c r="E21" s="314">
        <v>0</v>
      </c>
    </row>
    <row r="22" spans="1:5" ht="20" customHeight="1" thickBot="1">
      <c r="A22" s="127">
        <v>37</v>
      </c>
      <c r="B22" s="127" t="s">
        <v>615</v>
      </c>
      <c r="C22" s="144">
        <v>0</v>
      </c>
      <c r="D22" s="297">
        <v>0</v>
      </c>
      <c r="E22" s="314">
        <v>0</v>
      </c>
    </row>
    <row r="23" spans="1:5" ht="27" customHeight="1" thickBot="1">
      <c r="A23" s="128">
        <v>3</v>
      </c>
      <c r="B23" s="128" t="s">
        <v>2111</v>
      </c>
      <c r="C23" s="144">
        <v>8979621.6099999994</v>
      </c>
      <c r="D23" s="297">
        <v>84965</v>
      </c>
      <c r="E23" s="314">
        <v>9064586.6099999994</v>
      </c>
    </row>
    <row r="24" spans="1:5" ht="20" customHeight="1" thickBot="1">
      <c r="A24" s="127" t="s">
        <v>2112</v>
      </c>
      <c r="B24" s="127" t="s">
        <v>2113</v>
      </c>
      <c r="C24" s="144">
        <v>316094.03000000003</v>
      </c>
      <c r="D24" s="297">
        <v>14855.03</v>
      </c>
      <c r="E24" s="314">
        <v>330949.06</v>
      </c>
    </row>
    <row r="25" spans="1:5" ht="20" customHeight="1" thickBot="1">
      <c r="A25" s="127">
        <v>48</v>
      </c>
      <c r="B25" s="127" t="s">
        <v>2114</v>
      </c>
      <c r="C25" s="144">
        <v>4046.24</v>
      </c>
      <c r="D25" s="297">
        <v>181.76</v>
      </c>
      <c r="E25" s="314">
        <v>4228</v>
      </c>
    </row>
    <row r="26" spans="1:5" ht="20" customHeight="1" thickBot="1">
      <c r="A26" s="127">
        <v>49</v>
      </c>
      <c r="B26" s="127" t="s">
        <v>2115</v>
      </c>
      <c r="C26" s="144">
        <v>159.9</v>
      </c>
      <c r="D26" s="297">
        <v>6.41</v>
      </c>
      <c r="E26" s="314">
        <v>166.31</v>
      </c>
    </row>
    <row r="27" spans="1:5" ht="27" customHeight="1" thickBot="1">
      <c r="A27" s="128">
        <v>4</v>
      </c>
      <c r="B27" s="128" t="s">
        <v>2116</v>
      </c>
      <c r="C27" s="144">
        <v>320300.17</v>
      </c>
      <c r="D27" s="297">
        <v>15043.2</v>
      </c>
      <c r="E27" s="314">
        <v>335343.37</v>
      </c>
    </row>
    <row r="28" spans="1:5" ht="27" customHeight="1" thickBot="1">
      <c r="A28" s="128" t="s">
        <v>2117</v>
      </c>
      <c r="B28" s="128" t="s">
        <v>2118</v>
      </c>
      <c r="C28" s="144">
        <v>9299921.7699999996</v>
      </c>
      <c r="D28" s="297">
        <v>100008.2</v>
      </c>
      <c r="E28" s="314">
        <v>9399929.9700000007</v>
      </c>
    </row>
    <row r="29" spans="1:5" ht="27" customHeight="1" thickBot="1">
      <c r="A29" s="128"/>
      <c r="B29" s="128" t="s">
        <v>2119</v>
      </c>
      <c r="C29" s="144">
        <v>-6021795.8799999999</v>
      </c>
      <c r="D29" s="297">
        <v>53453.18</v>
      </c>
      <c r="E29" s="314">
        <v>-5968342.7000000002</v>
      </c>
    </row>
    <row r="30" spans="1:5" ht="27" customHeight="1" thickBot="1">
      <c r="A30" s="128">
        <v>7</v>
      </c>
      <c r="B30" s="128" t="s">
        <v>2120</v>
      </c>
      <c r="C30" s="144">
        <v>-106746.64</v>
      </c>
      <c r="D30" s="297">
        <v>-4829.4799999999996</v>
      </c>
      <c r="E30" s="314">
        <v>-111576.12</v>
      </c>
    </row>
    <row r="31" spans="1:5" ht="27.75" customHeight="1" thickBot="1">
      <c r="A31" s="578"/>
      <c r="B31" s="578" t="s">
        <v>2121</v>
      </c>
      <c r="C31" s="144">
        <v>-6128542.5099999998</v>
      </c>
      <c r="D31" s="297">
        <v>48623.71</v>
      </c>
      <c r="E31" s="314">
        <v>-6079918.7999999998</v>
      </c>
    </row>
    <row r="32" spans="1:5" ht="19.5" customHeight="1">
      <c r="A32" s="133" t="s">
        <v>1256</v>
      </c>
      <c r="B32" s="170"/>
      <c r="C32" s="133"/>
      <c r="D32" s="287"/>
      <c r="E32" s="532"/>
    </row>
    <row r="34" spans="1:1">
      <c r="A34" s="561" t="s">
        <v>1072</v>
      </c>
    </row>
    <row r="35" spans="1:1">
      <c r="A35" s="516"/>
    </row>
    <row r="36" spans="1:1">
      <c r="A36" s="2" t="s">
        <v>1073</v>
      </c>
    </row>
    <row r="39" spans="1:1">
      <c r="A39" s="2" t="s">
        <v>634</v>
      </c>
    </row>
  </sheetData>
  <mergeCells count="1">
    <mergeCell ref="A1:D1"/>
  </mergeCells>
  <phoneticPr fontId="0" type="noConversion"/>
  <pageMargins left="0.53" right="0.57999999999999996" top="0.92" bottom="0.49" header="0.49" footer="0.4921259845"/>
  <pageSetup paperSize="9" scale="86" orientation="portrait" horizontalDpi="4294967292" verticalDpi="4294967292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FE7E-ACF7-2A47-88EA-B29822BA5A2A}">
  <sheetPr>
    <pageSetUpPr fitToPage="1"/>
  </sheetPr>
  <dimension ref="A1:B18"/>
  <sheetViews>
    <sheetView workbookViewId="0">
      <selection activeCell="B15" sqref="B15"/>
    </sheetView>
  </sheetViews>
  <sheetFormatPr baseColWidth="10" defaultColWidth="11.3984375" defaultRowHeight="13"/>
  <cols>
    <col min="1" max="1" width="5.59765625" style="202" customWidth="1"/>
    <col min="2" max="16384" width="11.3984375" style="202"/>
  </cols>
  <sheetData>
    <row r="1" spans="1:2" ht="16">
      <c r="A1" s="201" t="s">
        <v>268</v>
      </c>
    </row>
    <row r="2" spans="1:2" ht="16">
      <c r="A2" s="201"/>
    </row>
    <row r="3" spans="1:2">
      <c r="A3" s="203">
        <v>8.01</v>
      </c>
      <c r="B3" s="204" t="s">
        <v>1727</v>
      </c>
    </row>
    <row r="4" spans="1:2">
      <c r="A4" s="203">
        <v>8.02</v>
      </c>
      <c r="B4" s="205" t="s">
        <v>1728</v>
      </c>
    </row>
    <row r="5" spans="1:2">
      <c r="A5" s="203">
        <v>8.0299999999999994</v>
      </c>
      <c r="B5" s="204" t="s">
        <v>1729</v>
      </c>
    </row>
    <row r="6" spans="1:2">
      <c r="A6" s="203">
        <v>8.0399999999999991</v>
      </c>
      <c r="B6" s="204" t="s">
        <v>1730</v>
      </c>
    </row>
    <row r="7" spans="1:2">
      <c r="A7" s="203">
        <v>8.0500000000000007</v>
      </c>
      <c r="B7" s="204" t="s">
        <v>269</v>
      </c>
    </row>
    <row r="8" spans="1:2">
      <c r="A8" s="203">
        <v>8.06</v>
      </c>
      <c r="B8" s="204" t="s">
        <v>270</v>
      </c>
    </row>
    <row r="9" spans="1:2">
      <c r="A9" s="203">
        <v>8.07</v>
      </c>
      <c r="B9" s="204" t="s">
        <v>1625</v>
      </c>
    </row>
    <row r="10" spans="1:2">
      <c r="A10" s="203">
        <v>8.08</v>
      </c>
      <c r="B10" s="204" t="s">
        <v>1626</v>
      </c>
    </row>
    <row r="11" spans="1:2">
      <c r="A11" s="203">
        <v>8.09</v>
      </c>
      <c r="B11" s="204" t="s">
        <v>271</v>
      </c>
    </row>
    <row r="12" spans="1:2">
      <c r="A12" s="203">
        <v>8.1</v>
      </c>
      <c r="B12" s="204" t="s">
        <v>272</v>
      </c>
    </row>
    <row r="13" spans="1:2">
      <c r="A13" s="203">
        <v>8.11</v>
      </c>
      <c r="B13" s="206" t="s">
        <v>273</v>
      </c>
    </row>
    <row r="14" spans="1:2">
      <c r="A14" s="203">
        <v>8.1199999999999992</v>
      </c>
      <c r="B14" s="206" t="s">
        <v>274</v>
      </c>
    </row>
    <row r="15" spans="1:2">
      <c r="A15" s="203">
        <v>8.1300000000000008</v>
      </c>
      <c r="B15" s="206" t="s">
        <v>2199</v>
      </c>
    </row>
    <row r="18" spans="1:1">
      <c r="A18" s="273" t="s">
        <v>634</v>
      </c>
    </row>
  </sheetData>
  <phoneticPr fontId="30" type="noConversion"/>
  <pageMargins left="0.54" right="0.53" top="0.65" bottom="0.984251969" header="0.38" footer="0.4921259845"/>
  <pageSetup paperSize="9" orientation="portrait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CD39-A17F-7F4D-A6C1-34ADD572578F}">
  <sheetPr>
    <pageSetUpPr fitToPage="1"/>
  </sheetPr>
  <dimension ref="A1:G27"/>
  <sheetViews>
    <sheetView zoomScale="75" workbookViewId="0">
      <selection activeCell="H14" sqref="H14"/>
    </sheetView>
  </sheetViews>
  <sheetFormatPr baseColWidth="10" defaultColWidth="11.3984375" defaultRowHeight="13"/>
  <cols>
    <col min="1" max="1" width="12.796875" style="2" customWidth="1"/>
    <col min="2" max="2" width="15.3984375" style="95" customWidth="1"/>
    <col min="3" max="4" width="15.3984375" style="2" customWidth="1"/>
    <col min="5" max="5" width="15.796875" style="95" customWidth="1"/>
    <col min="6" max="6" width="15.3984375" style="95" customWidth="1"/>
    <col min="7" max="7" width="15.3984375" style="2" customWidth="1"/>
    <col min="8" max="16384" width="11.3984375" style="2"/>
  </cols>
  <sheetData>
    <row r="1" spans="1:7" s="1" customFormat="1" ht="14" customHeight="1">
      <c r="B1" s="166"/>
      <c r="E1" s="166"/>
      <c r="F1" s="166"/>
    </row>
    <row r="2" spans="1:7" s="1" customFormat="1" ht="28" customHeight="1">
      <c r="A2" s="56" t="s">
        <v>2200</v>
      </c>
      <c r="B2" s="857"/>
      <c r="C2" s="56"/>
      <c r="D2" s="56"/>
      <c r="E2" s="166"/>
      <c r="F2" s="321"/>
      <c r="G2" s="321">
        <v>2007</v>
      </c>
    </row>
    <row r="3" spans="1:7" ht="24" customHeight="1">
      <c r="A3" s="349"/>
      <c r="B3" s="113" t="s">
        <v>2201</v>
      </c>
      <c r="C3" s="110"/>
      <c r="D3" s="110"/>
      <c r="E3" s="503" t="s">
        <v>2202</v>
      </c>
      <c r="F3" s="503" t="s">
        <v>2203</v>
      </c>
      <c r="G3" s="503" t="s">
        <v>2204</v>
      </c>
    </row>
    <row r="4" spans="1:7" ht="20.25" customHeight="1">
      <c r="A4" s="653" t="s">
        <v>533</v>
      </c>
      <c r="B4" s="113"/>
      <c r="C4" s="113"/>
      <c r="D4" s="113"/>
      <c r="E4" s="653" t="s">
        <v>2214</v>
      </c>
      <c r="F4" s="116"/>
      <c r="G4" s="116"/>
    </row>
    <row r="5" spans="1:7" ht="20.25" customHeight="1">
      <c r="A5" s="653"/>
      <c r="B5" s="113" t="s">
        <v>2205</v>
      </c>
      <c r="C5" s="113" t="s">
        <v>2206</v>
      </c>
      <c r="D5" s="113" t="s">
        <v>2207</v>
      </c>
      <c r="E5" s="116" t="s">
        <v>2208</v>
      </c>
      <c r="F5" s="116" t="s">
        <v>2209</v>
      </c>
      <c r="G5" s="116" t="s">
        <v>2215</v>
      </c>
    </row>
    <row r="6" spans="1:7" ht="15" customHeight="1">
      <c r="A6" s="653"/>
      <c r="B6" s="113" t="s">
        <v>623</v>
      </c>
      <c r="C6" s="113"/>
      <c r="D6" s="113"/>
      <c r="E6" s="116" t="s">
        <v>2210</v>
      </c>
      <c r="F6" s="116" t="s">
        <v>2047</v>
      </c>
      <c r="G6" s="116" t="s">
        <v>2047</v>
      </c>
    </row>
    <row r="7" spans="1:7" ht="29.25" customHeight="1">
      <c r="A7" s="654"/>
      <c r="B7" s="117" t="s">
        <v>2211</v>
      </c>
      <c r="C7" s="117"/>
      <c r="D7" s="117"/>
      <c r="E7" s="118" t="s">
        <v>2050</v>
      </c>
      <c r="F7" s="118" t="s">
        <v>2050</v>
      </c>
      <c r="G7" s="118" t="s">
        <v>2050</v>
      </c>
    </row>
    <row r="8" spans="1:7" ht="2.25" customHeight="1" thickBot="1">
      <c r="A8" s="858">
        <v>1996</v>
      </c>
      <c r="B8" s="859">
        <v>159</v>
      </c>
      <c r="C8" s="859">
        <v>0</v>
      </c>
      <c r="D8" s="859">
        <v>25</v>
      </c>
      <c r="E8" s="860">
        <v>145</v>
      </c>
      <c r="F8" s="860">
        <v>150</v>
      </c>
      <c r="G8" s="860">
        <v>136</v>
      </c>
    </row>
    <row r="9" spans="1:7" ht="17.25" customHeight="1" thickBot="1">
      <c r="A9" s="861">
        <v>1997</v>
      </c>
      <c r="B9" s="862">
        <v>142</v>
      </c>
      <c r="C9" s="862">
        <v>1</v>
      </c>
      <c r="D9" s="862">
        <v>18</v>
      </c>
      <c r="E9" s="863">
        <v>129</v>
      </c>
      <c r="F9" s="863">
        <v>135</v>
      </c>
      <c r="G9" s="863">
        <v>122</v>
      </c>
    </row>
    <row r="10" spans="1:7" ht="17.25" customHeight="1" thickBot="1">
      <c r="A10" s="861">
        <v>1998</v>
      </c>
      <c r="B10" s="862">
        <v>127</v>
      </c>
      <c r="C10" s="862">
        <v>0</v>
      </c>
      <c r="D10" s="862">
        <v>15</v>
      </c>
      <c r="E10" s="863">
        <v>118</v>
      </c>
      <c r="F10" s="863">
        <v>115</v>
      </c>
      <c r="G10" s="863">
        <v>106</v>
      </c>
    </row>
    <row r="11" spans="1:7" ht="17.25" customHeight="1" thickBot="1">
      <c r="A11" s="861">
        <v>1999</v>
      </c>
      <c r="B11" s="862">
        <v>119</v>
      </c>
      <c r="C11" s="862">
        <v>2</v>
      </c>
      <c r="D11" s="862">
        <v>10</v>
      </c>
      <c r="E11" s="863">
        <v>109</v>
      </c>
      <c r="F11" s="863">
        <v>109</v>
      </c>
      <c r="G11" s="863">
        <v>99</v>
      </c>
    </row>
    <row r="12" spans="1:7" ht="17.25" customHeight="1" thickBot="1">
      <c r="A12" s="861">
        <v>2000</v>
      </c>
      <c r="B12" s="862">
        <v>110</v>
      </c>
      <c r="C12" s="862">
        <v>0</v>
      </c>
      <c r="D12" s="862">
        <v>9</v>
      </c>
      <c r="E12" s="863">
        <v>101</v>
      </c>
      <c r="F12" s="863">
        <v>102</v>
      </c>
      <c r="G12" s="863">
        <v>93</v>
      </c>
    </row>
    <row r="13" spans="1:7" ht="17.25" customHeight="1" thickBot="1">
      <c r="A13" s="861">
        <v>2001</v>
      </c>
      <c r="B13" s="862">
        <v>108</v>
      </c>
      <c r="C13" s="862">
        <v>0</v>
      </c>
      <c r="D13" s="862">
        <v>2</v>
      </c>
      <c r="E13" s="863">
        <v>99</v>
      </c>
      <c r="F13" s="863">
        <v>102</v>
      </c>
      <c r="G13" s="863">
        <v>92</v>
      </c>
    </row>
    <row r="14" spans="1:7" ht="17.25" customHeight="1" thickBot="1">
      <c r="A14" s="858">
        <v>2002</v>
      </c>
      <c r="B14" s="859">
        <v>101</v>
      </c>
      <c r="C14" s="859">
        <v>1</v>
      </c>
      <c r="D14" s="859">
        <v>8</v>
      </c>
      <c r="E14" s="860">
        <v>93</v>
      </c>
      <c r="F14" s="860">
        <v>93</v>
      </c>
      <c r="G14" s="860">
        <v>85</v>
      </c>
    </row>
    <row r="15" spans="1:7" ht="17.25" customHeight="1" thickBot="1">
      <c r="A15" s="858">
        <v>2003</v>
      </c>
      <c r="B15" s="859">
        <v>99</v>
      </c>
      <c r="C15" s="859">
        <v>2</v>
      </c>
      <c r="D15" s="859">
        <v>3</v>
      </c>
      <c r="E15" s="860">
        <v>93</v>
      </c>
      <c r="F15" s="860">
        <v>92</v>
      </c>
      <c r="G15" s="860">
        <v>86</v>
      </c>
    </row>
    <row r="16" spans="1:7" ht="17.25" customHeight="1" thickBot="1">
      <c r="A16" s="858">
        <v>2004</v>
      </c>
      <c r="B16" s="859">
        <v>98</v>
      </c>
      <c r="C16" s="859">
        <v>0</v>
      </c>
      <c r="D16" s="859">
        <v>2</v>
      </c>
      <c r="E16" s="860">
        <v>92</v>
      </c>
      <c r="F16" s="860">
        <v>93</v>
      </c>
      <c r="G16" s="860">
        <v>87</v>
      </c>
    </row>
    <row r="17" spans="1:7" ht="17.25" customHeight="1" thickBot="1">
      <c r="A17" s="858">
        <v>2005</v>
      </c>
      <c r="B17" s="859">
        <v>90</v>
      </c>
      <c r="C17" s="859">
        <v>2</v>
      </c>
      <c r="D17" s="859">
        <v>9</v>
      </c>
      <c r="E17" s="860">
        <v>85</v>
      </c>
      <c r="F17" s="860">
        <v>82</v>
      </c>
      <c r="G17" s="860">
        <v>76</v>
      </c>
    </row>
    <row r="18" spans="1:7" ht="17.25" customHeight="1" thickBot="1">
      <c r="A18" s="858">
        <v>2006</v>
      </c>
      <c r="B18" s="859">
        <v>92</v>
      </c>
      <c r="C18" s="859">
        <v>2</v>
      </c>
      <c r="D18" s="859">
        <v>0</v>
      </c>
      <c r="E18" s="860">
        <v>87</v>
      </c>
      <c r="F18" s="860">
        <v>82</v>
      </c>
      <c r="G18" s="860">
        <v>77</v>
      </c>
    </row>
    <row r="19" spans="1:7" ht="25.5" customHeight="1" thickBot="1">
      <c r="A19" s="657">
        <v>2007</v>
      </c>
      <c r="B19" s="864">
        <v>92</v>
      </c>
      <c r="C19" s="865">
        <v>0</v>
      </c>
      <c r="D19" s="864">
        <v>0</v>
      </c>
      <c r="E19" s="866">
        <v>87</v>
      </c>
      <c r="F19" s="866">
        <v>82</v>
      </c>
      <c r="G19" s="867">
        <v>77</v>
      </c>
    </row>
    <row r="20" spans="1:7" ht="20" customHeight="1">
      <c r="A20" s="133" t="s">
        <v>1256</v>
      </c>
      <c r="B20" s="170"/>
      <c r="C20" s="133"/>
      <c r="D20" s="133"/>
      <c r="E20" s="170"/>
      <c r="F20" s="170"/>
    </row>
    <row r="21" spans="1:7" ht="12.75" customHeight="1">
      <c r="A21" s="3"/>
      <c r="B21" s="171"/>
      <c r="C21" s="3"/>
      <c r="D21" s="3"/>
      <c r="E21" s="171"/>
      <c r="F21" s="171"/>
    </row>
    <row r="22" spans="1:7" ht="12.75" customHeight="1">
      <c r="A22" s="3" t="s">
        <v>2212</v>
      </c>
      <c r="B22" s="171"/>
      <c r="C22" s="3"/>
      <c r="D22" s="3"/>
      <c r="E22" s="171"/>
      <c r="F22" s="171"/>
    </row>
    <row r="23" spans="1:7" ht="12.75" customHeight="1">
      <c r="A23" s="3"/>
      <c r="B23" s="171"/>
      <c r="C23" s="3"/>
      <c r="D23" s="3"/>
      <c r="E23" s="171"/>
      <c r="F23" s="171"/>
    </row>
    <row r="24" spans="1:7" ht="12" customHeight="1">
      <c r="A24" s="348" t="s">
        <v>2213</v>
      </c>
    </row>
    <row r="27" spans="1:7">
      <c r="A27" s="2" t="s">
        <v>634</v>
      </c>
    </row>
  </sheetData>
  <phoneticPr fontId="0" type="noConversion"/>
  <pageMargins left="0.56000000000000005" right="0.42" top="0.76" bottom="0.49" header="0.44" footer="0.4921259845"/>
  <pageSetup paperSize="9" scale="80" orientation="portrait" horizontalDpi="1200" verticalDpi="120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6E9C-984B-254D-A6EA-BFF8F7998236}">
  <sheetPr>
    <pageSetUpPr fitToPage="1"/>
  </sheetPr>
  <dimension ref="A1:M24"/>
  <sheetViews>
    <sheetView zoomScale="75" workbookViewId="0">
      <selection activeCell="A3" sqref="A3"/>
    </sheetView>
  </sheetViews>
  <sheetFormatPr baseColWidth="10" defaultColWidth="11.3984375" defaultRowHeight="13"/>
  <cols>
    <col min="1" max="1" width="12.796875" style="2" customWidth="1"/>
    <col min="2" max="9" width="11.796875" style="2" customWidth="1"/>
    <col min="10" max="16384" width="11.3984375" style="2"/>
  </cols>
  <sheetData>
    <row r="1" spans="1:13" s="1" customFormat="1" ht="14" customHeight="1"/>
    <row r="2" spans="1:13" s="1" customFormat="1" ht="28" customHeight="1">
      <c r="A2" s="109" t="s">
        <v>2198</v>
      </c>
      <c r="I2" s="321">
        <v>2007</v>
      </c>
    </row>
    <row r="3" spans="1:13" ht="24" customHeight="1">
      <c r="A3" s="627" t="s">
        <v>533</v>
      </c>
      <c r="B3" s="628" t="s">
        <v>1950</v>
      </c>
      <c r="C3" s="629" t="s">
        <v>1951</v>
      </c>
      <c r="D3" s="111" t="s">
        <v>1952</v>
      </c>
      <c r="E3" s="629" t="s">
        <v>1953</v>
      </c>
      <c r="F3" s="111" t="s">
        <v>1954</v>
      </c>
      <c r="G3" s="629" t="s">
        <v>481</v>
      </c>
      <c r="H3" s="111" t="s">
        <v>629</v>
      </c>
      <c r="I3" s="629" t="s">
        <v>1801</v>
      </c>
    </row>
    <row r="4" spans="1:13" ht="15" customHeight="1">
      <c r="A4" s="631"/>
      <c r="B4" s="632"/>
      <c r="C4" s="633">
        <v>10000</v>
      </c>
      <c r="D4" s="140">
        <v>50000</v>
      </c>
      <c r="E4" s="633">
        <v>100000</v>
      </c>
      <c r="F4" s="140">
        <v>500000</v>
      </c>
      <c r="G4" s="633">
        <v>500000</v>
      </c>
      <c r="H4" s="114"/>
      <c r="I4" s="636" t="s">
        <v>1802</v>
      </c>
    </row>
    <row r="5" spans="1:13" ht="15" customHeight="1">
      <c r="A5" s="631"/>
      <c r="B5" s="632"/>
      <c r="C5" s="636"/>
      <c r="D5" s="114"/>
      <c r="E5" s="636"/>
      <c r="F5" s="114"/>
      <c r="G5" s="636"/>
      <c r="H5" s="114"/>
      <c r="I5" s="636" t="s">
        <v>1806</v>
      </c>
    </row>
    <row r="6" spans="1:13" ht="24" customHeight="1">
      <c r="A6" s="637"/>
      <c r="B6" s="638"/>
      <c r="C6" s="639"/>
      <c r="D6" s="120"/>
      <c r="E6" s="639"/>
      <c r="F6" s="120"/>
      <c r="G6" s="639"/>
      <c r="H6" s="120"/>
      <c r="I6" s="639"/>
    </row>
    <row r="7" spans="1:13" ht="3" customHeight="1" thickBot="1">
      <c r="A7" s="641">
        <v>1996</v>
      </c>
      <c r="B7" s="850">
        <v>90</v>
      </c>
      <c r="C7" s="851">
        <v>14</v>
      </c>
      <c r="D7" s="142">
        <v>20</v>
      </c>
      <c r="E7" s="851">
        <v>6</v>
      </c>
      <c r="F7" s="142">
        <v>12</v>
      </c>
      <c r="G7" s="851">
        <v>3</v>
      </c>
      <c r="H7" s="142">
        <v>145</v>
      </c>
      <c r="I7" s="643">
        <v>-0.12650602409638553</v>
      </c>
    </row>
    <row r="8" spans="1:13" ht="20" customHeight="1" thickBot="1">
      <c r="A8" s="645">
        <v>1997</v>
      </c>
      <c r="B8" s="852">
        <v>76</v>
      </c>
      <c r="C8" s="853">
        <v>14</v>
      </c>
      <c r="D8" s="144">
        <v>20</v>
      </c>
      <c r="E8" s="853">
        <v>4</v>
      </c>
      <c r="F8" s="144">
        <v>11</v>
      </c>
      <c r="G8" s="853">
        <v>4</v>
      </c>
      <c r="H8" s="144">
        <v>129</v>
      </c>
      <c r="I8" s="647">
        <v>-0.1103448275862069</v>
      </c>
      <c r="K8" s="9"/>
      <c r="L8" s="9"/>
      <c r="M8" s="9"/>
    </row>
    <row r="9" spans="1:13" ht="20" customHeight="1" thickBot="1">
      <c r="A9" s="645">
        <v>1998</v>
      </c>
      <c r="B9" s="852">
        <v>64</v>
      </c>
      <c r="C9" s="853">
        <v>13</v>
      </c>
      <c r="D9" s="144">
        <v>21</v>
      </c>
      <c r="E9" s="853">
        <v>6</v>
      </c>
      <c r="F9" s="144">
        <v>10</v>
      </c>
      <c r="G9" s="853">
        <v>4</v>
      </c>
      <c r="H9" s="144">
        <v>118</v>
      </c>
      <c r="I9" s="647">
        <v>-8.5271317829457363E-2</v>
      </c>
    </row>
    <row r="10" spans="1:13" ht="20" customHeight="1" thickBot="1">
      <c r="A10" s="645">
        <v>1999</v>
      </c>
      <c r="B10" s="852">
        <v>56</v>
      </c>
      <c r="C10" s="853">
        <v>12</v>
      </c>
      <c r="D10" s="144">
        <v>19</v>
      </c>
      <c r="E10" s="853">
        <v>8</v>
      </c>
      <c r="F10" s="144">
        <v>10</v>
      </c>
      <c r="G10" s="853">
        <v>4</v>
      </c>
      <c r="H10" s="144">
        <v>109</v>
      </c>
      <c r="I10" s="647">
        <v>-7.6271186440677971E-2</v>
      </c>
    </row>
    <row r="11" spans="1:13" ht="20" customHeight="1" thickBot="1">
      <c r="A11" s="645">
        <v>2000</v>
      </c>
      <c r="B11" s="852">
        <v>48</v>
      </c>
      <c r="C11" s="853">
        <v>11</v>
      </c>
      <c r="D11" s="144">
        <v>19</v>
      </c>
      <c r="E11" s="853">
        <v>9</v>
      </c>
      <c r="F11" s="144">
        <v>10</v>
      </c>
      <c r="G11" s="853">
        <v>4</v>
      </c>
      <c r="H11" s="144">
        <v>101</v>
      </c>
      <c r="I11" s="647">
        <v>-7.3394495412844041E-2</v>
      </c>
    </row>
    <row r="12" spans="1:13" ht="20" customHeight="1" thickBot="1">
      <c r="A12" s="645">
        <v>2001</v>
      </c>
      <c r="B12" s="852">
        <v>43</v>
      </c>
      <c r="C12" s="853">
        <v>9</v>
      </c>
      <c r="D12" s="144">
        <v>23</v>
      </c>
      <c r="E12" s="853">
        <v>9</v>
      </c>
      <c r="F12" s="144">
        <v>11</v>
      </c>
      <c r="G12" s="853">
        <v>4</v>
      </c>
      <c r="H12" s="144">
        <v>99</v>
      </c>
      <c r="I12" s="647">
        <v>-1.9801980198019802E-2</v>
      </c>
    </row>
    <row r="13" spans="1:13" ht="20" customHeight="1" thickBot="1">
      <c r="A13" s="645">
        <v>2002</v>
      </c>
      <c r="B13" s="852">
        <v>33</v>
      </c>
      <c r="C13" s="853">
        <v>10</v>
      </c>
      <c r="D13" s="144">
        <v>25</v>
      </c>
      <c r="E13" s="853">
        <v>9</v>
      </c>
      <c r="F13" s="144">
        <v>13</v>
      </c>
      <c r="G13" s="853">
        <v>3</v>
      </c>
      <c r="H13" s="144">
        <v>93</v>
      </c>
      <c r="I13" s="647">
        <v>-6.0606060606060608E-2</v>
      </c>
    </row>
    <row r="14" spans="1:13" ht="20" customHeight="1" thickBot="1">
      <c r="A14" s="645">
        <v>2003</v>
      </c>
      <c r="B14" s="852">
        <v>32</v>
      </c>
      <c r="C14" s="853">
        <v>10</v>
      </c>
      <c r="D14" s="144">
        <v>26</v>
      </c>
      <c r="E14" s="853">
        <v>9</v>
      </c>
      <c r="F14" s="144">
        <v>12</v>
      </c>
      <c r="G14" s="853">
        <v>4</v>
      </c>
      <c r="H14" s="144">
        <v>93</v>
      </c>
      <c r="I14" s="647">
        <v>0</v>
      </c>
    </row>
    <row r="15" spans="1:13" ht="20" customHeight="1" thickBot="1">
      <c r="A15" s="645">
        <v>2004</v>
      </c>
      <c r="B15" s="852">
        <v>32</v>
      </c>
      <c r="C15" s="853">
        <v>11</v>
      </c>
      <c r="D15" s="144">
        <v>24</v>
      </c>
      <c r="E15" s="853">
        <v>9</v>
      </c>
      <c r="F15" s="144">
        <v>12</v>
      </c>
      <c r="G15" s="853">
        <v>4</v>
      </c>
      <c r="H15" s="144">
        <v>92</v>
      </c>
      <c r="I15" s="647">
        <v>-1.0752688172043012E-2</v>
      </c>
    </row>
    <row r="16" spans="1:13" ht="20" customHeight="1" thickBot="1">
      <c r="A16" s="645">
        <v>2005</v>
      </c>
      <c r="B16" s="852">
        <v>27</v>
      </c>
      <c r="C16" s="853">
        <v>13</v>
      </c>
      <c r="D16" s="144">
        <v>20</v>
      </c>
      <c r="E16" s="853">
        <v>8</v>
      </c>
      <c r="F16" s="144">
        <v>13</v>
      </c>
      <c r="G16" s="853">
        <v>4</v>
      </c>
      <c r="H16" s="144">
        <v>85</v>
      </c>
      <c r="I16" s="647">
        <v>-7.6086956521739135E-2</v>
      </c>
    </row>
    <row r="17" spans="1:9" ht="20" customHeight="1" thickBot="1">
      <c r="A17" s="645">
        <v>2006</v>
      </c>
      <c r="B17" s="852">
        <v>28</v>
      </c>
      <c r="C17" s="853">
        <v>14</v>
      </c>
      <c r="D17" s="144">
        <v>20</v>
      </c>
      <c r="E17" s="853">
        <v>7</v>
      </c>
      <c r="F17" s="144">
        <v>14</v>
      </c>
      <c r="G17" s="853">
        <v>4</v>
      </c>
      <c r="H17" s="144">
        <v>87</v>
      </c>
      <c r="I17" s="647">
        <v>2.3529411764705882E-2</v>
      </c>
    </row>
    <row r="18" spans="1:9" ht="26.25" customHeight="1" thickBot="1">
      <c r="A18" s="649">
        <v>2007</v>
      </c>
      <c r="B18" s="854">
        <v>27</v>
      </c>
      <c r="C18" s="855">
        <v>13</v>
      </c>
      <c r="D18" s="338">
        <v>21</v>
      </c>
      <c r="E18" s="855">
        <v>8</v>
      </c>
      <c r="F18" s="338">
        <v>14</v>
      </c>
      <c r="G18" s="855">
        <v>4</v>
      </c>
      <c r="H18" s="338">
        <v>87</v>
      </c>
      <c r="I18" s="856">
        <v>0</v>
      </c>
    </row>
    <row r="19" spans="1:9" ht="20" customHeight="1">
      <c r="A19" s="133" t="s">
        <v>1256</v>
      </c>
      <c r="B19" s="335"/>
      <c r="C19" s="335"/>
      <c r="D19" s="335"/>
      <c r="E19" s="335"/>
      <c r="F19" s="335"/>
      <c r="G19" s="335"/>
      <c r="H19" s="335"/>
      <c r="I19" s="559"/>
    </row>
    <row r="20" spans="1:9" ht="13.5" customHeight="1">
      <c r="A20" s="3"/>
      <c r="B20" s="337"/>
      <c r="C20" s="337"/>
      <c r="D20" s="337"/>
      <c r="E20" s="337"/>
      <c r="F20" s="337"/>
      <c r="G20" s="337"/>
      <c r="H20" s="337"/>
      <c r="I20" s="560"/>
    </row>
    <row r="21" spans="1:9">
      <c r="A21" s="2" t="s">
        <v>1958</v>
      </c>
    </row>
    <row r="24" spans="1:9">
      <c r="A24" s="2" t="s">
        <v>634</v>
      </c>
    </row>
  </sheetData>
  <phoneticPr fontId="0" type="noConversion"/>
  <pageMargins left="0.53" right="0.61" top="1.03" bottom="0.49" header="0.56000000000000005" footer="0.4921259845"/>
  <pageSetup paperSize="9" scale="86" orientation="portrait" horizontalDpi="4294967292" verticalDpi="4294967292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9524-EA91-484D-9C3A-4ED42E0BF7E1}">
  <sheetPr>
    <pageSetUpPr fitToPage="1"/>
  </sheetPr>
  <dimension ref="A1:L27"/>
  <sheetViews>
    <sheetView topLeftCell="A7" zoomScale="75" workbookViewId="0">
      <selection activeCell="A3" sqref="A3"/>
    </sheetView>
  </sheetViews>
  <sheetFormatPr baseColWidth="10" defaultColWidth="11.3984375" defaultRowHeight="13"/>
  <cols>
    <col min="1" max="1" width="14.59765625" style="2" customWidth="1"/>
    <col min="2" max="7" width="12.796875" style="2" customWidth="1"/>
    <col min="8" max="8" width="13.796875" style="676" customWidth="1"/>
    <col min="9" max="16384" width="11.3984375" style="2"/>
  </cols>
  <sheetData>
    <row r="1" spans="1:12" s="1" customFormat="1" ht="14" customHeight="1">
      <c r="H1" s="610"/>
    </row>
    <row r="2" spans="1:12" s="1" customFormat="1" ht="28" customHeight="1">
      <c r="A2" s="56" t="s">
        <v>2184</v>
      </c>
      <c r="B2" s="56"/>
      <c r="H2" s="321">
        <v>2007</v>
      </c>
    </row>
    <row r="3" spans="1:12" ht="24" customHeight="1">
      <c r="A3" s="110" t="s">
        <v>911</v>
      </c>
      <c r="B3" s="833" t="s">
        <v>2185</v>
      </c>
      <c r="C3" s="834"/>
      <c r="D3" s="833" t="s">
        <v>2186</v>
      </c>
      <c r="E3" s="834"/>
      <c r="F3" s="835" t="s">
        <v>2187</v>
      </c>
      <c r="G3" s="834"/>
      <c r="H3" s="836" t="s">
        <v>1801</v>
      </c>
    </row>
    <row r="4" spans="1:12" ht="15" customHeight="1">
      <c r="A4" s="308"/>
      <c r="B4" s="797" t="s">
        <v>2188</v>
      </c>
      <c r="C4" s="837" t="s">
        <v>415</v>
      </c>
      <c r="D4" s="797" t="s">
        <v>2188</v>
      </c>
      <c r="E4" s="837" t="s">
        <v>415</v>
      </c>
      <c r="F4" s="797" t="s">
        <v>2188</v>
      </c>
      <c r="G4" s="837" t="s">
        <v>415</v>
      </c>
      <c r="H4" s="838" t="s">
        <v>1802</v>
      </c>
    </row>
    <row r="5" spans="1:12" ht="15" customHeight="1">
      <c r="A5" s="308"/>
      <c r="B5" s="839"/>
      <c r="C5" s="840"/>
      <c r="D5" s="841"/>
      <c r="E5" s="840"/>
      <c r="F5" s="841"/>
      <c r="G5" s="840"/>
      <c r="H5" s="838" t="s">
        <v>2192</v>
      </c>
    </row>
    <row r="6" spans="1:12" ht="24" customHeight="1">
      <c r="A6" s="309"/>
      <c r="B6" s="654"/>
      <c r="C6" s="119"/>
      <c r="D6" s="120"/>
      <c r="E6" s="119"/>
      <c r="F6" s="120"/>
      <c r="G6" s="119"/>
      <c r="H6" s="826"/>
    </row>
    <row r="7" spans="1:12" ht="1.5" customHeight="1" thickBot="1">
      <c r="A7" s="310">
        <v>1996</v>
      </c>
      <c r="B7" s="842">
        <v>5252</v>
      </c>
      <c r="C7" s="291">
        <v>5728</v>
      </c>
      <c r="D7" s="142">
        <v>5623</v>
      </c>
      <c r="E7" s="291">
        <v>7761</v>
      </c>
      <c r="F7" s="142">
        <v>10875</v>
      </c>
      <c r="G7" s="291">
        <v>13489</v>
      </c>
      <c r="H7" s="827">
        <v>6.9028372166745913E-2</v>
      </c>
      <c r="J7" s="9"/>
      <c r="K7" s="9"/>
      <c r="L7" s="9"/>
    </row>
    <row r="8" spans="1:12" ht="20" customHeight="1" thickBot="1">
      <c r="A8" s="312">
        <v>1997</v>
      </c>
      <c r="B8" s="843">
        <v>5702</v>
      </c>
      <c r="C8" s="297">
        <v>6184</v>
      </c>
      <c r="D8" s="144">
        <v>4631</v>
      </c>
      <c r="E8" s="297">
        <v>6865</v>
      </c>
      <c r="F8" s="144">
        <v>10333</v>
      </c>
      <c r="G8" s="297">
        <v>13049</v>
      </c>
      <c r="H8" s="828">
        <v>-3.2619171176514195E-2</v>
      </c>
    </row>
    <row r="9" spans="1:12" ht="20" customHeight="1" thickBot="1">
      <c r="A9" s="312">
        <v>1998</v>
      </c>
      <c r="B9" s="843">
        <v>5440</v>
      </c>
      <c r="C9" s="297">
        <v>5884</v>
      </c>
      <c r="D9" s="144">
        <v>4852</v>
      </c>
      <c r="E9" s="297">
        <v>6728</v>
      </c>
      <c r="F9" s="144">
        <v>10292</v>
      </c>
      <c r="G9" s="297">
        <v>12612</v>
      </c>
      <c r="H9" s="828">
        <v>-3.3489156257184405E-2</v>
      </c>
    </row>
    <row r="10" spans="1:12" ht="20" customHeight="1" thickBot="1">
      <c r="A10" s="312">
        <v>1999</v>
      </c>
      <c r="B10" s="843">
        <v>5286</v>
      </c>
      <c r="C10" s="297">
        <v>5825</v>
      </c>
      <c r="D10" s="144">
        <v>4444</v>
      </c>
      <c r="E10" s="297">
        <v>6096</v>
      </c>
      <c r="F10" s="144">
        <v>9729</v>
      </c>
      <c r="G10" s="297">
        <v>11920</v>
      </c>
      <c r="H10" s="828">
        <v>-5.4868379321281302E-2</v>
      </c>
    </row>
    <row r="11" spans="1:12" ht="20" customHeight="1" thickBot="1">
      <c r="A11" s="312">
        <v>2000</v>
      </c>
      <c r="B11" s="843">
        <v>4367</v>
      </c>
      <c r="C11" s="297">
        <v>4846</v>
      </c>
      <c r="D11" s="144">
        <v>5837</v>
      </c>
      <c r="E11" s="297">
        <v>7246</v>
      </c>
      <c r="F11" s="144">
        <v>10204</v>
      </c>
      <c r="G11" s="297">
        <v>12092</v>
      </c>
      <c r="H11" s="828">
        <v>1.4429530201342189E-2</v>
      </c>
    </row>
    <row r="12" spans="1:12" ht="20" customHeight="1" thickBot="1">
      <c r="A12" s="312">
        <v>2001</v>
      </c>
      <c r="B12" s="843">
        <v>4317</v>
      </c>
      <c r="C12" s="297">
        <v>4736</v>
      </c>
      <c r="D12" s="144">
        <v>3995</v>
      </c>
      <c r="E12" s="297">
        <v>4942</v>
      </c>
      <c r="F12" s="144">
        <v>8312</v>
      </c>
      <c r="G12" s="297">
        <v>9678</v>
      </c>
      <c r="H12" s="828">
        <v>-0.19963612305656631</v>
      </c>
    </row>
    <row r="13" spans="1:12" ht="21.75" customHeight="1" thickBot="1">
      <c r="A13" s="312">
        <v>2002</v>
      </c>
      <c r="B13" s="843">
        <v>4346</v>
      </c>
      <c r="C13" s="297">
        <v>4839</v>
      </c>
      <c r="D13" s="144">
        <v>3951</v>
      </c>
      <c r="E13" s="297">
        <v>4838</v>
      </c>
      <c r="F13" s="144">
        <v>8297</v>
      </c>
      <c r="G13" s="297">
        <v>9677</v>
      </c>
      <c r="H13" s="828">
        <v>-1.0332713370531099E-4</v>
      </c>
    </row>
    <row r="14" spans="1:12" ht="21.75" customHeight="1" thickBot="1">
      <c r="A14" s="312">
        <v>2003</v>
      </c>
      <c r="B14" s="843">
        <v>5023</v>
      </c>
      <c r="C14" s="297">
        <v>5690</v>
      </c>
      <c r="D14" s="144">
        <v>2968</v>
      </c>
      <c r="E14" s="297">
        <v>3779</v>
      </c>
      <c r="F14" s="144">
        <v>7991</v>
      </c>
      <c r="G14" s="297">
        <v>9469</v>
      </c>
      <c r="H14" s="828">
        <v>-2.1494264751472536E-2</v>
      </c>
    </row>
    <row r="15" spans="1:12" ht="21.75" customHeight="1" thickBot="1">
      <c r="A15" s="312">
        <v>2004</v>
      </c>
      <c r="B15" s="843">
        <v>5428</v>
      </c>
      <c r="C15" s="297">
        <v>6333</v>
      </c>
      <c r="D15" s="144">
        <v>2801</v>
      </c>
      <c r="E15" s="297">
        <v>3511</v>
      </c>
      <c r="F15" s="144">
        <v>8229</v>
      </c>
      <c r="G15" s="297">
        <v>9844</v>
      </c>
      <c r="H15" s="828">
        <v>3.9602914774527376E-2</v>
      </c>
    </row>
    <row r="16" spans="1:12" ht="21.75" customHeight="1" thickBot="1">
      <c r="A16" s="312">
        <v>2005</v>
      </c>
      <c r="B16" s="843">
        <v>5554</v>
      </c>
      <c r="C16" s="297">
        <v>6193</v>
      </c>
      <c r="D16" s="144">
        <v>3178</v>
      </c>
      <c r="E16" s="297">
        <v>3889</v>
      </c>
      <c r="F16" s="144">
        <v>8732</v>
      </c>
      <c r="G16" s="297">
        <v>10082</v>
      </c>
      <c r="H16" s="828">
        <v>2.4177163754571351E-2</v>
      </c>
    </row>
    <row r="17" spans="1:8" ht="21.75" customHeight="1" thickBot="1">
      <c r="A17" s="312">
        <v>2006</v>
      </c>
      <c r="B17" s="843">
        <v>5770</v>
      </c>
      <c r="C17" s="297">
        <v>6389</v>
      </c>
      <c r="D17" s="144">
        <v>3049</v>
      </c>
      <c r="E17" s="297">
        <v>3717</v>
      </c>
      <c r="F17" s="144">
        <v>8819</v>
      </c>
      <c r="G17" s="297">
        <v>10106</v>
      </c>
      <c r="H17" s="828">
        <v>2.3804800634794621E-3</v>
      </c>
    </row>
    <row r="18" spans="1:8" s="419" customFormat="1" ht="26.25" customHeight="1" thickBot="1">
      <c r="A18" s="418">
        <v>2007</v>
      </c>
      <c r="B18" s="844">
        <v>7087</v>
      </c>
      <c r="C18" s="298">
        <v>7977</v>
      </c>
      <c r="D18" s="146">
        <v>3002</v>
      </c>
      <c r="E18" s="298">
        <v>3628</v>
      </c>
      <c r="F18" s="146">
        <v>10089</v>
      </c>
      <c r="G18" s="298">
        <v>11605</v>
      </c>
      <c r="H18" s="829">
        <v>0.14832772610330491</v>
      </c>
    </row>
    <row r="19" spans="1:8" ht="20.25" customHeight="1">
      <c r="A19" s="133" t="s">
        <v>1256</v>
      </c>
      <c r="B19" s="133"/>
      <c r="C19" s="133"/>
      <c r="D19" s="133"/>
      <c r="E19" s="133"/>
      <c r="F19" s="133"/>
      <c r="G19" s="133"/>
      <c r="H19" s="674"/>
    </row>
    <row r="20" spans="1:8" ht="14.25" customHeight="1">
      <c r="A20" s="3"/>
      <c r="B20" s="3"/>
      <c r="C20" s="3"/>
      <c r="D20" s="3"/>
      <c r="E20" s="3"/>
      <c r="F20" s="3"/>
      <c r="G20" s="3"/>
      <c r="H20" s="675"/>
    </row>
    <row r="21" spans="1:8">
      <c r="A21" s="2" t="s">
        <v>2189</v>
      </c>
    </row>
    <row r="22" spans="1:8">
      <c r="A22" s="2" t="s">
        <v>2190</v>
      </c>
    </row>
    <row r="24" spans="1:8">
      <c r="A24" s="2" t="s">
        <v>2191</v>
      </c>
    </row>
    <row r="27" spans="1:8">
      <c r="A27" s="2" t="s">
        <v>634</v>
      </c>
    </row>
  </sheetData>
  <phoneticPr fontId="0" type="noConversion"/>
  <pageMargins left="0.69" right="0.69" top="1.03" bottom="0.49" header="0.61" footer="0.4921259845"/>
  <pageSetup paperSize="9" scale="85" orientation="portrait" horizontalDpi="4294967292" verticalDpi="4294967292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F8F0-2B9D-564E-94C6-4CFF5CA54592}">
  <sheetPr>
    <pageSetUpPr fitToPage="1"/>
  </sheetPr>
  <dimension ref="A1:K29"/>
  <sheetViews>
    <sheetView zoomScale="75" workbookViewId="0">
      <selection activeCell="H19" sqref="H19"/>
    </sheetView>
  </sheetViews>
  <sheetFormatPr baseColWidth="10" defaultColWidth="11.3984375" defaultRowHeight="13"/>
  <cols>
    <col min="1" max="1" width="15.796875" style="2" customWidth="1"/>
    <col min="2" max="2" width="15.19921875" style="2" customWidth="1"/>
    <col min="3" max="3" width="15.19921875" style="676" customWidth="1"/>
    <col min="4" max="4" width="15.19921875" style="2" customWidth="1"/>
    <col min="5" max="5" width="15.19921875" style="676" customWidth="1"/>
    <col min="6" max="6" width="15.19921875" style="2" customWidth="1"/>
    <col min="7" max="7" width="15.19921875" style="676" customWidth="1"/>
    <col min="8" max="8" width="10.3984375" style="2" customWidth="1"/>
    <col min="9" max="16384" width="11.3984375" style="2"/>
  </cols>
  <sheetData>
    <row r="1" spans="1:11" s="1" customFormat="1" ht="14" customHeight="1">
      <c r="C1" s="610"/>
      <c r="E1" s="610"/>
      <c r="G1" s="610"/>
    </row>
    <row r="2" spans="1:11" s="1" customFormat="1" ht="28" customHeight="1">
      <c r="A2" s="56" t="s">
        <v>2178</v>
      </c>
      <c r="C2" s="610"/>
      <c r="E2" s="610"/>
      <c r="G2" s="321">
        <v>2007</v>
      </c>
    </row>
    <row r="3" spans="1:11" ht="24" customHeight="1">
      <c r="A3" s="110" t="s">
        <v>911</v>
      </c>
      <c r="B3" s="111" t="s">
        <v>1046</v>
      </c>
      <c r="C3" s="660" t="s">
        <v>1801</v>
      </c>
      <c r="D3" s="111" t="s">
        <v>1047</v>
      </c>
      <c r="E3" s="660" t="s">
        <v>1801</v>
      </c>
      <c r="F3" s="111" t="s">
        <v>431</v>
      </c>
      <c r="G3" s="660" t="s">
        <v>1801</v>
      </c>
    </row>
    <row r="4" spans="1:11" ht="15" customHeight="1">
      <c r="A4" s="308"/>
      <c r="B4" s="114" t="s">
        <v>431</v>
      </c>
      <c r="C4" s="661" t="s">
        <v>1802</v>
      </c>
      <c r="D4" s="114" t="s">
        <v>1048</v>
      </c>
      <c r="E4" s="661" t="s">
        <v>1802</v>
      </c>
      <c r="F4" s="114" t="s">
        <v>1049</v>
      </c>
      <c r="G4" s="661" t="s">
        <v>1802</v>
      </c>
    </row>
    <row r="5" spans="1:11" ht="15" customHeight="1">
      <c r="A5" s="308"/>
      <c r="B5" s="114" t="s">
        <v>1050</v>
      </c>
      <c r="C5" s="661" t="s">
        <v>1806</v>
      </c>
      <c r="D5" s="114" t="s">
        <v>1051</v>
      </c>
      <c r="E5" s="661" t="s">
        <v>1806</v>
      </c>
      <c r="F5" s="114" t="s">
        <v>2182</v>
      </c>
      <c r="G5" s="661" t="s">
        <v>1806</v>
      </c>
    </row>
    <row r="6" spans="1:11" ht="24" customHeight="1">
      <c r="A6" s="309"/>
      <c r="B6" s="120"/>
      <c r="C6" s="662"/>
      <c r="D6" s="120" t="s">
        <v>1105</v>
      </c>
      <c r="E6" s="662"/>
      <c r="F6" s="120"/>
      <c r="G6" s="662"/>
    </row>
    <row r="7" spans="1:11" ht="2.25" customHeight="1" thickBot="1">
      <c r="A7" s="310">
        <v>1996</v>
      </c>
      <c r="B7" s="142">
        <v>16879.057940520001</v>
      </c>
      <c r="C7" s="680">
        <v>3.1990175768496547E-2</v>
      </c>
      <c r="D7" s="142">
        <v>17192.470827740002</v>
      </c>
      <c r="E7" s="680">
        <v>6.792517720196245E-2</v>
      </c>
      <c r="F7" s="142">
        <v>-313.41288724000009</v>
      </c>
      <c r="G7" s="680">
        <v>-2.2198566405891191</v>
      </c>
      <c r="I7" s="9"/>
      <c r="J7" s="9"/>
      <c r="K7" s="9"/>
    </row>
    <row r="8" spans="1:11" ht="20" customHeight="1" thickBot="1">
      <c r="A8" s="312">
        <v>1997</v>
      </c>
      <c r="B8" s="144">
        <v>17865.03228775</v>
      </c>
      <c r="C8" s="667">
        <v>5.8414062603758345E-2</v>
      </c>
      <c r="D8" s="144">
        <v>17672.056997619999</v>
      </c>
      <c r="E8" s="667">
        <v>2.7895127738485698E-2</v>
      </c>
      <c r="F8" s="144">
        <v>192.97529009999997</v>
      </c>
      <c r="G8" s="667">
        <v>1.6157222563481464</v>
      </c>
    </row>
    <row r="9" spans="1:11" ht="20" customHeight="1" thickBot="1">
      <c r="A9" s="312">
        <v>1998</v>
      </c>
      <c r="B9" s="144">
        <v>18556.3398476</v>
      </c>
      <c r="C9" s="667">
        <v>3.8696127088671844E-2</v>
      </c>
      <c r="D9" s="144">
        <v>18402.610160249998</v>
      </c>
      <c r="E9" s="667">
        <v>4.1339452601832818E-2</v>
      </c>
      <c r="F9" s="144">
        <v>153.72876116999998</v>
      </c>
      <c r="G9" s="667">
        <v>-0.20337592916514025</v>
      </c>
    </row>
    <row r="10" spans="1:11" ht="19.5" customHeight="1" thickBot="1">
      <c r="A10" s="312">
        <v>1999</v>
      </c>
      <c r="B10" s="144">
        <v>18130.009685380002</v>
      </c>
      <c r="C10" s="667">
        <v>-2.2974905920099209E-2</v>
      </c>
      <c r="D10" s="144">
        <v>18002.60641059</v>
      </c>
      <c r="E10" s="667">
        <v>-2.1736250791423828E-2</v>
      </c>
      <c r="F10" s="144">
        <v>127.40327493000001</v>
      </c>
      <c r="G10" s="667">
        <v>-0.17124633048260957</v>
      </c>
    </row>
    <row r="11" spans="1:11" ht="19.5" customHeight="1" thickBot="1">
      <c r="A11" s="312">
        <v>2000</v>
      </c>
      <c r="B11" s="144">
        <v>17664.531028940004</v>
      </c>
      <c r="C11" s="667">
        <v>-2.5674484708927636E-2</v>
      </c>
      <c r="D11" s="144">
        <v>17831.851511680001</v>
      </c>
      <c r="E11" s="667">
        <v>-9.4850098377728953E-3</v>
      </c>
      <c r="F11" s="144">
        <v>-167.29975024999999</v>
      </c>
      <c r="G11" s="667">
        <v>-2.3131510971120686</v>
      </c>
    </row>
    <row r="12" spans="1:11" ht="19.5" customHeight="1" thickBot="1">
      <c r="A12" s="312">
        <v>2001</v>
      </c>
      <c r="B12" s="144">
        <v>16854.501682999999</v>
      </c>
      <c r="C12" s="667">
        <v>-4.5856261035910006E-2</v>
      </c>
      <c r="D12" s="144">
        <v>17581.378779999999</v>
      </c>
      <c r="E12" s="667">
        <v>-1.4046367059300624E-2</v>
      </c>
      <c r="F12" s="144">
        <v>-724.67685832999996</v>
      </c>
      <c r="G12" s="667">
        <v>-3.3316075322712564</v>
      </c>
    </row>
    <row r="13" spans="1:11" ht="19.5" customHeight="1" thickBot="1">
      <c r="A13" s="312">
        <v>2002</v>
      </c>
      <c r="B13" s="144">
        <v>17923.033692000001</v>
      </c>
      <c r="C13" s="667">
        <v>6.3397425156613174E-2</v>
      </c>
      <c r="D13" s="144">
        <v>18156.411305000001</v>
      </c>
      <c r="E13" s="667">
        <v>3.2706907245189543E-2</v>
      </c>
      <c r="F13" s="144">
        <v>-233.37761233999998</v>
      </c>
      <c r="G13" s="667">
        <v>0.67795630610060742</v>
      </c>
    </row>
    <row r="14" spans="1:11" ht="19.5" customHeight="1" thickBot="1">
      <c r="A14" s="312">
        <v>2003</v>
      </c>
      <c r="B14" s="144">
        <v>19735.068495</v>
      </c>
      <c r="C14" s="667">
        <v>0.10110089810347267</v>
      </c>
      <c r="D14" s="144">
        <v>19234.994873</v>
      </c>
      <c r="E14" s="667">
        <v>5.9405107643875299E-2</v>
      </c>
      <c r="F14" s="144">
        <v>500.07362212000004</v>
      </c>
      <c r="G14" s="667">
        <v>3.1427660395782078</v>
      </c>
    </row>
    <row r="15" spans="1:11" ht="19.5" customHeight="1" thickBot="1">
      <c r="A15" s="312">
        <v>2004</v>
      </c>
      <c r="B15" s="144">
        <v>20469.211171999999</v>
      </c>
      <c r="C15" s="667">
        <v>3.7199905193437743E-2</v>
      </c>
      <c r="D15" s="144">
        <v>19860.79033</v>
      </c>
      <c r="E15" s="667">
        <v>3.2534214910471482E-2</v>
      </c>
      <c r="F15" s="144">
        <v>608.42084196000008</v>
      </c>
      <c r="G15" s="667">
        <v>0.21666253736934862</v>
      </c>
    </row>
    <row r="16" spans="1:11" ht="19.5" customHeight="1" thickBot="1">
      <c r="A16" s="312">
        <v>2005</v>
      </c>
      <c r="B16" s="144">
        <v>21134.645651759998</v>
      </c>
      <c r="C16" s="667">
        <v>3.2509043664088688E-2</v>
      </c>
      <c r="D16" s="144">
        <v>20885.686091</v>
      </c>
      <c r="E16" s="667">
        <v>5.1603976678203045E-2</v>
      </c>
      <c r="F16" s="144">
        <v>248.95956138999998</v>
      </c>
      <c r="G16" s="667">
        <v>-0.59081026779426549</v>
      </c>
    </row>
    <row r="17" spans="1:9" ht="19.5" customHeight="1" thickBot="1">
      <c r="A17" s="312">
        <v>2006</v>
      </c>
      <c r="B17" s="144">
        <v>21891.095507740003</v>
      </c>
      <c r="C17" s="667">
        <v>3.5791934648168988E-2</v>
      </c>
      <c r="D17" s="144">
        <v>21334.273675</v>
      </c>
      <c r="E17" s="667">
        <v>2.147823069088961E-2</v>
      </c>
      <c r="F17" s="144">
        <v>556.82183227999997</v>
      </c>
      <c r="G17" s="667">
        <v>1.2365954903323748</v>
      </c>
    </row>
    <row r="18" spans="1:9" s="419" customFormat="1" ht="26.25" customHeight="1" thickBot="1">
      <c r="A18" s="418">
        <v>2007</v>
      </c>
      <c r="B18" s="146">
        <v>22327.610027520001</v>
      </c>
      <c r="C18" s="681">
        <v>1.9940277526342198E-2</v>
      </c>
      <c r="D18" s="146">
        <v>22091.411327379999</v>
      </c>
      <c r="E18" s="681">
        <v>3.5489263141272653E-2</v>
      </c>
      <c r="F18" s="146">
        <v>236.19870014000003</v>
      </c>
      <c r="G18" s="681">
        <v>-0.57580919704091882</v>
      </c>
      <c r="I18" s="832"/>
    </row>
    <row r="19" spans="1:9" ht="20" customHeight="1">
      <c r="A19" s="133" t="s">
        <v>1256</v>
      </c>
      <c r="B19" s="133"/>
      <c r="C19" s="674"/>
      <c r="D19" s="133"/>
      <c r="E19" s="674"/>
      <c r="F19" s="133"/>
      <c r="G19" s="674"/>
    </row>
    <row r="20" spans="1:9" ht="13.5" customHeight="1">
      <c r="A20" s="3"/>
      <c r="B20" s="3"/>
      <c r="C20" s="675"/>
      <c r="D20" s="3"/>
      <c r="E20" s="675"/>
      <c r="F20" s="3"/>
      <c r="G20" s="675"/>
    </row>
    <row r="21" spans="1:9">
      <c r="A21" s="3" t="s">
        <v>2179</v>
      </c>
    </row>
    <row r="22" spans="1:9">
      <c r="A22" s="2" t="s">
        <v>1109</v>
      </c>
    </row>
    <row r="23" spans="1:9">
      <c r="A23" s="2" t="s">
        <v>2183</v>
      </c>
    </row>
    <row r="24" spans="1:9">
      <c r="A24" s="2" t="s">
        <v>2180</v>
      </c>
    </row>
    <row r="26" spans="1:9">
      <c r="A26" s="2" t="s">
        <v>2181</v>
      </c>
    </row>
    <row r="29" spans="1:9">
      <c r="A29" s="2" t="s">
        <v>634</v>
      </c>
    </row>
  </sheetData>
  <phoneticPr fontId="0" type="noConversion"/>
  <pageMargins left="0.67" right="0.78740157480314965" top="1.1000000000000001" bottom="0.49" header="0.59" footer="0.4921259845"/>
  <pageSetup paperSize="9" scale="75" orientation="portrait" horizontalDpi="4294967292" verticalDpi="4294967292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F7AC-7DBC-DA41-8B08-D8E04597169E}">
  <sheetPr>
    <pageSetUpPr fitToPage="1"/>
  </sheetPr>
  <dimension ref="A1:D48"/>
  <sheetViews>
    <sheetView zoomScale="75" workbookViewId="0"/>
  </sheetViews>
  <sheetFormatPr baseColWidth="10" defaultColWidth="11.3984375" defaultRowHeight="13"/>
  <cols>
    <col min="1" max="1" width="10.796875" style="2" customWidth="1"/>
    <col min="2" max="2" width="60.3984375" style="95" customWidth="1"/>
    <col min="3" max="3" width="18.3984375" style="8" customWidth="1"/>
    <col min="4" max="4" width="17" style="676" customWidth="1"/>
    <col min="5" max="16384" width="11.3984375" style="2"/>
  </cols>
  <sheetData>
    <row r="1" spans="1:4" s="1" customFormat="1" ht="14" customHeight="1">
      <c r="B1" s="166"/>
      <c r="C1" s="274"/>
      <c r="D1" s="610"/>
    </row>
    <row r="2" spans="1:4" s="1" customFormat="1" ht="28" customHeight="1">
      <c r="A2" s="56" t="s">
        <v>331</v>
      </c>
      <c r="B2" s="166"/>
      <c r="C2" s="274"/>
      <c r="D2" s="321">
        <v>2007</v>
      </c>
    </row>
    <row r="3" spans="1:4" ht="39" customHeight="1">
      <c r="A3" s="110" t="s">
        <v>1485</v>
      </c>
      <c r="B3" s="167"/>
      <c r="C3" s="139" t="s">
        <v>1344</v>
      </c>
      <c r="D3" s="660" t="s">
        <v>1362</v>
      </c>
    </row>
    <row r="4" spans="1:4" ht="38" customHeight="1">
      <c r="A4" s="505"/>
      <c r="B4" s="506"/>
      <c r="C4" s="141" t="s">
        <v>494</v>
      </c>
      <c r="D4" s="662" t="s">
        <v>870</v>
      </c>
    </row>
    <row r="5" spans="1:4" ht="30" customHeight="1" thickBot="1">
      <c r="A5" s="122">
        <v>60</v>
      </c>
      <c r="B5" s="122" t="s">
        <v>232</v>
      </c>
      <c r="C5" s="142">
        <v>302255002.14999998</v>
      </c>
      <c r="D5" s="680">
        <v>1.3537275229075309E-2</v>
      </c>
    </row>
    <row r="6" spans="1:4" ht="16" customHeight="1" thickBot="1">
      <c r="A6" s="127">
        <v>600</v>
      </c>
      <c r="B6" s="127" t="s">
        <v>332</v>
      </c>
      <c r="C6" s="144">
        <v>313686566.75</v>
      </c>
      <c r="D6" s="667">
        <v>1.4049267537518085E-2</v>
      </c>
    </row>
    <row r="7" spans="1:4" ht="16" customHeight="1" thickBot="1">
      <c r="A7" s="127">
        <v>601</v>
      </c>
      <c r="B7" s="127" t="s">
        <v>333</v>
      </c>
      <c r="C7" s="144">
        <v>-11431564.6</v>
      </c>
      <c r="D7" s="667">
        <v>-5.1199230844277421E-4</v>
      </c>
    </row>
    <row r="8" spans="1:4" ht="19.5" customHeight="1" thickBot="1">
      <c r="A8" s="127">
        <v>61</v>
      </c>
      <c r="B8" s="127" t="s">
        <v>329</v>
      </c>
      <c r="C8" s="144">
        <v>19773765221.799999</v>
      </c>
      <c r="D8" s="667">
        <v>0.88561942802779836</v>
      </c>
    </row>
    <row r="9" spans="1:4" ht="18" customHeight="1" thickBot="1">
      <c r="A9" s="127">
        <v>63</v>
      </c>
      <c r="B9" s="127" t="s">
        <v>330</v>
      </c>
      <c r="C9" s="144">
        <v>2050583347.23</v>
      </c>
      <c r="D9" s="667">
        <v>9.1840700581143436E-2</v>
      </c>
    </row>
    <row r="10" spans="1:4" ht="21.75" customHeight="1" thickBot="1">
      <c r="A10" s="128" t="s">
        <v>334</v>
      </c>
      <c r="B10" s="128" t="s">
        <v>1056</v>
      </c>
      <c r="C10" s="144">
        <v>22126603571.18</v>
      </c>
      <c r="D10" s="667">
        <v>0.99099740383801715</v>
      </c>
    </row>
    <row r="11" spans="1:4" ht="16" customHeight="1" thickBot="1">
      <c r="A11" s="127">
        <v>64</v>
      </c>
      <c r="B11" s="127" t="s">
        <v>335</v>
      </c>
      <c r="C11" s="144">
        <v>-105957523.26000001</v>
      </c>
      <c r="D11" s="667">
        <v>-4.7455828514293098E-3</v>
      </c>
    </row>
    <row r="12" spans="1:4" ht="16" customHeight="1" thickBot="1">
      <c r="A12" s="127">
        <v>65</v>
      </c>
      <c r="B12" s="127" t="s">
        <v>336</v>
      </c>
      <c r="C12" s="144">
        <v>7595596.71</v>
      </c>
      <c r="D12" s="667">
        <v>3.4018852446088103E-4</v>
      </c>
    </row>
    <row r="13" spans="1:4" ht="21.75" customHeight="1" thickBot="1">
      <c r="A13" s="128" t="s">
        <v>337</v>
      </c>
      <c r="B13" s="128" t="s">
        <v>1492</v>
      </c>
      <c r="C13" s="1795">
        <v>22028241644.630001</v>
      </c>
      <c r="D13" s="1799">
        <v>0.98659200951104886</v>
      </c>
    </row>
    <row r="14" spans="1:4" ht="16" customHeight="1" thickBot="1">
      <c r="A14" s="127">
        <v>66</v>
      </c>
      <c r="B14" s="127" t="s">
        <v>338</v>
      </c>
      <c r="C14" s="144">
        <v>-28699338.280000001</v>
      </c>
      <c r="D14" s="667">
        <v>-1.2853743971981998E-3</v>
      </c>
    </row>
    <row r="15" spans="1:4" ht="21.75" customHeight="1" thickBot="1">
      <c r="A15" s="128" t="s">
        <v>365</v>
      </c>
      <c r="B15" s="128" t="s">
        <v>1495</v>
      </c>
      <c r="C15" s="144">
        <v>21999542306.349998</v>
      </c>
      <c r="D15" s="667">
        <v>0.98530663511385053</v>
      </c>
    </row>
    <row r="16" spans="1:4" ht="16" customHeight="1" thickBot="1">
      <c r="A16" s="127">
        <v>67</v>
      </c>
      <c r="B16" s="127" t="s">
        <v>366</v>
      </c>
      <c r="C16" s="144">
        <v>1698499079.6599998</v>
      </c>
      <c r="D16" s="667">
        <v>7.6071692293376084E-2</v>
      </c>
    </row>
    <row r="17" spans="1:4" ht="16" customHeight="1" thickBot="1">
      <c r="A17" s="127">
        <v>670</v>
      </c>
      <c r="B17" s="127" t="s">
        <v>367</v>
      </c>
      <c r="C17" s="144">
        <v>1651932019.5799999</v>
      </c>
      <c r="D17" s="667">
        <v>7.3986065572799922E-2</v>
      </c>
    </row>
    <row r="18" spans="1:4" ht="16" customHeight="1" thickBot="1">
      <c r="A18" s="127">
        <v>672</v>
      </c>
      <c r="B18" s="127" t="s">
        <v>368</v>
      </c>
      <c r="C18" s="144">
        <v>42778472.149999999</v>
      </c>
      <c r="D18" s="667">
        <v>1.9159449711488687E-3</v>
      </c>
    </row>
    <row r="19" spans="1:4" ht="16" customHeight="1" thickBot="1">
      <c r="A19" s="127">
        <v>673</v>
      </c>
      <c r="B19" s="127" t="s">
        <v>369</v>
      </c>
      <c r="C19" s="144">
        <v>24137195.09</v>
      </c>
      <c r="D19" s="667">
        <v>1.0810469665248356E-3</v>
      </c>
    </row>
    <row r="20" spans="1:4" ht="16" customHeight="1" thickBot="1">
      <c r="A20" s="127">
        <v>675</v>
      </c>
      <c r="B20" s="127" t="s">
        <v>370</v>
      </c>
      <c r="C20" s="144">
        <v>-20348607.16</v>
      </c>
      <c r="D20" s="667">
        <v>-9.1136521709754103E-4</v>
      </c>
    </row>
    <row r="21" spans="1:4" ht="16" customHeight="1" thickBot="1">
      <c r="A21" s="127">
        <v>68</v>
      </c>
      <c r="B21" s="127" t="s">
        <v>371</v>
      </c>
      <c r="C21" s="144">
        <v>-1662003352.0699999</v>
      </c>
      <c r="D21" s="667">
        <v>-7.4437136353666597E-2</v>
      </c>
    </row>
    <row r="22" spans="1:4" ht="21.75" customHeight="1" thickBot="1">
      <c r="A22" s="128" t="s">
        <v>372</v>
      </c>
      <c r="B22" s="128" t="s">
        <v>373</v>
      </c>
      <c r="C22" s="144">
        <v>36495727.590000004</v>
      </c>
      <c r="D22" s="667">
        <v>1.6345559397094908E-3</v>
      </c>
    </row>
    <row r="23" spans="1:4" ht="16" customHeight="1" thickBot="1">
      <c r="A23" s="127">
        <v>69</v>
      </c>
      <c r="B23" s="127" t="s">
        <v>1498</v>
      </c>
      <c r="C23" s="144">
        <v>112898097.56999999</v>
      </c>
      <c r="D23" s="667">
        <v>5.0564344966096643E-3</v>
      </c>
    </row>
    <row r="24" spans="1:4" ht="21.75" customHeight="1" thickBot="1">
      <c r="A24" s="128">
        <v>6</v>
      </c>
      <c r="B24" s="128" t="s">
        <v>1499</v>
      </c>
      <c r="C24" s="144">
        <v>22148936131.509998</v>
      </c>
      <c r="D24" s="667">
        <v>0.99199762555016968</v>
      </c>
    </row>
    <row r="25" spans="1:4" ht="16" customHeight="1" thickBot="1">
      <c r="A25" s="127">
        <v>70</v>
      </c>
      <c r="B25" s="127" t="s">
        <v>374</v>
      </c>
      <c r="C25" s="144">
        <v>22665059.390000001</v>
      </c>
      <c r="D25" s="667">
        <v>1.0151135460563883E-3</v>
      </c>
    </row>
    <row r="26" spans="1:4" ht="16" customHeight="1" thickBot="1">
      <c r="A26" s="127">
        <v>701</v>
      </c>
      <c r="B26" s="127" t="s">
        <v>375</v>
      </c>
      <c r="C26" s="144">
        <v>22665059.390000001</v>
      </c>
      <c r="D26" s="667">
        <v>1.0151135460563883E-3</v>
      </c>
    </row>
    <row r="27" spans="1:4" ht="16" customHeight="1" thickBot="1">
      <c r="A27" s="127">
        <v>72</v>
      </c>
      <c r="B27" s="127" t="s">
        <v>1113</v>
      </c>
      <c r="C27" s="144">
        <v>160960492.16999999</v>
      </c>
      <c r="D27" s="667">
        <v>7.2090336570554293E-3</v>
      </c>
    </row>
    <row r="28" spans="1:4" ht="16" customHeight="1" thickBot="1">
      <c r="A28" s="127">
        <v>720</v>
      </c>
      <c r="B28" s="127" t="s">
        <v>1114</v>
      </c>
      <c r="C28" s="144">
        <v>521957027.82999998</v>
      </c>
      <c r="D28" s="667">
        <v>2.337720101643926E-2</v>
      </c>
    </row>
    <row r="29" spans="1:4" ht="16" customHeight="1" thickBot="1">
      <c r="A29" s="127">
        <v>721</v>
      </c>
      <c r="B29" s="127" t="s">
        <v>1115</v>
      </c>
      <c r="C29" s="144">
        <v>-132181672.51000001</v>
      </c>
      <c r="D29" s="667">
        <v>-5.92009947984038E-3</v>
      </c>
    </row>
    <row r="30" spans="1:4" ht="16" customHeight="1" thickBot="1">
      <c r="A30" s="127">
        <v>722</v>
      </c>
      <c r="B30" s="127" t="s">
        <v>1116</v>
      </c>
      <c r="C30" s="144">
        <v>-217846347.75</v>
      </c>
      <c r="D30" s="667">
        <v>-9.7568144320638196E-3</v>
      </c>
    </row>
    <row r="31" spans="1:4" ht="16" customHeight="1" thickBot="1">
      <c r="A31" s="127">
        <v>723</v>
      </c>
      <c r="B31" s="127" t="s">
        <v>1117</v>
      </c>
      <c r="C31" s="144">
        <v>530539.65</v>
      </c>
      <c r="D31" s="667">
        <v>2.3761596039436416E-5</v>
      </c>
    </row>
    <row r="32" spans="1:4" ht="16" customHeight="1" thickBot="1">
      <c r="A32" s="127">
        <v>724</v>
      </c>
      <c r="B32" s="127" t="s">
        <v>1118</v>
      </c>
      <c r="C32" s="144">
        <v>-11499055.050000001</v>
      </c>
      <c r="D32" s="667">
        <v>-5.1501504351906841E-4</v>
      </c>
    </row>
    <row r="33" spans="1:4" ht="16" customHeight="1" thickBot="1">
      <c r="A33" s="127">
        <v>76</v>
      </c>
      <c r="B33" s="127" t="s">
        <v>1119</v>
      </c>
      <c r="C33" s="144">
        <v>-4951655.55</v>
      </c>
      <c r="D33" s="667">
        <v>-2.2177275328155648E-4</v>
      </c>
    </row>
    <row r="34" spans="1:4" ht="21.75" customHeight="1" thickBot="1">
      <c r="A34" s="128">
        <v>7</v>
      </c>
      <c r="B34" s="128" t="s">
        <v>1120</v>
      </c>
      <c r="C34" s="144">
        <v>178673896.00999999</v>
      </c>
      <c r="D34" s="667">
        <v>8.0023744498302612E-3</v>
      </c>
    </row>
    <row r="35" spans="1:4" s="148" customFormat="1" ht="21.75" customHeight="1" thickBot="1">
      <c r="A35" s="710" t="s">
        <v>1121</v>
      </c>
      <c r="B35" s="710" t="s">
        <v>1122</v>
      </c>
      <c r="C35" s="314">
        <v>22327610027.52</v>
      </c>
      <c r="D35" s="668">
        <v>1</v>
      </c>
    </row>
    <row r="36" spans="1:4" ht="21.75" customHeight="1" thickBot="1">
      <c r="A36" s="128" t="s">
        <v>1866</v>
      </c>
      <c r="B36" s="128" t="s">
        <v>1123</v>
      </c>
      <c r="C36" s="144">
        <v>79683168.659999996</v>
      </c>
      <c r="D36" s="667" t="s">
        <v>407</v>
      </c>
    </row>
    <row r="37" spans="1:4" s="419" customFormat="1" ht="35.25" customHeight="1" thickBot="1">
      <c r="A37" s="578"/>
      <c r="B37" s="578" t="s">
        <v>1868</v>
      </c>
      <c r="C37" s="509">
        <v>22407293196.18</v>
      </c>
      <c r="D37" s="671" t="s">
        <v>407</v>
      </c>
    </row>
    <row r="38" spans="1:4" ht="20" customHeight="1">
      <c r="A38" s="133" t="s">
        <v>1256</v>
      </c>
      <c r="B38" s="170"/>
      <c r="C38" s="287"/>
      <c r="D38" s="674"/>
    </row>
    <row r="39" spans="1:4" ht="11.25" customHeight="1">
      <c r="A39" s="3"/>
      <c r="B39" s="171"/>
      <c r="C39" s="288"/>
      <c r="D39" s="675"/>
    </row>
    <row r="40" spans="1:4" ht="11.25" customHeight="1">
      <c r="A40" s="3" t="s">
        <v>1869</v>
      </c>
      <c r="B40" s="171"/>
      <c r="C40" s="288"/>
      <c r="D40" s="675"/>
    </row>
    <row r="41" spans="1:4" ht="11.25" customHeight="1">
      <c r="A41" s="3" t="s">
        <v>1870</v>
      </c>
      <c r="B41" s="171"/>
      <c r="C41" s="288"/>
      <c r="D41" s="675"/>
    </row>
    <row r="42" spans="1:4">
      <c r="A42" s="3" t="s">
        <v>326</v>
      </c>
    </row>
    <row r="43" spans="1:4">
      <c r="A43" s="2" t="s">
        <v>327</v>
      </c>
    </row>
    <row r="45" spans="1:4">
      <c r="A45" s="2" t="s">
        <v>1124</v>
      </c>
    </row>
    <row r="48" spans="1:4">
      <c r="A48" s="300" t="s">
        <v>634</v>
      </c>
    </row>
  </sheetData>
  <phoneticPr fontId="0" type="noConversion"/>
  <pageMargins left="0.69" right="0.71" top="0.85" bottom="0.49" header="0.44" footer="0.4921259845"/>
  <pageSetup paperSize="9" scale="83" orientation="portrait" horizontalDpi="4294967292" verticalDpi="4294967292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3B17-2755-0543-BB23-5AE4EB67034C}">
  <sheetPr>
    <pageSetUpPr fitToPage="1"/>
  </sheetPr>
  <dimension ref="A1:D41"/>
  <sheetViews>
    <sheetView zoomScale="75" workbookViewId="0">
      <selection activeCell="F8" sqref="F8"/>
    </sheetView>
  </sheetViews>
  <sheetFormatPr baseColWidth="10" defaultColWidth="11.3984375" defaultRowHeight="13"/>
  <cols>
    <col min="1" max="1" width="10.59765625" style="2" customWidth="1"/>
    <col min="2" max="2" width="60.796875" style="95" customWidth="1"/>
    <col min="3" max="3" width="17" style="8" customWidth="1"/>
    <col min="4" max="4" width="17" style="729" customWidth="1"/>
    <col min="5" max="16384" width="11.3984375" style="2"/>
  </cols>
  <sheetData>
    <row r="1" spans="1:4" s="1" customFormat="1" ht="14" customHeight="1">
      <c r="B1" s="166"/>
      <c r="C1" s="274"/>
      <c r="D1" s="721"/>
    </row>
    <row r="2" spans="1:4" s="1" customFormat="1" ht="28" customHeight="1">
      <c r="A2" s="56" t="s">
        <v>1849</v>
      </c>
      <c r="B2" s="166"/>
      <c r="C2" s="274"/>
      <c r="D2" s="321">
        <v>2007</v>
      </c>
    </row>
    <row r="3" spans="1:4" ht="39" customHeight="1">
      <c r="A3" s="110" t="s">
        <v>1485</v>
      </c>
      <c r="B3" s="167"/>
      <c r="C3" s="139" t="s">
        <v>1344</v>
      </c>
      <c r="D3" s="722" t="s">
        <v>1362</v>
      </c>
    </row>
    <row r="4" spans="1:4" ht="38" customHeight="1">
      <c r="A4" s="505"/>
      <c r="B4" s="506"/>
      <c r="C4" s="141" t="s">
        <v>494</v>
      </c>
      <c r="D4" s="281" t="s">
        <v>870</v>
      </c>
    </row>
    <row r="5" spans="1:4" ht="30" customHeight="1" thickBot="1">
      <c r="A5" s="122">
        <v>30</v>
      </c>
      <c r="B5" s="122" t="s">
        <v>232</v>
      </c>
      <c r="C5" s="142">
        <v>207719490.50999999</v>
      </c>
      <c r="D5" s="680">
        <v>9.4027261287989022E-3</v>
      </c>
    </row>
    <row r="6" spans="1:4" ht="16" customHeight="1" thickBot="1">
      <c r="A6" s="127">
        <v>31</v>
      </c>
      <c r="B6" s="127" t="s">
        <v>329</v>
      </c>
      <c r="C6" s="142">
        <v>21639111315.959999</v>
      </c>
      <c r="D6" s="680">
        <v>0.97952597936287467</v>
      </c>
    </row>
    <row r="7" spans="1:4" ht="16" customHeight="1" thickBot="1">
      <c r="A7" s="127">
        <v>32</v>
      </c>
      <c r="B7" s="127" t="s">
        <v>1850</v>
      </c>
      <c r="C7" s="142">
        <v>-3212229721.0999999</v>
      </c>
      <c r="D7" s="680">
        <v>-0.14540627004299975</v>
      </c>
    </row>
    <row r="8" spans="1:4" ht="18.75" customHeight="1" thickBot="1">
      <c r="A8" s="127">
        <v>33</v>
      </c>
      <c r="B8" s="127" t="s">
        <v>330</v>
      </c>
      <c r="C8" s="142">
        <v>1685817477.1500001</v>
      </c>
      <c r="D8" s="680">
        <v>7.631099037391989E-2</v>
      </c>
    </row>
    <row r="9" spans="1:4" ht="21.75" customHeight="1" thickBot="1">
      <c r="A9" s="128" t="s">
        <v>1851</v>
      </c>
      <c r="B9" s="128" t="s">
        <v>1502</v>
      </c>
      <c r="C9" s="142">
        <v>20320418562.52</v>
      </c>
      <c r="D9" s="680">
        <v>0.91983342582259375</v>
      </c>
    </row>
    <row r="10" spans="1:4" ht="16" customHeight="1" thickBot="1">
      <c r="A10" s="127">
        <v>34</v>
      </c>
      <c r="B10" s="127" t="s">
        <v>1503</v>
      </c>
      <c r="C10" s="142">
        <v>57961250.789999999</v>
      </c>
      <c r="D10" s="680">
        <v>2.6237006740335812E-3</v>
      </c>
    </row>
    <row r="11" spans="1:4" ht="39" customHeight="1" thickBot="1">
      <c r="A11" s="723">
        <v>35</v>
      </c>
      <c r="B11" s="723" t="s">
        <v>1852</v>
      </c>
      <c r="C11" s="530">
        <v>296138887.51999998</v>
      </c>
      <c r="D11" s="724">
        <v>1.3405159278029771E-2</v>
      </c>
    </row>
    <row r="12" spans="1:4" ht="21.75" customHeight="1" thickBot="1">
      <c r="A12" s="128" t="s">
        <v>1853</v>
      </c>
      <c r="B12" s="128" t="s">
        <v>1506</v>
      </c>
      <c r="C12" s="142">
        <v>20674518700.830002</v>
      </c>
      <c r="D12" s="680">
        <v>0.93586228577465724</v>
      </c>
    </row>
    <row r="13" spans="1:4" ht="16" customHeight="1" thickBot="1">
      <c r="A13" s="127">
        <v>36</v>
      </c>
      <c r="B13" s="127" t="s">
        <v>1854</v>
      </c>
      <c r="C13" s="142">
        <v>-20281352.899999999</v>
      </c>
      <c r="D13" s="680">
        <v>-9.1806506155011367E-4</v>
      </c>
    </row>
    <row r="14" spans="1:4" ht="16" customHeight="1" thickBot="1">
      <c r="A14" s="128">
        <v>37</v>
      </c>
      <c r="B14" s="128" t="s">
        <v>615</v>
      </c>
      <c r="C14" s="142">
        <v>2011872.94</v>
      </c>
      <c r="D14" s="680">
        <v>9.1070367129803657E-5</v>
      </c>
    </row>
    <row r="15" spans="1:4" ht="21.75" customHeight="1" thickBot="1">
      <c r="A15" s="128">
        <v>3</v>
      </c>
      <c r="B15" s="128" t="s">
        <v>2111</v>
      </c>
      <c r="C15" s="142">
        <v>20656249220.869999</v>
      </c>
      <c r="D15" s="680">
        <v>0.93503529108023675</v>
      </c>
    </row>
    <row r="16" spans="1:4" ht="16" customHeight="1" thickBot="1">
      <c r="A16" s="127">
        <v>400</v>
      </c>
      <c r="B16" s="127" t="s">
        <v>1855</v>
      </c>
      <c r="C16" s="142">
        <v>1262014530.27</v>
      </c>
      <c r="D16" s="680">
        <v>5.7126930985430729E-2</v>
      </c>
    </row>
    <row r="17" spans="1:4" ht="16" customHeight="1" thickBot="1">
      <c r="A17" s="127">
        <v>410</v>
      </c>
      <c r="B17" s="127" t="s">
        <v>1856</v>
      </c>
      <c r="C17" s="142">
        <v>130665974.67</v>
      </c>
      <c r="D17" s="680">
        <v>5.9147861915029914E-3</v>
      </c>
    </row>
    <row r="18" spans="1:4" ht="16" customHeight="1" thickBot="1">
      <c r="A18" s="127">
        <v>420</v>
      </c>
      <c r="B18" s="127" t="s">
        <v>1857</v>
      </c>
      <c r="C18" s="142">
        <v>201710131.69999999</v>
      </c>
      <c r="D18" s="680">
        <v>9.130703725116979E-3</v>
      </c>
    </row>
    <row r="19" spans="1:4" ht="16" customHeight="1" thickBot="1">
      <c r="A19" s="127">
        <v>430</v>
      </c>
      <c r="B19" s="127" t="s">
        <v>1858</v>
      </c>
      <c r="C19" s="142">
        <v>57964824.090000004</v>
      </c>
      <c r="D19" s="680">
        <v>2.6238624246771708E-3</v>
      </c>
    </row>
    <row r="20" spans="1:4" ht="16" customHeight="1" thickBot="1">
      <c r="A20" s="128">
        <v>450</v>
      </c>
      <c r="B20" s="128" t="s">
        <v>1859</v>
      </c>
      <c r="C20" s="142">
        <v>78133041.370000005</v>
      </c>
      <c r="D20" s="680">
        <v>3.5368062371443987E-3</v>
      </c>
    </row>
    <row r="21" spans="1:4" ht="16" customHeight="1" thickBot="1">
      <c r="A21" s="127">
        <v>453</v>
      </c>
      <c r="B21" s="127" t="s">
        <v>1860</v>
      </c>
      <c r="C21" s="142">
        <v>39602075.460000001</v>
      </c>
      <c r="D21" s="680">
        <v>1.7926457876829879E-3</v>
      </c>
    </row>
    <row r="22" spans="1:4" ht="16" customHeight="1" thickBot="1">
      <c r="A22" s="128">
        <v>460</v>
      </c>
      <c r="B22" s="128" t="s">
        <v>1861</v>
      </c>
      <c r="C22" s="142">
        <v>218794622.41999999</v>
      </c>
      <c r="D22" s="680">
        <v>9.9040581508175012E-3</v>
      </c>
    </row>
    <row r="23" spans="1:4" ht="16" customHeight="1" thickBot="1">
      <c r="A23" s="127">
        <v>470</v>
      </c>
      <c r="B23" s="127" t="s">
        <v>1862</v>
      </c>
      <c r="C23" s="142">
        <v>-642891292.36000001</v>
      </c>
      <c r="D23" s="680">
        <v>-2.9101413342623488E-2</v>
      </c>
    </row>
    <row r="24" spans="1:4" ht="21.75" customHeight="1" thickBot="1">
      <c r="A24" s="128" t="s">
        <v>1863</v>
      </c>
      <c r="B24" s="128" t="s">
        <v>1864</v>
      </c>
      <c r="C24" s="142">
        <v>1345993907.6199999</v>
      </c>
      <c r="D24" s="680">
        <v>6.0928380159749267E-2</v>
      </c>
    </row>
    <row r="25" spans="1:4" ht="16" customHeight="1" thickBot="1">
      <c r="A25" s="127">
        <v>48</v>
      </c>
      <c r="B25" s="127" t="s">
        <v>2114</v>
      </c>
      <c r="C25" s="142">
        <v>69087399.329999998</v>
      </c>
      <c r="D25" s="680">
        <v>3.1273420383229823E-3</v>
      </c>
    </row>
    <row r="26" spans="1:4" ht="16" customHeight="1" thickBot="1">
      <c r="A26" s="127">
        <v>49</v>
      </c>
      <c r="B26" s="127" t="s">
        <v>2115</v>
      </c>
      <c r="C26" s="142">
        <v>20080799.559999999</v>
      </c>
      <c r="D26" s="680">
        <v>9.0898672169088357E-4</v>
      </c>
    </row>
    <row r="27" spans="1:4" ht="21.75" customHeight="1" thickBot="1">
      <c r="A27" s="128">
        <v>4</v>
      </c>
      <c r="B27" s="128" t="s">
        <v>2116</v>
      </c>
      <c r="C27" s="142">
        <v>1435162106.51</v>
      </c>
      <c r="D27" s="680">
        <v>6.4964708919763137E-2</v>
      </c>
    </row>
    <row r="28" spans="1:4" s="148" customFormat="1" ht="21.75" customHeight="1" thickBot="1">
      <c r="A28" s="710" t="s">
        <v>1865</v>
      </c>
      <c r="B28" s="710" t="s">
        <v>2118</v>
      </c>
      <c r="C28" s="520">
        <v>22091411327.380001</v>
      </c>
      <c r="D28" s="665">
        <v>1</v>
      </c>
    </row>
    <row r="29" spans="1:4" ht="21.75" customHeight="1" thickBot="1">
      <c r="A29" s="128" t="s">
        <v>1866</v>
      </c>
      <c r="B29" s="128" t="s">
        <v>1867</v>
      </c>
      <c r="C29" s="530">
        <v>315881868.80000001</v>
      </c>
      <c r="D29" s="725" t="s">
        <v>407</v>
      </c>
    </row>
    <row r="30" spans="1:4" ht="35.25" customHeight="1" thickBot="1">
      <c r="A30" s="578"/>
      <c r="B30" s="578" t="s">
        <v>1868</v>
      </c>
      <c r="C30" s="530">
        <v>22407293196.18</v>
      </c>
      <c r="D30" s="726" t="s">
        <v>407</v>
      </c>
    </row>
    <row r="31" spans="1:4" ht="20" customHeight="1">
      <c r="A31" s="133" t="s">
        <v>1256</v>
      </c>
      <c r="B31" s="170"/>
      <c r="C31" s="287"/>
      <c r="D31" s="727"/>
    </row>
    <row r="32" spans="1:4" ht="15.75" customHeight="1">
      <c r="A32" s="3"/>
      <c r="B32" s="171"/>
      <c r="C32" s="288"/>
      <c r="D32" s="728"/>
    </row>
    <row r="33" spans="1:4" ht="15.75" customHeight="1">
      <c r="A33" s="3" t="s">
        <v>1869</v>
      </c>
      <c r="B33" s="171"/>
      <c r="C33" s="288"/>
      <c r="D33" s="728"/>
    </row>
    <row r="34" spans="1:4" ht="15.75" customHeight="1">
      <c r="A34" s="3" t="s">
        <v>1870</v>
      </c>
      <c r="B34" s="171"/>
      <c r="C34" s="288"/>
      <c r="D34" s="728"/>
    </row>
    <row r="35" spans="1:4">
      <c r="A35" s="3" t="s">
        <v>326</v>
      </c>
    </row>
    <row r="36" spans="1:4">
      <c r="A36" s="2" t="s">
        <v>327</v>
      </c>
    </row>
    <row r="38" spans="1:4">
      <c r="A38" s="2" t="s">
        <v>328</v>
      </c>
    </row>
    <row r="41" spans="1:4">
      <c r="A41" s="300" t="s">
        <v>634</v>
      </c>
    </row>
  </sheetData>
  <phoneticPr fontId="0" type="noConversion"/>
  <pageMargins left="0.65" right="0.74" top="0.83" bottom="0.49" header="0.53" footer="0.4921259845"/>
  <pageSetup paperSize="9" scale="85" orientation="portrait" horizontalDpi="4294967292" verticalDpi="4294967292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131F-3659-894C-8B45-F4C458FE0D49}">
  <dimension ref="A1:K28"/>
  <sheetViews>
    <sheetView zoomScale="75" workbookViewId="0">
      <selection activeCell="A3" sqref="A3"/>
    </sheetView>
  </sheetViews>
  <sheetFormatPr baseColWidth="10" defaultColWidth="11.3984375" defaultRowHeight="13"/>
  <cols>
    <col min="1" max="1" width="13.796875" style="2" customWidth="1"/>
    <col min="2" max="6" width="15" style="2" customWidth="1"/>
    <col min="7" max="7" width="15" style="676" customWidth="1"/>
    <col min="8" max="16384" width="11.3984375" style="2"/>
  </cols>
  <sheetData>
    <row r="1" spans="1:11" s="1" customFormat="1" ht="14" customHeight="1">
      <c r="G1" s="610"/>
    </row>
    <row r="2" spans="1:11" s="1" customFormat="1" ht="28" customHeight="1">
      <c r="A2" s="56" t="s">
        <v>896</v>
      </c>
      <c r="G2" s="321">
        <v>2007</v>
      </c>
    </row>
    <row r="3" spans="1:11" ht="24" customHeight="1">
      <c r="A3" s="110" t="s">
        <v>911</v>
      </c>
      <c r="B3" s="111" t="s">
        <v>897</v>
      </c>
      <c r="C3" s="112"/>
      <c r="D3" s="111" t="s">
        <v>898</v>
      </c>
      <c r="E3" s="112"/>
      <c r="F3" s="111" t="s">
        <v>899</v>
      </c>
      <c r="G3" s="660" t="s">
        <v>1801</v>
      </c>
    </row>
    <row r="4" spans="1:11" ht="15" customHeight="1">
      <c r="A4" s="308"/>
      <c r="B4" s="114" t="s">
        <v>900</v>
      </c>
      <c r="C4" s="115" t="s">
        <v>901</v>
      </c>
      <c r="D4" s="114" t="s">
        <v>902</v>
      </c>
      <c r="E4" s="115" t="s">
        <v>903</v>
      </c>
      <c r="F4" s="114" t="s">
        <v>904</v>
      </c>
      <c r="G4" s="661" t="s">
        <v>1802</v>
      </c>
    </row>
    <row r="5" spans="1:11" ht="15" customHeight="1">
      <c r="A5" s="308"/>
      <c r="B5" s="114" t="s">
        <v>905</v>
      </c>
      <c r="C5" s="115" t="s">
        <v>905</v>
      </c>
      <c r="D5" s="114" t="s">
        <v>906</v>
      </c>
      <c r="E5" s="115" t="s">
        <v>2043</v>
      </c>
      <c r="F5" s="114"/>
      <c r="G5" s="661" t="s">
        <v>1806</v>
      </c>
    </row>
    <row r="6" spans="1:11" ht="24" customHeight="1">
      <c r="A6" s="309"/>
      <c r="B6" s="120"/>
      <c r="C6" s="119"/>
      <c r="D6" s="120"/>
      <c r="E6" s="119"/>
      <c r="F6" s="120"/>
      <c r="G6" s="662"/>
    </row>
    <row r="7" spans="1:11" ht="2.25" customHeight="1" thickBot="1">
      <c r="A7" s="310">
        <v>1996</v>
      </c>
      <c r="B7" s="819">
        <v>4170.9064983500002</v>
      </c>
      <c r="C7" s="311">
        <v>8662.5285187900008</v>
      </c>
      <c r="D7" s="819">
        <v>8044.1419523000004</v>
      </c>
      <c r="E7" s="311">
        <v>4789.2930648399997</v>
      </c>
      <c r="F7" s="819">
        <v>12833.435017170003</v>
      </c>
      <c r="G7" s="680">
        <v>-6.5875098254165963E-3</v>
      </c>
      <c r="I7" s="9"/>
      <c r="J7" s="9"/>
      <c r="K7" s="9"/>
    </row>
    <row r="8" spans="1:11" ht="20" customHeight="1" thickBot="1">
      <c r="A8" s="312">
        <v>1997</v>
      </c>
      <c r="B8" s="820">
        <v>4394.7098477299996</v>
      </c>
      <c r="C8" s="821">
        <v>9362.3509974099998</v>
      </c>
      <c r="D8" s="820">
        <v>9077.9116548700003</v>
      </c>
      <c r="E8" s="821">
        <v>4679.1491902700009</v>
      </c>
      <c r="F8" s="820">
        <v>13757.060845139998</v>
      </c>
      <c r="G8" s="667">
        <v>7.1970273487516487E-2</v>
      </c>
    </row>
    <row r="9" spans="1:11" ht="20" customHeight="1" thickBot="1">
      <c r="A9" s="312">
        <v>1998</v>
      </c>
      <c r="B9" s="820">
        <v>4492.0042062100001</v>
      </c>
      <c r="C9" s="821">
        <v>10278.585833719999</v>
      </c>
      <c r="D9" s="820">
        <v>9968.5479871799998</v>
      </c>
      <c r="E9" s="821">
        <v>4802.0420530199999</v>
      </c>
      <c r="F9" s="820">
        <v>14770.59003996</v>
      </c>
      <c r="G9" s="667">
        <v>7.3673381707696217E-2</v>
      </c>
    </row>
    <row r="10" spans="1:11" ht="20" customHeight="1" thickBot="1">
      <c r="A10" s="312">
        <v>1999</v>
      </c>
      <c r="B10" s="820">
        <v>4039.0720529599998</v>
      </c>
      <c r="C10" s="821">
        <v>10698.624229800002</v>
      </c>
      <c r="D10" s="820">
        <v>9829.3330688500009</v>
      </c>
      <c r="E10" s="821">
        <v>4908.3632139400006</v>
      </c>
      <c r="F10" s="820">
        <v>14737.696282749999</v>
      </c>
      <c r="G10" s="667">
        <v>-2.2269765203022374E-3</v>
      </c>
    </row>
    <row r="11" spans="1:11" ht="20" customHeight="1" thickBot="1">
      <c r="A11" s="312">
        <v>2000</v>
      </c>
      <c r="B11" s="820">
        <v>4332.0125006399994</v>
      </c>
      <c r="C11" s="821">
        <v>10499.430512299999</v>
      </c>
      <c r="D11" s="820">
        <v>10459.0563088</v>
      </c>
      <c r="E11" s="821">
        <v>4372.38670413</v>
      </c>
      <c r="F11" s="820">
        <v>14831.443012869999</v>
      </c>
      <c r="G11" s="667">
        <v>6.361016560622712E-3</v>
      </c>
    </row>
    <row r="12" spans="1:11" ht="20" customHeight="1" thickBot="1">
      <c r="A12" s="312">
        <v>2001</v>
      </c>
      <c r="B12" s="820">
        <v>4480.2212955000005</v>
      </c>
      <c r="C12" s="821">
        <v>9101.4192862999989</v>
      </c>
      <c r="D12" s="820">
        <v>10583.525388</v>
      </c>
      <c r="E12" s="821">
        <v>2998.1151934999998</v>
      </c>
      <c r="F12" s="820">
        <v>13581.640582</v>
      </c>
      <c r="G12" s="667">
        <v>-8.4267082426536799E-2</v>
      </c>
    </row>
    <row r="13" spans="1:11" ht="20" customHeight="1" thickBot="1">
      <c r="A13" s="312">
        <v>2002</v>
      </c>
      <c r="B13" s="820">
        <v>5055.0187533999997</v>
      </c>
      <c r="C13" s="821">
        <v>8256.3197148999989</v>
      </c>
      <c r="D13" s="820">
        <v>10485.582893000001</v>
      </c>
      <c r="E13" s="821">
        <v>2730.3161460000001</v>
      </c>
      <c r="F13" s="820">
        <v>13311.318467999999</v>
      </c>
      <c r="G13" s="667">
        <v>-1.9903494895768592E-2</v>
      </c>
    </row>
    <row r="14" spans="1:11" ht="20" customHeight="1" thickBot="1">
      <c r="A14" s="312">
        <v>2003</v>
      </c>
      <c r="B14" s="820">
        <v>6067.1959962000001</v>
      </c>
      <c r="C14" s="821">
        <v>8398.4942018000002</v>
      </c>
      <c r="D14" s="820">
        <v>11252.005746999999</v>
      </c>
      <c r="E14" s="821">
        <v>3213.6844504999999</v>
      </c>
      <c r="F14" s="820">
        <v>14465.690198</v>
      </c>
      <c r="G14" s="667">
        <v>8.6721066194537677E-2</v>
      </c>
    </row>
    <row r="15" spans="1:11" ht="20" customHeight="1" thickBot="1">
      <c r="A15" s="312">
        <v>2004</v>
      </c>
      <c r="B15" s="820">
        <v>6542.9172908</v>
      </c>
      <c r="C15" s="821">
        <v>8401.4767168999988</v>
      </c>
      <c r="D15" s="820">
        <v>11192.037166</v>
      </c>
      <c r="E15" s="821">
        <v>3752.3568421999998</v>
      </c>
      <c r="F15" s="820">
        <v>14944.394007999999</v>
      </c>
      <c r="G15" s="667">
        <v>3.3092358777750075E-2</v>
      </c>
    </row>
    <row r="16" spans="1:11" ht="20" customHeight="1" thickBot="1">
      <c r="A16" s="312">
        <v>2005</v>
      </c>
      <c r="B16" s="820">
        <v>6906.5407365000001</v>
      </c>
      <c r="C16" s="821">
        <v>9245.4417635000009</v>
      </c>
      <c r="D16" s="820">
        <v>12133.7989425</v>
      </c>
      <c r="E16" s="821">
        <v>4018.1835572</v>
      </c>
      <c r="F16" s="820">
        <v>16151.982499600001</v>
      </c>
      <c r="G16" s="667">
        <v>8.0805450589268357E-2</v>
      </c>
    </row>
    <row r="17" spans="1:7" ht="20" customHeight="1" thickBot="1">
      <c r="A17" s="312">
        <v>2006</v>
      </c>
      <c r="B17" s="820">
        <v>7617.7471638000006</v>
      </c>
      <c r="C17" s="821">
        <v>10441.159153100001</v>
      </c>
      <c r="D17" s="820">
        <v>13475.7956639</v>
      </c>
      <c r="E17" s="821">
        <v>4583.1106529999997</v>
      </c>
      <c r="F17" s="820">
        <v>18058.9063169</v>
      </c>
      <c r="G17" s="667">
        <v>0.11806128550146866</v>
      </c>
    </row>
    <row r="18" spans="1:7" s="419" customFormat="1" ht="27.75" customHeight="1" thickBot="1">
      <c r="A18" s="418">
        <v>2007</v>
      </c>
      <c r="B18" s="822">
        <v>7365.8641676499992</v>
      </c>
      <c r="C18" s="823">
        <v>11399.08539328</v>
      </c>
      <c r="D18" s="822">
        <v>13954.63675686</v>
      </c>
      <c r="E18" s="823">
        <v>4810.3128043300003</v>
      </c>
      <c r="F18" s="822">
        <v>18764.949561189998</v>
      </c>
      <c r="G18" s="681">
        <v>3.9096677943849967E-2</v>
      </c>
    </row>
    <row r="19" spans="1:7" ht="20" customHeight="1">
      <c r="A19" s="133" t="s">
        <v>1256</v>
      </c>
      <c r="B19" s="133"/>
      <c r="C19" s="133"/>
      <c r="D19" s="133"/>
      <c r="E19" s="133"/>
      <c r="F19" s="133"/>
      <c r="G19" s="674"/>
    </row>
    <row r="20" spans="1:7" ht="10.5" customHeight="1">
      <c r="A20" s="3"/>
      <c r="B20" s="3"/>
      <c r="C20" s="3"/>
      <c r="D20" s="3"/>
      <c r="E20" s="3"/>
      <c r="F20" s="3"/>
      <c r="G20" s="675"/>
    </row>
    <row r="21" spans="1:7">
      <c r="A21" s="3" t="s">
        <v>907</v>
      </c>
    </row>
    <row r="22" spans="1:7">
      <c r="A22" s="2" t="s">
        <v>908</v>
      </c>
    </row>
    <row r="23" spans="1:7">
      <c r="A23" s="2" t="s">
        <v>909</v>
      </c>
    </row>
    <row r="25" spans="1:7">
      <c r="A25" s="2" t="s">
        <v>910</v>
      </c>
    </row>
    <row r="28" spans="1:7">
      <c r="A28" s="2" t="s">
        <v>634</v>
      </c>
    </row>
  </sheetData>
  <phoneticPr fontId="0" type="noConversion"/>
  <pageMargins left="0.65" right="0.61" top="0.99" bottom="0.49" header="0.56000000000000005" footer="0.4921259845"/>
  <pageSetup paperSize="9" scale="80" orientation="portrait" horizontalDpi="4294967292" verticalDpi="4294967292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6997-C813-2342-8C74-3951447AC240}">
  <sheetPr>
    <pageSetUpPr fitToPage="1"/>
  </sheetPr>
  <dimension ref="A1:I26"/>
  <sheetViews>
    <sheetView topLeftCell="A5" zoomScale="75" workbookViewId="0">
      <selection activeCell="G24" sqref="G24"/>
    </sheetView>
  </sheetViews>
  <sheetFormatPr baseColWidth="10" defaultColWidth="11.3984375" defaultRowHeight="13"/>
  <cols>
    <col min="1" max="1" width="14.19921875" style="2" customWidth="1"/>
    <col min="2" max="2" width="14" style="2" customWidth="1"/>
    <col min="3" max="5" width="14" style="676" customWidth="1"/>
    <col min="6" max="8" width="14" style="2" customWidth="1"/>
    <col min="9" max="16384" width="11.3984375" style="2"/>
  </cols>
  <sheetData>
    <row r="1" spans="1:9" s="1" customFormat="1" ht="14" customHeight="1">
      <c r="C1" s="610"/>
      <c r="D1" s="610"/>
      <c r="E1" s="610"/>
    </row>
    <row r="2" spans="1:9" s="1" customFormat="1" ht="33" customHeight="1">
      <c r="A2" s="1800" t="s">
        <v>912</v>
      </c>
      <c r="B2" s="1804"/>
      <c r="C2" s="1804"/>
      <c r="D2" s="1804"/>
      <c r="E2" s="1804"/>
      <c r="F2" s="1804"/>
      <c r="G2" s="1804"/>
      <c r="H2" s="321">
        <v>2007</v>
      </c>
    </row>
    <row r="3" spans="1:9" ht="24" customHeight="1">
      <c r="A3" s="110" t="s">
        <v>517</v>
      </c>
      <c r="B3" s="111" t="s">
        <v>1408</v>
      </c>
      <c r="C3" s="660" t="s">
        <v>1801</v>
      </c>
      <c r="D3" s="824" t="s">
        <v>913</v>
      </c>
      <c r="E3" s="660" t="s">
        <v>914</v>
      </c>
      <c r="F3" s="824" t="s">
        <v>1801</v>
      </c>
      <c r="G3" s="660" t="s">
        <v>2172</v>
      </c>
      <c r="H3" s="824" t="s">
        <v>1801</v>
      </c>
    </row>
    <row r="4" spans="1:9" ht="15" customHeight="1">
      <c r="A4" s="308"/>
      <c r="B4" s="114" t="s">
        <v>1058</v>
      </c>
      <c r="C4" s="661" t="s">
        <v>1802</v>
      </c>
      <c r="D4" s="825" t="s">
        <v>2177</v>
      </c>
      <c r="E4" s="661" t="s">
        <v>2173</v>
      </c>
      <c r="F4" s="825" t="s">
        <v>1802</v>
      </c>
      <c r="G4" s="661" t="s">
        <v>2174</v>
      </c>
      <c r="H4" s="825" t="s">
        <v>1802</v>
      </c>
    </row>
    <row r="5" spans="1:9" ht="15" customHeight="1">
      <c r="A5" s="308"/>
      <c r="B5" s="114"/>
      <c r="C5" s="661" t="s">
        <v>1806</v>
      </c>
      <c r="D5" s="825"/>
      <c r="E5" s="113" t="s">
        <v>1058</v>
      </c>
      <c r="F5" s="825" t="s">
        <v>1806</v>
      </c>
      <c r="G5" s="113" t="s">
        <v>1058</v>
      </c>
      <c r="H5" s="825" t="s">
        <v>1806</v>
      </c>
    </row>
    <row r="6" spans="1:9" ht="24" customHeight="1">
      <c r="A6" s="309"/>
      <c r="B6" s="120"/>
      <c r="C6" s="662"/>
      <c r="D6" s="826"/>
      <c r="E6" s="662"/>
      <c r="F6" s="118"/>
      <c r="G6" s="662"/>
      <c r="H6" s="826"/>
    </row>
    <row r="7" spans="1:9" ht="1.5" customHeight="1" thickBot="1">
      <c r="A7" s="310">
        <v>1996</v>
      </c>
      <c r="B7" s="819">
        <v>4007.8366596000001</v>
      </c>
      <c r="C7" s="680">
        <v>-1.767505493939879E-2</v>
      </c>
      <c r="D7" s="827">
        <v>0.24196501185861982</v>
      </c>
      <c r="E7" s="311">
        <v>7634.4120938999995</v>
      </c>
      <c r="F7" s="827" t="s">
        <v>59</v>
      </c>
      <c r="G7" s="311">
        <v>878.70776672</v>
      </c>
      <c r="H7" s="827" t="s">
        <v>59</v>
      </c>
      <c r="I7" s="9"/>
    </row>
    <row r="8" spans="1:9" ht="20" customHeight="1" thickBot="1">
      <c r="A8" s="312">
        <v>1997</v>
      </c>
      <c r="B8" s="820">
        <v>4017.3956079</v>
      </c>
      <c r="C8" s="667">
        <v>2.385064340659509E-3</v>
      </c>
      <c r="D8" s="828">
        <v>0.22399999999999998</v>
      </c>
      <c r="E8" s="821">
        <v>8314.1764980999997</v>
      </c>
      <c r="F8" s="828">
        <v>8.9039522079655792E-2</v>
      </c>
      <c r="G8" s="821">
        <v>892.88593902000002</v>
      </c>
      <c r="H8" s="828">
        <v>1.6135253194499075E-2</v>
      </c>
    </row>
    <row r="9" spans="1:9" ht="20" customHeight="1" thickBot="1">
      <c r="A9" s="312">
        <v>1998</v>
      </c>
      <c r="B9" s="820">
        <v>4117.6667946999996</v>
      </c>
      <c r="C9" s="667">
        <v>2.4959251362455213E-2</v>
      </c>
      <c r="D9" s="828">
        <v>0.22</v>
      </c>
      <c r="E9" s="821">
        <v>9206.9689780000008</v>
      </c>
      <c r="F9" s="828">
        <v>0.1073819493853693</v>
      </c>
      <c r="G9" s="821">
        <v>910.20990798000003</v>
      </c>
      <c r="H9" s="828">
        <v>1.9402219480591416E-2</v>
      </c>
    </row>
    <row r="10" spans="1:9" ht="20" customHeight="1" thickBot="1">
      <c r="A10" s="312">
        <v>1999</v>
      </c>
      <c r="B10" s="820">
        <v>4531.0035571000008</v>
      </c>
      <c r="C10" s="667">
        <v>0.10038130402683909</v>
      </c>
      <c r="D10" s="828">
        <v>0.248</v>
      </c>
      <c r="E10" s="821">
        <v>9587.3624237999993</v>
      </c>
      <c r="F10" s="828">
        <v>4.1315817041302827E-2</v>
      </c>
      <c r="G10" s="821">
        <v>929.94977453999991</v>
      </c>
      <c r="H10" s="828">
        <v>2.168715851908054E-2</v>
      </c>
    </row>
    <row r="11" spans="1:9" ht="20" customHeight="1" thickBot="1">
      <c r="A11" s="312">
        <v>2000</v>
      </c>
      <c r="B11" s="820">
        <v>4046.3173426999997</v>
      </c>
      <c r="C11" s="667">
        <v>-0.10697105139997221</v>
      </c>
      <c r="D11" s="828">
        <v>0.22899999999999998</v>
      </c>
      <c r="E11" s="821">
        <v>9383.0818280000003</v>
      </c>
      <c r="F11" s="828">
        <v>-2.1307277932133384E-2</v>
      </c>
      <c r="G11" s="821">
        <v>935.15434852999999</v>
      </c>
      <c r="H11" s="828">
        <v>5.5966183685292048E-3</v>
      </c>
    </row>
    <row r="12" spans="1:9" ht="20" customHeight="1" thickBot="1">
      <c r="A12" s="312">
        <v>2001</v>
      </c>
      <c r="B12" s="820">
        <v>2721.4537870999998</v>
      </c>
      <c r="C12" s="667">
        <v>-0.32742453035479269</v>
      </c>
      <c r="D12" s="828">
        <v>0.16266572127677031</v>
      </c>
      <c r="E12" s="821">
        <v>7961.4574869999997</v>
      </c>
      <c r="F12" s="828">
        <v>-0.15150931933234768</v>
      </c>
      <c r="G12" s="821">
        <v>954.93160932000001</v>
      </c>
      <c r="H12" s="828">
        <v>2.1148659385574753E-2</v>
      </c>
    </row>
    <row r="13" spans="1:9" ht="20" customHeight="1" thickBot="1">
      <c r="A13" s="312">
        <v>2002</v>
      </c>
      <c r="B13" s="820">
        <v>2517.2839804</v>
      </c>
      <c r="C13" s="667">
        <v>-7.5022330957000949E-2</v>
      </c>
      <c r="D13" s="828">
        <v>0.13972376589664312</v>
      </c>
      <c r="E13" s="821">
        <v>7106.5237452000001</v>
      </c>
      <c r="F13" s="828">
        <v>-0.10738407423464769</v>
      </c>
      <c r="G13" s="821">
        <v>984.65094364999993</v>
      </c>
      <c r="H13" s="828">
        <v>3.1121950556399325E-2</v>
      </c>
    </row>
    <row r="14" spans="1:9" ht="20" customHeight="1" thickBot="1">
      <c r="A14" s="312">
        <v>2003</v>
      </c>
      <c r="B14" s="820">
        <v>3007.4782717600006</v>
      </c>
      <c r="C14" s="667">
        <v>0.19473142290529655</v>
      </c>
      <c r="D14" s="828">
        <v>0.15444074863234167</v>
      </c>
      <c r="E14" s="821">
        <v>7378.0453514999999</v>
      </c>
      <c r="F14" s="828">
        <v>3.820737339875846E-2</v>
      </c>
      <c r="G14" s="821">
        <v>885.89521162999995</v>
      </c>
      <c r="H14" s="828">
        <v>-0.1002951682084644</v>
      </c>
    </row>
    <row r="15" spans="1:9" ht="20" customHeight="1" thickBot="1">
      <c r="A15" s="312">
        <v>2004</v>
      </c>
      <c r="B15" s="820">
        <v>3581.7878758600004</v>
      </c>
      <c r="C15" s="667">
        <v>0.19096051648742551</v>
      </c>
      <c r="D15" s="828">
        <v>0.17609858201884715</v>
      </c>
      <c r="E15" s="821">
        <v>7386.4198756999995</v>
      </c>
      <c r="F15" s="828">
        <v>1.1350600058723792E-3</v>
      </c>
      <c r="G15" s="821">
        <v>876.33966492999991</v>
      </c>
      <c r="H15" s="828">
        <v>-1.0786317133849699E-2</v>
      </c>
    </row>
    <row r="16" spans="1:9" ht="20" customHeight="1" thickBot="1">
      <c r="A16" s="312">
        <v>2005</v>
      </c>
      <c r="B16" s="820">
        <v>3869.5470762</v>
      </c>
      <c r="C16" s="667">
        <v>8.0339542796321384E-2</v>
      </c>
      <c r="D16" s="828">
        <v>0.18526823405593668</v>
      </c>
      <c r="E16" s="821">
        <v>8227.3219200000003</v>
      </c>
      <c r="F16" s="828">
        <v>0.11384433303966635</v>
      </c>
      <c r="G16" s="821">
        <v>864.96945500000004</v>
      </c>
      <c r="H16" s="828">
        <v>-1.2974660836455598E-2</v>
      </c>
    </row>
    <row r="17" spans="1:8" ht="20" customHeight="1" thickBot="1">
      <c r="A17" s="312">
        <v>2006</v>
      </c>
      <c r="B17" s="820">
        <v>4510.5379199999998</v>
      </c>
      <c r="C17" s="667">
        <v>0.16565009578058176</v>
      </c>
      <c r="D17" s="828">
        <v>0.20772626624087148</v>
      </c>
      <c r="E17" s="821">
        <v>9466.6831490000004</v>
      </c>
      <c r="F17" s="828">
        <v>0.15063969066133254</v>
      </c>
      <c r="G17" s="821">
        <v>858.28986799999996</v>
      </c>
      <c r="H17" s="828">
        <v>-7.7223385882453366E-3</v>
      </c>
    </row>
    <row r="18" spans="1:8" s="419" customFormat="1" ht="28.5" customHeight="1" thickBot="1">
      <c r="A18" s="418">
        <v>2007</v>
      </c>
      <c r="B18" s="822">
        <v>4787.9201766100005</v>
      </c>
      <c r="C18" s="681">
        <v>6.1496491445082624E-2</v>
      </c>
      <c r="D18" s="829">
        <v>0.21638748853648229</v>
      </c>
      <c r="E18" s="823">
        <v>10372.83324</v>
      </c>
      <c r="F18" s="830">
        <v>9.5719913378078836E-2</v>
      </c>
      <c r="G18" s="831">
        <v>895.33742199999995</v>
      </c>
      <c r="H18" s="830">
        <v>4.3164384645864251E-2</v>
      </c>
    </row>
    <row r="19" spans="1:8" ht="20" customHeight="1">
      <c r="A19" s="133" t="s">
        <v>1256</v>
      </c>
      <c r="B19" s="133"/>
      <c r="C19" s="674"/>
      <c r="D19" s="674"/>
      <c r="E19" s="674"/>
    </row>
    <row r="20" spans="1:8" ht="11.25" customHeight="1">
      <c r="A20" s="3"/>
      <c r="B20" s="3"/>
      <c r="C20" s="675"/>
      <c r="D20" s="675"/>
      <c r="E20" s="675"/>
    </row>
    <row r="21" spans="1:8">
      <c r="A21" s="2" t="s">
        <v>2175</v>
      </c>
    </row>
    <row r="23" spans="1:8">
      <c r="A23" s="2" t="s">
        <v>2176</v>
      </c>
    </row>
    <row r="26" spans="1:8">
      <c r="A26" s="2" t="s">
        <v>634</v>
      </c>
    </row>
  </sheetData>
  <mergeCells count="1">
    <mergeCell ref="A2:G2"/>
  </mergeCells>
  <phoneticPr fontId="0" type="noConversion"/>
  <pageMargins left="0.69" right="0.56000000000000005" top="1.08" bottom="0.49" header="0.53" footer="0.4921259845"/>
  <pageSetup paperSize="9" scale="81" orientation="portrait" horizontalDpi="4294967292" verticalDpi="4294967292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E154-8039-8246-8F92-F31C0B5F3AAB}">
  <sheetPr>
    <pageSetUpPr fitToPage="1"/>
  </sheetPr>
  <dimension ref="A1:D33"/>
  <sheetViews>
    <sheetView zoomScale="75" workbookViewId="0">
      <selection activeCell="C17" sqref="C17"/>
    </sheetView>
  </sheetViews>
  <sheetFormatPr baseColWidth="10" defaultColWidth="11.3984375" defaultRowHeight="13"/>
  <cols>
    <col min="1" max="1" width="10.59765625" style="2" customWidth="1"/>
    <col min="2" max="2" width="60.796875" style="95" customWidth="1"/>
    <col min="3" max="3" width="17" style="8" customWidth="1"/>
    <col min="4" max="4" width="17" style="676" customWidth="1"/>
    <col min="5" max="16384" width="11.3984375" style="2"/>
  </cols>
  <sheetData>
    <row r="1" spans="1:4" s="1" customFormat="1" ht="14" customHeight="1">
      <c r="B1" s="166"/>
      <c r="C1" s="274"/>
      <c r="D1" s="610"/>
    </row>
    <row r="2" spans="1:4" s="1" customFormat="1" ht="28" customHeight="1">
      <c r="A2" s="56" t="s">
        <v>1417</v>
      </c>
      <c r="B2" s="166"/>
      <c r="C2" s="274"/>
      <c r="D2" s="321">
        <v>2007</v>
      </c>
    </row>
    <row r="3" spans="1:4" ht="39" customHeight="1">
      <c r="A3" s="110" t="s">
        <v>1485</v>
      </c>
      <c r="B3" s="167"/>
      <c r="C3" s="139" t="s">
        <v>1344</v>
      </c>
      <c r="D3" s="660" t="s">
        <v>1362</v>
      </c>
    </row>
    <row r="4" spans="1:4" ht="38" customHeight="1">
      <c r="A4" s="505"/>
      <c r="B4" s="506"/>
      <c r="C4" s="141" t="s">
        <v>494</v>
      </c>
      <c r="D4" s="662" t="s">
        <v>870</v>
      </c>
    </row>
    <row r="5" spans="1:4" ht="30" customHeight="1" thickBot="1">
      <c r="A5" s="122"/>
      <c r="B5" s="716" t="s">
        <v>1418</v>
      </c>
      <c r="C5" s="520">
        <v>7365864167.6499996</v>
      </c>
      <c r="D5" s="680">
        <v>0.39253311839357502</v>
      </c>
    </row>
    <row r="6" spans="1:4" ht="21.75" customHeight="1" thickBot="1">
      <c r="A6" s="127">
        <v>10</v>
      </c>
      <c r="B6" s="127" t="s">
        <v>1419</v>
      </c>
      <c r="C6" s="142">
        <v>2343304564.96</v>
      </c>
      <c r="D6" s="667">
        <v>0.12487667805081298</v>
      </c>
    </row>
    <row r="7" spans="1:4" ht="21.75" customHeight="1" thickBot="1">
      <c r="A7" s="127">
        <v>11</v>
      </c>
      <c r="B7" s="127" t="s">
        <v>1420</v>
      </c>
      <c r="C7" s="142">
        <v>3345994127.7399998</v>
      </c>
      <c r="D7" s="667">
        <v>0.17831085113634437</v>
      </c>
    </row>
    <row r="8" spans="1:4" ht="18.75" customHeight="1" thickBot="1">
      <c r="A8" s="127"/>
      <c r="B8" s="714" t="s">
        <v>1421</v>
      </c>
      <c r="C8" s="541">
        <v>3599820843.27</v>
      </c>
      <c r="D8" s="667">
        <v>0.1918374910404817</v>
      </c>
    </row>
    <row r="9" spans="1:4" ht="18.75" customHeight="1" thickBot="1">
      <c r="A9" s="127"/>
      <c r="B9" s="714" t="s">
        <v>1422</v>
      </c>
      <c r="C9" s="541">
        <v>-253826715.53</v>
      </c>
      <c r="D9" s="667">
        <v>-1.3526639904137329E-2</v>
      </c>
    </row>
    <row r="10" spans="1:4" ht="21.75" customHeight="1" thickBot="1">
      <c r="A10" s="127">
        <v>12</v>
      </c>
      <c r="B10" s="127" t="s">
        <v>1423</v>
      </c>
      <c r="C10" s="142">
        <v>935501838.19000006</v>
      </c>
      <c r="D10" s="667">
        <v>4.9853682534686021E-2</v>
      </c>
    </row>
    <row r="11" spans="1:4" ht="18.75" customHeight="1" thickBot="1">
      <c r="A11" s="127"/>
      <c r="B11" s="714" t="s">
        <v>1424</v>
      </c>
      <c r="C11" s="541">
        <v>958315339.30999994</v>
      </c>
      <c r="D11" s="667">
        <v>5.1069433264306914E-2</v>
      </c>
    </row>
    <row r="12" spans="1:4" ht="18.75" customHeight="1" thickBot="1">
      <c r="A12" s="127"/>
      <c r="B12" s="714" t="s">
        <v>1834</v>
      </c>
      <c r="C12" s="541">
        <v>-22813501.120000001</v>
      </c>
      <c r="D12" s="667">
        <v>-1.2157507296208982E-3</v>
      </c>
    </row>
    <row r="13" spans="1:4" ht="24" customHeight="1" thickBot="1">
      <c r="A13" s="127">
        <v>13</v>
      </c>
      <c r="B13" s="127" t="s">
        <v>1835</v>
      </c>
      <c r="C13" s="142">
        <v>6422740.2599999998</v>
      </c>
      <c r="D13" s="667">
        <v>3.4227324934422504E-4</v>
      </c>
    </row>
    <row r="14" spans="1:4" ht="28.5" customHeight="1" thickBot="1">
      <c r="A14" s="127">
        <v>14</v>
      </c>
      <c r="B14" s="701" t="s">
        <v>1836</v>
      </c>
      <c r="C14" s="142">
        <v>276759180.23000002</v>
      </c>
      <c r="D14" s="667">
        <v>1.4748730303343468E-2</v>
      </c>
    </row>
    <row r="15" spans="1:4" ht="30.75" customHeight="1" thickBot="1">
      <c r="A15" s="127">
        <v>15</v>
      </c>
      <c r="B15" s="701" t="s">
        <v>1837</v>
      </c>
      <c r="C15" s="142">
        <v>21560839.670000002</v>
      </c>
      <c r="D15" s="667">
        <v>1.1489953436854021E-3</v>
      </c>
    </row>
    <row r="16" spans="1:4" ht="21.75" customHeight="1" thickBot="1">
      <c r="A16" s="127">
        <v>16</v>
      </c>
      <c r="B16" s="127" t="s">
        <v>1838</v>
      </c>
      <c r="C16" s="142">
        <v>436320876.60000002</v>
      </c>
      <c r="D16" s="667">
        <v>2.3251907775358589E-2</v>
      </c>
    </row>
    <row r="17" spans="1:4" ht="30" customHeight="1" thickBot="1">
      <c r="A17" s="127"/>
      <c r="B17" s="709" t="s">
        <v>1839</v>
      </c>
      <c r="C17" s="520">
        <v>11399085393.280001</v>
      </c>
      <c r="D17" s="667">
        <v>0.60746688160642492</v>
      </c>
    </row>
    <row r="18" spans="1:4" ht="21.75" customHeight="1" thickBot="1">
      <c r="A18" s="127">
        <v>17</v>
      </c>
      <c r="B18" s="127" t="s">
        <v>1840</v>
      </c>
      <c r="C18" s="142">
        <v>10372833239.780001</v>
      </c>
      <c r="D18" s="667">
        <v>0.55277703817424584</v>
      </c>
    </row>
    <row r="19" spans="1:4" ht="18.75" customHeight="1" thickBot="1">
      <c r="A19" s="127"/>
      <c r="B19" s="714" t="s">
        <v>1841</v>
      </c>
      <c r="C19" s="541">
        <v>10924124875.92</v>
      </c>
      <c r="D19" s="667">
        <v>0.5821558347625313</v>
      </c>
    </row>
    <row r="20" spans="1:4" ht="18.75" customHeight="1" thickBot="1">
      <c r="A20" s="128"/>
      <c r="B20" s="720" t="s">
        <v>1842</v>
      </c>
      <c r="C20" s="541">
        <v>-551291636.13999999</v>
      </c>
      <c r="D20" s="667">
        <v>-2.9378796588285509E-2</v>
      </c>
    </row>
    <row r="21" spans="1:4" ht="21.75" customHeight="1" thickBot="1">
      <c r="A21" s="127">
        <v>18</v>
      </c>
      <c r="B21" s="127" t="s">
        <v>1372</v>
      </c>
      <c r="C21" s="142">
        <v>895337421.75</v>
      </c>
      <c r="D21" s="667">
        <v>4.7713286883230323E-2</v>
      </c>
    </row>
    <row r="22" spans="1:4" ht="18.75" customHeight="1" thickBot="1">
      <c r="A22" s="128"/>
      <c r="B22" s="720" t="s">
        <v>1843</v>
      </c>
      <c r="C22" s="541">
        <v>1361485777.1600001</v>
      </c>
      <c r="D22" s="667">
        <v>7.2554726179211979E-2</v>
      </c>
    </row>
    <row r="23" spans="1:4" ht="18.75" customHeight="1" thickBot="1">
      <c r="A23" s="127"/>
      <c r="B23" s="714" t="s">
        <v>1844</v>
      </c>
      <c r="C23" s="541">
        <v>-466148355.41000003</v>
      </c>
      <c r="D23" s="667">
        <v>-2.4841439295981645E-2</v>
      </c>
    </row>
    <row r="24" spans="1:4" ht="21.75" customHeight="1" thickBot="1">
      <c r="A24" s="127">
        <v>19</v>
      </c>
      <c r="B24" s="127" t="s">
        <v>1845</v>
      </c>
      <c r="C24" s="142">
        <v>130914731.75</v>
      </c>
      <c r="D24" s="667">
        <v>6.9765565489487945E-3</v>
      </c>
    </row>
    <row r="25" spans="1:4" ht="18.75" customHeight="1" thickBot="1">
      <c r="A25" s="127"/>
      <c r="B25" s="714" t="s">
        <v>1846</v>
      </c>
      <c r="C25" s="541">
        <v>924559471.70000005</v>
      </c>
      <c r="D25" s="667">
        <v>4.9270554588912968E-2</v>
      </c>
    </row>
    <row r="26" spans="1:4" ht="18.75" customHeight="1" thickBot="1">
      <c r="A26" s="127"/>
      <c r="B26" s="714" t="s">
        <v>1842</v>
      </c>
      <c r="C26" s="541">
        <v>-793644739.95000005</v>
      </c>
      <c r="D26" s="667">
        <v>-4.2293998039964177E-2</v>
      </c>
    </row>
    <row r="27" spans="1:4" s="285" customFormat="1" ht="36" customHeight="1" thickBot="1">
      <c r="A27" s="129">
        <v>1</v>
      </c>
      <c r="B27" s="129" t="s">
        <v>1847</v>
      </c>
      <c r="C27" s="292">
        <v>18764949560.93</v>
      </c>
      <c r="D27" s="681">
        <v>1</v>
      </c>
    </row>
    <row r="28" spans="1:4" ht="18.75" customHeight="1">
      <c r="A28" s="133" t="s">
        <v>1256</v>
      </c>
      <c r="B28" s="170"/>
      <c r="C28" s="287"/>
      <c r="D28" s="674"/>
    </row>
    <row r="30" spans="1:4">
      <c r="A30" s="2" t="s">
        <v>1848</v>
      </c>
    </row>
    <row r="33" spans="1:1">
      <c r="A33" s="300" t="s">
        <v>634</v>
      </c>
    </row>
  </sheetData>
  <phoneticPr fontId="0" type="noConversion"/>
  <pageMargins left="0.78740157480314965" right="0.78740157480314965" top="0.87" bottom="0.49" header="0.47" footer="0.4921259845"/>
  <pageSetup paperSize="9" scale="82" orientation="portrait" horizontalDpi="4294967292" verticalDpi="4294967292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5223-0408-CD41-BEC8-86337168F55E}">
  <sheetPr>
    <pageSetUpPr fitToPage="1"/>
  </sheetPr>
  <dimension ref="A1:D44"/>
  <sheetViews>
    <sheetView zoomScale="75" workbookViewId="0"/>
  </sheetViews>
  <sheetFormatPr baseColWidth="10" defaultColWidth="11.3984375" defaultRowHeight="13"/>
  <cols>
    <col min="1" max="1" width="10.59765625" style="2" customWidth="1"/>
    <col min="2" max="2" width="60.796875" style="95" customWidth="1"/>
    <col min="3" max="3" width="17.3984375" style="155" customWidth="1"/>
    <col min="4" max="4" width="16.796875" style="676" customWidth="1"/>
    <col min="5" max="16384" width="11.3984375" style="2"/>
  </cols>
  <sheetData>
    <row r="1" spans="1:4" s="1" customFormat="1" ht="14" customHeight="1">
      <c r="B1" s="166"/>
      <c r="C1" s="137"/>
      <c r="D1" s="610"/>
    </row>
    <row r="2" spans="1:4" s="1" customFormat="1" ht="28" customHeight="1">
      <c r="A2" s="56" t="s">
        <v>1382</v>
      </c>
      <c r="B2" s="166"/>
      <c r="C2" s="137"/>
      <c r="D2" s="321">
        <v>2007</v>
      </c>
    </row>
    <row r="3" spans="1:4" ht="39" customHeight="1">
      <c r="A3" s="110" t="s">
        <v>1485</v>
      </c>
      <c r="B3" s="167"/>
      <c r="C3" s="139" t="s">
        <v>1344</v>
      </c>
      <c r="D3" s="660" t="s">
        <v>1362</v>
      </c>
    </row>
    <row r="4" spans="1:4" ht="38" customHeight="1">
      <c r="A4" s="505"/>
      <c r="B4" s="506"/>
      <c r="C4" s="141" t="s">
        <v>494</v>
      </c>
      <c r="D4" s="662" t="s">
        <v>870</v>
      </c>
    </row>
    <row r="5" spans="1:4" ht="30" customHeight="1" thickBot="1">
      <c r="A5" s="122"/>
      <c r="B5" s="716" t="s">
        <v>1383</v>
      </c>
      <c r="C5" s="520">
        <v>13954636756.860001</v>
      </c>
      <c r="D5" s="680">
        <v>0.74365437068486595</v>
      </c>
    </row>
    <row r="6" spans="1:4" ht="21.75" customHeight="1" thickBot="1">
      <c r="A6" s="127">
        <v>20</v>
      </c>
      <c r="B6" s="127" t="s">
        <v>1384</v>
      </c>
      <c r="C6" s="142">
        <v>450050428.42000002</v>
      </c>
      <c r="D6" s="680">
        <v>2.3983567179461131E-2</v>
      </c>
    </row>
    <row r="7" spans="1:4" ht="21.75" customHeight="1" thickBot="1">
      <c r="A7" s="127">
        <v>21</v>
      </c>
      <c r="B7" s="127" t="s">
        <v>1385</v>
      </c>
      <c r="C7" s="142">
        <v>3934539190.6199999</v>
      </c>
      <c r="D7" s="680">
        <v>0.20967491427514859</v>
      </c>
    </row>
    <row r="8" spans="1:4" ht="31.5" customHeight="1" thickBot="1">
      <c r="A8" s="127">
        <v>215</v>
      </c>
      <c r="B8" s="701" t="s">
        <v>1386</v>
      </c>
      <c r="C8" s="142">
        <v>-769088.39</v>
      </c>
      <c r="D8" s="680">
        <v>-4.0985369424634229E-5</v>
      </c>
    </row>
    <row r="9" spans="1:4" ht="21.75" customHeight="1" thickBot="1">
      <c r="A9" s="127">
        <v>22</v>
      </c>
      <c r="B9" s="127" t="s">
        <v>1387</v>
      </c>
      <c r="C9" s="142">
        <v>836437541.91999996</v>
      </c>
      <c r="D9" s="680">
        <v>4.4574462574092651E-2</v>
      </c>
    </row>
    <row r="10" spans="1:4" ht="21.75" customHeight="1" thickBot="1">
      <c r="A10" s="127">
        <v>23</v>
      </c>
      <c r="B10" s="127" t="s">
        <v>1388</v>
      </c>
      <c r="C10" s="142">
        <v>8394290.5</v>
      </c>
      <c r="D10" s="680">
        <v>4.4733882564551201E-4</v>
      </c>
    </row>
    <row r="11" spans="1:4" ht="21.75" customHeight="1" thickBot="1">
      <c r="A11" s="127">
        <v>24</v>
      </c>
      <c r="B11" s="127" t="s">
        <v>1389</v>
      </c>
      <c r="C11" s="142">
        <v>40764493.969999999</v>
      </c>
      <c r="D11" s="680">
        <v>2.1723742894737032E-3</v>
      </c>
    </row>
    <row r="12" spans="1:4" ht="21.75" customHeight="1" thickBot="1">
      <c r="A12" s="127">
        <v>25</v>
      </c>
      <c r="B12" s="127" t="s">
        <v>1390</v>
      </c>
      <c r="C12" s="142">
        <v>20039737.539999999</v>
      </c>
      <c r="D12" s="680">
        <v>1.0679345273299609E-3</v>
      </c>
    </row>
    <row r="13" spans="1:4" ht="21.75" customHeight="1" thickBot="1">
      <c r="A13" s="127">
        <v>26</v>
      </c>
      <c r="B13" s="127" t="s">
        <v>1391</v>
      </c>
      <c r="C13" s="142">
        <v>556420151.70000005</v>
      </c>
      <c r="D13" s="680">
        <v>2.9652099510610892E-2</v>
      </c>
    </row>
    <row r="14" spans="1:4" s="707" customFormat="1" ht="47.25" customHeight="1" thickBot="1">
      <c r="A14" s="701">
        <v>27</v>
      </c>
      <c r="B14" s="701" t="s">
        <v>1392</v>
      </c>
      <c r="C14" s="142">
        <v>8108760010.5799999</v>
      </c>
      <c r="D14" s="680">
        <v>0.43212266487252815</v>
      </c>
    </row>
    <row r="15" spans="1:4" s="707" customFormat="1" ht="21" customHeight="1" thickBot="1">
      <c r="A15" s="717">
        <v>270</v>
      </c>
      <c r="B15" s="718" t="s">
        <v>1393</v>
      </c>
      <c r="C15" s="142">
        <v>5234090935.1300001</v>
      </c>
      <c r="D15" s="680">
        <v>0.27892912358023281</v>
      </c>
    </row>
    <row r="16" spans="1:4" ht="18.75" customHeight="1" thickBot="1">
      <c r="A16" s="713">
        <v>270.10000000000002</v>
      </c>
      <c r="B16" s="714" t="s">
        <v>1394</v>
      </c>
      <c r="C16" s="142">
        <v>725388121.07000005</v>
      </c>
      <c r="D16" s="680">
        <v>3.8656545209706322E-2</v>
      </c>
    </row>
    <row r="17" spans="1:4" ht="31.5" customHeight="1" thickBot="1">
      <c r="A17" s="713">
        <v>270.2</v>
      </c>
      <c r="B17" s="718" t="s">
        <v>1395</v>
      </c>
      <c r="C17" s="142">
        <v>32488312.489999998</v>
      </c>
      <c r="D17" s="680">
        <v>1.7313295931896829E-3</v>
      </c>
    </row>
    <row r="18" spans="1:4" ht="30.75" customHeight="1" thickBot="1">
      <c r="A18" s="713">
        <v>270.3</v>
      </c>
      <c r="B18" s="718" t="s">
        <v>1396</v>
      </c>
      <c r="C18" s="142">
        <v>2517884.17</v>
      </c>
      <c r="D18" s="680">
        <v>1.3418017254933275E-4</v>
      </c>
    </row>
    <row r="19" spans="1:4" ht="18.75" customHeight="1" thickBot="1">
      <c r="A19" s="713">
        <v>271</v>
      </c>
      <c r="B19" s="714" t="s">
        <v>1397</v>
      </c>
      <c r="C19" s="142">
        <v>103005977.05</v>
      </c>
      <c r="D19" s="680">
        <v>5.4892754555034232E-3</v>
      </c>
    </row>
    <row r="20" spans="1:4" ht="18.75" customHeight="1" thickBot="1">
      <c r="A20" s="713">
        <v>272</v>
      </c>
      <c r="B20" s="714" t="s">
        <v>1398</v>
      </c>
      <c r="C20" s="142">
        <v>2150000</v>
      </c>
      <c r="D20" s="680">
        <v>1.1457531463056358E-4</v>
      </c>
    </row>
    <row r="21" spans="1:4" ht="18.75" customHeight="1" thickBot="1">
      <c r="A21" s="713">
        <v>273</v>
      </c>
      <c r="B21" s="714" t="s">
        <v>1399</v>
      </c>
      <c r="C21" s="142">
        <v>1499958955.54</v>
      </c>
      <c r="D21" s="680">
        <v>7.9934078727407917E-2</v>
      </c>
    </row>
    <row r="22" spans="1:4" ht="18.75" customHeight="1" thickBot="1">
      <c r="A22" s="713">
        <v>273.10000000000002</v>
      </c>
      <c r="B22" s="714" t="s">
        <v>1400</v>
      </c>
      <c r="C22" s="142">
        <v>313894365.72000003</v>
      </c>
      <c r="D22" s="680">
        <v>1.6727695680525671E-2</v>
      </c>
    </row>
    <row r="23" spans="1:4" ht="18.75" customHeight="1" thickBot="1">
      <c r="A23" s="713">
        <v>274</v>
      </c>
      <c r="B23" s="714" t="s">
        <v>1401</v>
      </c>
      <c r="C23" s="142">
        <v>189648632.16</v>
      </c>
      <c r="D23" s="680">
        <v>1.0106535673947915E-2</v>
      </c>
    </row>
    <row r="24" spans="1:4" ht="18.75" customHeight="1" thickBot="1">
      <c r="A24" s="713">
        <v>279</v>
      </c>
      <c r="B24" s="714" t="s">
        <v>1402</v>
      </c>
      <c r="C24" s="142">
        <v>5616827.25</v>
      </c>
      <c r="D24" s="680">
        <v>2.9932546483454566E-4</v>
      </c>
    </row>
    <row r="25" spans="1:4" ht="21.75" customHeight="1" thickBot="1">
      <c r="A25" s="127"/>
      <c r="B25" s="714" t="s">
        <v>1403</v>
      </c>
      <c r="C25" s="142">
        <v>4810312804.3299999</v>
      </c>
      <c r="D25" s="680">
        <v>0.2563456293151341</v>
      </c>
    </row>
    <row r="26" spans="1:4" ht="21.75" customHeight="1" thickBot="1">
      <c r="A26" s="127">
        <v>28</v>
      </c>
      <c r="B26" s="709" t="s">
        <v>1404</v>
      </c>
      <c r="C26" s="142">
        <v>22392627.739999998</v>
      </c>
      <c r="D26" s="680">
        <v>1.1933220319607376E-3</v>
      </c>
    </row>
    <row r="27" spans="1:4" ht="18.75" customHeight="1" thickBot="1">
      <c r="A27" s="713">
        <v>280</v>
      </c>
      <c r="B27" s="714" t="s">
        <v>1405</v>
      </c>
      <c r="C27" s="142">
        <v>22392627.739999998</v>
      </c>
      <c r="D27" s="680">
        <v>1.1933220319607376E-3</v>
      </c>
    </row>
    <row r="28" spans="1:4" ht="18.75" customHeight="1" thickBot="1">
      <c r="A28" s="713">
        <v>281</v>
      </c>
      <c r="B28" s="714" t="s">
        <v>1406</v>
      </c>
      <c r="C28" s="142">
        <v>0</v>
      </c>
      <c r="D28" s="680">
        <v>0</v>
      </c>
    </row>
    <row r="29" spans="1:4" ht="18.75" customHeight="1" thickBot="1">
      <c r="A29" s="713">
        <v>282</v>
      </c>
      <c r="B29" s="714" t="s">
        <v>1407</v>
      </c>
      <c r="C29" s="142">
        <v>0</v>
      </c>
      <c r="D29" s="680">
        <v>0</v>
      </c>
    </row>
    <row r="30" spans="1:4" ht="21.75" customHeight="1" thickBot="1">
      <c r="A30" s="127">
        <v>29</v>
      </c>
      <c r="B30" s="709" t="s">
        <v>1408</v>
      </c>
      <c r="C30" s="142">
        <v>4787920176.5900002</v>
      </c>
      <c r="D30" s="680">
        <v>0.2551523072831734</v>
      </c>
    </row>
    <row r="31" spans="1:4" ht="30" customHeight="1" thickBot="1">
      <c r="A31" s="713">
        <v>290</v>
      </c>
      <c r="B31" s="718" t="s">
        <v>1409</v>
      </c>
      <c r="C31" s="142">
        <v>3877605304.2800002</v>
      </c>
      <c r="D31" s="680">
        <v>0.20664085941908059</v>
      </c>
    </row>
    <row r="32" spans="1:4" ht="30.75" customHeight="1" thickBot="1">
      <c r="A32" s="713">
        <v>290.5</v>
      </c>
      <c r="B32" s="718" t="s">
        <v>1356</v>
      </c>
      <c r="C32" s="142">
        <v>22148504.390000001</v>
      </c>
      <c r="D32" s="680">
        <v>1.1803124925956598E-3</v>
      </c>
    </row>
    <row r="33" spans="1:4" ht="18.75" customHeight="1" thickBot="1">
      <c r="A33" s="713">
        <v>290.89999999999998</v>
      </c>
      <c r="B33" s="714" t="s">
        <v>1410</v>
      </c>
      <c r="C33" s="142">
        <v>92838544.439999998</v>
      </c>
      <c r="D33" s="680">
        <v>4.9474443902588648E-3</v>
      </c>
    </row>
    <row r="34" spans="1:4" ht="18.75" customHeight="1" thickBot="1">
      <c r="A34" s="713">
        <v>291</v>
      </c>
      <c r="B34" s="714" t="s">
        <v>1411</v>
      </c>
      <c r="C34" s="142">
        <v>438562428.69</v>
      </c>
      <c r="D34" s="680">
        <v>2.3371361977814351E-2</v>
      </c>
    </row>
    <row r="35" spans="1:4" ht="18.75" customHeight="1" thickBot="1">
      <c r="A35" s="713">
        <v>292</v>
      </c>
      <c r="B35" s="714" t="s">
        <v>1412</v>
      </c>
      <c r="C35" s="142">
        <v>-7532156.2800000003</v>
      </c>
      <c r="D35" s="680">
        <v>-4.0139496540817459E-4</v>
      </c>
    </row>
    <row r="36" spans="1:4" ht="18.75" customHeight="1" thickBot="1">
      <c r="A36" s="713">
        <v>293</v>
      </c>
      <c r="B36" s="714" t="s">
        <v>1413</v>
      </c>
      <c r="C36" s="142">
        <v>364297551.08999997</v>
      </c>
      <c r="D36" s="680">
        <v>1.9413723969897934E-2</v>
      </c>
    </row>
    <row r="37" spans="1:4" ht="18.75" customHeight="1" thickBot="1">
      <c r="A37" s="713">
        <v>299</v>
      </c>
      <c r="B37" s="714" t="s">
        <v>1414</v>
      </c>
      <c r="C37" s="142">
        <v>0</v>
      </c>
      <c r="D37" s="680">
        <v>0</v>
      </c>
    </row>
    <row r="38" spans="1:4" s="285" customFormat="1" ht="35.25" customHeight="1" thickBot="1">
      <c r="A38" s="129">
        <v>2</v>
      </c>
      <c r="B38" s="129" t="s">
        <v>1415</v>
      </c>
      <c r="C38" s="292">
        <v>18764949561.189999</v>
      </c>
      <c r="D38" s="719">
        <v>1</v>
      </c>
    </row>
    <row r="39" spans="1:4" ht="19.5" customHeight="1">
      <c r="A39" s="133" t="s">
        <v>1256</v>
      </c>
      <c r="B39" s="170"/>
      <c r="C39" s="150"/>
      <c r="D39" s="674"/>
    </row>
    <row r="41" spans="1:4">
      <c r="A41" s="2" t="s">
        <v>1416</v>
      </c>
    </row>
    <row r="44" spans="1:4">
      <c r="A44" s="300" t="s">
        <v>634</v>
      </c>
    </row>
  </sheetData>
  <phoneticPr fontId="0" type="noConversion"/>
  <pageMargins left="0.62" right="0.69" top="0.85" bottom="0.49" header="0.47" footer="0.4921259845"/>
  <pageSetup paperSize="9" scale="77" orientation="portrait" horizontalDpi="4294967292" verticalDpi="4294967292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CE55-896E-564D-96EB-F9CBD8AEFC24}">
  <sheetPr>
    <pageSetUpPr fitToPage="1"/>
  </sheetPr>
  <dimension ref="A1:D31"/>
  <sheetViews>
    <sheetView topLeftCell="A13" zoomScale="75" workbookViewId="0">
      <selection activeCell="F11" sqref="F11"/>
    </sheetView>
  </sheetViews>
  <sheetFormatPr baseColWidth="10" defaultColWidth="11.3984375" defaultRowHeight="13"/>
  <cols>
    <col min="1" max="1" width="10.59765625" style="2" customWidth="1"/>
    <col min="2" max="2" width="60.796875" style="95" customWidth="1"/>
    <col min="3" max="3" width="17.19921875" style="8" customWidth="1"/>
    <col min="4" max="4" width="16.796875" style="676" customWidth="1"/>
    <col min="5" max="16384" width="11.3984375" style="2"/>
  </cols>
  <sheetData>
    <row r="1" spans="1:4" s="1" customFormat="1" ht="14" customHeight="1">
      <c r="B1" s="166"/>
      <c r="C1" s="274"/>
      <c r="D1" s="610"/>
    </row>
    <row r="2" spans="1:4" s="1" customFormat="1" ht="28" customHeight="1">
      <c r="A2" s="56" t="s">
        <v>1361</v>
      </c>
      <c r="B2" s="166"/>
      <c r="C2" s="274"/>
      <c r="D2" s="321">
        <v>2007</v>
      </c>
    </row>
    <row r="3" spans="1:4" ht="39" customHeight="1">
      <c r="A3" s="110" t="s">
        <v>1485</v>
      </c>
      <c r="B3" s="167"/>
      <c r="C3" s="139" t="s">
        <v>1344</v>
      </c>
      <c r="D3" s="660" t="s">
        <v>1362</v>
      </c>
    </row>
    <row r="4" spans="1:4" ht="38" customHeight="1">
      <c r="A4" s="505"/>
      <c r="B4" s="506"/>
      <c r="C4" s="141" t="s">
        <v>494</v>
      </c>
      <c r="D4" s="662" t="s">
        <v>870</v>
      </c>
    </row>
    <row r="5" spans="1:4" ht="39" customHeight="1" thickBot="1">
      <c r="A5" s="696">
        <v>17</v>
      </c>
      <c r="B5" s="712" t="s">
        <v>1363</v>
      </c>
      <c r="C5" s="697"/>
      <c r="D5" s="698"/>
    </row>
    <row r="6" spans="1:4" ht="21.75" customHeight="1" thickBot="1">
      <c r="A6" s="713">
        <v>170</v>
      </c>
      <c r="B6" s="714" t="s">
        <v>364</v>
      </c>
      <c r="C6" s="144"/>
      <c r="D6" s="168"/>
    </row>
    <row r="7" spans="1:4" ht="33.75" customHeight="1" thickBot="1">
      <c r="A7" s="699"/>
      <c r="B7" s="701" t="s">
        <v>1364</v>
      </c>
      <c r="C7" s="144">
        <v>2852276797</v>
      </c>
      <c r="D7" s="168">
        <v>0.25312687236969361</v>
      </c>
    </row>
    <row r="8" spans="1:4" ht="18" customHeight="1" thickBot="1">
      <c r="A8" s="699"/>
      <c r="B8" s="701" t="s">
        <v>1365</v>
      </c>
      <c r="C8" s="144">
        <v>7369572266</v>
      </c>
      <c r="D8" s="168">
        <v>0.65401674211881045</v>
      </c>
    </row>
    <row r="9" spans="1:4" ht="19.5" customHeight="1" thickBot="1">
      <c r="A9" s="699"/>
      <c r="B9" s="701" t="s">
        <v>1366</v>
      </c>
      <c r="C9" s="144">
        <v>350232180</v>
      </c>
      <c r="D9" s="168">
        <v>3.1081547351878402E-2</v>
      </c>
    </row>
    <row r="10" spans="1:4" ht="28.5" customHeight="1" thickBot="1">
      <c r="A10" s="699"/>
      <c r="B10" s="701" t="s">
        <v>1367</v>
      </c>
      <c r="C10" s="144">
        <v>0</v>
      </c>
      <c r="D10" s="168">
        <v>0</v>
      </c>
    </row>
    <row r="11" spans="1:4" ht="30.75" customHeight="1" thickBot="1">
      <c r="A11" s="699"/>
      <c r="B11" s="701" t="s">
        <v>1368</v>
      </c>
      <c r="C11" s="144">
        <v>30751790</v>
      </c>
      <c r="D11" s="168">
        <v>2.7290845091391108E-3</v>
      </c>
    </row>
    <row r="12" spans="1:4" ht="21.75" customHeight="1" thickBot="1">
      <c r="A12" s="699"/>
      <c r="B12" s="127" t="s">
        <v>1369</v>
      </c>
      <c r="C12" s="144">
        <v>321291843</v>
      </c>
      <c r="D12" s="168">
        <v>2.851322123505836E-2</v>
      </c>
    </row>
    <row r="13" spans="1:4" ht="21.75" customHeight="1" thickBot="1">
      <c r="A13" s="705">
        <v>170</v>
      </c>
      <c r="B13" s="701" t="s">
        <v>629</v>
      </c>
      <c r="C13" s="715">
        <v>10924124876</v>
      </c>
      <c r="D13" s="168">
        <v>0.96946746758458002</v>
      </c>
    </row>
    <row r="14" spans="1:4" s="707" customFormat="1" ht="23.25" customHeight="1" thickBot="1">
      <c r="A14" s="699">
        <v>179</v>
      </c>
      <c r="B14" s="127" t="s">
        <v>1370</v>
      </c>
      <c r="C14" s="144">
        <v>-551291636</v>
      </c>
      <c r="D14" s="168">
        <v>-4.8924679305678058E-2</v>
      </c>
    </row>
    <row r="15" spans="1:4" s="707" customFormat="1" ht="27.75" customHeight="1" thickBot="1">
      <c r="A15" s="709">
        <v>17</v>
      </c>
      <c r="B15" s="709" t="s">
        <v>1371</v>
      </c>
      <c r="C15" s="314">
        <v>10372833240</v>
      </c>
      <c r="D15" s="698">
        <v>0.9205427882789019</v>
      </c>
    </row>
    <row r="16" spans="1:4" ht="24.75" customHeight="1" thickBot="1">
      <c r="A16" s="704">
        <v>18</v>
      </c>
      <c r="B16" s="706" t="s">
        <v>1372</v>
      </c>
      <c r="C16" s="144"/>
      <c r="D16" s="168"/>
    </row>
    <row r="17" spans="1:4" ht="16.5" customHeight="1" thickBot="1">
      <c r="A17" s="699">
        <v>180</v>
      </c>
      <c r="B17" s="701" t="s">
        <v>1373</v>
      </c>
      <c r="C17" s="144">
        <v>99715164</v>
      </c>
      <c r="D17" s="168">
        <v>8.8492770469187632E-3</v>
      </c>
    </row>
    <row r="18" spans="1:4" ht="22.5" customHeight="1" thickBot="1">
      <c r="A18" s="699"/>
      <c r="B18" s="701" t="s">
        <v>1374</v>
      </c>
      <c r="C18" s="144">
        <v>494828939</v>
      </c>
      <c r="D18" s="168">
        <v>4.3913866220426256E-2</v>
      </c>
    </row>
    <row r="19" spans="1:4" ht="18.75" customHeight="1" thickBot="1">
      <c r="A19" s="699"/>
      <c r="B19" s="127" t="s">
        <v>1375</v>
      </c>
      <c r="C19" s="144">
        <v>766941674</v>
      </c>
      <c r="D19" s="168">
        <v>6.8062660480141743E-2</v>
      </c>
    </row>
    <row r="20" spans="1:4" ht="18.75" customHeight="1" thickBot="1">
      <c r="A20" s="699">
        <v>180</v>
      </c>
      <c r="B20" s="127" t="s">
        <v>629</v>
      </c>
      <c r="C20" s="144">
        <v>1361485778</v>
      </c>
      <c r="D20" s="168">
        <v>0.12082580383623232</v>
      </c>
    </row>
    <row r="21" spans="1:4" ht="21" customHeight="1" thickBot="1">
      <c r="A21" s="699">
        <v>189</v>
      </c>
      <c r="B21" s="127" t="s">
        <v>1376</v>
      </c>
      <c r="C21" s="144">
        <v>-466148355</v>
      </c>
      <c r="D21" s="168">
        <v>-4.1368592026388679E-2</v>
      </c>
    </row>
    <row r="22" spans="1:4" ht="30.75" customHeight="1" thickBot="1">
      <c r="A22" s="709">
        <v>18</v>
      </c>
      <c r="B22" s="709" t="s">
        <v>1377</v>
      </c>
      <c r="C22" s="314">
        <v>895337422</v>
      </c>
      <c r="D22" s="698">
        <v>7.9457211721098084E-2</v>
      </c>
    </row>
    <row r="23" spans="1:4" ht="39" customHeight="1" thickBot="1">
      <c r="A23" s="710" t="s">
        <v>1378</v>
      </c>
      <c r="B23" s="711" t="s">
        <v>1379</v>
      </c>
      <c r="C23" s="146">
        <v>11268170662</v>
      </c>
      <c r="D23" s="169">
        <v>1</v>
      </c>
    </row>
    <row r="24" spans="1:4" ht="19.5" customHeight="1">
      <c r="A24" s="133" t="s">
        <v>1256</v>
      </c>
      <c r="B24" s="170"/>
      <c r="C24" s="287"/>
      <c r="D24" s="674"/>
    </row>
    <row r="25" spans="1:4" ht="14.25" customHeight="1">
      <c r="A25" s="3"/>
      <c r="B25" s="171"/>
      <c r="C25" s="288"/>
      <c r="D25" s="675"/>
    </row>
    <row r="26" spans="1:4" ht="14.25" customHeight="1">
      <c r="A26" s="3" t="s">
        <v>1380</v>
      </c>
      <c r="B26" s="171"/>
      <c r="C26" s="288"/>
      <c r="D26" s="675"/>
    </row>
    <row r="28" spans="1:4">
      <c r="A28" s="2" t="s">
        <v>1381</v>
      </c>
    </row>
    <row r="31" spans="1:4">
      <c r="A31" s="300" t="s">
        <v>634</v>
      </c>
    </row>
  </sheetData>
  <phoneticPr fontId="0" type="noConversion"/>
  <pageMargins left="0.78740157480314965" right="0.83" top="0.92" bottom="0.49" header="0.53" footer="0.4921259845"/>
  <pageSetup paperSize="9" scale="82" orientation="portrait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B357-7951-184A-9F5D-08285F7B70B6}">
  <sheetPr>
    <pageSetUpPr fitToPage="1"/>
  </sheetPr>
  <dimension ref="A1:D27"/>
  <sheetViews>
    <sheetView topLeftCell="A10" zoomScale="75" workbookViewId="0">
      <selection activeCell="A3" sqref="A3"/>
    </sheetView>
  </sheetViews>
  <sheetFormatPr baseColWidth="10" defaultColWidth="11.3984375" defaultRowHeight="13"/>
  <cols>
    <col min="1" max="1" width="10.59765625" style="2" customWidth="1"/>
    <col min="2" max="2" width="60.796875" style="95" customWidth="1"/>
    <col min="3" max="3" width="18.59765625" style="8" customWidth="1"/>
    <col min="4" max="4" width="18.3984375" style="676" customWidth="1"/>
    <col min="5" max="16384" width="11.3984375" style="2"/>
  </cols>
  <sheetData>
    <row r="1" spans="1:4" s="1" customFormat="1" ht="14" customHeight="1">
      <c r="B1" s="166"/>
      <c r="C1" s="274"/>
      <c r="D1" s="610"/>
    </row>
    <row r="2" spans="1:4" s="1" customFormat="1" ht="28" customHeight="1">
      <c r="A2" s="56" t="s">
        <v>1343</v>
      </c>
      <c r="B2" s="166"/>
      <c r="C2" s="274"/>
      <c r="D2" s="321">
        <v>2007</v>
      </c>
    </row>
    <row r="3" spans="1:4" ht="27.75" customHeight="1">
      <c r="A3" s="110"/>
      <c r="B3" s="167"/>
      <c r="C3" s="695" t="s">
        <v>1344</v>
      </c>
      <c r="D3" s="660" t="s">
        <v>1344</v>
      </c>
    </row>
    <row r="4" spans="1:4" ht="27.75" customHeight="1">
      <c r="A4" s="505"/>
      <c r="B4" s="506"/>
      <c r="C4" s="280" t="s">
        <v>494</v>
      </c>
      <c r="D4" s="662" t="s">
        <v>494</v>
      </c>
    </row>
    <row r="5" spans="1:4" ht="33" customHeight="1" thickBot="1">
      <c r="A5" s="696"/>
      <c r="B5" s="696" t="s">
        <v>1345</v>
      </c>
      <c r="C5" s="697"/>
      <c r="D5" s="698"/>
    </row>
    <row r="6" spans="1:4" ht="21.75" customHeight="1" thickBot="1">
      <c r="A6" s="699">
        <v>800</v>
      </c>
      <c r="B6" s="127" t="s">
        <v>1346</v>
      </c>
      <c r="C6" s="144" t="s">
        <v>59</v>
      </c>
      <c r="D6" s="700">
        <v>315881868.80000001</v>
      </c>
    </row>
    <row r="7" spans="1:4" ht="23.25" customHeight="1" thickBot="1">
      <c r="A7" s="699">
        <v>800</v>
      </c>
      <c r="B7" s="701" t="s">
        <v>1347</v>
      </c>
      <c r="C7" s="144">
        <v>79683168.659999996</v>
      </c>
      <c r="D7" s="700" t="s">
        <v>59</v>
      </c>
    </row>
    <row r="8" spans="1:4" ht="46.5" customHeight="1" thickBot="1">
      <c r="A8" s="699"/>
      <c r="B8" s="127"/>
      <c r="C8" s="702" t="s">
        <v>1348</v>
      </c>
      <c r="D8" s="703" t="s">
        <v>1349</v>
      </c>
    </row>
    <row r="9" spans="1:4" ht="26.25" customHeight="1" thickBot="1">
      <c r="A9" s="699"/>
      <c r="B9" s="704" t="s">
        <v>1350</v>
      </c>
      <c r="C9" s="144"/>
      <c r="D9" s="700"/>
    </row>
    <row r="10" spans="1:4" ht="21.75" customHeight="1" thickBot="1">
      <c r="A10" s="699">
        <v>280</v>
      </c>
      <c r="B10" s="701" t="s">
        <v>1351</v>
      </c>
      <c r="C10" s="144">
        <v>0</v>
      </c>
      <c r="D10" s="327">
        <v>14076657.449999999</v>
      </c>
    </row>
    <row r="11" spans="1:4" ht="24" customHeight="1" thickBot="1">
      <c r="A11" s="699">
        <v>281</v>
      </c>
      <c r="B11" s="701" t="s">
        <v>1352</v>
      </c>
      <c r="C11" s="144">
        <v>0</v>
      </c>
      <c r="D11" s="327">
        <v>21337301.43</v>
      </c>
    </row>
    <row r="12" spans="1:4" ht="21.75" customHeight="1" thickBot="1">
      <c r="A12" s="699">
        <v>282</v>
      </c>
      <c r="B12" s="127" t="s">
        <v>1353</v>
      </c>
      <c r="C12" s="144">
        <v>0</v>
      </c>
      <c r="D12" s="327">
        <v>12484137.039999999</v>
      </c>
    </row>
    <row r="13" spans="1:4" ht="28.5" customHeight="1" thickBot="1">
      <c r="A13" s="705"/>
      <c r="B13" s="706" t="s">
        <v>1354</v>
      </c>
      <c r="C13" s="144"/>
      <c r="D13" s="327"/>
    </row>
    <row r="14" spans="1:4" s="707" customFormat="1" ht="24.75" customHeight="1" thickBot="1">
      <c r="A14" s="699">
        <v>290</v>
      </c>
      <c r="B14" s="701" t="s">
        <v>1355</v>
      </c>
      <c r="C14" s="144">
        <v>269404113.37</v>
      </c>
      <c r="D14" s="327">
        <v>56255693.979999997</v>
      </c>
    </row>
    <row r="15" spans="1:4" s="707" customFormat="1" ht="30.75" customHeight="1" thickBot="1">
      <c r="A15" s="699">
        <v>290.5</v>
      </c>
      <c r="B15" s="701" t="s">
        <v>1356</v>
      </c>
      <c r="C15" s="144">
        <v>5654961.9699999997</v>
      </c>
      <c r="D15" s="327">
        <v>1850353.53</v>
      </c>
    </row>
    <row r="16" spans="1:4" ht="25.5" customHeight="1" thickBot="1">
      <c r="A16" s="699">
        <v>291</v>
      </c>
      <c r="B16" s="701" t="s">
        <v>1357</v>
      </c>
      <c r="C16" s="144">
        <v>39675813</v>
      </c>
      <c r="D16" s="327">
        <v>-2032989.76</v>
      </c>
    </row>
    <row r="17" spans="1:4" ht="24" customHeight="1" thickBot="1">
      <c r="A17" s="699">
        <v>292</v>
      </c>
      <c r="B17" s="701" t="s">
        <v>1358</v>
      </c>
      <c r="C17" s="144">
        <v>8195991.5599999996</v>
      </c>
      <c r="D17" s="327">
        <v>5708018.2699999996</v>
      </c>
    </row>
    <row r="18" spans="1:4" ht="22.5" customHeight="1" thickBot="1">
      <c r="A18" s="699">
        <v>293</v>
      </c>
      <c r="B18" s="701" t="s">
        <v>1359</v>
      </c>
      <c r="C18" s="144">
        <v>23965412.41</v>
      </c>
      <c r="D18" s="327">
        <v>1018420.31</v>
      </c>
    </row>
    <row r="19" spans="1:4" ht="13.5" customHeight="1" thickBot="1">
      <c r="A19" s="699"/>
      <c r="B19" s="127"/>
      <c r="C19" s="144"/>
      <c r="D19" s="327"/>
    </row>
    <row r="20" spans="1:4" s="148" customFormat="1" ht="33" customHeight="1" thickBot="1">
      <c r="A20" s="708"/>
      <c r="B20" s="709" t="s">
        <v>994</v>
      </c>
      <c r="C20" s="314">
        <v>426579460.94999999</v>
      </c>
      <c r="D20" s="357">
        <v>426579461.05000001</v>
      </c>
    </row>
    <row r="21" spans="1:4" ht="2.25" customHeight="1" thickBot="1">
      <c r="A21" s="710"/>
      <c r="B21" s="711"/>
      <c r="C21" s="146"/>
      <c r="D21" s="169"/>
    </row>
    <row r="22" spans="1:4" ht="19.5" customHeight="1">
      <c r="A22" s="133" t="s">
        <v>1256</v>
      </c>
      <c r="B22" s="170"/>
      <c r="C22" s="287"/>
      <c r="D22" s="674"/>
    </row>
    <row r="23" spans="1:4" ht="14.25" customHeight="1">
      <c r="A23" s="3"/>
      <c r="B23" s="171"/>
      <c r="C23" s="288"/>
      <c r="D23" s="675"/>
    </row>
    <row r="24" spans="1:4">
      <c r="A24" s="2" t="s">
        <v>1360</v>
      </c>
    </row>
    <row r="27" spans="1:4">
      <c r="A27" s="300" t="s">
        <v>634</v>
      </c>
    </row>
  </sheetData>
  <phoneticPr fontId="0" type="noConversion"/>
  <pageMargins left="0.78740157480314965" right="0.78740157480314965" top="1.05" bottom="0.49" header="0.56000000000000005" footer="0.4921259845"/>
  <pageSetup paperSize="9" scale="80" orientation="portrait" horizontalDpi="1200" verticalDpi="120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FD3A-2A24-C444-A1AF-CC39803AFB2E}">
  <sheetPr>
    <pageSetUpPr fitToPage="1"/>
  </sheetPr>
  <dimension ref="A1:L16"/>
  <sheetViews>
    <sheetView zoomScale="75" workbookViewId="0">
      <selection activeCell="D14" sqref="D14"/>
    </sheetView>
  </sheetViews>
  <sheetFormatPr baseColWidth="10" defaultColWidth="11.3984375" defaultRowHeight="13"/>
  <cols>
    <col min="1" max="1" width="37.796875" style="2" customWidth="1"/>
    <col min="2" max="2" width="16.796875" style="2" customWidth="1"/>
    <col min="3" max="3" width="17.3984375" style="2" customWidth="1"/>
    <col min="4" max="4" width="18.19921875" style="2" customWidth="1"/>
    <col min="5" max="7" width="12.796875" style="2" customWidth="1"/>
    <col min="8" max="8" width="13.796875" style="676" customWidth="1"/>
    <col min="9" max="16384" width="11.3984375" style="2"/>
  </cols>
  <sheetData>
    <row r="1" spans="1:12" s="1" customFormat="1" ht="14" customHeight="1">
      <c r="H1" s="610"/>
    </row>
    <row r="2" spans="1:12" s="1" customFormat="1" ht="28" customHeight="1">
      <c r="A2" s="56" t="s">
        <v>2193</v>
      </c>
      <c r="B2" s="56"/>
      <c r="D2" s="321">
        <v>2007</v>
      </c>
    </row>
    <row r="3" spans="1:12" ht="24" customHeight="1">
      <c r="A3" s="110"/>
      <c r="B3" s="833"/>
      <c r="C3" s="110"/>
      <c r="D3" s="836"/>
      <c r="E3"/>
      <c r="F3"/>
      <c r="G3"/>
      <c r="H3"/>
    </row>
    <row r="4" spans="1:12" ht="15" customHeight="1">
      <c r="A4" s="308"/>
      <c r="B4" s="797" t="s">
        <v>2188</v>
      </c>
      <c r="C4" s="837" t="s">
        <v>415</v>
      </c>
      <c r="D4" s="838" t="s">
        <v>2197</v>
      </c>
      <c r="E4"/>
      <c r="F4"/>
      <c r="G4"/>
      <c r="H4"/>
    </row>
    <row r="5" spans="1:12" ht="15" customHeight="1">
      <c r="A5" s="308"/>
      <c r="B5" s="114"/>
      <c r="C5" s="115"/>
      <c r="D5" s="838" t="s">
        <v>1058</v>
      </c>
      <c r="E5"/>
      <c r="F5"/>
      <c r="G5"/>
      <c r="H5"/>
    </row>
    <row r="6" spans="1:12" ht="24" customHeight="1">
      <c r="A6" s="309"/>
      <c r="B6" s="120"/>
      <c r="C6" s="119"/>
      <c r="D6" s="845"/>
      <c r="E6"/>
      <c r="F6"/>
      <c r="G6"/>
      <c r="H6"/>
    </row>
    <row r="7" spans="1:12" ht="29.25" customHeight="1" thickBot="1">
      <c r="A7" s="529" t="s">
        <v>2194</v>
      </c>
      <c r="B7" s="530">
        <v>10089</v>
      </c>
      <c r="C7" s="531">
        <v>11606</v>
      </c>
      <c r="D7" s="846">
        <v>832.84199999999998</v>
      </c>
      <c r="E7"/>
      <c r="F7"/>
      <c r="G7"/>
      <c r="H7"/>
      <c r="J7" s="9"/>
      <c r="K7" s="9"/>
      <c r="L7" s="9"/>
    </row>
    <row r="8" spans="1:12" ht="27.75" customHeight="1" thickBot="1">
      <c r="A8" s="720" t="s">
        <v>2196</v>
      </c>
      <c r="B8" s="847">
        <v>702</v>
      </c>
      <c r="C8" s="848">
        <v>689</v>
      </c>
      <c r="D8" s="849">
        <v>99.68</v>
      </c>
      <c r="E8" s="299"/>
      <c r="F8" s="299"/>
      <c r="G8" s="299"/>
      <c r="H8" s="299"/>
    </row>
    <row r="9" spans="1:12" ht="20.25" customHeight="1">
      <c r="A9" s="133" t="s">
        <v>1256</v>
      </c>
      <c r="B9" s="133"/>
      <c r="C9" s="133"/>
      <c r="D9" s="133"/>
      <c r="E9" s="3"/>
      <c r="F9" s="3"/>
      <c r="G9" s="3"/>
      <c r="H9" s="675"/>
    </row>
    <row r="10" spans="1:12" ht="14.25" customHeight="1">
      <c r="A10" s="3"/>
      <c r="B10" s="3"/>
      <c r="C10" s="3"/>
      <c r="D10" s="3"/>
      <c r="E10" s="3"/>
      <c r="F10" s="3"/>
      <c r="G10" s="3"/>
      <c r="H10" s="675"/>
    </row>
    <row r="11" spans="1:12">
      <c r="A11" s="2" t="s">
        <v>2195</v>
      </c>
    </row>
    <row r="13" spans="1:12">
      <c r="A13" s="2" t="s">
        <v>2191</v>
      </c>
    </row>
    <row r="16" spans="1:12">
      <c r="A16" s="2" t="s">
        <v>634</v>
      </c>
    </row>
  </sheetData>
  <phoneticPr fontId="0" type="noConversion"/>
  <pageMargins left="0.69" right="0.69" top="1.03" bottom="0.49" header="0.61" footer="0.4921259845"/>
  <pageSetup paperSize="9" scale="86" orientation="portrait" horizontalDpi="4294967292" verticalDpi="4294967292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A307-C5C1-504B-93CE-580E38D7545A}">
  <sheetPr>
    <pageSetUpPr fitToPage="1"/>
  </sheetPr>
  <dimension ref="A1:B28"/>
  <sheetViews>
    <sheetView topLeftCell="A13" workbookViewId="0">
      <selection activeCell="B24" sqref="B3:B24"/>
    </sheetView>
  </sheetViews>
  <sheetFormatPr baseColWidth="10" defaultColWidth="11.3984375" defaultRowHeight="13"/>
  <cols>
    <col min="1" max="1" width="5.59765625" style="225" customWidth="1"/>
    <col min="2" max="8" width="11.3984375" style="225"/>
    <col min="9" max="9" width="10.796875" style="225" customWidth="1"/>
    <col min="10" max="10" width="7.59765625" style="225" customWidth="1"/>
    <col min="11" max="16384" width="11.3984375" style="225"/>
  </cols>
  <sheetData>
    <row r="1" spans="1:2" ht="16">
      <c r="A1" s="224" t="s">
        <v>148</v>
      </c>
    </row>
    <row r="2" spans="1:2" ht="16">
      <c r="A2" s="226"/>
    </row>
    <row r="3" spans="1:2">
      <c r="A3" s="227">
        <v>9.01</v>
      </c>
      <c r="B3" s="228" t="s">
        <v>1627</v>
      </c>
    </row>
    <row r="4" spans="1:2">
      <c r="A4" s="227">
        <v>9.02</v>
      </c>
      <c r="B4" s="228" t="s">
        <v>1628</v>
      </c>
    </row>
    <row r="5" spans="1:2">
      <c r="A5" s="227">
        <v>9.0299999999999994</v>
      </c>
      <c r="B5" s="228" t="s">
        <v>1629</v>
      </c>
    </row>
    <row r="6" spans="1:2">
      <c r="A6" s="227">
        <v>9.0399999999999991</v>
      </c>
      <c r="B6" s="228" t="s">
        <v>1630</v>
      </c>
    </row>
    <row r="7" spans="1:2">
      <c r="A7" s="227">
        <v>9.0500000000000007</v>
      </c>
      <c r="B7" s="228" t="s">
        <v>1631</v>
      </c>
    </row>
    <row r="8" spans="1:2">
      <c r="A8" s="227">
        <v>9.06</v>
      </c>
      <c r="B8" s="228" t="s">
        <v>1632</v>
      </c>
    </row>
    <row r="9" spans="1:2">
      <c r="A9" s="227">
        <v>9.07</v>
      </c>
      <c r="B9" s="228" t="s">
        <v>1633</v>
      </c>
    </row>
    <row r="10" spans="1:2">
      <c r="A10" s="227">
        <v>9.08</v>
      </c>
      <c r="B10" s="228" t="s">
        <v>1634</v>
      </c>
    </row>
    <row r="11" spans="1:2">
      <c r="A11" s="227">
        <v>9.09</v>
      </c>
      <c r="B11" s="228" t="s">
        <v>1960</v>
      </c>
    </row>
    <row r="12" spans="1:2">
      <c r="A12" s="227">
        <v>9.1</v>
      </c>
      <c r="B12" s="228" t="s">
        <v>1635</v>
      </c>
    </row>
    <row r="13" spans="1:2">
      <c r="A13" s="227">
        <v>9.11</v>
      </c>
      <c r="B13" s="228" t="s">
        <v>1636</v>
      </c>
    </row>
    <row r="14" spans="1:2">
      <c r="A14" s="227">
        <v>9.1199999999999992</v>
      </c>
      <c r="B14" s="228" t="s">
        <v>1637</v>
      </c>
    </row>
    <row r="15" spans="1:2">
      <c r="A15" s="227">
        <v>9.1300000000000008</v>
      </c>
      <c r="B15" s="228" t="s">
        <v>1638</v>
      </c>
    </row>
    <row r="16" spans="1:2">
      <c r="A16" s="227">
        <v>9.14</v>
      </c>
      <c r="B16" s="228" t="s">
        <v>1639</v>
      </c>
    </row>
    <row r="17" spans="1:2">
      <c r="A17" s="227">
        <v>9.15</v>
      </c>
      <c r="B17" s="229" t="s">
        <v>1640</v>
      </c>
    </row>
    <row r="18" spans="1:2">
      <c r="A18" s="227">
        <v>9.16</v>
      </c>
      <c r="B18" s="228" t="s">
        <v>1641</v>
      </c>
    </row>
    <row r="19" spans="1:2">
      <c r="A19" s="227">
        <v>9.17</v>
      </c>
      <c r="B19" s="228" t="s">
        <v>1642</v>
      </c>
    </row>
    <row r="20" spans="1:2">
      <c r="A20" s="227">
        <v>9.18</v>
      </c>
      <c r="B20" s="228" t="s">
        <v>1643</v>
      </c>
    </row>
    <row r="21" spans="1:2">
      <c r="A21" s="227">
        <v>9.19</v>
      </c>
      <c r="B21" s="228" t="s">
        <v>1644</v>
      </c>
    </row>
    <row r="22" spans="1:2">
      <c r="A22" s="227">
        <v>9.1999999999999993</v>
      </c>
      <c r="B22" s="228" t="s">
        <v>1645</v>
      </c>
    </row>
    <row r="23" spans="1:2">
      <c r="A23" s="227">
        <v>9.2100000000000009</v>
      </c>
      <c r="B23" s="229" t="s">
        <v>57</v>
      </c>
    </row>
    <row r="24" spans="1:2">
      <c r="A24" s="227">
        <v>9.2200000000000006</v>
      </c>
      <c r="B24" s="229" t="s">
        <v>1646</v>
      </c>
    </row>
    <row r="27" spans="1:2">
      <c r="A27" s="230" t="s">
        <v>634</v>
      </c>
    </row>
    <row r="28" spans="1:2">
      <c r="B28" s="231"/>
    </row>
  </sheetData>
  <phoneticPr fontId="30" type="noConversion"/>
  <pageMargins left="0.46" right="0.3" top="0.78" bottom="0.984251969" header="0.34" footer="0.4921259845"/>
  <pageSetup paperSize="9" orientation="portrait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4D2C-1B62-4648-B5AD-5F825F8CEEFC}">
  <sheetPr>
    <pageSetUpPr fitToPage="1"/>
  </sheetPr>
  <dimension ref="A1:J43"/>
  <sheetViews>
    <sheetView zoomScale="75" workbookViewId="0">
      <selection activeCell="A28" sqref="A28"/>
    </sheetView>
  </sheetViews>
  <sheetFormatPr baseColWidth="10" defaultColWidth="11.3984375" defaultRowHeight="13"/>
  <cols>
    <col min="1" max="1" width="15.796875" style="2" customWidth="1"/>
    <col min="2" max="7" width="15.796875" style="156" customWidth="1"/>
    <col min="8" max="16384" width="11.3984375" style="2"/>
  </cols>
  <sheetData>
    <row r="1" spans="1:7" s="1" customFormat="1" ht="14" customHeight="1">
      <c r="A1" s="381"/>
      <c r="B1" s="1117"/>
      <c r="C1" s="1117"/>
      <c r="D1" s="1117"/>
      <c r="E1" s="1117"/>
      <c r="F1" s="1117"/>
      <c r="G1" s="1117"/>
    </row>
    <row r="2" spans="1:7" s="1" customFormat="1" ht="38.25" customHeight="1">
      <c r="A2" s="1806" t="s">
        <v>1537</v>
      </c>
      <c r="B2" s="1804"/>
      <c r="C2" s="1804"/>
      <c r="D2" s="1804"/>
      <c r="E2" s="1804"/>
      <c r="F2" s="1804"/>
      <c r="G2" s="321"/>
    </row>
    <row r="3" spans="1:7" ht="27" customHeight="1">
      <c r="A3" s="110" t="s">
        <v>533</v>
      </c>
      <c r="B3" s="111" t="s">
        <v>1538</v>
      </c>
      <c r="C3" s="112" t="s">
        <v>1519</v>
      </c>
      <c r="D3" s="111" t="s">
        <v>2293</v>
      </c>
      <c r="E3" s="112" t="s">
        <v>1520</v>
      </c>
      <c r="F3" s="111" t="s">
        <v>2293</v>
      </c>
      <c r="G3" s="112" t="s">
        <v>1521</v>
      </c>
    </row>
    <row r="4" spans="1:7" ht="15" customHeight="1">
      <c r="A4" s="308"/>
      <c r="B4" s="391"/>
      <c r="C4" s="928" t="s">
        <v>1022</v>
      </c>
      <c r="D4" s="114" t="s">
        <v>1522</v>
      </c>
      <c r="E4" s="115" t="s">
        <v>1523</v>
      </c>
      <c r="F4" s="114" t="s">
        <v>1524</v>
      </c>
      <c r="G4" s="115"/>
    </row>
    <row r="5" spans="1:7" ht="15" customHeight="1">
      <c r="A5" s="308"/>
      <c r="B5" s="114"/>
      <c r="C5" s="115" t="s">
        <v>1539</v>
      </c>
      <c r="D5" s="114" t="s">
        <v>1525</v>
      </c>
      <c r="E5" s="928" t="s">
        <v>1540</v>
      </c>
      <c r="F5" s="391" t="s">
        <v>1526</v>
      </c>
      <c r="G5" s="115"/>
    </row>
    <row r="6" spans="1:7" ht="25.5" customHeight="1">
      <c r="A6" s="505"/>
      <c r="B6" s="535"/>
      <c r="C6" s="119"/>
      <c r="D6" s="120" t="s">
        <v>1541</v>
      </c>
      <c r="E6" s="119"/>
      <c r="F6" s="120" t="s">
        <v>1542</v>
      </c>
      <c r="G6" s="536"/>
    </row>
    <row r="7" spans="1:7" ht="1.5" customHeight="1" thickBot="1">
      <c r="A7" s="553">
        <v>1996</v>
      </c>
      <c r="B7" s="819">
        <v>5976.68608119694</v>
      </c>
      <c r="C7" s="311">
        <v>2694.5104040117299</v>
      </c>
      <c r="D7" s="819">
        <v>2760.27</v>
      </c>
      <c r="E7" s="311">
        <v>25676.809374727298</v>
      </c>
      <c r="F7" s="819">
        <v>360.34572496402706</v>
      </c>
      <c r="G7" s="311">
        <v>37468.621584899993</v>
      </c>
    </row>
    <row r="8" spans="1:7" ht="18" customHeight="1" thickBot="1">
      <c r="A8" s="554">
        <v>1997</v>
      </c>
      <c r="B8" s="820">
        <v>5920.5324887865727</v>
      </c>
      <c r="C8" s="821">
        <v>2815.7448411451096</v>
      </c>
      <c r="D8" s="820">
        <v>3024.94</v>
      </c>
      <c r="E8" s="821">
        <v>26081.24258388106</v>
      </c>
      <c r="F8" s="820">
        <v>367.4485025408178</v>
      </c>
      <c r="G8" s="821">
        <v>38209.908416353559</v>
      </c>
    </row>
    <row r="9" spans="1:7" ht="18" customHeight="1" thickBot="1">
      <c r="A9" s="554">
        <v>1998</v>
      </c>
      <c r="B9" s="820">
        <v>5989.0401962979158</v>
      </c>
      <c r="C9" s="821">
        <v>2973.2056398412365</v>
      </c>
      <c r="D9" s="820">
        <v>3270.2</v>
      </c>
      <c r="E9" s="821">
        <v>27207.284732536304</v>
      </c>
      <c r="F9" s="820">
        <v>375.28251008174266</v>
      </c>
      <c r="G9" s="821">
        <v>39815.013078757198</v>
      </c>
    </row>
    <row r="10" spans="1:7" ht="18" customHeight="1" thickBot="1">
      <c r="A10" s="554">
        <v>1999</v>
      </c>
      <c r="B10" s="820">
        <v>6272.8466267392196</v>
      </c>
      <c r="C10" s="821">
        <v>3109.7236465190003</v>
      </c>
      <c r="D10" s="820">
        <v>3620.5</v>
      </c>
      <c r="E10" s="821">
        <v>27712.672600594233</v>
      </c>
      <c r="F10" s="820">
        <v>388.70889016736157</v>
      </c>
      <c r="G10" s="821">
        <v>41104.451764019817</v>
      </c>
    </row>
    <row r="11" spans="1:7" ht="18" customHeight="1" thickBot="1">
      <c r="A11" s="554">
        <v>2000</v>
      </c>
      <c r="B11" s="820">
        <v>6460.9578247170593</v>
      </c>
      <c r="C11" s="821">
        <v>3228.4015641373426</v>
      </c>
      <c r="D11" s="820">
        <v>3725.7</v>
      </c>
      <c r="E11" s="821">
        <v>29007.70945802291</v>
      </c>
      <c r="F11" s="820">
        <v>420.16510495683002</v>
      </c>
      <c r="G11" s="821">
        <v>42842.933951834144</v>
      </c>
    </row>
    <row r="12" spans="1:7" ht="18" customHeight="1" thickBot="1">
      <c r="A12" s="554">
        <v>2001</v>
      </c>
      <c r="B12" s="820">
        <v>7635.1420797467763</v>
      </c>
      <c r="C12" s="821">
        <v>3420.9561673120697</v>
      </c>
      <c r="D12" s="820">
        <v>3837.6</v>
      </c>
      <c r="E12" s="821">
        <v>30236.407469645612</v>
      </c>
      <c r="F12" s="820">
        <v>442.73533222173643</v>
      </c>
      <c r="G12" s="821">
        <v>45572.841048926202</v>
      </c>
    </row>
    <row r="13" spans="1:7" ht="18" customHeight="1" thickBot="1">
      <c r="A13" s="554">
        <v>2002</v>
      </c>
      <c r="B13" s="820">
        <v>8429.5101580943574</v>
      </c>
      <c r="C13" s="821">
        <v>3447.3545767100568</v>
      </c>
      <c r="D13" s="820">
        <v>4062.6</v>
      </c>
      <c r="E13" s="821">
        <v>30992.856823335846</v>
      </c>
      <c r="F13" s="820">
        <v>456.31192849787288</v>
      </c>
      <c r="G13" s="821">
        <v>47388.633486638137</v>
      </c>
    </row>
    <row r="14" spans="1:7" ht="18" customHeight="1" thickBot="1">
      <c r="A14" s="554">
        <v>2003</v>
      </c>
      <c r="B14" s="820">
        <v>8778.10319716105</v>
      </c>
      <c r="C14" s="821">
        <v>3663.0755838507671</v>
      </c>
      <c r="D14" s="820">
        <v>4268.5</v>
      </c>
      <c r="E14" s="821">
        <v>32093.321909615661</v>
      </c>
      <c r="F14" s="820">
        <v>462.16066224325607</v>
      </c>
      <c r="G14" s="821">
        <v>49265.161352870738</v>
      </c>
    </row>
    <row r="15" spans="1:7" ht="18" customHeight="1" thickBot="1">
      <c r="A15" s="554">
        <v>2004</v>
      </c>
      <c r="B15" s="820">
        <v>8632.7243540636446</v>
      </c>
      <c r="C15" s="821">
        <v>3771.1797269619269</v>
      </c>
      <c r="D15" s="820">
        <v>4550.2</v>
      </c>
      <c r="E15" s="821">
        <v>33593.067485006832</v>
      </c>
      <c r="F15" s="820">
        <v>460.54510480676191</v>
      </c>
      <c r="G15" s="821">
        <v>51007.71667083916</v>
      </c>
    </row>
    <row r="16" spans="1:7" ht="18" customHeight="1" thickBot="1">
      <c r="A16" s="554">
        <v>2005</v>
      </c>
      <c r="B16" s="820">
        <v>8704.8174549394607</v>
      </c>
      <c r="C16" s="821">
        <v>3968.7366137610011</v>
      </c>
      <c r="D16" s="820">
        <v>4782.4252710000001</v>
      </c>
      <c r="E16" s="821">
        <v>34106.094831624476</v>
      </c>
      <c r="F16" s="820">
        <v>480.96670935903251</v>
      </c>
      <c r="G16" s="821">
        <v>52043.04088068397</v>
      </c>
    </row>
    <row r="17" spans="1:8" ht="18" customHeight="1" thickBot="1">
      <c r="A17" s="554">
        <v>2006</v>
      </c>
      <c r="B17" s="820">
        <v>8536.5423231378227</v>
      </c>
      <c r="C17" s="821">
        <v>4049.5170354256738</v>
      </c>
      <c r="D17" s="820">
        <v>4933.240785</v>
      </c>
      <c r="E17" s="821">
        <v>34753.76548484189</v>
      </c>
      <c r="F17" s="820">
        <v>500.28122327763634</v>
      </c>
      <c r="G17" s="821">
        <v>52773.346851683025</v>
      </c>
    </row>
    <row r="18" spans="1:8" ht="32.25" customHeight="1" thickBot="1">
      <c r="A18" s="1082" t="s">
        <v>1543</v>
      </c>
      <c r="B18" s="1083">
        <v>8812.7999999999993</v>
      </c>
      <c r="C18" s="1084" t="s">
        <v>59</v>
      </c>
      <c r="D18" s="1083" t="s">
        <v>59</v>
      </c>
      <c r="E18" s="1084" t="s">
        <v>59</v>
      </c>
      <c r="F18" s="1083">
        <v>531.70000000000005</v>
      </c>
      <c r="G18" s="1084">
        <v>54904.2</v>
      </c>
    </row>
    <row r="19" spans="1:8" ht="20" customHeight="1">
      <c r="A19" s="1085" t="s">
        <v>1623</v>
      </c>
      <c r="B19" s="1086"/>
      <c r="C19" s="1086"/>
      <c r="D19" s="1086"/>
      <c r="E19" s="1086"/>
      <c r="F19" s="1086"/>
      <c r="G19" s="1086"/>
    </row>
    <row r="20" spans="1:8" ht="12.75" customHeight="1">
      <c r="A20" s="1087"/>
      <c r="B20" s="1122"/>
      <c r="C20" s="1122"/>
      <c r="D20" s="1122"/>
      <c r="E20" s="1122"/>
      <c r="F20" s="1122"/>
      <c r="G20" s="1122"/>
      <c r="H20" s="4"/>
    </row>
    <row r="21" spans="1:8" ht="12.75" customHeight="1">
      <c r="A21" s="1087" t="s">
        <v>1527</v>
      </c>
      <c r="B21" s="1122"/>
      <c r="C21" s="1122"/>
      <c r="D21" s="1122"/>
      <c r="E21" s="1122"/>
      <c r="F21" s="1122"/>
      <c r="G21" s="1122"/>
      <c r="H21" s="4"/>
    </row>
    <row r="22" spans="1:8" ht="12.75" customHeight="1">
      <c r="A22" s="1087" t="s">
        <v>1528</v>
      </c>
      <c r="B22" s="1122"/>
      <c r="C22" s="1122"/>
      <c r="D22" s="1122"/>
      <c r="E22" s="1122"/>
      <c r="F22" s="1122"/>
      <c r="G22" s="1122"/>
      <c r="H22" s="4"/>
    </row>
    <row r="23" spans="1:8" ht="12.75" customHeight="1">
      <c r="A23" s="1087" t="s">
        <v>1529</v>
      </c>
      <c r="B23" s="1122"/>
      <c r="C23" s="1122"/>
      <c r="D23" s="1122"/>
      <c r="E23" s="1122"/>
      <c r="F23" s="1122"/>
      <c r="G23" s="1122"/>
      <c r="H23" s="4"/>
    </row>
    <row r="24" spans="1:8" ht="12.75" customHeight="1">
      <c r="A24" s="1087" t="s">
        <v>1530</v>
      </c>
      <c r="B24" s="1122"/>
      <c r="C24" s="1122"/>
      <c r="D24" s="1122"/>
      <c r="E24" s="1122"/>
      <c r="F24" s="1122"/>
      <c r="G24" s="1122"/>
      <c r="H24" s="4"/>
    </row>
    <row r="25" spans="1:8" ht="12.75" customHeight="1">
      <c r="A25" s="1087" t="s">
        <v>1531</v>
      </c>
      <c r="B25" s="1122"/>
      <c r="C25" s="1122"/>
      <c r="D25" s="1122"/>
      <c r="E25" s="1122"/>
      <c r="F25" s="1122"/>
      <c r="G25" s="1122"/>
      <c r="H25" s="4"/>
    </row>
    <row r="26" spans="1:8" ht="12.75" customHeight="1">
      <c r="A26" s="1087" t="s">
        <v>1532</v>
      </c>
      <c r="B26" s="1122"/>
      <c r="C26" s="1122"/>
      <c r="D26" s="1122"/>
      <c r="E26" s="1122"/>
      <c r="F26" s="1122"/>
      <c r="G26" s="1122"/>
      <c r="H26" s="4"/>
    </row>
    <row r="27" spans="1:8" ht="12.75" customHeight="1">
      <c r="A27" s="1087" t="s">
        <v>1533</v>
      </c>
      <c r="B27" s="1122"/>
      <c r="C27" s="1122"/>
      <c r="D27" s="1122"/>
      <c r="E27" s="1122"/>
      <c r="F27" s="1122"/>
      <c r="G27" s="1122"/>
      <c r="H27" s="4"/>
    </row>
    <row r="28" spans="1:8" ht="12.75" customHeight="1">
      <c r="A28" s="1087" t="s">
        <v>1534</v>
      </c>
      <c r="B28" s="1122"/>
      <c r="C28" s="1122"/>
      <c r="D28" s="1122"/>
      <c r="E28" s="1122"/>
      <c r="F28" s="1122"/>
      <c r="G28" s="1122"/>
      <c r="H28" s="4"/>
    </row>
    <row r="29" spans="1:8" ht="12.75" customHeight="1">
      <c r="A29" s="1087" t="s">
        <v>1535</v>
      </c>
      <c r="B29" s="1122"/>
      <c r="C29" s="1122"/>
      <c r="D29" s="1122"/>
      <c r="E29" s="1122"/>
      <c r="F29" s="1122"/>
      <c r="G29" s="1122"/>
      <c r="H29" s="4"/>
    </row>
    <row r="30" spans="1:8" ht="12.75" customHeight="1">
      <c r="A30" s="1087"/>
      <c r="B30" s="1122"/>
      <c r="C30" s="1122"/>
      <c r="D30" s="1122"/>
      <c r="E30" s="1122"/>
      <c r="F30" s="1122"/>
      <c r="G30" s="1122"/>
      <c r="H30" s="4"/>
    </row>
    <row r="31" spans="1:8" ht="12.75" customHeight="1">
      <c r="A31" s="1087" t="s">
        <v>1536</v>
      </c>
      <c r="B31" s="1122"/>
      <c r="C31" s="1122"/>
      <c r="D31" s="1122"/>
      <c r="E31" s="1122"/>
      <c r="F31" s="1122"/>
      <c r="G31" s="1122"/>
      <c r="H31" s="4"/>
    </row>
    <row r="32" spans="1:8" ht="13.5" customHeight="1">
      <c r="A32" s="52"/>
      <c r="B32" s="1123"/>
      <c r="C32" s="1123"/>
      <c r="D32" s="1123"/>
      <c r="E32" s="1123"/>
      <c r="F32" s="1123"/>
      <c r="G32" s="1123"/>
      <c r="H32" s="4"/>
    </row>
    <row r="33" spans="1:10" ht="12.75" customHeight="1">
      <c r="A33" s="1124"/>
      <c r="B33" s="1123"/>
      <c r="C33" s="1123"/>
      <c r="D33" s="1123"/>
      <c r="E33" s="1123"/>
      <c r="F33" s="1123"/>
      <c r="G33" s="1123"/>
      <c r="H33" s="4"/>
    </row>
    <row r="34" spans="1:10" ht="13.5" customHeight="1">
      <c r="A34" s="4" t="s">
        <v>634</v>
      </c>
      <c r="B34" s="1123"/>
      <c r="C34" s="1123"/>
      <c r="D34" s="1123"/>
      <c r="E34" s="1123"/>
      <c r="F34" s="1123"/>
      <c r="G34" s="1123"/>
      <c r="H34" s="4"/>
    </row>
    <row r="35" spans="1:10" ht="31" customHeight="1">
      <c r="A35" s="348"/>
      <c r="B35" s="1125"/>
      <c r="C35" s="1125"/>
      <c r="D35" s="1125"/>
      <c r="E35" s="1125"/>
      <c r="F35" s="1125"/>
      <c r="G35" s="1125"/>
    </row>
    <row r="36" spans="1:10" ht="31" customHeight="1">
      <c r="A36" s="348"/>
      <c r="B36" s="1125"/>
      <c r="C36" s="1125"/>
      <c r="D36" s="1125"/>
      <c r="E36" s="1125"/>
      <c r="F36" s="1125"/>
      <c r="G36" s="1125"/>
      <c r="J36" s="1"/>
    </row>
    <row r="37" spans="1:10" ht="31" customHeight="1">
      <c r="A37" s="348"/>
      <c r="B37" s="1125"/>
      <c r="C37" s="1125"/>
      <c r="D37" s="1125"/>
      <c r="E37" s="1125"/>
      <c r="F37" s="1125"/>
      <c r="G37" s="1125"/>
    </row>
    <row r="38" spans="1:10" ht="31" customHeight="1">
      <c r="A38" s="348"/>
      <c r="B38" s="1125"/>
      <c r="C38" s="1125"/>
      <c r="D38" s="1125"/>
      <c r="E38" s="1125"/>
      <c r="F38" s="1125"/>
      <c r="G38" s="1125"/>
    </row>
    <row r="39" spans="1:10" ht="31" customHeight="1">
      <c r="A39" s="348"/>
      <c r="B39" s="1125"/>
      <c r="C39" s="1125"/>
      <c r="D39" s="1125"/>
      <c r="E39" s="1125"/>
      <c r="F39" s="1125"/>
      <c r="G39" s="1125"/>
    </row>
    <row r="40" spans="1:10" ht="31" customHeight="1">
      <c r="A40" s="348"/>
      <c r="B40" s="1125"/>
      <c r="C40" s="1125"/>
      <c r="D40" s="1125"/>
      <c r="E40" s="1125"/>
      <c r="F40" s="1125"/>
      <c r="G40" s="1125"/>
    </row>
    <row r="41" spans="1:10" ht="31" customHeight="1">
      <c r="A41" s="348"/>
      <c r="B41" s="1125"/>
      <c r="C41" s="1125"/>
      <c r="D41" s="1125"/>
      <c r="E41" s="1125"/>
      <c r="F41" s="1125"/>
      <c r="G41" s="1125"/>
    </row>
    <row r="42" spans="1:10">
      <c r="A42" s="348"/>
      <c r="B42" s="1125"/>
      <c r="C42" s="1125"/>
      <c r="D42" s="1125"/>
      <c r="E42" s="1125"/>
      <c r="F42" s="1125"/>
      <c r="G42" s="1125"/>
    </row>
    <row r="43" spans="1:10">
      <c r="A43" s="348"/>
      <c r="B43" s="1125"/>
      <c r="C43" s="1125"/>
      <c r="D43" s="1125"/>
      <c r="E43" s="1125"/>
      <c r="F43" s="1125"/>
      <c r="G43" s="1125"/>
    </row>
  </sheetData>
  <mergeCells count="1">
    <mergeCell ref="A2:F2"/>
  </mergeCells>
  <phoneticPr fontId="0" type="noConversion"/>
  <pageMargins left="0.56000000000000005" right="0.51" top="1.02" bottom="0.49" header="0.68" footer="0.4921259845"/>
  <pageSetup paperSize="9" scale="76" orientation="portrait" horizontalDpi="4294967292" verticalDpi="4294967292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CCD2-EBFA-A24C-8A26-ACD036C532CD}">
  <sheetPr>
    <pageSetUpPr fitToPage="1"/>
  </sheetPr>
  <dimension ref="A1:J44"/>
  <sheetViews>
    <sheetView zoomScale="75" workbookViewId="0">
      <selection activeCell="F33" sqref="F33"/>
    </sheetView>
  </sheetViews>
  <sheetFormatPr baseColWidth="10" defaultColWidth="11.3984375" defaultRowHeight="13"/>
  <cols>
    <col min="1" max="1" width="14.19921875" style="2" customWidth="1"/>
    <col min="2" max="7" width="14.19921875" style="156" customWidth="1"/>
    <col min="8" max="16384" width="11.3984375" style="2"/>
  </cols>
  <sheetData>
    <row r="1" spans="1:7" s="1" customFormat="1" ht="14" customHeight="1">
      <c r="A1" s="381"/>
      <c r="B1" s="1117"/>
      <c r="C1" s="1117"/>
      <c r="D1" s="1117"/>
      <c r="E1" s="1117"/>
      <c r="F1" s="1117"/>
      <c r="G1" s="1117"/>
    </row>
    <row r="2" spans="1:7" s="1" customFormat="1" ht="38.25" customHeight="1">
      <c r="A2" s="1806" t="s">
        <v>1551</v>
      </c>
      <c r="B2" s="1804"/>
      <c r="C2" s="1804"/>
      <c r="D2" s="1804"/>
      <c r="E2" s="1804"/>
      <c r="F2" s="1804"/>
      <c r="G2" s="321"/>
    </row>
    <row r="3" spans="1:7" ht="27" customHeight="1">
      <c r="A3" s="110" t="s">
        <v>533</v>
      </c>
      <c r="B3" s="111" t="s">
        <v>1538</v>
      </c>
      <c r="C3" s="112" t="s">
        <v>1519</v>
      </c>
      <c r="D3" s="111" t="s">
        <v>1279</v>
      </c>
      <c r="E3" s="112" t="s">
        <v>1520</v>
      </c>
      <c r="F3" s="111" t="s">
        <v>2293</v>
      </c>
      <c r="G3" s="112" t="s">
        <v>1521</v>
      </c>
    </row>
    <row r="4" spans="1:7" ht="15" customHeight="1">
      <c r="A4" s="308"/>
      <c r="B4" s="391"/>
      <c r="C4" s="928" t="s">
        <v>1022</v>
      </c>
      <c r="D4" s="114" t="s">
        <v>1022</v>
      </c>
      <c r="E4" s="115" t="s">
        <v>1523</v>
      </c>
      <c r="F4" s="114" t="s">
        <v>1524</v>
      </c>
      <c r="G4" s="115"/>
    </row>
    <row r="5" spans="1:7" ht="15" customHeight="1">
      <c r="A5" s="308"/>
      <c r="B5" s="114"/>
      <c r="C5" s="115" t="s">
        <v>1539</v>
      </c>
      <c r="D5" s="114" t="s">
        <v>1544</v>
      </c>
      <c r="E5" s="928" t="s">
        <v>1540</v>
      </c>
      <c r="F5" s="391" t="s">
        <v>1526</v>
      </c>
      <c r="G5" s="115"/>
    </row>
    <row r="6" spans="1:7" ht="25.5" customHeight="1">
      <c r="A6" s="505"/>
      <c r="B6" s="535"/>
      <c r="C6" s="119"/>
      <c r="D6" s="120" t="s">
        <v>1552</v>
      </c>
      <c r="E6" s="119"/>
      <c r="F6" s="120" t="s">
        <v>1542</v>
      </c>
      <c r="G6" s="536"/>
    </row>
    <row r="7" spans="1:7" ht="2.25" customHeight="1" thickBot="1">
      <c r="A7" s="553">
        <v>1996</v>
      </c>
      <c r="B7" s="819">
        <v>5976.68608119694</v>
      </c>
      <c r="C7" s="311">
        <v>14434.210404011734</v>
      </c>
      <c r="D7" s="819">
        <v>4896.4666666666662</v>
      </c>
      <c r="E7" s="311">
        <v>11800.912708060619</v>
      </c>
      <c r="F7" s="819">
        <v>360.34572496402706</v>
      </c>
      <c r="G7" s="311">
        <v>37468.621584899985</v>
      </c>
    </row>
    <row r="8" spans="1:7" ht="18" customHeight="1" thickBot="1">
      <c r="A8" s="554">
        <v>1997</v>
      </c>
      <c r="B8" s="820">
        <v>5920.5324887865727</v>
      </c>
      <c r="C8" s="821">
        <v>15076.044841145113</v>
      </c>
      <c r="D8" s="820">
        <v>4463.3999999999996</v>
      </c>
      <c r="E8" s="821">
        <v>12382.482583881054</v>
      </c>
      <c r="F8" s="820">
        <v>367.4485025408178</v>
      </c>
      <c r="G8" s="821">
        <v>38209.908416353559</v>
      </c>
    </row>
    <row r="9" spans="1:7" ht="18" customHeight="1" thickBot="1">
      <c r="A9" s="554">
        <v>1998</v>
      </c>
      <c r="B9" s="820">
        <v>5989.0401962979158</v>
      </c>
      <c r="C9" s="821">
        <v>15771.905639841238</v>
      </c>
      <c r="D9" s="820">
        <v>4590.2</v>
      </c>
      <c r="E9" s="821">
        <v>13088.584732536303</v>
      </c>
      <c r="F9" s="820">
        <v>375.28251008174271</v>
      </c>
      <c r="G9" s="821">
        <v>39815.013078757198</v>
      </c>
    </row>
    <row r="10" spans="1:7" ht="18" customHeight="1" thickBot="1">
      <c r="A10" s="554">
        <v>1999</v>
      </c>
      <c r="B10" s="820">
        <v>6272.8466257392192</v>
      </c>
      <c r="C10" s="821">
        <v>16391.923646518997</v>
      </c>
      <c r="D10" s="820">
        <v>4331.8999999999996</v>
      </c>
      <c r="E10" s="821">
        <v>13719.072601594235</v>
      </c>
      <c r="F10" s="820">
        <v>388.70889016736163</v>
      </c>
      <c r="G10" s="821">
        <v>41104.451764019817</v>
      </c>
    </row>
    <row r="11" spans="1:7" ht="18" customHeight="1" thickBot="1">
      <c r="A11" s="554">
        <v>2000</v>
      </c>
      <c r="B11" s="820">
        <v>6460.9578237170608</v>
      </c>
      <c r="C11" s="821">
        <v>17287.501564137343</v>
      </c>
      <c r="D11" s="820">
        <v>4546.7</v>
      </c>
      <c r="E11" s="821">
        <v>14127.609459022913</v>
      </c>
      <c r="F11" s="820">
        <v>420.16510495683008</v>
      </c>
      <c r="G11" s="821">
        <v>42842.933951834151</v>
      </c>
    </row>
    <row r="12" spans="1:7" ht="18" customHeight="1" thickBot="1">
      <c r="A12" s="554">
        <v>2001</v>
      </c>
      <c r="B12" s="820">
        <v>7635.1420777467765</v>
      </c>
      <c r="C12" s="821">
        <v>18307.65616731207</v>
      </c>
      <c r="D12" s="820">
        <v>4699.8999999999996</v>
      </c>
      <c r="E12" s="821">
        <v>14487.407471645613</v>
      </c>
      <c r="F12" s="820">
        <v>442.73533222173643</v>
      </c>
      <c r="G12" s="821">
        <v>45572.841048926202</v>
      </c>
    </row>
    <row r="13" spans="1:7" ht="18" customHeight="1" thickBot="1">
      <c r="A13" s="554">
        <v>2002</v>
      </c>
      <c r="B13" s="820">
        <v>8429.5101560943567</v>
      </c>
      <c r="C13" s="821">
        <v>18930.654576710058</v>
      </c>
      <c r="D13" s="820">
        <v>4615.5</v>
      </c>
      <c r="E13" s="821">
        <v>14956.656825335853</v>
      </c>
      <c r="F13" s="820">
        <v>456.31192849787288</v>
      </c>
      <c r="G13" s="821">
        <v>47388.633486638137</v>
      </c>
    </row>
    <row r="14" spans="1:7" ht="18" customHeight="1" thickBot="1">
      <c r="A14" s="554">
        <v>2003</v>
      </c>
      <c r="B14" s="820">
        <v>8778.10319716105</v>
      </c>
      <c r="C14" s="821">
        <v>19967.283583850771</v>
      </c>
      <c r="D14" s="820">
        <v>4477.9040000000005</v>
      </c>
      <c r="E14" s="821">
        <v>15579.71663887125</v>
      </c>
      <c r="F14" s="820">
        <v>462.16066224325613</v>
      </c>
      <c r="G14" s="821">
        <v>49265.168082126329</v>
      </c>
    </row>
    <row r="15" spans="1:7" ht="18" customHeight="1" thickBot="1">
      <c r="A15" s="554">
        <v>2004</v>
      </c>
      <c r="B15" s="820">
        <v>8632.7243530636424</v>
      </c>
      <c r="C15" s="821">
        <v>21150.983726961927</v>
      </c>
      <c r="D15" s="820">
        <v>4511.7479999999996</v>
      </c>
      <c r="E15" s="821">
        <v>16251.715486006822</v>
      </c>
      <c r="F15" s="820">
        <v>460.54510480676197</v>
      </c>
      <c r="G15" s="821">
        <v>51007.71667083916</v>
      </c>
    </row>
    <row r="16" spans="1:7" ht="18" customHeight="1" thickBot="1">
      <c r="A16" s="554">
        <v>2005</v>
      </c>
      <c r="B16" s="820">
        <v>8704.8174529394601</v>
      </c>
      <c r="C16" s="821">
        <v>22241.413529341</v>
      </c>
      <c r="D16" s="820">
        <v>4674.7509002500001</v>
      </c>
      <c r="E16" s="821">
        <v>15941.092288794471</v>
      </c>
      <c r="F16" s="820">
        <v>480.96670935903251</v>
      </c>
      <c r="G16" s="821">
        <v>52043.040880683962</v>
      </c>
    </row>
    <row r="17" spans="1:8" ht="18" customHeight="1" thickBot="1">
      <c r="A17" s="554">
        <v>2006</v>
      </c>
      <c r="B17" s="820">
        <v>8536.5423231378227</v>
      </c>
      <c r="C17" s="821">
        <v>22665.685294776315</v>
      </c>
      <c r="D17" s="820">
        <v>4820.2721687900003</v>
      </c>
      <c r="E17" s="821">
        <v>16250.566423088485</v>
      </c>
      <c r="F17" s="820">
        <v>500.28122327763629</v>
      </c>
      <c r="G17" s="821">
        <v>52773.347433070259</v>
      </c>
    </row>
    <row r="18" spans="1:8" ht="30" customHeight="1" thickBot="1">
      <c r="A18" s="1082" t="s">
        <v>1543</v>
      </c>
      <c r="B18" s="1083">
        <v>8812.7999999999993</v>
      </c>
      <c r="C18" s="1084">
        <v>23794.7</v>
      </c>
      <c r="D18" s="1083">
        <v>5031.7</v>
      </c>
      <c r="E18" s="1084">
        <v>16733</v>
      </c>
      <c r="F18" s="1083">
        <v>531.70000000000005</v>
      </c>
      <c r="G18" s="1084">
        <v>54904.2</v>
      </c>
    </row>
    <row r="19" spans="1:8" ht="20" customHeight="1">
      <c r="A19" s="1085" t="s">
        <v>1623</v>
      </c>
      <c r="B19" s="1086"/>
      <c r="C19" s="1086"/>
      <c r="D19" s="1086"/>
      <c r="E19" s="1086"/>
      <c r="F19" s="1086"/>
      <c r="G19" s="1086"/>
    </row>
    <row r="20" spans="1:8" ht="12.75" customHeight="1">
      <c r="A20" s="1087"/>
      <c r="B20" s="1122"/>
      <c r="C20" s="1122"/>
      <c r="D20" s="1122"/>
      <c r="E20" s="1122"/>
      <c r="F20" s="1122"/>
      <c r="G20" s="1122"/>
      <c r="H20" s="4"/>
    </row>
    <row r="21" spans="1:8" ht="12.75" customHeight="1">
      <c r="A21" s="1087" t="s">
        <v>1545</v>
      </c>
      <c r="B21" s="1087"/>
      <c r="C21" s="1122"/>
      <c r="D21" s="1122"/>
      <c r="E21" s="1122"/>
      <c r="F21" s="1122"/>
      <c r="G21" s="1122"/>
      <c r="H21" s="4"/>
    </row>
    <row r="22" spans="1:8" ht="12.75" customHeight="1">
      <c r="A22" s="1087" t="s">
        <v>1546</v>
      </c>
      <c r="B22" s="1122"/>
      <c r="C22" s="1122"/>
      <c r="D22" s="1122"/>
      <c r="E22" s="1122"/>
      <c r="F22" s="1122"/>
      <c r="G22" s="1122"/>
      <c r="H22" s="4"/>
    </row>
    <row r="23" spans="1:8" ht="12.75" customHeight="1">
      <c r="A23" s="1087" t="s">
        <v>1547</v>
      </c>
      <c r="B23" s="1122"/>
      <c r="C23" s="1122"/>
      <c r="D23" s="1122"/>
      <c r="E23" s="1122"/>
      <c r="F23" s="1122"/>
      <c r="G23" s="1122"/>
      <c r="H23" s="4"/>
    </row>
    <row r="24" spans="1:8" ht="12.75" customHeight="1">
      <c r="A24" s="1087" t="s">
        <v>1548</v>
      </c>
      <c r="B24" s="1122"/>
      <c r="C24" s="1122"/>
      <c r="D24" s="1122"/>
      <c r="E24" s="1122"/>
      <c r="F24" s="1122"/>
      <c r="G24" s="1122"/>
      <c r="H24" s="4"/>
    </row>
    <row r="25" spans="1:8" ht="12.75" customHeight="1">
      <c r="A25" s="1087" t="s">
        <v>1549</v>
      </c>
      <c r="B25" s="1122"/>
      <c r="C25" s="1122"/>
      <c r="D25" s="1122"/>
      <c r="E25" s="1122"/>
      <c r="F25" s="1122"/>
      <c r="G25" s="1122"/>
      <c r="H25" s="4"/>
    </row>
    <row r="26" spans="1:8" ht="12.75" customHeight="1">
      <c r="A26" s="1087" t="s">
        <v>1550</v>
      </c>
      <c r="B26" s="1122"/>
      <c r="C26" s="1122"/>
      <c r="D26" s="1122"/>
      <c r="E26" s="1122"/>
      <c r="F26" s="1122"/>
      <c r="G26" s="1122"/>
      <c r="H26" s="4"/>
    </row>
    <row r="27" spans="1:8" ht="12.75" customHeight="1">
      <c r="A27" s="1087" t="s">
        <v>1534</v>
      </c>
      <c r="B27" s="1122"/>
      <c r="C27" s="1122"/>
      <c r="D27" s="1122"/>
      <c r="E27" s="1122"/>
      <c r="F27" s="1122"/>
      <c r="G27" s="1122"/>
      <c r="H27" s="4"/>
    </row>
    <row r="28" spans="1:8" ht="12.75" customHeight="1">
      <c r="A28" s="1087" t="s">
        <v>1535</v>
      </c>
      <c r="B28" s="1122"/>
      <c r="C28" s="1122"/>
      <c r="D28" s="1122"/>
      <c r="E28" s="1122"/>
      <c r="F28" s="1122"/>
      <c r="G28" s="1122"/>
      <c r="H28" s="4"/>
    </row>
    <row r="29" spans="1:8" ht="12.75" customHeight="1">
      <c r="A29" s="1087"/>
      <c r="B29" s="1122"/>
      <c r="C29" s="1122"/>
      <c r="D29" s="1122"/>
      <c r="E29" s="1122"/>
      <c r="F29" s="1122"/>
      <c r="G29" s="1122"/>
      <c r="H29" s="4"/>
    </row>
    <row r="30" spans="1:8" ht="12.75" customHeight="1">
      <c r="A30" s="1087" t="s">
        <v>1536</v>
      </c>
      <c r="B30" s="1122"/>
      <c r="C30" s="1122"/>
      <c r="D30" s="1122"/>
      <c r="E30" s="1122"/>
      <c r="F30" s="1122"/>
      <c r="G30" s="1122"/>
      <c r="H30" s="4"/>
    </row>
    <row r="31" spans="1:8" ht="13.5" customHeight="1">
      <c r="A31" s="52"/>
      <c r="B31" s="1123"/>
      <c r="C31" s="1123"/>
      <c r="D31" s="1123"/>
      <c r="E31" s="1123"/>
      <c r="F31" s="1123"/>
      <c r="G31" s="1123"/>
      <c r="H31" s="4"/>
    </row>
    <row r="32" spans="1:8" ht="15.75" customHeight="1">
      <c r="A32" s="1124"/>
      <c r="B32" s="1123"/>
      <c r="C32" s="1123"/>
      <c r="D32" s="1123"/>
      <c r="E32" s="1123"/>
      <c r="F32" s="1123"/>
      <c r="G32" s="1123"/>
      <c r="H32" s="4"/>
    </row>
    <row r="33" spans="1:10" ht="13.5" customHeight="1">
      <c r="A33" s="4" t="s">
        <v>634</v>
      </c>
      <c r="B33" s="1123"/>
      <c r="C33" s="1123"/>
      <c r="D33" s="1123"/>
      <c r="E33" s="1123"/>
      <c r="F33" s="1123"/>
      <c r="G33" s="1123"/>
      <c r="H33" s="4"/>
    </row>
    <row r="34" spans="1:10" ht="31" customHeight="1">
      <c r="A34" s="4"/>
      <c r="B34" s="1123"/>
      <c r="C34" s="1123"/>
      <c r="D34" s="1123"/>
      <c r="E34" s="1123"/>
      <c r="F34" s="1123"/>
      <c r="G34" s="1123"/>
      <c r="H34" s="4"/>
    </row>
    <row r="35" spans="1:10" ht="31" customHeight="1">
      <c r="A35" s="4"/>
      <c r="B35" s="1123"/>
      <c r="C35" s="1123"/>
      <c r="D35" s="1123"/>
      <c r="E35" s="1123"/>
      <c r="F35" s="1123"/>
      <c r="G35" s="1123"/>
      <c r="H35" s="4"/>
      <c r="J35" s="1"/>
    </row>
    <row r="36" spans="1:10" ht="31" customHeight="1">
      <c r="A36" s="4"/>
      <c r="B36" s="1123"/>
      <c r="C36" s="1123"/>
      <c r="D36" s="1123"/>
      <c r="E36" s="1123"/>
      <c r="F36" s="1123"/>
      <c r="G36" s="1123"/>
      <c r="H36" s="4"/>
    </row>
    <row r="37" spans="1:10" ht="31" customHeight="1">
      <c r="A37" s="4"/>
      <c r="B37" s="1123"/>
      <c r="C37" s="1123"/>
      <c r="D37" s="1123"/>
      <c r="E37" s="1123"/>
      <c r="F37" s="1123"/>
      <c r="G37" s="1123"/>
      <c r="H37" s="4"/>
    </row>
    <row r="38" spans="1:10" ht="31" customHeight="1">
      <c r="A38" s="4"/>
      <c r="B38" s="1123"/>
      <c r="C38" s="1123"/>
      <c r="D38" s="1123"/>
      <c r="E38" s="1123"/>
      <c r="F38" s="1123"/>
      <c r="G38" s="1123"/>
      <c r="H38" s="4"/>
    </row>
    <row r="39" spans="1:10" ht="31" customHeight="1">
      <c r="A39" s="4"/>
      <c r="B39" s="1123"/>
      <c r="C39" s="1123"/>
      <c r="D39" s="1123"/>
      <c r="E39" s="1123"/>
      <c r="F39" s="1123"/>
      <c r="G39" s="1123"/>
      <c r="H39" s="4"/>
    </row>
    <row r="40" spans="1:10" ht="31" customHeight="1">
      <c r="A40" s="4"/>
      <c r="B40" s="1123"/>
      <c r="C40" s="1123"/>
      <c r="D40" s="1123"/>
      <c r="E40" s="1123"/>
      <c r="F40" s="1123"/>
      <c r="G40" s="1123"/>
      <c r="H40" s="4"/>
    </row>
    <row r="41" spans="1:10">
      <c r="A41" s="4"/>
      <c r="B41" s="1123"/>
      <c r="C41" s="1123"/>
      <c r="D41" s="1123"/>
      <c r="E41" s="1123"/>
      <c r="F41" s="1123"/>
      <c r="G41" s="1123"/>
      <c r="H41" s="4"/>
    </row>
    <row r="42" spans="1:10">
      <c r="A42" s="4"/>
      <c r="B42" s="1123"/>
      <c r="C42" s="1123"/>
      <c r="D42" s="1123"/>
      <c r="E42" s="1123"/>
      <c r="F42" s="1123"/>
      <c r="G42" s="1123"/>
      <c r="H42" s="4"/>
    </row>
    <row r="43" spans="1:10">
      <c r="A43" s="4"/>
      <c r="B43" s="1123"/>
      <c r="C43" s="1123"/>
      <c r="D43" s="1123"/>
      <c r="E43" s="1123"/>
      <c r="F43" s="1123"/>
      <c r="G43" s="1123"/>
      <c r="H43" s="4"/>
    </row>
    <row r="44" spans="1:10">
      <c r="A44" s="4"/>
      <c r="B44" s="1123"/>
      <c r="C44" s="1123"/>
      <c r="D44" s="1123"/>
      <c r="E44" s="1123"/>
      <c r="F44" s="1123"/>
      <c r="G44" s="1123"/>
      <c r="H44" s="4"/>
    </row>
  </sheetData>
  <mergeCells count="1">
    <mergeCell ref="A2:F2"/>
  </mergeCells>
  <phoneticPr fontId="0" type="noConversion"/>
  <pageMargins left="0.56000000000000005" right="0.51" top="1.02" bottom="0.49" header="0.68" footer="0.4921259845"/>
  <pageSetup paperSize="9" scale="84" orientation="portrait" horizontalDpi="4294967292" verticalDpi="4294967292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A787-AFB2-F942-BEDF-08A1E0C3D1D0}">
  <sheetPr>
    <pageSetUpPr fitToPage="1"/>
  </sheetPr>
  <dimension ref="A1:L42"/>
  <sheetViews>
    <sheetView topLeftCell="A6" zoomScale="75" workbookViewId="0">
      <selection activeCell="A29" sqref="A29"/>
    </sheetView>
  </sheetViews>
  <sheetFormatPr baseColWidth="10" defaultColWidth="11.3984375" defaultRowHeight="13"/>
  <cols>
    <col min="1" max="1" width="10.19921875" style="2" customWidth="1"/>
    <col min="2" max="9" width="13.19921875" style="156" customWidth="1"/>
    <col min="10" max="10" width="8.796875" style="2" customWidth="1"/>
    <col min="11" max="16384" width="11.3984375" style="2"/>
  </cols>
  <sheetData>
    <row r="1" spans="1:9" s="1" customFormat="1" ht="14" customHeight="1">
      <c r="A1" s="381"/>
      <c r="B1" s="1117"/>
      <c r="C1" s="1117"/>
      <c r="D1" s="1117"/>
      <c r="E1" s="1117"/>
      <c r="F1" s="1117"/>
      <c r="G1" s="1117"/>
      <c r="H1" s="1117"/>
      <c r="I1" s="1117"/>
    </row>
    <row r="2" spans="1:9" s="1" customFormat="1" ht="39" customHeight="1">
      <c r="A2" s="1806" t="s">
        <v>1587</v>
      </c>
      <c r="B2" s="1804"/>
      <c r="C2" s="1804"/>
      <c r="D2" s="1804"/>
      <c r="E2" s="1804"/>
      <c r="F2" s="1804"/>
      <c r="G2" s="1804"/>
      <c r="H2" s="1804"/>
      <c r="I2" s="321"/>
    </row>
    <row r="3" spans="1:9" ht="27" customHeight="1">
      <c r="A3" s="110" t="s">
        <v>533</v>
      </c>
      <c r="B3" s="111" t="s">
        <v>1085</v>
      </c>
      <c r="C3" s="112" t="s">
        <v>1553</v>
      </c>
      <c r="D3" s="111" t="s">
        <v>518</v>
      </c>
      <c r="E3" s="112" t="s">
        <v>1554</v>
      </c>
      <c r="F3" s="111" t="s">
        <v>1588</v>
      </c>
      <c r="G3" s="112" t="s">
        <v>1057</v>
      </c>
      <c r="H3" s="111" t="s">
        <v>1555</v>
      </c>
      <c r="I3" s="112" t="s">
        <v>1521</v>
      </c>
    </row>
    <row r="4" spans="1:9" ht="18.75" customHeight="1">
      <c r="A4" s="308"/>
      <c r="B4" s="391" t="s">
        <v>1589</v>
      </c>
      <c r="C4" s="928" t="s">
        <v>1556</v>
      </c>
      <c r="D4" s="114" t="s">
        <v>1557</v>
      </c>
      <c r="E4" s="115" t="s">
        <v>1590</v>
      </c>
      <c r="F4" s="114"/>
      <c r="G4" s="115" t="s">
        <v>1591</v>
      </c>
      <c r="H4" s="114" t="s">
        <v>1558</v>
      </c>
      <c r="I4" s="115"/>
    </row>
    <row r="5" spans="1:9" ht="16.5" customHeight="1">
      <c r="A5" s="308"/>
      <c r="B5" s="114"/>
      <c r="C5" s="115" t="s">
        <v>1559</v>
      </c>
      <c r="D5" s="114" t="s">
        <v>1592</v>
      </c>
      <c r="E5" s="928"/>
      <c r="F5" s="391"/>
      <c r="G5" s="928"/>
      <c r="H5" s="391" t="s">
        <v>1560</v>
      </c>
      <c r="I5" s="115"/>
    </row>
    <row r="6" spans="1:9" ht="23.25" customHeight="1">
      <c r="A6" s="505"/>
      <c r="B6" s="535"/>
      <c r="C6" s="119" t="s">
        <v>1593</v>
      </c>
      <c r="D6" s="120"/>
      <c r="E6" s="119"/>
      <c r="F6" s="120"/>
      <c r="G6" s="119"/>
      <c r="H6" s="120" t="s">
        <v>1561</v>
      </c>
      <c r="I6" s="119"/>
    </row>
    <row r="7" spans="1:9" ht="3" customHeight="1" thickBot="1">
      <c r="A7" s="1126">
        <v>1996</v>
      </c>
      <c r="B7" s="819">
        <v>13184.001550929997</v>
      </c>
      <c r="C7" s="311">
        <v>5983.4068869585872</v>
      </c>
      <c r="D7" s="819">
        <v>11678.598705823826</v>
      </c>
      <c r="E7" s="311">
        <v>3544.7</v>
      </c>
      <c r="F7" s="819">
        <v>869.07117945000005</v>
      </c>
      <c r="G7" s="311">
        <v>1796.8786666666667</v>
      </c>
      <c r="H7" s="819">
        <v>411.9645950709093</v>
      </c>
      <c r="I7" s="311">
        <v>37468.621584899985</v>
      </c>
    </row>
    <row r="8" spans="1:9" ht="18" customHeight="1" thickBot="1">
      <c r="A8" s="1127">
        <v>1997</v>
      </c>
      <c r="B8" s="820">
        <v>13300.503586459999</v>
      </c>
      <c r="C8" s="821">
        <v>6218.5068752889456</v>
      </c>
      <c r="D8" s="820">
        <v>11898.794609684615</v>
      </c>
      <c r="E8" s="821">
        <v>3699.7217000000001</v>
      </c>
      <c r="F8" s="820">
        <v>820.08564491999994</v>
      </c>
      <c r="G8" s="821">
        <v>1853.7959999999998</v>
      </c>
      <c r="H8" s="820">
        <v>418.5</v>
      </c>
      <c r="I8" s="821">
        <v>38209.908416353566</v>
      </c>
    </row>
    <row r="9" spans="1:9" ht="18" customHeight="1" thickBot="1">
      <c r="A9" s="1127">
        <v>1998</v>
      </c>
      <c r="B9" s="820">
        <v>13726.93413743</v>
      </c>
      <c r="C9" s="821">
        <v>6517.6187697704527</v>
      </c>
      <c r="D9" s="820">
        <v>12534.698426142464</v>
      </c>
      <c r="E9" s="821">
        <v>3814.7841952999997</v>
      </c>
      <c r="F9" s="820">
        <v>825.83928717999993</v>
      </c>
      <c r="G9" s="821">
        <v>1952.6</v>
      </c>
      <c r="H9" s="820">
        <v>442.53826293428619</v>
      </c>
      <c r="I9" s="821">
        <v>39815.013078757205</v>
      </c>
    </row>
    <row r="10" spans="1:9" ht="18" customHeight="1" thickBot="1">
      <c r="A10" s="1127">
        <v>1999</v>
      </c>
      <c r="B10" s="820">
        <v>14269.859986000003</v>
      </c>
      <c r="C10" s="821">
        <v>6635.9923296822863</v>
      </c>
      <c r="D10" s="820">
        <v>12923.16416135502</v>
      </c>
      <c r="E10" s="821">
        <v>3984.9651892603001</v>
      </c>
      <c r="F10" s="820">
        <v>869.39271499999995</v>
      </c>
      <c r="G10" s="821">
        <v>1951.2</v>
      </c>
      <c r="H10" s="820">
        <v>469.87738272220713</v>
      </c>
      <c r="I10" s="821">
        <v>41104.451764019817</v>
      </c>
    </row>
    <row r="11" spans="1:9" ht="18" customHeight="1" thickBot="1">
      <c r="A11" s="1127">
        <v>2000</v>
      </c>
      <c r="B11" s="820">
        <v>14895.513251</v>
      </c>
      <c r="C11" s="821">
        <v>7041.5148394749094</v>
      </c>
      <c r="D11" s="820">
        <v>13440.733995653636</v>
      </c>
      <c r="E11" s="821">
        <v>4130.4973544495606</v>
      </c>
      <c r="F11" s="820">
        <v>886.60889900000006</v>
      </c>
      <c r="G11" s="821">
        <v>1968</v>
      </c>
      <c r="H11" s="820">
        <v>480.06561225603991</v>
      </c>
      <c r="I11" s="821">
        <v>42842.933951834144</v>
      </c>
    </row>
    <row r="12" spans="1:9" ht="18" customHeight="1" thickBot="1">
      <c r="A12" s="1127">
        <v>2001</v>
      </c>
      <c r="B12" s="820">
        <v>16132.139821000001</v>
      </c>
      <c r="C12" s="821">
        <v>7546.7492306168624</v>
      </c>
      <c r="D12" s="820">
        <v>14118.389210237772</v>
      </c>
      <c r="E12" s="821">
        <v>4333.6230316924066</v>
      </c>
      <c r="F12" s="820">
        <v>926.76387199999999</v>
      </c>
      <c r="G12" s="821">
        <v>2014.6</v>
      </c>
      <c r="H12" s="820">
        <v>500.57588337914626</v>
      </c>
      <c r="I12" s="821">
        <v>45572.841048926188</v>
      </c>
    </row>
    <row r="13" spans="1:9" ht="18" customHeight="1" thickBot="1">
      <c r="A13" s="1127">
        <v>2002</v>
      </c>
      <c r="B13" s="820">
        <v>16982.807524247681</v>
      </c>
      <c r="C13" s="821">
        <v>8067.6588042943567</v>
      </c>
      <c r="D13" s="820">
        <v>14430.539223398549</v>
      </c>
      <c r="E13" s="821">
        <v>4415.9295005981339</v>
      </c>
      <c r="F13" s="820">
        <v>981.40087700000004</v>
      </c>
      <c r="G13" s="821">
        <v>2000.8014692328545</v>
      </c>
      <c r="H13" s="820">
        <v>509.49608786656427</v>
      </c>
      <c r="I13" s="821">
        <v>47388.633486638144</v>
      </c>
    </row>
    <row r="14" spans="1:9" ht="18" customHeight="1" thickBot="1">
      <c r="A14" s="1127">
        <v>2003</v>
      </c>
      <c r="B14" s="820">
        <v>17712.226343618662</v>
      </c>
      <c r="C14" s="821">
        <v>8374.8829930130487</v>
      </c>
      <c r="D14" s="820">
        <v>14813.56384014453</v>
      </c>
      <c r="E14" s="821">
        <v>4720.9651053618945</v>
      </c>
      <c r="F14" s="820">
        <v>1036.8831319999999</v>
      </c>
      <c r="G14" s="821">
        <v>2076.4031583018532</v>
      </c>
      <c r="H14" s="820">
        <v>530.23678043074028</v>
      </c>
      <c r="I14" s="821">
        <v>49265.161352870731</v>
      </c>
    </row>
    <row r="15" spans="1:9" ht="18" customHeight="1" thickBot="1">
      <c r="A15" s="1127">
        <v>2004</v>
      </c>
      <c r="B15" s="820">
        <v>18211.927869253603</v>
      </c>
      <c r="C15" s="821">
        <v>8629.9334146129404</v>
      </c>
      <c r="D15" s="820">
        <v>15519.799657335181</v>
      </c>
      <c r="E15" s="821">
        <v>4885.7901600000005</v>
      </c>
      <c r="F15" s="820">
        <v>1016.403946</v>
      </c>
      <c r="G15" s="821">
        <v>2188.6177220936333</v>
      </c>
      <c r="H15" s="820">
        <v>555.24390154379591</v>
      </c>
      <c r="I15" s="821">
        <v>51007.71667083916</v>
      </c>
    </row>
    <row r="16" spans="1:9" ht="18" customHeight="1" thickBot="1">
      <c r="A16" s="1127">
        <v>2005</v>
      </c>
      <c r="B16" s="820">
        <v>18296.451625528491</v>
      </c>
      <c r="C16" s="821">
        <v>8899.1731697869727</v>
      </c>
      <c r="D16" s="820">
        <v>16110.083387414588</v>
      </c>
      <c r="E16" s="821">
        <v>4948.2082112506641</v>
      </c>
      <c r="F16" s="820">
        <v>1023.603069</v>
      </c>
      <c r="G16" s="821">
        <v>2193.6107966786522</v>
      </c>
      <c r="H16" s="820">
        <v>571.91062102459728</v>
      </c>
      <c r="I16" s="821">
        <v>52043.040880683955</v>
      </c>
    </row>
    <row r="17" spans="1:9" ht="18" customHeight="1" thickBot="1">
      <c r="A17" s="1127">
        <v>2006</v>
      </c>
      <c r="B17" s="820">
        <v>18526.116825067013</v>
      </c>
      <c r="C17" s="821">
        <v>9005.2253979999987</v>
      </c>
      <c r="D17" s="820">
        <v>16448.330289598387</v>
      </c>
      <c r="E17" s="821">
        <v>4888.0334472825143</v>
      </c>
      <c r="F17" s="820">
        <v>1015.4241959999999</v>
      </c>
      <c r="G17" s="821">
        <v>2305.0175260594792</v>
      </c>
      <c r="H17" s="820">
        <v>585.19916967563006</v>
      </c>
      <c r="I17" s="821">
        <v>52773.346851683018</v>
      </c>
    </row>
    <row r="18" spans="1:9" s="148" customFormat="1" ht="30" customHeight="1" thickBot="1">
      <c r="A18" s="1082" t="s">
        <v>1543</v>
      </c>
      <c r="B18" s="1083">
        <v>19112.599999999999</v>
      </c>
      <c r="C18" s="1084">
        <v>9626.7999999999993</v>
      </c>
      <c r="D18" s="1083">
        <v>17035.099999999999</v>
      </c>
      <c r="E18" s="1084">
        <v>5043.3</v>
      </c>
      <c r="F18" s="1083">
        <v>1061.5999999999999</v>
      </c>
      <c r="G18" s="1084">
        <v>2415.6</v>
      </c>
      <c r="H18" s="1083">
        <v>611</v>
      </c>
      <c r="I18" s="1084">
        <v>54904.2</v>
      </c>
    </row>
    <row r="19" spans="1:9" ht="20" customHeight="1">
      <c r="A19" s="1128" t="s">
        <v>1623</v>
      </c>
      <c r="B19" s="1129"/>
      <c r="C19" s="1129"/>
      <c r="D19" s="1129"/>
      <c r="E19" s="1129"/>
      <c r="F19" s="1129"/>
      <c r="G19" s="1129"/>
      <c r="H19" s="1129"/>
      <c r="I19" s="1129"/>
    </row>
    <row r="20" spans="1:9" ht="12.75" customHeight="1">
      <c r="A20" s="1087"/>
      <c r="B20" s="1122"/>
      <c r="C20" s="1122"/>
      <c r="D20" s="1122"/>
      <c r="E20" s="1122"/>
      <c r="F20" s="1122"/>
      <c r="G20" s="1122"/>
      <c r="H20" s="1122"/>
      <c r="I20" s="1122"/>
    </row>
    <row r="21" spans="1:9" ht="12.75" customHeight="1">
      <c r="A21" s="1087" t="s">
        <v>1562</v>
      </c>
      <c r="B21" s="1122"/>
      <c r="C21" s="1122"/>
      <c r="D21" s="1122"/>
      <c r="E21" s="1122"/>
      <c r="F21" s="1122"/>
      <c r="G21" s="1122"/>
      <c r="H21" s="1122"/>
      <c r="I21" s="1122"/>
    </row>
    <row r="22" spans="1:9" ht="12.75" customHeight="1">
      <c r="A22" s="1087" t="s">
        <v>1563</v>
      </c>
      <c r="B22" s="1122"/>
      <c r="C22" s="1122"/>
      <c r="D22" s="1122"/>
      <c r="E22" s="1122"/>
      <c r="F22" s="1122"/>
      <c r="G22" s="1122"/>
      <c r="H22" s="1122"/>
      <c r="I22" s="1122"/>
    </row>
    <row r="23" spans="1:9" ht="12.75" customHeight="1">
      <c r="A23" s="1087" t="s">
        <v>1582</v>
      </c>
      <c r="B23" s="1122"/>
      <c r="C23" s="1122"/>
      <c r="D23" s="1122"/>
      <c r="E23" s="1122"/>
      <c r="F23" s="1122"/>
      <c r="G23" s="1122"/>
      <c r="H23" s="1122"/>
      <c r="I23" s="1122"/>
    </row>
    <row r="24" spans="1:9" ht="12.75" customHeight="1">
      <c r="A24" s="1087" t="s">
        <v>1583</v>
      </c>
      <c r="B24" s="1122"/>
      <c r="C24" s="1122"/>
      <c r="D24" s="1122"/>
      <c r="E24" s="1122"/>
      <c r="F24" s="1122"/>
      <c r="G24" s="1122"/>
      <c r="H24" s="1122"/>
      <c r="I24" s="1122"/>
    </row>
    <row r="25" spans="1:9" ht="12.75" customHeight="1">
      <c r="A25" s="1087" t="s">
        <v>1584</v>
      </c>
      <c r="B25" s="1122"/>
      <c r="C25" s="1122"/>
      <c r="D25" s="1122"/>
      <c r="E25" s="1122"/>
      <c r="F25" s="1122"/>
      <c r="G25" s="1122"/>
      <c r="H25" s="1122"/>
      <c r="I25" s="1122"/>
    </row>
    <row r="26" spans="1:9" ht="12.75" customHeight="1">
      <c r="A26" s="1087" t="s">
        <v>1585</v>
      </c>
      <c r="B26" s="1122"/>
      <c r="C26" s="1122"/>
      <c r="D26" s="1122"/>
      <c r="E26" s="1122"/>
      <c r="F26" s="1122"/>
      <c r="G26" s="1122"/>
      <c r="H26" s="1122"/>
      <c r="I26" s="1122"/>
    </row>
    <row r="27" spans="1:9" ht="12.75" customHeight="1">
      <c r="A27" s="1087" t="s">
        <v>1535</v>
      </c>
      <c r="B27" s="1122"/>
      <c r="C27" s="1122"/>
      <c r="D27" s="1122"/>
      <c r="E27" s="1122"/>
      <c r="F27" s="1122"/>
      <c r="G27" s="1122"/>
      <c r="H27" s="1122"/>
      <c r="I27" s="1122"/>
    </row>
    <row r="28" spans="1:9" ht="12.75" customHeight="1">
      <c r="A28" s="1087" t="s">
        <v>1586</v>
      </c>
      <c r="B28" s="1122"/>
      <c r="C28" s="1122"/>
      <c r="D28" s="1122"/>
      <c r="E28" s="1122"/>
      <c r="F28" s="1122"/>
      <c r="G28" s="1122"/>
      <c r="H28" s="1122"/>
      <c r="I28" s="1122"/>
    </row>
    <row r="29" spans="1:9" ht="12.75" customHeight="1">
      <c r="A29" s="1087"/>
      <c r="B29" s="1122"/>
      <c r="C29" s="1122"/>
      <c r="D29" s="1122"/>
      <c r="E29" s="1122"/>
      <c r="F29" s="1122"/>
      <c r="G29" s="1122"/>
      <c r="H29" s="1122"/>
      <c r="I29" s="1122"/>
    </row>
    <row r="30" spans="1:9" ht="12.75" customHeight="1">
      <c r="A30" s="1087" t="s">
        <v>1536</v>
      </c>
      <c r="B30" s="1122"/>
      <c r="C30" s="1122"/>
      <c r="D30" s="1122"/>
      <c r="E30" s="1122"/>
      <c r="F30" s="1122"/>
      <c r="G30" s="1122"/>
      <c r="H30" s="1122"/>
      <c r="I30" s="1122"/>
    </row>
    <row r="31" spans="1:9" ht="15" customHeight="1">
      <c r="A31" s="52"/>
      <c r="B31" s="1123"/>
      <c r="C31" s="1123"/>
      <c r="D31" s="1123"/>
      <c r="E31" s="1123"/>
      <c r="F31" s="1123"/>
      <c r="G31" s="1123"/>
      <c r="H31" s="1123"/>
      <c r="I31" s="1123"/>
    </row>
    <row r="32" spans="1:9" ht="15" customHeight="1">
      <c r="A32" s="1124"/>
      <c r="B32" s="1123"/>
      <c r="C32" s="1123"/>
      <c r="D32" s="1123"/>
      <c r="E32" s="1123"/>
      <c r="F32" s="1123"/>
      <c r="G32" s="1123"/>
      <c r="H32" s="1123"/>
      <c r="I32" s="1123"/>
    </row>
    <row r="33" spans="1:12" ht="18" customHeight="1">
      <c r="A33" s="4" t="s">
        <v>634</v>
      </c>
      <c r="B33" s="1123"/>
      <c r="C33" s="1123"/>
      <c r="D33" s="1123"/>
      <c r="E33" s="1123"/>
      <c r="F33" s="1123"/>
      <c r="G33" s="1123"/>
      <c r="H33" s="1123"/>
      <c r="I33" s="1123"/>
    </row>
    <row r="34" spans="1:12" ht="31" customHeight="1">
      <c r="A34" s="4"/>
      <c r="B34" s="1123"/>
      <c r="C34" s="1123"/>
      <c r="D34" s="1123"/>
      <c r="E34" s="1123"/>
      <c r="F34" s="1123"/>
      <c r="G34" s="1123"/>
      <c r="H34" s="1123"/>
      <c r="I34" s="1123"/>
    </row>
    <row r="35" spans="1:12" ht="31" customHeight="1">
      <c r="A35" s="348"/>
      <c r="B35" s="1125"/>
      <c r="C35" s="1125"/>
      <c r="D35" s="1125"/>
      <c r="E35" s="1125"/>
      <c r="F35" s="1125"/>
      <c r="G35" s="1125"/>
      <c r="H35" s="1125"/>
      <c r="I35" s="1125"/>
      <c r="L35" s="157"/>
    </row>
    <row r="36" spans="1:12" ht="31" customHeight="1">
      <c r="A36" s="348"/>
      <c r="B36" s="1125"/>
      <c r="C36" s="1125"/>
      <c r="D36" s="1125"/>
      <c r="E36" s="1125"/>
      <c r="F36" s="1125"/>
      <c r="G36" s="1125"/>
      <c r="H36" s="1125"/>
      <c r="I36" s="1125"/>
    </row>
    <row r="37" spans="1:12" ht="31" customHeight="1">
      <c r="A37" s="348"/>
      <c r="B37" s="1125"/>
      <c r="C37" s="1125"/>
      <c r="D37" s="1125"/>
      <c r="E37" s="1125"/>
      <c r="F37" s="1125"/>
      <c r="G37" s="1125"/>
      <c r="H37" s="1125"/>
      <c r="I37" s="1125"/>
    </row>
    <row r="38" spans="1:12" ht="31" customHeight="1">
      <c r="A38" s="348"/>
      <c r="B38" s="1125"/>
      <c r="C38" s="1125"/>
      <c r="D38" s="1125"/>
      <c r="E38" s="1125"/>
      <c r="F38" s="1125"/>
      <c r="G38" s="1125"/>
      <c r="H38" s="1125"/>
      <c r="I38" s="1125"/>
    </row>
    <row r="39" spans="1:12" ht="31" customHeight="1">
      <c r="A39" s="348"/>
      <c r="B39" s="1125"/>
      <c r="C39" s="1125"/>
      <c r="D39" s="1125"/>
      <c r="E39" s="1125"/>
      <c r="F39" s="1125"/>
      <c r="G39" s="1125"/>
      <c r="H39" s="1125"/>
      <c r="I39" s="1125"/>
    </row>
    <row r="40" spans="1:12" ht="31" customHeight="1">
      <c r="A40" s="348"/>
      <c r="B40" s="1125"/>
      <c r="C40" s="1125"/>
      <c r="D40" s="1125"/>
      <c r="E40" s="1125"/>
      <c r="F40" s="1125"/>
      <c r="G40" s="1125"/>
      <c r="H40" s="1125"/>
      <c r="I40" s="1125"/>
    </row>
    <row r="41" spans="1:12">
      <c r="A41" s="348"/>
      <c r="B41" s="1125"/>
      <c r="C41" s="1125"/>
      <c r="D41" s="1125"/>
      <c r="E41" s="1125"/>
      <c r="F41" s="1125"/>
      <c r="G41" s="1125"/>
      <c r="H41" s="1125"/>
      <c r="I41" s="1125"/>
    </row>
    <row r="42" spans="1:12">
      <c r="A42" s="348"/>
      <c r="B42" s="1125"/>
      <c r="C42" s="1125"/>
      <c r="D42" s="1125"/>
      <c r="E42" s="1125"/>
      <c r="F42" s="1125"/>
      <c r="G42" s="1125"/>
      <c r="H42" s="1125"/>
      <c r="I42" s="1125"/>
    </row>
  </sheetData>
  <mergeCells count="1">
    <mergeCell ref="A2:H2"/>
  </mergeCells>
  <phoneticPr fontId="0" type="noConversion"/>
  <pageMargins left="0.59" right="0.51" top="0.97" bottom="0.49" header="0.56999999999999995" footer="0.4921259845"/>
  <pageSetup paperSize="9" scale="80" orientation="portrait" horizontalDpi="4294967292" verticalDpi="4294967292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DD79-F966-EE41-A057-CEB30885E799}">
  <sheetPr>
    <pageSetUpPr fitToPage="1"/>
  </sheetPr>
  <dimension ref="A1:K40"/>
  <sheetViews>
    <sheetView zoomScale="75" workbookViewId="0"/>
  </sheetViews>
  <sheetFormatPr baseColWidth="10" defaultColWidth="11.3984375" defaultRowHeight="13"/>
  <cols>
    <col min="1" max="1" width="10.59765625" style="2" customWidth="1"/>
    <col min="2" max="8" width="13.59765625" style="156" customWidth="1"/>
    <col min="9" max="9" width="8.796875" style="2" customWidth="1"/>
    <col min="10" max="16384" width="11.3984375" style="2"/>
  </cols>
  <sheetData>
    <row r="1" spans="1:10" s="1" customFormat="1" ht="14" customHeight="1">
      <c r="A1" s="381"/>
      <c r="B1" s="1117"/>
      <c r="C1" s="1117"/>
      <c r="D1" s="1117"/>
      <c r="E1" s="1117"/>
      <c r="F1" s="1117"/>
      <c r="G1" s="1117"/>
      <c r="H1" s="1117"/>
    </row>
    <row r="2" spans="1:10" s="1" customFormat="1" ht="36" customHeight="1">
      <c r="A2" s="1806" t="s">
        <v>1605</v>
      </c>
      <c r="B2" s="1804"/>
      <c r="C2" s="1804"/>
      <c r="D2" s="1804"/>
      <c r="E2" s="1804"/>
      <c r="F2" s="1804"/>
      <c r="G2" s="1804"/>
      <c r="H2" s="321"/>
    </row>
    <row r="3" spans="1:10" ht="27" customHeight="1">
      <c r="A3" s="110" t="s">
        <v>533</v>
      </c>
      <c r="B3" s="111" t="s">
        <v>1594</v>
      </c>
      <c r="C3" s="112" t="s">
        <v>518</v>
      </c>
      <c r="D3" s="111" t="s">
        <v>2293</v>
      </c>
      <c r="E3" s="112" t="s">
        <v>1595</v>
      </c>
      <c r="F3" s="111" t="s">
        <v>1606</v>
      </c>
      <c r="G3" s="112" t="s">
        <v>1596</v>
      </c>
      <c r="H3" s="111" t="s">
        <v>629</v>
      </c>
    </row>
    <row r="4" spans="1:10" ht="15" customHeight="1">
      <c r="A4" s="308"/>
      <c r="B4" s="391" t="s">
        <v>1597</v>
      </c>
      <c r="C4" s="928" t="s">
        <v>519</v>
      </c>
      <c r="D4" s="114" t="s">
        <v>1607</v>
      </c>
      <c r="E4" s="115" t="s">
        <v>1598</v>
      </c>
      <c r="F4" s="114"/>
      <c r="G4" s="115"/>
      <c r="H4" s="114"/>
    </row>
    <row r="5" spans="1:10" ht="15" customHeight="1">
      <c r="A5" s="308"/>
      <c r="B5" s="114" t="s">
        <v>1599</v>
      </c>
      <c r="C5" s="115"/>
      <c r="D5" s="114"/>
      <c r="E5" s="928" t="s">
        <v>1608</v>
      </c>
      <c r="F5" s="391"/>
      <c r="G5" s="928"/>
      <c r="H5" s="391"/>
      <c r="J5" s="869"/>
    </row>
    <row r="6" spans="1:10" ht="21.75" customHeight="1">
      <c r="A6" s="505"/>
      <c r="B6" s="120" t="s">
        <v>1609</v>
      </c>
      <c r="C6" s="119"/>
      <c r="D6" s="120"/>
      <c r="E6" s="119"/>
      <c r="F6" s="120"/>
      <c r="G6" s="119"/>
      <c r="H6" s="120"/>
    </row>
    <row r="7" spans="1:10" ht="2.25" customHeight="1" thickBot="1">
      <c r="A7" s="553">
        <v>1996</v>
      </c>
      <c r="B7" s="819">
        <v>17744.372332422729</v>
      </c>
      <c r="C7" s="311">
        <v>10932.716294797674</v>
      </c>
      <c r="D7" s="819">
        <v>1268.9714576684796</v>
      </c>
      <c r="E7" s="311">
        <v>4540.3470588235296</v>
      </c>
      <c r="F7" s="819">
        <v>966.86547804090924</v>
      </c>
      <c r="G7" s="311">
        <v>2015.3489631466664</v>
      </c>
      <c r="H7" s="819">
        <v>37468.621584899985</v>
      </c>
    </row>
    <row r="8" spans="1:10" ht="20.25" customHeight="1" thickBot="1">
      <c r="A8" s="554">
        <v>1997</v>
      </c>
      <c r="B8" s="820">
        <v>18024.21990591228</v>
      </c>
      <c r="C8" s="821">
        <v>11172.859777209607</v>
      </c>
      <c r="D8" s="820">
        <v>1237.2489177234406</v>
      </c>
      <c r="E8" s="821">
        <v>4778.8981705882352</v>
      </c>
      <c r="F8" s="820">
        <v>938.77448458000003</v>
      </c>
      <c r="G8" s="821">
        <v>2057.9071603399998</v>
      </c>
      <c r="H8" s="820">
        <v>38209.908416353559</v>
      </c>
    </row>
    <row r="9" spans="1:10" ht="20.25" customHeight="1" thickBot="1">
      <c r="A9" s="554">
        <v>1998</v>
      </c>
      <c r="B9" s="820">
        <v>18551.937219844131</v>
      </c>
      <c r="C9" s="821">
        <v>11874.35810787395</v>
      </c>
      <c r="D9" s="820">
        <v>1356.5677703307178</v>
      </c>
      <c r="E9" s="821">
        <v>4913.3724305941168</v>
      </c>
      <c r="F9" s="820">
        <v>983.21470195428628</v>
      </c>
      <c r="G9" s="821">
        <v>2135.5628481599997</v>
      </c>
      <c r="H9" s="820">
        <v>39815.013078757198</v>
      </c>
    </row>
    <row r="10" spans="1:10" ht="20.25" customHeight="1" thickBot="1">
      <c r="A10" s="554">
        <v>1999</v>
      </c>
      <c r="B10" s="820">
        <v>18978.566637981137</v>
      </c>
      <c r="C10" s="821">
        <v>12357.690062899601</v>
      </c>
      <c r="D10" s="820">
        <v>1393.9774232153918</v>
      </c>
      <c r="E10" s="821">
        <v>5198.8475422014762</v>
      </c>
      <c r="F10" s="820">
        <v>1015.086034722207</v>
      </c>
      <c r="G10" s="821">
        <v>2160.2840630000001</v>
      </c>
      <c r="H10" s="820">
        <v>41104.45176401981</v>
      </c>
    </row>
    <row r="11" spans="1:10" ht="20.25" customHeight="1" thickBot="1">
      <c r="A11" s="554">
        <v>2000</v>
      </c>
      <c r="B11" s="820">
        <v>19786.725959440424</v>
      </c>
      <c r="C11" s="821">
        <v>12926.336575347925</v>
      </c>
      <c r="D11" s="820">
        <v>1430.1583748696057</v>
      </c>
      <c r="E11" s="821">
        <v>5475.438530920148</v>
      </c>
      <c r="F11" s="820">
        <v>1014.11623525604</v>
      </c>
      <c r="G11" s="821">
        <v>2210.1582759999997</v>
      </c>
      <c r="H11" s="820">
        <v>42842.933951834144</v>
      </c>
    </row>
    <row r="12" spans="1:10" ht="20.25" customHeight="1" thickBot="1">
      <c r="A12" s="554">
        <v>2001</v>
      </c>
      <c r="B12" s="820">
        <v>21248.403601616865</v>
      </c>
      <c r="C12" s="821">
        <v>13690.949264204983</v>
      </c>
      <c r="D12" s="820">
        <v>1471.1430430916139</v>
      </c>
      <c r="E12" s="821">
        <v>5829.5053846335832</v>
      </c>
      <c r="F12" s="820">
        <v>1062.7870063791461</v>
      </c>
      <c r="G12" s="821">
        <v>2270.0527489999999</v>
      </c>
      <c r="H12" s="820">
        <v>45572.841048926195</v>
      </c>
    </row>
    <row r="13" spans="1:10" ht="20.25" customHeight="1" thickBot="1">
      <c r="A13" s="554">
        <v>2002</v>
      </c>
      <c r="B13" s="820">
        <v>22418.819866723858</v>
      </c>
      <c r="C13" s="821">
        <v>14164.252550727681</v>
      </c>
      <c r="D13" s="820">
        <v>1526.2390168419893</v>
      </c>
      <c r="E13" s="821">
        <v>5899.2236182451925</v>
      </c>
      <c r="F13" s="820">
        <v>1052.5616069842113</v>
      </c>
      <c r="G13" s="821">
        <v>2327.5368271152074</v>
      </c>
      <c r="H13" s="820">
        <v>47388.633486638137</v>
      </c>
    </row>
    <row r="14" spans="1:10" ht="20.25" customHeight="1" thickBot="1">
      <c r="A14" s="554">
        <v>2003</v>
      </c>
      <c r="B14" s="820">
        <v>23242.374321177165</v>
      </c>
      <c r="C14" s="821">
        <v>14647.207027090521</v>
      </c>
      <c r="D14" s="820">
        <v>1546.5271226262025</v>
      </c>
      <c r="E14" s="821">
        <v>6306.7298112442477</v>
      </c>
      <c r="F14" s="820">
        <v>1122.7699346072109</v>
      </c>
      <c r="G14" s="821">
        <v>2399.5531361253825</v>
      </c>
      <c r="H14" s="820">
        <v>49265.161352870731</v>
      </c>
    </row>
    <row r="15" spans="1:10" ht="20.25" customHeight="1" thickBot="1">
      <c r="A15" s="554">
        <v>2004</v>
      </c>
      <c r="B15" s="820">
        <v>23945.205223129917</v>
      </c>
      <c r="C15" s="821">
        <v>15193.377809727141</v>
      </c>
      <c r="D15" s="820">
        <v>1704.7484965799663</v>
      </c>
      <c r="E15" s="821">
        <v>6531.3195717647059</v>
      </c>
      <c r="F15" s="820">
        <v>1122.7977613085018</v>
      </c>
      <c r="G15" s="821">
        <v>2510.2678083289275</v>
      </c>
      <c r="H15" s="820">
        <v>51007.71667083916</v>
      </c>
    </row>
    <row r="16" spans="1:10" ht="20.25" customHeight="1" thickBot="1">
      <c r="A16" s="554">
        <v>2005</v>
      </c>
      <c r="B16" s="820">
        <v>23688.403109193729</v>
      </c>
      <c r="C16" s="821">
        <v>16202.451402570587</v>
      </c>
      <c r="D16" s="820">
        <v>1809.9095250833793</v>
      </c>
      <c r="E16" s="821">
        <v>6680.5273571330181</v>
      </c>
      <c r="F16" s="820">
        <v>1133.4662400245973</v>
      </c>
      <c r="G16" s="821">
        <v>2528.2832466786526</v>
      </c>
      <c r="H16" s="820">
        <v>52043.040880683955</v>
      </c>
    </row>
    <row r="17" spans="1:8" ht="20.25" customHeight="1" thickBot="1">
      <c r="A17" s="554">
        <v>2006</v>
      </c>
      <c r="B17" s="820">
        <v>24062.85220852038</v>
      </c>
      <c r="C17" s="821">
        <v>16588.221996927445</v>
      </c>
      <c r="D17" s="820">
        <v>1788.3078435812113</v>
      </c>
      <c r="E17" s="821">
        <v>6561.1769109188781</v>
      </c>
      <c r="F17" s="820">
        <v>1141.3716146756301</v>
      </c>
      <c r="G17" s="821">
        <v>2631.4162770594794</v>
      </c>
      <c r="H17" s="820">
        <v>52773.346851683018</v>
      </c>
    </row>
    <row r="18" spans="1:8" s="1130" customFormat="1" ht="30" customHeight="1" thickBot="1">
      <c r="A18" s="1082" t="s">
        <v>1610</v>
      </c>
      <c r="B18" s="847">
        <v>25012.7</v>
      </c>
      <c r="C18" s="848">
        <v>17361.400000000001</v>
      </c>
      <c r="D18" s="847">
        <v>1826.7</v>
      </c>
      <c r="E18" s="848">
        <v>6794</v>
      </c>
      <c r="F18" s="847">
        <v>1204</v>
      </c>
      <c r="G18" s="848">
        <v>2697.5</v>
      </c>
      <c r="H18" s="847">
        <v>54904.2</v>
      </c>
    </row>
    <row r="19" spans="1:8" ht="20" customHeight="1">
      <c r="A19" s="1085" t="s">
        <v>1623</v>
      </c>
      <c r="B19" s="1086"/>
      <c r="C19" s="1086"/>
      <c r="D19" s="1086"/>
      <c r="E19" s="1086"/>
      <c r="F19" s="1086"/>
      <c r="G19" s="1086"/>
      <c r="H19" s="1086"/>
    </row>
    <row r="20" spans="1:8" ht="12.75" customHeight="1">
      <c r="A20" s="1131"/>
      <c r="B20" s="1132"/>
      <c r="C20" s="1132"/>
      <c r="D20" s="1132"/>
      <c r="E20" s="1132"/>
      <c r="F20" s="1132"/>
      <c r="G20" s="1132"/>
      <c r="H20" s="1132"/>
    </row>
    <row r="21" spans="1:8" ht="12.75" customHeight="1">
      <c r="A21" s="1131" t="s">
        <v>1600</v>
      </c>
      <c r="B21" s="1132"/>
      <c r="C21" s="1132"/>
      <c r="D21" s="1132"/>
      <c r="E21" s="1132"/>
      <c r="F21" s="1132"/>
      <c r="G21" s="1132"/>
      <c r="H21" s="1132"/>
    </row>
    <row r="22" spans="1:8" ht="12.75" customHeight="1">
      <c r="A22" s="1131" t="s">
        <v>1601</v>
      </c>
      <c r="B22" s="1132"/>
      <c r="C22" s="1132"/>
      <c r="D22" s="1132"/>
      <c r="E22" s="1132"/>
      <c r="F22" s="1132"/>
      <c r="G22" s="1132"/>
      <c r="H22" s="1132"/>
    </row>
    <row r="23" spans="1:8" ht="12.75" customHeight="1">
      <c r="A23" s="1131" t="s">
        <v>1602</v>
      </c>
      <c r="B23" s="1132"/>
      <c r="C23" s="1132"/>
      <c r="D23" s="1132"/>
      <c r="E23" s="1132"/>
      <c r="F23" s="1132"/>
      <c r="G23" s="1132"/>
      <c r="H23" s="1132"/>
    </row>
    <row r="24" spans="1:8" ht="12.75" customHeight="1">
      <c r="A24" s="1131" t="s">
        <v>1603</v>
      </c>
      <c r="B24" s="1132"/>
      <c r="C24" s="1132"/>
      <c r="D24" s="1132"/>
      <c r="E24" s="1132"/>
      <c r="F24" s="1132"/>
      <c r="G24" s="1132"/>
      <c r="H24" s="1132"/>
    </row>
    <row r="25" spans="1:8" ht="12.75" customHeight="1">
      <c r="A25" s="1087" t="s">
        <v>1604</v>
      </c>
      <c r="B25" s="1132"/>
      <c r="C25" s="1132"/>
      <c r="D25" s="1132"/>
      <c r="E25" s="1132"/>
      <c r="F25" s="1132"/>
      <c r="G25" s="1132"/>
      <c r="H25" s="1132"/>
    </row>
    <row r="26" spans="1:8" ht="12.75" customHeight="1">
      <c r="A26" s="1087" t="s">
        <v>1534</v>
      </c>
      <c r="B26" s="1132"/>
      <c r="C26" s="1132"/>
      <c r="D26" s="1132"/>
      <c r="E26" s="1132"/>
      <c r="F26" s="1132"/>
      <c r="G26" s="1132"/>
      <c r="H26" s="1132"/>
    </row>
    <row r="27" spans="1:8" ht="12.75" customHeight="1">
      <c r="A27" s="1131"/>
      <c r="B27" s="1132"/>
      <c r="C27" s="1132"/>
      <c r="D27" s="1132"/>
      <c r="E27" s="1132"/>
      <c r="F27" s="1132"/>
      <c r="G27" s="1132"/>
      <c r="H27" s="1132"/>
    </row>
    <row r="28" spans="1:8" ht="12.75" customHeight="1">
      <c r="A28" s="1131" t="s">
        <v>1536</v>
      </c>
      <c r="B28" s="1132"/>
      <c r="C28" s="1132"/>
      <c r="D28" s="1132"/>
      <c r="E28" s="1132"/>
      <c r="F28" s="1132"/>
      <c r="G28" s="1132"/>
      <c r="H28" s="1132"/>
    </row>
    <row r="29" spans="1:8" ht="14.25" customHeight="1">
      <c r="A29" s="381"/>
      <c r="B29" s="1125"/>
      <c r="C29" s="1125"/>
      <c r="D29" s="1125"/>
      <c r="E29" s="1125"/>
      <c r="F29" s="1125"/>
      <c r="G29" s="1125"/>
      <c r="H29" s="1125"/>
    </row>
    <row r="30" spans="1:8" ht="14.25" customHeight="1">
      <c r="A30" s="157"/>
      <c r="B30" s="1125"/>
      <c r="C30" s="1125"/>
      <c r="D30" s="1125"/>
      <c r="E30" s="1125"/>
      <c r="F30" s="1125"/>
      <c r="G30" s="1125"/>
      <c r="H30" s="1125"/>
    </row>
    <row r="31" spans="1:8" ht="14.25" customHeight="1">
      <c r="A31" s="348" t="s">
        <v>634</v>
      </c>
      <c r="B31" s="1125"/>
      <c r="C31" s="1125"/>
      <c r="D31" s="1125"/>
      <c r="E31" s="1125"/>
      <c r="F31" s="1125"/>
      <c r="G31" s="1125"/>
      <c r="H31" s="1125"/>
    </row>
    <row r="32" spans="1:8" ht="18" customHeight="1">
      <c r="A32" s="348"/>
      <c r="B32" s="1125"/>
      <c r="C32" s="1125"/>
      <c r="D32" s="1125"/>
      <c r="E32" s="1125"/>
      <c r="F32" s="1125"/>
      <c r="G32" s="1125"/>
      <c r="H32" s="1125"/>
    </row>
    <row r="33" spans="1:11" ht="18" customHeight="1">
      <c r="A33" s="348"/>
      <c r="B33" s="1125"/>
      <c r="C33" s="1125"/>
      <c r="D33" s="1125"/>
      <c r="E33" s="1125"/>
      <c r="F33" s="1125"/>
      <c r="G33" s="1125"/>
      <c r="H33" s="1125"/>
      <c r="K33" s="157"/>
    </row>
    <row r="34" spans="1:11" ht="31" customHeight="1">
      <c r="A34" s="348"/>
      <c r="B34" s="1125"/>
      <c r="C34" s="1125"/>
      <c r="D34" s="1125"/>
      <c r="E34" s="1125"/>
      <c r="F34" s="1125"/>
      <c r="G34" s="1125"/>
      <c r="H34" s="1125"/>
    </row>
    <row r="35" spans="1:11" ht="31" customHeight="1">
      <c r="A35" s="348"/>
      <c r="B35" s="1125"/>
      <c r="C35" s="1125"/>
      <c r="D35" s="1125"/>
      <c r="E35" s="1125"/>
      <c r="F35" s="1125"/>
      <c r="G35" s="1125"/>
      <c r="H35" s="1125"/>
    </row>
    <row r="36" spans="1:11" ht="31" customHeight="1">
      <c r="A36" s="348"/>
      <c r="B36" s="1125"/>
      <c r="C36" s="1125"/>
      <c r="D36" s="1125"/>
      <c r="E36" s="1125"/>
      <c r="F36" s="1125"/>
      <c r="G36" s="1125"/>
      <c r="H36" s="1125"/>
    </row>
    <row r="37" spans="1:11" ht="31" customHeight="1">
      <c r="A37" s="348"/>
      <c r="B37" s="1125"/>
      <c r="C37" s="1125"/>
      <c r="D37" s="1125"/>
      <c r="E37" s="1125"/>
      <c r="F37" s="1125"/>
      <c r="G37" s="1125"/>
      <c r="H37" s="1125"/>
    </row>
    <row r="38" spans="1:11" ht="31" customHeight="1">
      <c r="A38" s="348"/>
      <c r="B38" s="1125"/>
      <c r="C38" s="1125"/>
      <c r="D38" s="1125"/>
      <c r="E38" s="1125"/>
      <c r="F38" s="1125"/>
      <c r="G38" s="1125"/>
      <c r="H38" s="1125"/>
    </row>
    <row r="39" spans="1:11">
      <c r="A39" s="348"/>
      <c r="B39" s="1125"/>
      <c r="C39" s="1125"/>
      <c r="D39" s="1125"/>
      <c r="E39" s="1125"/>
      <c r="F39" s="1125"/>
      <c r="G39" s="1125"/>
      <c r="H39" s="1125"/>
    </row>
    <row r="40" spans="1:11">
      <c r="A40" s="348"/>
      <c r="B40" s="1125"/>
      <c r="C40" s="1125"/>
      <c r="D40" s="1125"/>
      <c r="E40" s="1125"/>
      <c r="F40" s="1125"/>
      <c r="G40" s="1125"/>
      <c r="H40" s="1125"/>
    </row>
  </sheetData>
  <mergeCells count="1">
    <mergeCell ref="A2:G2"/>
  </mergeCells>
  <phoneticPr fontId="0" type="noConversion"/>
  <pageMargins left="0.59" right="0.51" top="1.05" bottom="0.49" header="0.6" footer="0.4921259845"/>
  <pageSetup paperSize="9" scale="81" orientation="portrait" horizontalDpi="4294967292" verticalDpi="4294967292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17EE-D933-D548-ADA0-045CC984FF67}">
  <sheetPr>
    <pageSetUpPr fitToPage="1"/>
  </sheetPr>
  <dimension ref="A1:H42"/>
  <sheetViews>
    <sheetView topLeftCell="A2" zoomScale="75" workbookViewId="0">
      <selection activeCell="J24" sqref="J24"/>
    </sheetView>
  </sheetViews>
  <sheetFormatPr baseColWidth="10" defaultColWidth="11.3984375" defaultRowHeight="13"/>
  <cols>
    <col min="1" max="1" width="11.796875" style="2" customWidth="1"/>
    <col min="2" max="5" width="16.19921875" style="156" customWidth="1"/>
    <col min="6" max="6" width="13.3984375" style="2" customWidth="1"/>
    <col min="7" max="7" width="15.59765625" style="2" customWidth="1"/>
    <col min="8" max="8" width="12.59765625" style="2" customWidth="1"/>
    <col min="9" max="16384" width="11.3984375" style="2"/>
  </cols>
  <sheetData>
    <row r="1" spans="1:8" s="1" customFormat="1" ht="14" customHeight="1">
      <c r="A1" s="381"/>
      <c r="B1" s="1117"/>
      <c r="C1" s="1117"/>
      <c r="D1" s="1117"/>
      <c r="E1" s="1117"/>
    </row>
    <row r="2" spans="1:8" s="1" customFormat="1" ht="39" customHeight="1">
      <c r="A2" s="1816" t="s">
        <v>1620</v>
      </c>
      <c r="B2" s="1803"/>
      <c r="C2" s="1803"/>
      <c r="D2" s="1803"/>
      <c r="E2" s="1803"/>
      <c r="F2" s="1803"/>
      <c r="G2" s="1803"/>
      <c r="H2" s="321"/>
    </row>
    <row r="3" spans="1:8" ht="27" customHeight="1">
      <c r="A3" s="110" t="s">
        <v>533</v>
      </c>
      <c r="B3" s="111" t="s">
        <v>1538</v>
      </c>
      <c r="C3" s="112" t="s">
        <v>1611</v>
      </c>
      <c r="D3" s="111" t="s">
        <v>1520</v>
      </c>
      <c r="E3" s="112" t="s">
        <v>629</v>
      </c>
      <c r="F3" s="111" t="s">
        <v>1801</v>
      </c>
      <c r="G3" s="112" t="s">
        <v>1612</v>
      </c>
      <c r="H3" s="111" t="s">
        <v>1801</v>
      </c>
    </row>
    <row r="4" spans="1:8" ht="18" customHeight="1">
      <c r="A4" s="308"/>
      <c r="B4" s="391"/>
      <c r="C4" s="928" t="s">
        <v>1621</v>
      </c>
      <c r="D4" s="114" t="s">
        <v>1622</v>
      </c>
      <c r="E4" s="115"/>
      <c r="F4" s="114" t="s">
        <v>1802</v>
      </c>
      <c r="G4" s="115" t="s">
        <v>1613</v>
      </c>
      <c r="H4" s="114" t="s">
        <v>1802</v>
      </c>
    </row>
    <row r="5" spans="1:8" ht="15" customHeight="1">
      <c r="A5" s="308"/>
      <c r="B5" s="114"/>
      <c r="C5" s="115"/>
      <c r="D5" s="114"/>
      <c r="E5" s="928"/>
      <c r="F5" s="114" t="s">
        <v>1806</v>
      </c>
      <c r="G5" s="928"/>
      <c r="H5" s="114" t="s">
        <v>1806</v>
      </c>
    </row>
    <row r="6" spans="1:8" ht="21.75" customHeight="1">
      <c r="A6" s="505"/>
      <c r="B6" s="120"/>
      <c r="C6" s="119"/>
      <c r="D6" s="120"/>
      <c r="E6" s="119"/>
      <c r="F6" s="120"/>
      <c r="G6" s="119"/>
      <c r="H6" s="120"/>
    </row>
    <row r="7" spans="1:8" ht="2.25" customHeight="1" thickBot="1">
      <c r="A7" s="553">
        <v>1996</v>
      </c>
      <c r="B7" s="819">
        <v>9177.687383202805</v>
      </c>
      <c r="C7" s="311">
        <v>2253.7791020058648</v>
      </c>
      <c r="D7" s="819">
        <v>26037.155099691325</v>
      </c>
      <c r="E7" s="311">
        <v>37468.621584899993</v>
      </c>
      <c r="F7" s="586">
        <v>4.8323025860493536E-2</v>
      </c>
      <c r="G7" s="311">
        <v>5273.2258587145679</v>
      </c>
      <c r="H7" s="586">
        <v>4.4699999999999997E-2</v>
      </c>
    </row>
    <row r="8" spans="1:8" ht="21" customHeight="1" thickBot="1">
      <c r="A8" s="554">
        <v>1997</v>
      </c>
      <c r="B8" s="820">
        <v>9418.8451093591284</v>
      </c>
      <c r="C8" s="821">
        <v>2342.3722205725544</v>
      </c>
      <c r="D8" s="820">
        <v>26448.691086421877</v>
      </c>
      <c r="E8" s="821">
        <v>38209.908416353559</v>
      </c>
      <c r="F8" s="416">
        <v>1.9784203424027424E-2</v>
      </c>
      <c r="G8" s="821">
        <v>5371.4148132973496</v>
      </c>
      <c r="H8" s="416">
        <v>1.8620282387585192E-2</v>
      </c>
    </row>
    <row r="9" spans="1:8" ht="21" customHeight="1" thickBot="1">
      <c r="A9" s="554">
        <v>1998</v>
      </c>
      <c r="B9" s="820">
        <v>9740.4616162185357</v>
      </c>
      <c r="C9" s="821">
        <v>2491.9842199206182</v>
      </c>
      <c r="D9" s="820">
        <v>27582.567242618046</v>
      </c>
      <c r="E9" s="821">
        <v>39815.013078757198</v>
      </c>
      <c r="F9" s="416">
        <v>4.2007550630942261E-2</v>
      </c>
      <c r="G9" s="821">
        <v>5582.675033421332</v>
      </c>
      <c r="H9" s="416">
        <v>3.9330460868706611E-2</v>
      </c>
    </row>
    <row r="10" spans="1:8" ht="21" customHeight="1" thickBot="1">
      <c r="A10" s="554">
        <v>1999</v>
      </c>
      <c r="B10" s="820">
        <v>10410.713149998719</v>
      </c>
      <c r="C10" s="821">
        <v>2592.3571232595004</v>
      </c>
      <c r="D10" s="820">
        <v>28101.381490761596</v>
      </c>
      <c r="E10" s="821">
        <v>41104.451764019817</v>
      </c>
      <c r="F10" s="416">
        <v>3.2385740592675662E-2</v>
      </c>
      <c r="G10" s="821">
        <v>5735.4478095920085</v>
      </c>
      <c r="H10" s="416">
        <v>2.7365514785668971E-2</v>
      </c>
    </row>
    <row r="11" spans="1:8" ht="21" customHeight="1" thickBot="1">
      <c r="A11" s="554">
        <v>2000</v>
      </c>
      <c r="B11" s="820">
        <v>10738.085506785732</v>
      </c>
      <c r="C11" s="821">
        <v>2676.9738820686712</v>
      </c>
      <c r="D11" s="820">
        <v>29427.874562979741</v>
      </c>
      <c r="E11" s="821">
        <v>42842.933951834144</v>
      </c>
      <c r="F11" s="416">
        <v>4.2294255566159421E-2</v>
      </c>
      <c r="G11" s="821">
        <v>5942.9441459536711</v>
      </c>
      <c r="H11" s="416">
        <v>3.6177878912025667E-2</v>
      </c>
    </row>
    <row r="12" spans="1:8" ht="21" customHeight="1" thickBot="1">
      <c r="A12" s="554">
        <v>2001</v>
      </c>
      <c r="B12" s="820">
        <v>12066.085763402813</v>
      </c>
      <c r="C12" s="821">
        <v>2827.6124836560352</v>
      </c>
      <c r="D12" s="820">
        <v>30679.142801867347</v>
      </c>
      <c r="E12" s="821">
        <v>45572.841048926195</v>
      </c>
      <c r="F12" s="416">
        <v>6.3718957720335617E-2</v>
      </c>
      <c r="G12" s="821">
        <v>6276.9577355721531</v>
      </c>
      <c r="H12" s="416">
        <v>5.6203386977126381E-2</v>
      </c>
    </row>
    <row r="13" spans="1:8" ht="21" customHeight="1" thickBot="1">
      <c r="A13" s="554">
        <v>2002</v>
      </c>
      <c r="B13" s="820">
        <v>13119.414911832959</v>
      </c>
      <c r="C13" s="821">
        <v>2820.0498229714558</v>
      </c>
      <c r="D13" s="820">
        <v>31449.168751833717</v>
      </c>
      <c r="E13" s="821">
        <v>47388.633486638129</v>
      </c>
      <c r="F13" s="416">
        <v>3.9843740173287234E-2</v>
      </c>
      <c r="G13" s="821">
        <v>6449.3898810983646</v>
      </c>
      <c r="H13" s="416">
        <v>2.7470655816116331E-2</v>
      </c>
    </row>
    <row r="14" spans="1:8" ht="21" customHeight="1" thickBot="1">
      <c r="A14" s="554">
        <v>2003</v>
      </c>
      <c r="B14" s="820">
        <v>13722.655861069588</v>
      </c>
      <c r="C14" s="821">
        <v>2987.0229199422301</v>
      </c>
      <c r="D14" s="820">
        <v>32555.482571858916</v>
      </c>
      <c r="E14" s="821">
        <v>49265.161352870738</v>
      </c>
      <c r="F14" s="416">
        <v>3.9598691250755769E-2</v>
      </c>
      <c r="G14" s="821">
        <v>6652.9131741119318</v>
      </c>
      <c r="H14" s="416">
        <v>3.1556983957512899E-2</v>
      </c>
    </row>
    <row r="15" spans="1:8" ht="21" customHeight="1" thickBot="1">
      <c r="A15" s="554">
        <v>2004</v>
      </c>
      <c r="B15" s="820">
        <v>13782.332559784953</v>
      </c>
      <c r="C15" s="821">
        <v>3171.7715212406179</v>
      </c>
      <c r="D15" s="820">
        <v>34053.612589813594</v>
      </c>
      <c r="E15" s="821">
        <v>51007.71667083916</v>
      </c>
      <c r="F15" s="416">
        <v>3.5370945108391096E-2</v>
      </c>
      <c r="G15" s="821">
        <v>6842.8964671900767</v>
      </c>
      <c r="H15" s="416">
        <v>2.8556406510371293E-2</v>
      </c>
    </row>
    <row r="16" spans="1:8" ht="21" customHeight="1" thickBot="1">
      <c r="A16" s="554">
        <v>2005</v>
      </c>
      <c r="B16" s="820">
        <v>14066.947446826567</v>
      </c>
      <c r="C16" s="821">
        <v>3389.0318928738943</v>
      </c>
      <c r="D16" s="820">
        <v>34587.061540983508</v>
      </c>
      <c r="E16" s="821">
        <v>52043.04088068397</v>
      </c>
      <c r="F16" s="416">
        <v>2.0297403558091422E-2</v>
      </c>
      <c r="G16" s="821">
        <v>6937.9111736214763</v>
      </c>
      <c r="H16" s="416">
        <v>1.3885159140865371E-2</v>
      </c>
    </row>
    <row r="17" spans="1:8" ht="21" customHeight="1" thickBot="1">
      <c r="A17" s="554">
        <v>2006</v>
      </c>
      <c r="B17" s="820">
        <v>14084.873263559057</v>
      </c>
      <c r="C17" s="821">
        <v>3434.4268800044406</v>
      </c>
      <c r="D17" s="820">
        <v>35254.046708119524</v>
      </c>
      <c r="E17" s="821">
        <v>52773.346851683018</v>
      </c>
      <c r="F17" s="416">
        <v>1.403273057532088E-2</v>
      </c>
      <c r="G17" s="821">
        <v>6982.8098875825699</v>
      </c>
      <c r="H17" s="416">
        <v>6.4715031423005619E-3</v>
      </c>
    </row>
    <row r="18" spans="1:8" ht="26.25" customHeight="1" thickBot="1">
      <c r="A18" s="1705" t="s">
        <v>1449</v>
      </c>
      <c r="B18" s="1133" t="s">
        <v>59</v>
      </c>
      <c r="C18" s="1134" t="s">
        <v>59</v>
      </c>
      <c r="D18" s="1133" t="s">
        <v>59</v>
      </c>
      <c r="E18" s="1135">
        <v>54904.2</v>
      </c>
      <c r="F18" s="1136">
        <v>4.0377449516431858E-2</v>
      </c>
      <c r="G18" s="1134">
        <v>7206.6005836506165</v>
      </c>
      <c r="H18" s="1136">
        <v>3.204880265550554E-2</v>
      </c>
    </row>
    <row r="19" spans="1:8" ht="26.25" customHeight="1" thickBot="1">
      <c r="A19" s="1705" t="s">
        <v>1450</v>
      </c>
      <c r="B19" s="1133" t="s">
        <v>59</v>
      </c>
      <c r="C19" s="1134" t="s">
        <v>59</v>
      </c>
      <c r="D19" s="1133" t="s">
        <v>59</v>
      </c>
      <c r="E19" s="1135">
        <v>57224.800000000003</v>
      </c>
      <c r="F19" s="1136">
        <v>4.2266347565395837E-2</v>
      </c>
      <c r="G19" s="1134" t="s">
        <v>59</v>
      </c>
      <c r="H19" s="1136" t="s">
        <v>59</v>
      </c>
    </row>
    <row r="20" spans="1:8" ht="26.25" customHeight="1" thickBot="1">
      <c r="A20" s="1705" t="s">
        <v>1451</v>
      </c>
      <c r="B20" s="1133" t="s">
        <v>59</v>
      </c>
      <c r="C20" s="1134" t="s">
        <v>59</v>
      </c>
      <c r="D20" s="1133" t="s">
        <v>59</v>
      </c>
      <c r="E20" s="1135">
        <v>59697.4</v>
      </c>
      <c r="F20" s="1136">
        <v>4.3208538955138306E-2</v>
      </c>
      <c r="G20" s="1137" t="s">
        <v>59</v>
      </c>
      <c r="H20" s="1138" t="s">
        <v>59</v>
      </c>
    </row>
    <row r="21" spans="1:8" ht="20" customHeight="1">
      <c r="A21" s="1085" t="s">
        <v>1623</v>
      </c>
      <c r="B21" s="1086"/>
      <c r="C21" s="1086"/>
      <c r="D21" s="1086"/>
      <c r="E21" s="1086"/>
      <c r="F21" s="1086"/>
    </row>
    <row r="22" spans="1:8" ht="10.5" customHeight="1">
      <c r="A22" s="1131"/>
      <c r="B22" s="1132"/>
      <c r="C22" s="1132"/>
      <c r="D22" s="1132"/>
      <c r="E22" s="1132"/>
    </row>
    <row r="23" spans="1:8" ht="12.75" customHeight="1">
      <c r="A23" s="1131" t="s">
        <v>1614</v>
      </c>
      <c r="B23" s="1132"/>
      <c r="C23" s="1132"/>
      <c r="D23" s="1132"/>
      <c r="E23" s="1132"/>
    </row>
    <row r="24" spans="1:8" ht="12.75" customHeight="1">
      <c r="A24" s="1131" t="s">
        <v>1615</v>
      </c>
      <c r="B24" s="1132"/>
      <c r="C24" s="1132"/>
      <c r="D24" s="1132"/>
      <c r="E24" s="1132"/>
      <c r="F24" s="1132"/>
      <c r="G24" s="1132"/>
    </row>
    <row r="25" spans="1:8" ht="12.75" customHeight="1">
      <c r="A25" s="1131" t="s">
        <v>1616</v>
      </c>
      <c r="B25" s="1132"/>
      <c r="C25" s="1132"/>
      <c r="D25" s="1132"/>
      <c r="E25" s="1132"/>
      <c r="F25" s="1132"/>
      <c r="G25" s="1132"/>
    </row>
    <row r="26" spans="1:8" ht="12.75" customHeight="1">
      <c r="A26" s="1131" t="s">
        <v>1617</v>
      </c>
      <c r="B26" s="1132"/>
      <c r="C26" s="1132"/>
      <c r="D26" s="1132"/>
      <c r="E26" s="1132"/>
      <c r="F26" s="1132"/>
      <c r="G26" s="1132"/>
    </row>
    <row r="27" spans="1:8" ht="12.75" customHeight="1">
      <c r="A27" s="1087" t="s">
        <v>1618</v>
      </c>
      <c r="B27" s="1132"/>
      <c r="C27" s="1132"/>
      <c r="D27" s="1132"/>
      <c r="E27" s="1132"/>
      <c r="F27" s="1132"/>
      <c r="G27" s="1132"/>
    </row>
    <row r="28" spans="1:8" ht="12.75" customHeight="1">
      <c r="A28" s="1087" t="s">
        <v>1619</v>
      </c>
      <c r="B28" s="1132"/>
      <c r="C28" s="1132"/>
      <c r="D28" s="1132"/>
      <c r="E28" s="1132"/>
      <c r="F28" s="1132"/>
      <c r="G28" s="1132"/>
    </row>
    <row r="29" spans="1:8" ht="12.75" customHeight="1">
      <c r="A29" s="1131"/>
      <c r="B29" s="1132"/>
      <c r="C29" s="1132"/>
      <c r="D29" s="1132"/>
      <c r="E29" s="1132"/>
      <c r="F29" s="1132"/>
      <c r="G29" s="1132"/>
    </row>
    <row r="30" spans="1:8" ht="12.75" customHeight="1">
      <c r="A30" s="1131" t="s">
        <v>1624</v>
      </c>
      <c r="B30" s="1132"/>
      <c r="C30" s="1132"/>
      <c r="D30" s="1132"/>
      <c r="E30" s="1132"/>
    </row>
    <row r="31" spans="1:8" ht="15.75" customHeight="1">
      <c r="A31" s="381"/>
      <c r="B31" s="1125"/>
      <c r="C31" s="1125"/>
      <c r="D31" s="1125"/>
      <c r="E31" s="1125"/>
    </row>
    <row r="32" spans="1:8" ht="12" customHeight="1">
      <c r="A32" s="157"/>
      <c r="B32" s="1125"/>
      <c r="C32" s="1125"/>
      <c r="D32" s="1125"/>
      <c r="E32" s="1125"/>
    </row>
    <row r="33" spans="1:8" ht="15.75" customHeight="1">
      <c r="A33" s="348" t="s">
        <v>634</v>
      </c>
      <c r="B33" s="1125"/>
      <c r="C33" s="1125"/>
      <c r="D33" s="1125"/>
      <c r="E33" s="1125"/>
    </row>
    <row r="34" spans="1:8" ht="31" customHeight="1">
      <c r="A34" s="348"/>
      <c r="B34" s="1125"/>
      <c r="C34" s="1125"/>
      <c r="D34" s="1125"/>
      <c r="E34" s="1125"/>
    </row>
    <row r="35" spans="1:8" ht="31" customHeight="1">
      <c r="A35" s="348"/>
      <c r="B35" s="1125"/>
      <c r="C35" s="1125"/>
      <c r="D35" s="1125"/>
      <c r="E35" s="1125"/>
      <c r="H35" s="157"/>
    </row>
    <row r="36" spans="1:8" ht="31" customHeight="1">
      <c r="A36" s="348"/>
      <c r="B36" s="1125"/>
      <c r="C36" s="1125"/>
      <c r="D36" s="1125"/>
      <c r="E36" s="1125"/>
    </row>
    <row r="37" spans="1:8" ht="31" customHeight="1">
      <c r="A37" s="348"/>
      <c r="B37" s="1125"/>
      <c r="C37" s="1125"/>
      <c r="D37" s="1125"/>
      <c r="E37" s="1125"/>
    </row>
    <row r="38" spans="1:8" ht="31" customHeight="1">
      <c r="A38" s="348"/>
      <c r="B38" s="1125"/>
      <c r="C38" s="1125"/>
      <c r="D38" s="1125"/>
      <c r="E38" s="1125"/>
    </row>
    <row r="39" spans="1:8" ht="31" customHeight="1">
      <c r="A39" s="348"/>
      <c r="B39" s="1125"/>
      <c r="C39" s="1125"/>
      <c r="D39" s="1125"/>
      <c r="E39" s="1125"/>
    </row>
    <row r="40" spans="1:8" ht="31" customHeight="1">
      <c r="A40" s="348"/>
      <c r="B40" s="1125"/>
      <c r="C40" s="1125"/>
      <c r="D40" s="1125"/>
      <c r="E40" s="1125"/>
    </row>
    <row r="41" spans="1:8">
      <c r="A41" s="348"/>
      <c r="B41" s="1125"/>
      <c r="C41" s="1125"/>
      <c r="D41" s="1125"/>
      <c r="E41" s="1125"/>
    </row>
    <row r="42" spans="1:8">
      <c r="A42" s="348"/>
      <c r="B42" s="1125"/>
      <c r="C42" s="1125"/>
      <c r="D42" s="1125"/>
      <c r="E42" s="1125"/>
    </row>
  </sheetData>
  <mergeCells count="1">
    <mergeCell ref="A2:G2"/>
  </mergeCells>
  <phoneticPr fontId="0" type="noConversion"/>
  <pageMargins left="0.59" right="0.61" top="0.98" bottom="0.49" header="0.55000000000000004" footer="0.4921259845"/>
  <pageSetup paperSize="9" scale="71" orientation="portrait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4EBE-F76C-4545-B87E-B44C14E7FFAE}">
  <sheetPr>
    <pageSetUpPr fitToPage="1"/>
  </sheetPr>
  <dimension ref="A1:AH114"/>
  <sheetViews>
    <sheetView zoomScale="75" workbookViewId="0">
      <selection activeCell="B2" sqref="B2"/>
    </sheetView>
  </sheetViews>
  <sheetFormatPr baseColWidth="10" defaultColWidth="10.19921875" defaultRowHeight="13"/>
  <cols>
    <col min="1" max="1" width="3.796875" style="1309" customWidth="1"/>
    <col min="2" max="2" width="47.19921875" style="1309" customWidth="1"/>
    <col min="3" max="3" width="0.3984375" style="1309" customWidth="1"/>
    <col min="4" max="10" width="10.19921875" style="1309" customWidth="1"/>
    <col min="11" max="11" width="11.59765625" style="1309" customWidth="1"/>
    <col min="12" max="13" width="11" style="1309" customWidth="1"/>
    <col min="14" max="14" width="2.796875" style="1309" customWidth="1"/>
    <col min="15" max="15" width="9.796875" style="1309" customWidth="1"/>
    <col min="16" max="16" width="10.3984375" style="1309" customWidth="1"/>
    <col min="17" max="17" width="3" style="1309" customWidth="1"/>
    <col min="18" max="18" width="11.3984375" style="1309" customWidth="1"/>
    <col min="19" max="16384" width="10.19921875" style="1309"/>
  </cols>
  <sheetData>
    <row r="1" spans="1:34" ht="18">
      <c r="A1" s="1307" t="s">
        <v>2345</v>
      </c>
      <c r="B1" s="1308"/>
      <c r="C1" s="1308"/>
      <c r="D1" s="1308"/>
      <c r="E1" s="1308"/>
      <c r="F1" s="1308"/>
      <c r="G1" s="1308"/>
      <c r="H1" s="1308"/>
      <c r="I1" s="1308"/>
      <c r="J1" s="1308"/>
      <c r="K1" s="1308"/>
      <c r="L1" s="1308"/>
      <c r="M1" s="1308"/>
      <c r="N1" s="1308"/>
      <c r="O1" s="1308"/>
      <c r="P1" s="1308"/>
      <c r="Q1" s="1308"/>
      <c r="V1" s="1310"/>
      <c r="AB1" s="1310"/>
    </row>
    <row r="2" spans="1:34" ht="14" thickBot="1">
      <c r="A2" s="1311"/>
      <c r="B2" s="1311"/>
      <c r="C2" s="1311"/>
      <c r="D2" s="1311"/>
      <c r="E2" s="1311"/>
      <c r="F2" s="1311"/>
      <c r="G2" s="1311"/>
      <c r="H2" s="1311"/>
      <c r="I2" s="1311"/>
      <c r="J2" s="1311"/>
      <c r="K2" s="1311"/>
      <c r="L2" s="1311"/>
      <c r="M2" s="1311"/>
      <c r="N2" s="1311"/>
      <c r="O2" s="1311"/>
      <c r="P2" s="1311"/>
      <c r="Q2" s="1311"/>
      <c r="R2" s="1312"/>
    </row>
    <row r="3" spans="1:34" s="1319" customFormat="1" ht="10.5" customHeight="1">
      <c r="A3" s="1313"/>
      <c r="B3" s="1313"/>
      <c r="C3" s="1314"/>
      <c r="D3" s="1313"/>
      <c r="E3" s="1314"/>
      <c r="F3" s="1313"/>
      <c r="G3" s="1314"/>
      <c r="H3" s="1313"/>
      <c r="I3" s="1314"/>
      <c r="J3" s="1313"/>
      <c r="K3" s="1314"/>
      <c r="L3" s="1313"/>
      <c r="M3" s="1314"/>
      <c r="N3" s="1315"/>
      <c r="O3" s="1316"/>
      <c r="P3" s="1317"/>
      <c r="Q3" s="1318"/>
      <c r="R3" s="1314"/>
      <c r="T3" s="1309"/>
      <c r="U3" s="1320"/>
      <c r="V3" s="1320"/>
      <c r="W3" s="1320"/>
      <c r="X3" s="1320"/>
      <c r="Y3" s="1321"/>
      <c r="Z3" s="1321"/>
      <c r="AA3" s="1321"/>
      <c r="AB3" s="1321"/>
      <c r="AE3" s="1322"/>
      <c r="AF3" s="1322"/>
      <c r="AG3" s="1322"/>
      <c r="AH3" s="1322"/>
    </row>
    <row r="4" spans="1:34" ht="13.5" customHeight="1">
      <c r="A4" s="1323" t="s">
        <v>2238</v>
      </c>
      <c r="B4" s="1324"/>
      <c r="C4" s="1325">
        <v>1996</v>
      </c>
      <c r="D4" s="1326">
        <v>1997</v>
      </c>
      <c r="E4" s="1325">
        <v>1998</v>
      </c>
      <c r="F4" s="1326">
        <v>1999</v>
      </c>
      <c r="G4" s="1325">
        <v>2000</v>
      </c>
      <c r="H4" s="1326">
        <v>2001</v>
      </c>
      <c r="I4" s="1325">
        <v>2002</v>
      </c>
      <c r="J4" s="1326">
        <v>2003</v>
      </c>
      <c r="K4" s="1325">
        <v>2004</v>
      </c>
      <c r="L4" s="1326">
        <v>2005</v>
      </c>
      <c r="M4" s="1325">
        <v>2006</v>
      </c>
      <c r="N4" s="1327"/>
      <c r="O4" s="1316" t="s">
        <v>1801</v>
      </c>
      <c r="P4" s="1317" t="s">
        <v>2239</v>
      </c>
      <c r="Q4" s="1318"/>
      <c r="R4" s="1328" t="s">
        <v>2240</v>
      </c>
      <c r="U4" s="1320"/>
      <c r="V4" s="1320"/>
      <c r="W4" s="1320"/>
      <c r="X4" s="1320"/>
      <c r="Y4" s="1329"/>
      <c r="Z4" s="1329"/>
      <c r="AA4" s="1329"/>
      <c r="AB4" s="1329"/>
      <c r="AE4" s="1322"/>
      <c r="AF4" s="1322"/>
      <c r="AG4" s="1322"/>
      <c r="AH4" s="1322"/>
    </row>
    <row r="5" spans="1:34" ht="15" customHeight="1">
      <c r="A5" s="1323" t="s">
        <v>2241</v>
      </c>
      <c r="B5" s="1330"/>
      <c r="C5" s="1331"/>
      <c r="D5" s="1332"/>
      <c r="E5" s="1331"/>
      <c r="F5" s="1332"/>
      <c r="G5" s="1331"/>
      <c r="H5" s="1332"/>
      <c r="I5" s="1331"/>
      <c r="J5" s="1332"/>
      <c r="K5" s="1331"/>
      <c r="L5" s="1332"/>
      <c r="M5" s="1331"/>
      <c r="N5" s="1333"/>
      <c r="O5" s="1316" t="s">
        <v>2440</v>
      </c>
      <c r="P5" s="1317" t="s">
        <v>2242</v>
      </c>
      <c r="Q5" s="1318"/>
      <c r="R5" s="1328" t="s">
        <v>2346</v>
      </c>
      <c r="U5" s="1320"/>
      <c r="V5" s="1320"/>
      <c r="W5" s="1320"/>
      <c r="X5" s="1320"/>
      <c r="Y5" s="1329"/>
      <c r="Z5" s="1329"/>
      <c r="AA5" s="1329"/>
      <c r="AB5" s="1329"/>
      <c r="AE5" s="1322"/>
      <c r="AF5" s="1322"/>
      <c r="AG5" s="1322"/>
      <c r="AH5" s="1322"/>
    </row>
    <row r="6" spans="1:34" ht="14.25" customHeight="1">
      <c r="A6" s="1334"/>
      <c r="B6" s="1334"/>
      <c r="C6" s="1335"/>
      <c r="D6" s="1336"/>
      <c r="E6" s="1335"/>
      <c r="F6" s="1336"/>
      <c r="G6" s="1335"/>
      <c r="H6" s="1336"/>
      <c r="I6" s="1335"/>
      <c r="J6" s="1336"/>
      <c r="K6" s="1335"/>
      <c r="L6" s="1336"/>
      <c r="M6" s="1335"/>
      <c r="N6" s="1337"/>
      <c r="O6" s="1338"/>
      <c r="P6" s="1339" t="s">
        <v>545</v>
      </c>
      <c r="Q6" s="1340"/>
      <c r="R6" s="1335"/>
      <c r="U6" s="1320"/>
      <c r="V6" s="1320"/>
      <c r="W6" s="1320"/>
      <c r="X6" s="1320"/>
      <c r="Y6" s="1341"/>
      <c r="Z6" s="1341"/>
      <c r="AA6" s="1341"/>
      <c r="AB6" s="1341"/>
      <c r="AE6" s="1341"/>
      <c r="AF6" s="1341"/>
      <c r="AG6" s="1341"/>
      <c r="AH6" s="1341"/>
    </row>
    <row r="7" spans="1:34">
      <c r="A7" s="1342"/>
      <c r="B7" s="1343"/>
      <c r="C7" s="1344"/>
      <c r="D7" s="1343"/>
      <c r="E7" s="1344"/>
      <c r="F7" s="1343"/>
      <c r="G7" s="1344"/>
      <c r="H7" s="1343"/>
      <c r="I7" s="1344"/>
      <c r="J7" s="1343"/>
      <c r="K7" s="1344"/>
      <c r="L7" s="1343"/>
      <c r="M7" s="1344"/>
      <c r="N7" s="1345"/>
      <c r="O7" s="1344"/>
      <c r="P7" s="1346" t="s">
        <v>2441</v>
      </c>
      <c r="Q7" s="1347"/>
      <c r="R7" s="1344"/>
      <c r="U7" s="1320"/>
      <c r="V7" s="1320"/>
      <c r="W7" s="1320"/>
      <c r="X7" s="1320"/>
      <c r="Y7" s="1329"/>
      <c r="Z7" s="1329"/>
      <c r="AA7" s="1329"/>
      <c r="AB7" s="1329"/>
      <c r="AE7" s="1322"/>
      <c r="AF7" s="1322"/>
      <c r="AG7" s="1322"/>
      <c r="AH7" s="1322"/>
    </row>
    <row r="8" spans="1:34" ht="18" customHeight="1" thickBot="1">
      <c r="A8" s="1348" t="s">
        <v>2347</v>
      </c>
      <c r="B8" s="1349"/>
      <c r="C8" s="1350">
        <v>5976.68608119694</v>
      </c>
      <c r="D8" s="1351">
        <v>5920.5324887865727</v>
      </c>
      <c r="E8" s="1350">
        <v>5989.0401962979158</v>
      </c>
      <c r="F8" s="1351">
        <v>6272.8466257392192</v>
      </c>
      <c r="G8" s="1350">
        <v>6460.9578237170608</v>
      </c>
      <c r="H8" s="1351">
        <v>7635.1420777467765</v>
      </c>
      <c r="I8" s="1350">
        <v>8429.5101560943567</v>
      </c>
      <c r="J8" s="1351">
        <v>8778.10319716105</v>
      </c>
      <c r="K8" s="1350">
        <v>8632.7243530636424</v>
      </c>
      <c r="L8" s="1351">
        <v>8704.8174529394601</v>
      </c>
      <c r="M8" s="1350">
        <v>8536.5423231378227</v>
      </c>
      <c r="N8" s="1352"/>
      <c r="O8" s="1353">
        <v>-1.9331264637239887E-2</v>
      </c>
      <c r="P8" s="1354">
        <v>4.1496738706241709E-2</v>
      </c>
      <c r="Q8" s="1355"/>
      <c r="R8" s="1356">
        <v>8812.7999999999993</v>
      </c>
      <c r="U8" s="1320"/>
      <c r="V8" s="1320"/>
      <c r="W8" s="1320"/>
      <c r="X8" s="1320"/>
      <c r="AE8" s="1322"/>
      <c r="AF8" s="1322"/>
      <c r="AG8" s="1322"/>
      <c r="AH8" s="1322"/>
    </row>
    <row r="9" spans="1:34" ht="14" thickBot="1">
      <c r="A9" s="1357"/>
      <c r="B9" s="1358" t="s">
        <v>2243</v>
      </c>
      <c r="C9" s="1359">
        <v>129.23078991</v>
      </c>
      <c r="D9" s="1360">
        <v>117.49672024</v>
      </c>
      <c r="E9" s="1359">
        <v>116.89201141000001</v>
      </c>
      <c r="F9" s="1360">
        <v>126.031144</v>
      </c>
      <c r="G9" s="1359">
        <v>145.00575000000001</v>
      </c>
      <c r="H9" s="1360">
        <v>164.3904</v>
      </c>
      <c r="I9" s="1359">
        <v>177.72408200000001</v>
      </c>
      <c r="J9" s="1360">
        <v>155.57770199999999</v>
      </c>
      <c r="K9" s="1359">
        <v>137.73953900000001</v>
      </c>
      <c r="L9" s="1360">
        <v>126.93680499999999</v>
      </c>
      <c r="M9" s="1359">
        <v>121.25849500000001</v>
      </c>
      <c r="N9" s="1361"/>
      <c r="O9" s="1362">
        <v>-4.4733361612496747E-2</v>
      </c>
      <c r="P9" s="1363">
        <v>3.5077119926023581E-3</v>
      </c>
      <c r="Q9" s="1364"/>
      <c r="R9" s="1365" t="s">
        <v>59</v>
      </c>
      <c r="U9" s="1320"/>
      <c r="V9" s="1320"/>
      <c r="W9" s="1320"/>
      <c r="X9" s="1320"/>
      <c r="Y9" s="1329"/>
      <c r="Z9" s="1329"/>
      <c r="AA9" s="1329"/>
      <c r="AB9" s="1329"/>
      <c r="AE9" s="1322"/>
      <c r="AF9" s="1322"/>
      <c r="AG9" s="1322"/>
      <c r="AH9" s="1322"/>
    </row>
    <row r="10" spans="1:34" ht="14" thickBot="1">
      <c r="A10" s="1358"/>
      <c r="B10" s="1358" t="s">
        <v>2244</v>
      </c>
      <c r="C10" s="1359">
        <v>4784.5780118902267</v>
      </c>
      <c r="D10" s="1360">
        <v>4715.2771265677929</v>
      </c>
      <c r="E10" s="1359">
        <v>4705.6176243116033</v>
      </c>
      <c r="F10" s="1360">
        <v>4970.909962638395</v>
      </c>
      <c r="G10" s="1359">
        <v>5115.6656802381985</v>
      </c>
      <c r="H10" s="1360">
        <v>6059.2656324562704</v>
      </c>
      <c r="I10" s="1359">
        <v>6823.5309806680871</v>
      </c>
      <c r="J10" s="1360">
        <v>7254.6764879217662</v>
      </c>
      <c r="K10" s="1359">
        <v>7117.8318535254821</v>
      </c>
      <c r="L10" s="1360">
        <v>7397.3768416285438</v>
      </c>
      <c r="M10" s="1359">
        <v>7523.1773202740087</v>
      </c>
      <c r="N10" s="1361"/>
      <c r="O10" s="1362">
        <v>1.7006093016314283E-2</v>
      </c>
      <c r="P10" s="1363">
        <v>5.3279875035090685E-2</v>
      </c>
      <c r="Q10" s="1364"/>
      <c r="R10" s="1365" t="s">
        <v>59</v>
      </c>
      <c r="U10" s="1320"/>
      <c r="V10" s="1320"/>
      <c r="W10" s="1320"/>
      <c r="X10" s="1320"/>
      <c r="Y10" s="1329"/>
      <c r="Z10" s="1329"/>
      <c r="AA10" s="1329"/>
      <c r="AB10" s="1329"/>
      <c r="AE10" s="1322"/>
      <c r="AF10" s="1322"/>
      <c r="AG10" s="1322"/>
      <c r="AH10" s="1322"/>
    </row>
    <row r="11" spans="1:34" ht="14" thickBot="1">
      <c r="A11" s="1358"/>
      <c r="B11" s="1358" t="s">
        <v>2245</v>
      </c>
      <c r="C11" s="1359">
        <v>1062.8772793967141</v>
      </c>
      <c r="D11" s="1360">
        <v>1087.7586419787795</v>
      </c>
      <c r="E11" s="1359">
        <v>1166.5305605763128</v>
      </c>
      <c r="F11" s="1360">
        <v>1175.9055191008242</v>
      </c>
      <c r="G11" s="1359">
        <v>1200.286393478862</v>
      </c>
      <c r="H11" s="1360">
        <v>1411.4860452905059</v>
      </c>
      <c r="I11" s="1359">
        <v>1428.2550934262702</v>
      </c>
      <c r="J11" s="1360">
        <v>1367.8490072392833</v>
      </c>
      <c r="K11" s="1359">
        <v>1377.1529605381609</v>
      </c>
      <c r="L11" s="1360">
        <v>1180.5038063109164</v>
      </c>
      <c r="M11" s="1359">
        <v>892.10650786381348</v>
      </c>
      <c r="N11" s="1361"/>
      <c r="O11" s="1362">
        <v>-0.24430018514582064</v>
      </c>
      <c r="P11" s="1363">
        <v>-2.179118090155463E-2</v>
      </c>
      <c r="Q11" s="1364"/>
      <c r="R11" s="1365" t="s">
        <v>59</v>
      </c>
      <c r="U11" s="1320"/>
      <c r="V11" s="1320"/>
      <c r="W11" s="1320"/>
      <c r="X11" s="1320"/>
      <c r="Y11" s="1329"/>
      <c r="Z11" s="1329"/>
      <c r="AA11" s="1329"/>
      <c r="AB11" s="1329"/>
      <c r="AE11" s="1322"/>
      <c r="AF11" s="1322"/>
      <c r="AG11" s="1322"/>
      <c r="AH11" s="1322"/>
    </row>
    <row r="12" spans="1:34" s="1375" customFormat="1" ht="14" thickBot="1">
      <c r="A12" s="1358"/>
      <c r="B12" s="1366"/>
      <c r="C12" s="1367"/>
      <c r="D12" s="1368"/>
      <c r="E12" s="1367"/>
      <c r="F12" s="1368"/>
      <c r="G12" s="1367"/>
      <c r="H12" s="1368"/>
      <c r="I12" s="1367"/>
      <c r="J12" s="1368"/>
      <c r="K12" s="1367"/>
      <c r="L12" s="1368"/>
      <c r="M12" s="1367"/>
      <c r="N12" s="1369"/>
      <c r="O12" s="1370"/>
      <c r="P12" s="1371"/>
      <c r="Q12" s="1372"/>
      <c r="R12" s="1373"/>
      <c r="S12" s="1374"/>
    </row>
    <row r="13" spans="1:34" s="1375" customFormat="1" ht="15.75" customHeight="1" thickBot="1">
      <c r="A13" s="1357" t="s">
        <v>2348</v>
      </c>
      <c r="B13" s="1358"/>
      <c r="C13" s="1376">
        <v>2694.5104040117299</v>
      </c>
      <c r="D13" s="1377">
        <v>2815.7448411451096</v>
      </c>
      <c r="E13" s="1376">
        <v>2973.2056398412365</v>
      </c>
      <c r="F13" s="1377">
        <v>3109.7236465190003</v>
      </c>
      <c r="G13" s="1376">
        <v>3228.4015641373426</v>
      </c>
      <c r="H13" s="1377">
        <v>3420.9561673120697</v>
      </c>
      <c r="I13" s="1376">
        <v>3447.3545767100568</v>
      </c>
      <c r="J13" s="1377">
        <v>3663.0755838507671</v>
      </c>
      <c r="K13" s="1376">
        <v>3771.1797269619269</v>
      </c>
      <c r="L13" s="1377">
        <v>3968.7366137610011</v>
      </c>
      <c r="M13" s="1376">
        <v>4049.5170354256738</v>
      </c>
      <c r="N13" s="1378"/>
      <c r="O13" s="1379">
        <v>2.0354190647113857E-2</v>
      </c>
      <c r="P13" s="1380">
        <v>4.1200665494678823E-2</v>
      </c>
      <c r="Q13" s="1381"/>
      <c r="R13" s="1382">
        <v>4131.941677193463</v>
      </c>
    </row>
    <row r="14" spans="1:34" ht="14" thickBot="1">
      <c r="A14" s="1358"/>
      <c r="B14" s="1358" t="s">
        <v>2246</v>
      </c>
      <c r="C14" s="1359">
        <v>1132.4277999999999</v>
      </c>
      <c r="D14" s="1360">
        <v>1151.4795999999999</v>
      </c>
      <c r="E14" s="1359">
        <v>1283.9227999999998</v>
      </c>
      <c r="F14" s="1360">
        <v>1378.5406000000003</v>
      </c>
      <c r="G14" s="1359">
        <v>1422.4462000000001</v>
      </c>
      <c r="H14" s="1360">
        <v>1475.3188</v>
      </c>
      <c r="I14" s="1359">
        <v>1413.5950692328547</v>
      </c>
      <c r="J14" s="1360">
        <v>1512.470256033693</v>
      </c>
      <c r="K14" s="1359">
        <v>1537.8133155193091</v>
      </c>
      <c r="L14" s="1360">
        <v>1654.441825486788</v>
      </c>
      <c r="M14" s="1359">
        <v>1635.3951577832072</v>
      </c>
      <c r="N14" s="1361"/>
      <c r="O14" s="1362">
        <v>-1.1512443296685104E-2</v>
      </c>
      <c r="P14" s="1363">
        <v>3.9751622126584785E-2</v>
      </c>
      <c r="Q14" s="1364"/>
      <c r="R14" s="1365" t="s">
        <v>59</v>
      </c>
    </row>
    <row r="15" spans="1:34" ht="15" customHeight="1" thickBot="1">
      <c r="A15" s="1358"/>
      <c r="B15" s="1358" t="s">
        <v>2349</v>
      </c>
      <c r="C15" s="1359">
        <v>1525.5826040117299</v>
      </c>
      <c r="D15" s="1360">
        <v>1627.0652411451097</v>
      </c>
      <c r="E15" s="1359">
        <v>1653.8828398412368</v>
      </c>
      <c r="F15" s="1360">
        <v>1690.0830465189999</v>
      </c>
      <c r="G15" s="1359">
        <v>1762.9553641373423</v>
      </c>
      <c r="H15" s="1360">
        <v>1900.4373673120701</v>
      </c>
      <c r="I15" s="1359">
        <v>1986.859507477202</v>
      </c>
      <c r="J15" s="1360">
        <v>2102.2053278170742</v>
      </c>
      <c r="K15" s="1359">
        <v>2185.2164114426178</v>
      </c>
      <c r="L15" s="1360">
        <v>2265.2797882742134</v>
      </c>
      <c r="M15" s="1359">
        <v>2366.2240814424667</v>
      </c>
      <c r="N15" s="1361"/>
      <c r="O15" s="1362">
        <v>4.4561512308886497E-2</v>
      </c>
      <c r="P15" s="1363">
        <v>4.249101963731805E-2</v>
      </c>
      <c r="Q15" s="1364"/>
      <c r="R15" s="1365" t="s">
        <v>59</v>
      </c>
    </row>
    <row r="16" spans="1:34" ht="14" thickBot="1">
      <c r="A16" s="1358"/>
      <c r="B16" s="1358" t="s">
        <v>2247</v>
      </c>
      <c r="C16" s="1359">
        <v>36.5</v>
      </c>
      <c r="D16" s="1360">
        <v>37.200000000000003</v>
      </c>
      <c r="E16" s="1359">
        <v>35.4</v>
      </c>
      <c r="F16" s="1360">
        <v>41.1</v>
      </c>
      <c r="G16" s="1359">
        <v>43</v>
      </c>
      <c r="H16" s="1360">
        <v>45.2</v>
      </c>
      <c r="I16" s="1359">
        <v>46.9</v>
      </c>
      <c r="J16" s="1360">
        <v>48.4</v>
      </c>
      <c r="K16" s="1359">
        <v>48.15</v>
      </c>
      <c r="L16" s="1360">
        <v>49.015000000000001</v>
      </c>
      <c r="M16" s="1359">
        <v>47.897796200000002</v>
      </c>
      <c r="N16" s="1361"/>
      <c r="O16" s="1362">
        <v>-2.2793100071406669E-2</v>
      </c>
      <c r="P16" s="1363">
        <v>2.8482614237898884E-2</v>
      </c>
      <c r="Q16" s="1364"/>
      <c r="R16" s="1365" t="s">
        <v>59</v>
      </c>
    </row>
    <row r="17" spans="1:23" ht="14" thickBot="1">
      <c r="A17" s="1358"/>
      <c r="B17" s="1358"/>
      <c r="C17" s="1367"/>
      <c r="D17" s="1368"/>
      <c r="E17" s="1367"/>
      <c r="F17" s="1368"/>
      <c r="G17" s="1367"/>
      <c r="H17" s="1368"/>
      <c r="I17" s="1367"/>
      <c r="J17" s="1368"/>
      <c r="K17" s="1367"/>
      <c r="L17" s="1368"/>
      <c r="M17" s="1367"/>
      <c r="N17" s="1369"/>
      <c r="O17" s="1370"/>
      <c r="P17" s="1371"/>
      <c r="Q17" s="1372"/>
      <c r="R17" s="1373"/>
    </row>
    <row r="18" spans="1:23" ht="16" thickBot="1">
      <c r="A18" s="1357" t="s">
        <v>2350</v>
      </c>
      <c r="B18" s="1358"/>
      <c r="C18" s="1376">
        <v>623.1</v>
      </c>
      <c r="D18" s="1377">
        <v>-213.6</v>
      </c>
      <c r="E18" s="1376">
        <v>-306.39999999999998</v>
      </c>
      <c r="F18" s="1377">
        <v>-200.29999999999927</v>
      </c>
      <c r="G18" s="1376">
        <v>98.828987000000325</v>
      </c>
      <c r="H18" s="1377">
        <v>454.38000000000136</v>
      </c>
      <c r="I18" s="1376">
        <v>-588.16000000000054</v>
      </c>
      <c r="J18" s="1377">
        <v>-1266.4017009999975</v>
      </c>
      <c r="K18" s="1376">
        <v>-1468.84478399</v>
      </c>
      <c r="L18" s="1377">
        <v>-918.22178139000243</v>
      </c>
      <c r="M18" s="1376">
        <v>-1381.5431163093563</v>
      </c>
      <c r="N18" s="1378"/>
      <c r="O18" s="1379">
        <v>-0.50458543274586543</v>
      </c>
      <c r="P18" s="1380" t="s">
        <v>59</v>
      </c>
      <c r="Q18" s="1381"/>
      <c r="R18" s="1382">
        <v>-627.88558675635068</v>
      </c>
    </row>
    <row r="19" spans="1:23" ht="14" thickBot="1">
      <c r="A19" s="1358"/>
      <c r="B19" s="1383"/>
      <c r="C19" s="1367"/>
      <c r="D19" s="1368"/>
      <c r="E19" s="1384"/>
      <c r="F19" s="1385"/>
      <c r="G19" s="1384"/>
      <c r="H19" s="1385"/>
      <c r="I19" s="1384"/>
      <c r="J19" s="1385"/>
      <c r="K19" s="1384"/>
      <c r="L19" s="1385"/>
      <c r="M19" s="1384"/>
      <c r="N19" s="1386"/>
      <c r="O19" s="1387"/>
      <c r="P19" s="1388"/>
      <c r="Q19" s="1389"/>
      <c r="R19" s="1373"/>
    </row>
    <row r="20" spans="1:23" s="1375" customFormat="1" ht="14" thickBot="1">
      <c r="A20" s="1357" t="s">
        <v>2248</v>
      </c>
      <c r="B20" s="1358"/>
      <c r="C20" s="1376">
        <v>2760.27</v>
      </c>
      <c r="D20" s="1377">
        <v>3024.94</v>
      </c>
      <c r="E20" s="1376">
        <v>3270.2</v>
      </c>
      <c r="F20" s="1377">
        <v>3620.5</v>
      </c>
      <c r="G20" s="1376">
        <v>3725.7</v>
      </c>
      <c r="H20" s="1377">
        <v>3837.6</v>
      </c>
      <c r="I20" s="1382">
        <v>4062.6</v>
      </c>
      <c r="J20" s="1377">
        <v>4268.5</v>
      </c>
      <c r="K20" s="1382">
        <v>4550.2</v>
      </c>
      <c r="L20" s="1377">
        <v>4782.4252710000001</v>
      </c>
      <c r="M20" s="1382">
        <v>4933.2407849999991</v>
      </c>
      <c r="N20" s="1378"/>
      <c r="O20" s="1379">
        <v>3.1535362384964793E-2</v>
      </c>
      <c r="P20" s="1380">
        <v>5.5848792564925143E-2</v>
      </c>
      <c r="Q20" s="1381"/>
      <c r="R20" s="1382">
        <v>5252.5816508871258</v>
      </c>
    </row>
    <row r="21" spans="1:23" s="1375" customFormat="1" ht="15.75" customHeight="1" thickBot="1">
      <c r="A21" s="1358" t="s">
        <v>2351</v>
      </c>
      <c r="B21" s="1358"/>
      <c r="C21" s="1390">
        <v>1815.57</v>
      </c>
      <c r="D21" s="1391">
        <v>2087.14</v>
      </c>
      <c r="E21" s="1390">
        <v>2263.1999999999998</v>
      </c>
      <c r="F21" s="1391">
        <v>2476.6</v>
      </c>
      <c r="G21" s="1390">
        <v>2532.8000000000002</v>
      </c>
      <c r="H21" s="1391">
        <v>2671.6</v>
      </c>
      <c r="I21" s="1390">
        <v>2848.4</v>
      </c>
      <c r="J21" s="1391">
        <v>2961.1</v>
      </c>
      <c r="K21" s="1390">
        <v>3025.3</v>
      </c>
      <c r="L21" s="1391">
        <v>3119.6250399999999</v>
      </c>
      <c r="M21" s="1390">
        <v>3230.0145429999998</v>
      </c>
      <c r="N21" s="1392"/>
      <c r="O21" s="1393">
        <v>3.5385503573211352E-2</v>
      </c>
      <c r="P21" s="1394">
        <v>4.9717757619953229E-2</v>
      </c>
      <c r="Q21" s="1395"/>
      <c r="R21" s="1390">
        <v>3432.186134</v>
      </c>
    </row>
    <row r="22" spans="1:23" s="1375" customFormat="1" ht="15.75" customHeight="1" thickBot="1">
      <c r="A22" s="1358" t="s">
        <v>2352</v>
      </c>
      <c r="B22" s="1358"/>
      <c r="C22" s="1390">
        <v>293</v>
      </c>
      <c r="D22" s="1391">
        <v>237.5</v>
      </c>
      <c r="E22" s="1390">
        <v>264.39999999999998</v>
      </c>
      <c r="F22" s="1391">
        <v>277.10000000000002</v>
      </c>
      <c r="G22" s="1390">
        <v>317</v>
      </c>
      <c r="H22" s="1391">
        <v>315</v>
      </c>
      <c r="I22" s="1390">
        <v>343.8</v>
      </c>
      <c r="J22" s="1391">
        <v>375.1</v>
      </c>
      <c r="K22" s="1390">
        <v>421.4</v>
      </c>
      <c r="L22" s="1391">
        <v>447.8</v>
      </c>
      <c r="M22" s="1390">
        <v>476.1</v>
      </c>
      <c r="N22" s="1392"/>
      <c r="O22" s="1393">
        <v>6.3197856185797319E-2</v>
      </c>
      <c r="P22" s="1394">
        <v>8.0337363380794446E-2</v>
      </c>
      <c r="Q22" s="1395"/>
      <c r="R22" s="1396">
        <v>514.34861870559621</v>
      </c>
    </row>
    <row r="23" spans="1:23" ht="15.75" customHeight="1" thickBot="1">
      <c r="A23" s="1358" t="s">
        <v>2353</v>
      </c>
      <c r="B23" s="1358"/>
      <c r="C23" s="1390">
        <v>203.5</v>
      </c>
      <c r="D23" s="1391">
        <v>228.6</v>
      </c>
      <c r="E23" s="1390">
        <v>266.2</v>
      </c>
      <c r="F23" s="1391">
        <v>375.1</v>
      </c>
      <c r="G23" s="1390">
        <v>378.5</v>
      </c>
      <c r="H23" s="1391">
        <v>314.89999999999998</v>
      </c>
      <c r="I23" s="1390">
        <v>319.7</v>
      </c>
      <c r="J23" s="1391">
        <v>367.7</v>
      </c>
      <c r="K23" s="1390">
        <v>381.7</v>
      </c>
      <c r="L23" s="1391">
        <v>412.4</v>
      </c>
      <c r="M23" s="1390">
        <v>405.9</v>
      </c>
      <c r="N23" s="1392"/>
      <c r="O23" s="1393">
        <v>-1.5761396702230868E-2</v>
      </c>
      <c r="P23" s="1394">
        <v>6.587127533752124E-2</v>
      </c>
      <c r="Q23" s="1395"/>
      <c r="R23" s="1396">
        <v>432.63715065949987</v>
      </c>
    </row>
    <row r="24" spans="1:23" ht="17.25" customHeight="1" thickBot="1">
      <c r="A24" s="1358" t="s">
        <v>2354</v>
      </c>
      <c r="B24" s="1358"/>
      <c r="C24" s="1390">
        <v>448.2</v>
      </c>
      <c r="D24" s="1391">
        <v>471.7</v>
      </c>
      <c r="E24" s="1390">
        <v>476.4</v>
      </c>
      <c r="F24" s="1391">
        <v>491.7</v>
      </c>
      <c r="G24" s="1390">
        <v>497.4</v>
      </c>
      <c r="H24" s="1391">
        <v>536.1</v>
      </c>
      <c r="I24" s="1390">
        <v>550.70000000000005</v>
      </c>
      <c r="J24" s="1391">
        <v>564.6</v>
      </c>
      <c r="K24" s="1390">
        <v>721.8</v>
      </c>
      <c r="L24" s="1391">
        <v>802.60023099999989</v>
      </c>
      <c r="M24" s="1390">
        <v>821.22624199999996</v>
      </c>
      <c r="N24" s="1392"/>
      <c r="O24" s="1393">
        <v>2.3207084025870461E-2</v>
      </c>
      <c r="P24" s="1394">
        <v>6.354339748683957E-2</v>
      </c>
      <c r="Q24" s="1395"/>
      <c r="R24" s="1396">
        <v>873.40974752202942</v>
      </c>
    </row>
    <row r="25" spans="1:23" s="1375" customFormat="1" ht="14" thickBot="1">
      <c r="A25" s="1397"/>
      <c r="B25" s="1397"/>
      <c r="C25" s="1398"/>
      <c r="D25" s="1399"/>
      <c r="E25" s="1398"/>
      <c r="F25" s="1399"/>
      <c r="G25" s="1398"/>
      <c r="H25" s="1399"/>
      <c r="I25" s="1398"/>
      <c r="J25" s="1399"/>
      <c r="K25" s="1398"/>
      <c r="L25" s="1399"/>
      <c r="M25" s="1398"/>
      <c r="N25" s="1400"/>
      <c r="O25" s="1401"/>
      <c r="P25" s="1402"/>
      <c r="Q25" s="1403"/>
      <c r="R25" s="1404"/>
    </row>
    <row r="26" spans="1:23" ht="13.5" customHeight="1" thickBot="1">
      <c r="A26" s="1357" t="s">
        <v>456</v>
      </c>
      <c r="B26" s="1358"/>
      <c r="C26" s="1376">
        <v>25053.709374727299</v>
      </c>
      <c r="D26" s="1377">
        <v>26294.842583881065</v>
      </c>
      <c r="E26" s="1376">
        <v>27513.684732536305</v>
      </c>
      <c r="F26" s="1377">
        <v>27912.972601594232</v>
      </c>
      <c r="G26" s="1376">
        <v>28908.880472022902</v>
      </c>
      <c r="H26" s="1377">
        <v>29782.027471645619</v>
      </c>
      <c r="I26" s="1376">
        <v>31581.01682533585</v>
      </c>
      <c r="J26" s="1377">
        <v>33359.723610615663</v>
      </c>
      <c r="K26" s="1376">
        <v>35061.912269996828</v>
      </c>
      <c r="L26" s="1377">
        <v>35024.316615014475</v>
      </c>
      <c r="M26" s="1376">
        <v>36135.30860115125</v>
      </c>
      <c r="N26" s="1378"/>
      <c r="O26" s="1379">
        <v>3.1720589964644885E-2</v>
      </c>
      <c r="P26" s="1380">
        <v>3.5953191113770933E-2</v>
      </c>
      <c r="Q26" s="1381"/>
      <c r="R26" s="1382">
        <v>36803.062258675753</v>
      </c>
    </row>
    <row r="27" spans="1:23" ht="16.5" customHeight="1" thickBot="1">
      <c r="A27" s="1358" t="s">
        <v>2249</v>
      </c>
      <c r="B27" s="1358"/>
      <c r="C27" s="1390">
        <v>14197.53</v>
      </c>
      <c r="D27" s="1391">
        <v>14850.16</v>
      </c>
      <c r="E27" s="1390">
        <v>15432.1</v>
      </c>
      <c r="F27" s="1391">
        <v>15337.8</v>
      </c>
      <c r="G27" s="1390">
        <v>15974.171012999999</v>
      </c>
      <c r="H27" s="1391">
        <v>16460.62</v>
      </c>
      <c r="I27" s="1390">
        <v>17838.560000000001</v>
      </c>
      <c r="J27" s="1391">
        <v>19087.413701000001</v>
      </c>
      <c r="K27" s="1390">
        <v>20335.09678399</v>
      </c>
      <c r="L27" s="1391">
        <v>20746.024557220004</v>
      </c>
      <c r="M27" s="1390">
        <v>21587.969001450001</v>
      </c>
      <c r="N27" s="1392"/>
      <c r="O27" s="1393">
        <v>4.0583411145003412E-2</v>
      </c>
      <c r="P27" s="1394">
        <v>4.2445612690316326E-2</v>
      </c>
      <c r="Q27" s="1395"/>
      <c r="R27" s="1390">
        <v>21815.115705669999</v>
      </c>
    </row>
    <row r="28" spans="1:23" ht="15" customHeight="1" thickBot="1">
      <c r="A28" s="1358"/>
      <c r="B28" s="1383" t="s">
        <v>2355</v>
      </c>
      <c r="C28" s="1384">
        <v>9219.6299999999992</v>
      </c>
      <c r="D28" s="1385">
        <v>9837.66</v>
      </c>
      <c r="E28" s="1384">
        <v>10341</v>
      </c>
      <c r="F28" s="1385">
        <v>10472.9</v>
      </c>
      <c r="G28" s="1384">
        <v>10813.888999999999</v>
      </c>
      <c r="H28" s="1385">
        <v>11283.12</v>
      </c>
      <c r="I28" s="1384">
        <v>12447.76</v>
      </c>
      <c r="J28" s="1385">
        <v>13798.607467</v>
      </c>
      <c r="K28" s="1384">
        <v>14954.286842000001</v>
      </c>
      <c r="L28" s="1385">
        <v>15323.051681830002</v>
      </c>
      <c r="M28" s="1384">
        <v>16004.843842140001</v>
      </c>
      <c r="N28" s="1386"/>
      <c r="O28" s="1387">
        <v>4.4494541587852598E-2</v>
      </c>
      <c r="P28" s="1388">
        <v>5.5563595074755279E-2</v>
      </c>
      <c r="Q28" s="1389"/>
      <c r="R28" s="1384">
        <v>16197.424153169999</v>
      </c>
    </row>
    <row r="29" spans="1:23" ht="15" customHeight="1" thickBot="1">
      <c r="A29" s="1358"/>
      <c r="B29" s="1383" t="s">
        <v>2356</v>
      </c>
      <c r="C29" s="1384">
        <v>4337.5</v>
      </c>
      <c r="D29" s="1385">
        <v>4410.6000000000004</v>
      </c>
      <c r="E29" s="1384">
        <v>4453.3</v>
      </c>
      <c r="F29" s="1385">
        <v>3766.7</v>
      </c>
      <c r="G29" s="1384">
        <v>2917.3519609999998</v>
      </c>
      <c r="H29" s="1385">
        <v>1987</v>
      </c>
      <c r="I29" s="1384">
        <v>1958.4</v>
      </c>
      <c r="J29" s="1385">
        <v>1882.6076640000001</v>
      </c>
      <c r="K29" s="1384">
        <v>1358.7895999899999</v>
      </c>
      <c r="L29" s="1385">
        <v>1397.6693543900001</v>
      </c>
      <c r="M29" s="1384">
        <v>1384.0624223099999</v>
      </c>
      <c r="N29" s="1386"/>
      <c r="O29" s="1387">
        <v>-9.7354442502882721E-3</v>
      </c>
      <c r="P29" s="1388">
        <v>-0.12082949105685559</v>
      </c>
      <c r="Q29" s="1389"/>
      <c r="R29" s="1384">
        <v>1410.6232075</v>
      </c>
    </row>
    <row r="30" spans="1:23" ht="15" customHeight="1" thickBot="1">
      <c r="A30" s="1358"/>
      <c r="B30" s="1383" t="s">
        <v>2357</v>
      </c>
      <c r="C30" s="1384">
        <v>640.4</v>
      </c>
      <c r="D30" s="1385">
        <v>601.9</v>
      </c>
      <c r="E30" s="1384">
        <v>637.79999999999995</v>
      </c>
      <c r="F30" s="1385">
        <v>1098.2</v>
      </c>
      <c r="G30" s="1384">
        <v>2242.9300519999997</v>
      </c>
      <c r="H30" s="1385">
        <v>3190.5</v>
      </c>
      <c r="I30" s="1384">
        <v>3432.4</v>
      </c>
      <c r="J30" s="1385">
        <v>3406.1985699999996</v>
      </c>
      <c r="K30" s="1384">
        <v>4022.0203419999989</v>
      </c>
      <c r="L30" s="1385">
        <v>4025.3035210000007</v>
      </c>
      <c r="M30" s="1384">
        <v>4199.0627370000002</v>
      </c>
      <c r="N30" s="1386"/>
      <c r="O30" s="1387">
        <v>4.3166736394783189E-2</v>
      </c>
      <c r="P30" s="1388">
        <v>0.24089903454863459</v>
      </c>
      <c r="Q30" s="1389"/>
      <c r="R30" s="1384">
        <v>4207.0683449999997</v>
      </c>
    </row>
    <row r="31" spans="1:23" ht="15.75" customHeight="1" thickBot="1">
      <c r="A31" s="1358" t="s">
        <v>2358</v>
      </c>
      <c r="B31" s="1358"/>
      <c r="C31" s="1390">
        <v>1770.8</v>
      </c>
      <c r="D31" s="1391">
        <v>1884.4</v>
      </c>
      <c r="E31" s="1390">
        <v>2155</v>
      </c>
      <c r="F31" s="1391">
        <v>2249.6</v>
      </c>
      <c r="G31" s="1390">
        <v>2343.1</v>
      </c>
      <c r="H31" s="1391">
        <v>2428.3000000000002</v>
      </c>
      <c r="I31" s="1390">
        <v>2541</v>
      </c>
      <c r="J31" s="1391">
        <v>2627.5</v>
      </c>
      <c r="K31" s="1390">
        <v>2868.2</v>
      </c>
      <c r="L31" s="1391">
        <v>3031.6779155400004</v>
      </c>
      <c r="M31" s="1390">
        <v>3081.5039062299998</v>
      </c>
      <c r="N31" s="1392"/>
      <c r="O31" s="1393">
        <v>1.6435120114375534E-2</v>
      </c>
      <c r="P31" s="1394">
        <v>5.6165995554501746E-2</v>
      </c>
      <c r="Q31" s="1395"/>
      <c r="R31" s="1390">
        <v>3200.9812532199999</v>
      </c>
      <c r="T31" s="1329"/>
      <c r="U31" s="1329"/>
      <c r="V31" s="1329"/>
      <c r="W31" s="1329"/>
    </row>
    <row r="32" spans="1:23" ht="13.5" customHeight="1" thickBot="1">
      <c r="A32" s="1358"/>
      <c r="B32" s="1383" t="s">
        <v>2250</v>
      </c>
      <c r="C32" s="1405">
        <v>1678.5</v>
      </c>
      <c r="D32" s="1406">
        <v>1778</v>
      </c>
      <c r="E32" s="1405">
        <v>2097.1999999999998</v>
      </c>
      <c r="F32" s="1406">
        <v>2189.9</v>
      </c>
      <c r="G32" s="1405">
        <v>2288</v>
      </c>
      <c r="H32" s="1406">
        <v>2400.1999999999998</v>
      </c>
      <c r="I32" s="1405">
        <v>2502.83</v>
      </c>
      <c r="J32" s="1406">
        <v>2588.5</v>
      </c>
      <c r="K32" s="1405">
        <v>2832.3</v>
      </c>
      <c r="L32" s="1406">
        <v>2994.9866096700002</v>
      </c>
      <c r="M32" s="1405">
        <v>3038.7113187199998</v>
      </c>
      <c r="N32" s="1407"/>
      <c r="O32" s="1408">
        <v>1.4599300347061472E-2</v>
      </c>
      <c r="P32" s="1409">
        <v>6.1358164850872976E-2</v>
      </c>
      <c r="Q32" s="1410"/>
      <c r="R32" s="1405">
        <v>3155.0668707</v>
      </c>
    </row>
    <row r="33" spans="1:29" ht="13.5" customHeight="1" thickBot="1">
      <c r="A33" s="1358"/>
      <c r="B33" s="1383" t="s">
        <v>2251</v>
      </c>
      <c r="C33" s="1405">
        <v>92.3</v>
      </c>
      <c r="D33" s="1406">
        <v>106.4</v>
      </c>
      <c r="E33" s="1405">
        <v>57.8</v>
      </c>
      <c r="F33" s="1406">
        <v>59.7</v>
      </c>
      <c r="G33" s="1405">
        <v>55.1</v>
      </c>
      <c r="H33" s="1406">
        <v>28.1</v>
      </c>
      <c r="I33" s="1405">
        <v>38.17</v>
      </c>
      <c r="J33" s="1406">
        <v>39</v>
      </c>
      <c r="K33" s="1405">
        <v>35.9</v>
      </c>
      <c r="L33" s="1406">
        <v>36.691305870000001</v>
      </c>
      <c r="M33" s="1405">
        <v>42.792587509999997</v>
      </c>
      <c r="N33" s="1407"/>
      <c r="O33" s="1408">
        <v>0.16628684903222823</v>
      </c>
      <c r="P33" s="1409">
        <v>-9.6251820427311507E-2</v>
      </c>
      <c r="Q33" s="1410"/>
      <c r="R33" s="1405">
        <v>45.914382520000004</v>
      </c>
    </row>
    <row r="34" spans="1:29" ht="16.5" customHeight="1" thickBot="1">
      <c r="A34" s="1358" t="s">
        <v>2359</v>
      </c>
      <c r="B34" s="1358"/>
      <c r="C34" s="1390">
        <v>9085.3793747272994</v>
      </c>
      <c r="D34" s="1391">
        <v>9560.2825838810622</v>
      </c>
      <c r="E34" s="1390">
        <v>9926.5847325363065</v>
      </c>
      <c r="F34" s="1391">
        <v>10325.572601594235</v>
      </c>
      <c r="G34" s="1390">
        <v>10591.609459022904</v>
      </c>
      <c r="H34" s="1391">
        <v>10893.107471645619</v>
      </c>
      <c r="I34" s="1390">
        <v>11201.456825335847</v>
      </c>
      <c r="J34" s="1391">
        <v>11644.809909615658</v>
      </c>
      <c r="K34" s="1390">
        <v>11858.615486006827</v>
      </c>
      <c r="L34" s="1391">
        <v>11246.614142254472</v>
      </c>
      <c r="M34" s="1390">
        <v>11465.835693471246</v>
      </c>
      <c r="N34" s="1392"/>
      <c r="O34" s="1393">
        <v>1.9492226588724293E-2</v>
      </c>
      <c r="P34" s="1394">
        <v>2.0400244137888324E-2</v>
      </c>
      <c r="Q34" s="1395"/>
      <c r="R34" s="1396">
        <v>11786.96529978575</v>
      </c>
      <c r="S34" s="1411"/>
    </row>
    <row r="35" spans="1:29" ht="12.75" customHeight="1" thickBot="1">
      <c r="A35" s="1358"/>
      <c r="B35" s="1358"/>
      <c r="C35" s="1367"/>
      <c r="D35" s="1368"/>
      <c r="E35" s="1367"/>
      <c r="F35" s="1368"/>
      <c r="G35" s="1367"/>
      <c r="H35" s="1368"/>
      <c r="I35" s="1367"/>
      <c r="J35" s="1368"/>
      <c r="K35" s="1367"/>
      <c r="L35" s="1368"/>
      <c r="M35" s="1367"/>
      <c r="N35" s="1369"/>
      <c r="O35" s="1370"/>
      <c r="P35" s="1371"/>
      <c r="Q35" s="1372"/>
      <c r="R35" s="1373"/>
    </row>
    <row r="36" spans="1:29" ht="16.5" customHeight="1" thickBot="1">
      <c r="A36" s="1357" t="s">
        <v>2360</v>
      </c>
      <c r="B36" s="1358"/>
      <c r="C36" s="1376">
        <v>360.34572496402706</v>
      </c>
      <c r="D36" s="1377">
        <v>367.4485025408178</v>
      </c>
      <c r="E36" s="1376">
        <v>375.28251008174271</v>
      </c>
      <c r="F36" s="1377">
        <v>388.70889016736163</v>
      </c>
      <c r="G36" s="1376">
        <v>420.16510495683008</v>
      </c>
      <c r="H36" s="1377">
        <v>442.73533222173643</v>
      </c>
      <c r="I36" s="1376">
        <v>456.31192849787288</v>
      </c>
      <c r="J36" s="1377">
        <v>462.16066224325613</v>
      </c>
      <c r="K36" s="1376">
        <v>460.54510480676197</v>
      </c>
      <c r="L36" s="1377">
        <v>480.96670935903251</v>
      </c>
      <c r="M36" s="1376">
        <v>500.28122327763629</v>
      </c>
      <c r="N36" s="1378"/>
      <c r="O36" s="1379">
        <v>4.0157693958368768E-2</v>
      </c>
      <c r="P36" s="1380">
        <v>3.4882058892528489E-2</v>
      </c>
      <c r="Q36" s="1381"/>
      <c r="R36" s="1382">
        <v>531.70000000000005</v>
      </c>
    </row>
    <row r="37" spans="1:29" ht="12.75" customHeight="1" thickBot="1">
      <c r="A37" s="1357"/>
      <c r="B37" s="1383"/>
      <c r="C37" s="1412"/>
      <c r="D37" s="1413"/>
      <c r="E37" s="1367"/>
      <c r="F37" s="1368"/>
      <c r="G37" s="1367"/>
      <c r="H37" s="1368"/>
      <c r="I37" s="1373"/>
      <c r="J37" s="1368"/>
      <c r="K37" s="1373"/>
      <c r="L37" s="1368"/>
      <c r="M37" s="1373"/>
      <c r="N37" s="1369"/>
      <c r="O37" s="1370"/>
      <c r="P37" s="1371"/>
      <c r="Q37" s="1372"/>
      <c r="R37" s="1414"/>
    </row>
    <row r="38" spans="1:29" ht="17.25" customHeight="1" thickBot="1">
      <c r="A38" s="1415" t="s">
        <v>2361</v>
      </c>
      <c r="B38" s="1416"/>
      <c r="C38" s="1417">
        <v>37468.621584899993</v>
      </c>
      <c r="D38" s="1418">
        <v>38209.908416353559</v>
      </c>
      <c r="E38" s="1417">
        <v>39815.013078757198</v>
      </c>
      <c r="F38" s="1418">
        <v>41104.451764019817</v>
      </c>
      <c r="G38" s="1417">
        <v>42842.933951834144</v>
      </c>
      <c r="H38" s="1418">
        <v>45572.841048926202</v>
      </c>
      <c r="I38" s="1417">
        <v>47388.633486638137</v>
      </c>
      <c r="J38" s="1418">
        <v>49265.161352870738</v>
      </c>
      <c r="K38" s="1417">
        <v>51007.71667083916</v>
      </c>
      <c r="L38" s="1418">
        <v>52043.04088068397</v>
      </c>
      <c r="M38" s="1417">
        <v>52773.346851683025</v>
      </c>
      <c r="N38" s="1419"/>
      <c r="O38" s="1420">
        <v>1.4032730575320951E-2</v>
      </c>
      <c r="P38" s="1421">
        <v>3.6530465271365387E-2</v>
      </c>
      <c r="Q38" s="1422"/>
      <c r="R38" s="1423">
        <v>54904.2</v>
      </c>
    </row>
    <row r="39" spans="1:29" ht="14.25" customHeight="1">
      <c r="A39" s="1424" t="s">
        <v>1623</v>
      </c>
      <c r="B39" s="1424"/>
      <c r="C39" s="1425"/>
      <c r="D39" s="1425"/>
      <c r="E39" s="1425"/>
      <c r="F39" s="1425"/>
      <c r="G39" s="1425"/>
      <c r="H39" s="1425"/>
      <c r="I39" s="1425"/>
      <c r="J39" s="1425"/>
      <c r="K39" s="1308"/>
      <c r="L39" s="1308"/>
      <c r="M39" s="1308"/>
      <c r="N39" s="1308"/>
      <c r="O39" s="1425"/>
      <c r="P39" s="1425"/>
      <c r="Q39" s="1425"/>
    </row>
    <row r="40" spans="1:29">
      <c r="A40" s="1308"/>
      <c r="B40" s="1425"/>
      <c r="C40" s="1308"/>
      <c r="D40" s="1425"/>
      <c r="E40" s="1308"/>
      <c r="F40" s="1308"/>
      <c r="G40" s="1308"/>
      <c r="H40" s="1308"/>
      <c r="I40" s="1308"/>
      <c r="J40" s="1308"/>
      <c r="K40" s="1308"/>
      <c r="L40" s="1308"/>
      <c r="M40" s="1308"/>
      <c r="N40" s="1308"/>
      <c r="O40" s="1425"/>
      <c r="P40" s="1308"/>
      <c r="Q40" s="1308"/>
      <c r="R40" s="1329"/>
      <c r="S40" s="1329"/>
      <c r="T40" s="1329"/>
      <c r="U40" s="1329"/>
      <c r="X40" s="1329"/>
      <c r="Y40" s="1329"/>
      <c r="Z40" s="1329"/>
      <c r="AA40" s="1329"/>
      <c r="AB40" s="1320"/>
      <c r="AC40" s="1426"/>
    </row>
    <row r="41" spans="1:29">
      <c r="A41" s="1308" t="s">
        <v>2252</v>
      </c>
      <c r="B41" s="1425"/>
      <c r="C41" s="1308"/>
      <c r="D41" s="1425"/>
      <c r="E41" s="1308"/>
      <c r="F41" s="1308"/>
      <c r="G41" s="1308"/>
      <c r="H41" s="1308"/>
      <c r="I41" s="1308"/>
      <c r="J41" s="1308"/>
      <c r="K41" s="1308"/>
      <c r="L41" s="1308"/>
      <c r="M41" s="1308"/>
      <c r="N41" s="1308"/>
      <c r="O41" s="1425"/>
      <c r="P41" s="1308"/>
      <c r="Q41" s="1308"/>
      <c r="R41" s="1329"/>
      <c r="S41" s="1329"/>
      <c r="T41" s="1329"/>
      <c r="U41" s="1329"/>
      <c r="X41" s="1329"/>
      <c r="Y41" s="1329"/>
      <c r="Z41" s="1329"/>
      <c r="AA41" s="1329"/>
      <c r="AB41" s="1320"/>
      <c r="AC41" s="1426"/>
    </row>
    <row r="42" spans="1:29">
      <c r="A42" s="1308"/>
      <c r="B42" s="1425"/>
      <c r="C42" s="1308"/>
      <c r="D42" s="1308"/>
      <c r="E42" s="1308"/>
      <c r="F42" s="1308"/>
      <c r="G42" s="1308"/>
      <c r="H42" s="1308"/>
      <c r="I42" s="1308"/>
      <c r="J42" s="1308"/>
      <c r="K42" s="1308"/>
      <c r="L42" s="1308"/>
      <c r="M42" s="1308"/>
      <c r="N42" s="1308"/>
      <c r="O42" s="1308"/>
      <c r="P42" s="1308"/>
      <c r="Q42" s="1308"/>
    </row>
    <row r="43" spans="1:29">
      <c r="A43" s="1425"/>
      <c r="B43" s="1425"/>
      <c r="C43" s="1308"/>
      <c r="D43" s="1308"/>
      <c r="E43" s="1427"/>
      <c r="F43" s="1308"/>
      <c r="G43" s="1308"/>
      <c r="H43" s="1308"/>
      <c r="I43" s="1308"/>
      <c r="J43" s="1308"/>
      <c r="K43" s="1308"/>
      <c r="L43" s="1308"/>
      <c r="M43" s="1308"/>
      <c r="N43" s="1308"/>
      <c r="O43" s="1308"/>
      <c r="P43" s="1427"/>
      <c r="Q43" s="1308"/>
    </row>
    <row r="44" spans="1:29">
      <c r="A44" s="1425" t="s">
        <v>634</v>
      </c>
      <c r="B44" s="1425"/>
      <c r="C44" s="1308"/>
      <c r="D44" s="1308"/>
      <c r="E44" s="1308"/>
      <c r="F44" s="1308"/>
      <c r="G44" s="1308"/>
      <c r="H44" s="1308"/>
      <c r="I44" s="1308"/>
      <c r="J44" s="1308"/>
      <c r="K44" s="1308"/>
      <c r="L44" s="1308"/>
      <c r="M44" s="1308"/>
      <c r="N44" s="1308"/>
      <c r="O44" s="1308"/>
      <c r="P44" s="1308"/>
      <c r="Q44" s="1308"/>
    </row>
    <row r="45" spans="1:29">
      <c r="A45" s="1425"/>
      <c r="B45" s="1425"/>
      <c r="C45" s="1308"/>
      <c r="D45" s="1308"/>
      <c r="E45" s="1308"/>
      <c r="F45" s="1308"/>
      <c r="G45" s="1308"/>
      <c r="H45" s="1308"/>
      <c r="I45" s="1308"/>
      <c r="J45" s="1308"/>
      <c r="K45" s="1308"/>
      <c r="L45" s="1308"/>
      <c r="M45" s="1308"/>
      <c r="N45" s="1308"/>
      <c r="O45" s="1308"/>
      <c r="P45" s="1308"/>
      <c r="Q45" s="1308"/>
    </row>
    <row r="46" spans="1:29">
      <c r="A46" s="1425"/>
      <c r="B46" s="1425"/>
      <c r="C46" s="1308"/>
      <c r="D46" s="1308"/>
      <c r="E46" s="1308"/>
      <c r="F46" s="1308"/>
      <c r="G46" s="1308"/>
      <c r="H46" s="1308"/>
      <c r="I46" s="1308"/>
      <c r="J46" s="1308"/>
      <c r="K46" s="1308"/>
      <c r="L46" s="1308"/>
      <c r="M46" s="1308"/>
      <c r="N46" s="1308"/>
      <c r="O46" s="1308"/>
      <c r="P46" s="1308"/>
      <c r="Q46" s="1308"/>
    </row>
    <row r="47" spans="1:29">
      <c r="A47" s="1425"/>
      <c r="B47" s="1425"/>
      <c r="C47" s="1308"/>
      <c r="D47" s="1308"/>
      <c r="E47" s="1308"/>
      <c r="F47" s="1308"/>
      <c r="G47" s="1308"/>
      <c r="H47" s="1308"/>
      <c r="I47" s="1308"/>
      <c r="J47" s="1308"/>
      <c r="K47" s="1308"/>
      <c r="L47" s="1308"/>
      <c r="M47" s="1308"/>
      <c r="N47" s="1308"/>
      <c r="O47" s="1308"/>
      <c r="P47" s="1308"/>
      <c r="Q47" s="1308"/>
    </row>
    <row r="48" spans="1:29">
      <c r="A48" s="1425"/>
      <c r="B48" s="1425"/>
      <c r="C48" s="1308"/>
      <c r="D48" s="1308"/>
      <c r="E48" s="1308"/>
      <c r="F48" s="1308"/>
      <c r="G48" s="1308"/>
      <c r="H48" s="1308"/>
      <c r="I48" s="1308"/>
      <c r="J48" s="1308"/>
      <c r="K48" s="1308"/>
      <c r="L48" s="1308"/>
      <c r="M48" s="1308"/>
      <c r="N48" s="1308"/>
      <c r="O48" s="1308"/>
      <c r="P48" s="1308"/>
      <c r="Q48" s="1308"/>
    </row>
    <row r="49" spans="1:17">
      <c r="A49" s="1425"/>
      <c r="B49" s="1308"/>
      <c r="C49" s="1308"/>
      <c r="D49" s="1308"/>
      <c r="E49" s="1308"/>
      <c r="F49" s="1308"/>
      <c r="G49" s="1308"/>
      <c r="H49" s="1308"/>
      <c r="I49" s="1308"/>
      <c r="J49" s="1308"/>
      <c r="K49" s="1308"/>
      <c r="L49" s="1308"/>
      <c r="M49" s="1308"/>
      <c r="N49" s="1308"/>
      <c r="O49" s="1308"/>
      <c r="P49" s="1308"/>
      <c r="Q49" s="1308"/>
    </row>
    <row r="50" spans="1:17">
      <c r="A50" s="1425"/>
      <c r="B50" s="1308"/>
      <c r="C50" s="1308"/>
      <c r="D50" s="1308"/>
      <c r="E50" s="1308"/>
      <c r="F50" s="1308"/>
      <c r="G50" s="1308"/>
      <c r="H50" s="1308"/>
      <c r="I50" s="1308"/>
      <c r="J50" s="1308"/>
      <c r="K50" s="1308"/>
      <c r="L50" s="1308"/>
      <c r="M50" s="1308"/>
      <c r="N50" s="1308"/>
      <c r="O50" s="1308"/>
      <c r="P50" s="1308"/>
      <c r="Q50" s="1308"/>
    </row>
    <row r="51" spans="1:17">
      <c r="A51" s="1308"/>
      <c r="B51" s="1308"/>
      <c r="C51" s="1308"/>
      <c r="D51" s="1308"/>
      <c r="E51" s="1308"/>
      <c r="F51" s="1308"/>
      <c r="G51" s="1308"/>
      <c r="H51" s="1308"/>
      <c r="I51" s="1308"/>
      <c r="J51" s="1308"/>
      <c r="K51" s="1308"/>
      <c r="L51" s="1308"/>
      <c r="M51" s="1308"/>
      <c r="N51" s="1308"/>
      <c r="O51" s="1308"/>
      <c r="P51" s="1308"/>
      <c r="Q51" s="1308"/>
    </row>
    <row r="52" spans="1:17">
      <c r="A52" s="1308"/>
      <c r="B52" s="1308"/>
      <c r="C52" s="1308"/>
      <c r="D52" s="1308"/>
      <c r="E52" s="1308"/>
      <c r="F52" s="1308"/>
      <c r="G52" s="1308"/>
      <c r="H52" s="1308"/>
      <c r="I52" s="1308"/>
      <c r="J52" s="1308"/>
      <c r="K52" s="1308"/>
      <c r="L52" s="1308"/>
      <c r="M52" s="1308"/>
      <c r="N52" s="1308"/>
      <c r="O52" s="1308"/>
      <c r="P52" s="1308"/>
      <c r="Q52" s="1308"/>
    </row>
    <row r="53" spans="1:17">
      <c r="A53" s="1308"/>
      <c r="B53" s="1425"/>
      <c r="C53" s="1308"/>
      <c r="D53" s="1308"/>
      <c r="E53" s="1308"/>
      <c r="F53" s="1308"/>
      <c r="G53" s="1308"/>
      <c r="H53" s="1308"/>
      <c r="I53" s="1308"/>
      <c r="J53" s="1308"/>
      <c r="K53" s="1308"/>
      <c r="L53" s="1308"/>
      <c r="M53" s="1308"/>
      <c r="N53" s="1308"/>
      <c r="O53" s="1308"/>
      <c r="P53" s="1308"/>
      <c r="Q53" s="1308"/>
    </row>
    <row r="54" spans="1:17">
      <c r="A54" s="1308"/>
      <c r="B54" s="1425"/>
      <c r="C54" s="1308"/>
      <c r="D54" s="1308"/>
      <c r="E54" s="1308"/>
      <c r="F54" s="1308"/>
      <c r="G54" s="1308"/>
      <c r="H54" s="1308"/>
      <c r="I54" s="1308"/>
      <c r="J54" s="1308"/>
      <c r="K54" s="1308"/>
      <c r="L54" s="1308"/>
      <c r="M54" s="1308"/>
      <c r="N54" s="1308"/>
      <c r="O54" s="1308"/>
      <c r="P54" s="1308"/>
      <c r="Q54" s="1308"/>
    </row>
    <row r="55" spans="1:17" ht="16">
      <c r="A55" s="1307"/>
      <c r="B55" s="1425"/>
      <c r="C55" s="1308"/>
      <c r="D55" s="1308"/>
      <c r="E55" s="1308"/>
      <c r="F55" s="1308"/>
      <c r="G55" s="1308"/>
      <c r="H55" s="1308"/>
      <c r="I55" s="1308"/>
      <c r="J55" s="1308"/>
      <c r="K55" s="1308"/>
      <c r="L55" s="1308"/>
      <c r="M55" s="1308"/>
      <c r="N55" s="1308"/>
      <c r="O55" s="1308"/>
      <c r="P55" s="1308"/>
      <c r="Q55" s="1308"/>
    </row>
    <row r="56" spans="1:17">
      <c r="A56" s="1425"/>
      <c r="B56" s="1425"/>
      <c r="C56" s="1308"/>
      <c r="D56" s="1308"/>
      <c r="E56" s="1308"/>
      <c r="F56" s="1308"/>
      <c r="G56" s="1308"/>
      <c r="H56" s="1308"/>
      <c r="I56" s="1308"/>
      <c r="J56" s="1308"/>
      <c r="K56" s="1308"/>
      <c r="L56" s="1308"/>
      <c r="M56" s="1308"/>
      <c r="N56" s="1308"/>
      <c r="O56" s="1308"/>
      <c r="P56" s="1308"/>
      <c r="Q56" s="1308"/>
    </row>
    <row r="57" spans="1:17">
      <c r="A57" s="1425"/>
      <c r="B57" s="1425"/>
      <c r="C57" s="1308"/>
      <c r="D57" s="1308"/>
      <c r="E57" s="1308"/>
      <c r="F57" s="1308"/>
      <c r="G57" s="1308"/>
      <c r="H57" s="1308"/>
      <c r="I57" s="1308"/>
      <c r="J57" s="1308"/>
      <c r="K57" s="1308"/>
      <c r="L57" s="1308"/>
      <c r="M57" s="1308"/>
      <c r="N57" s="1308"/>
      <c r="O57" s="1308"/>
      <c r="P57" s="1308"/>
      <c r="Q57" s="1308"/>
    </row>
    <row r="58" spans="1:17">
      <c r="A58" s="1425"/>
      <c r="B58" s="1425"/>
      <c r="C58" s="1308"/>
      <c r="D58" s="1308"/>
      <c r="E58" s="1308"/>
      <c r="F58" s="1308"/>
      <c r="G58" s="1308"/>
      <c r="H58" s="1308"/>
      <c r="I58" s="1308"/>
      <c r="J58" s="1308"/>
      <c r="K58" s="1308"/>
      <c r="L58" s="1308"/>
      <c r="M58" s="1308"/>
      <c r="N58" s="1308"/>
      <c r="O58" s="1308"/>
      <c r="P58" s="1308"/>
      <c r="Q58" s="1308"/>
    </row>
    <row r="59" spans="1:17">
      <c r="A59" s="1425"/>
      <c r="B59" s="1425"/>
      <c r="C59" s="1308"/>
      <c r="D59" s="1308"/>
      <c r="E59" s="1308"/>
      <c r="F59" s="1308"/>
      <c r="G59" s="1308"/>
      <c r="H59" s="1308"/>
      <c r="I59" s="1308"/>
      <c r="J59" s="1308"/>
      <c r="K59" s="1308"/>
      <c r="L59" s="1308"/>
      <c r="M59" s="1308"/>
      <c r="N59" s="1308"/>
      <c r="O59" s="1308"/>
      <c r="P59" s="1308"/>
      <c r="Q59" s="1308"/>
    </row>
    <row r="60" spans="1:17">
      <c r="A60" s="1425"/>
      <c r="B60" s="1425"/>
      <c r="C60" s="1308"/>
      <c r="D60" s="1308"/>
      <c r="E60" s="1308"/>
      <c r="F60" s="1308"/>
      <c r="G60" s="1308"/>
      <c r="H60" s="1308"/>
      <c r="I60" s="1308"/>
      <c r="J60" s="1308"/>
      <c r="K60" s="1308"/>
      <c r="L60" s="1308"/>
      <c r="M60" s="1308"/>
      <c r="N60" s="1308"/>
      <c r="O60" s="1308"/>
      <c r="P60" s="1308"/>
      <c r="Q60" s="1308"/>
    </row>
    <row r="61" spans="1:17">
      <c r="A61" s="1425"/>
      <c r="B61" s="1425"/>
      <c r="C61" s="1308"/>
      <c r="D61" s="1308"/>
      <c r="E61" s="1308"/>
      <c r="F61" s="1308"/>
      <c r="G61" s="1308"/>
      <c r="H61" s="1308"/>
      <c r="I61" s="1308"/>
      <c r="J61" s="1308"/>
      <c r="K61" s="1308"/>
      <c r="L61" s="1308"/>
      <c r="M61" s="1308"/>
      <c r="N61" s="1308"/>
      <c r="O61" s="1308"/>
      <c r="P61" s="1308"/>
      <c r="Q61" s="1308"/>
    </row>
    <row r="62" spans="1:17">
      <c r="A62" s="1425"/>
      <c r="B62" s="1425"/>
      <c r="C62" s="1308"/>
      <c r="D62" s="1308"/>
      <c r="E62" s="1308"/>
      <c r="F62" s="1308"/>
      <c r="G62" s="1308"/>
      <c r="H62" s="1308"/>
      <c r="I62" s="1308"/>
      <c r="J62" s="1308"/>
      <c r="K62" s="1308"/>
      <c r="L62" s="1308"/>
      <c r="M62" s="1308"/>
      <c r="N62" s="1308"/>
      <c r="O62" s="1308"/>
      <c r="P62" s="1308"/>
      <c r="Q62" s="1308"/>
    </row>
    <row r="63" spans="1:17">
      <c r="A63" s="1425"/>
      <c r="B63" s="1425"/>
      <c r="C63" s="1308"/>
      <c r="D63" s="1308"/>
      <c r="E63" s="1308"/>
      <c r="F63" s="1308"/>
      <c r="G63" s="1308"/>
      <c r="H63" s="1308"/>
      <c r="I63" s="1308"/>
      <c r="J63" s="1308"/>
      <c r="K63" s="1308"/>
      <c r="L63" s="1308"/>
      <c r="M63" s="1308"/>
      <c r="N63" s="1308"/>
      <c r="O63" s="1308"/>
      <c r="P63" s="1308"/>
      <c r="Q63" s="1308"/>
    </row>
    <row r="64" spans="1:17">
      <c r="A64" s="1425"/>
      <c r="B64" s="1425"/>
      <c r="C64" s="1308"/>
      <c r="D64" s="1308"/>
      <c r="E64" s="1308"/>
      <c r="F64" s="1308"/>
      <c r="G64" s="1308"/>
      <c r="H64" s="1308"/>
      <c r="I64" s="1308"/>
      <c r="J64" s="1308"/>
      <c r="K64" s="1308"/>
      <c r="L64" s="1308"/>
      <c r="M64" s="1308"/>
      <c r="N64" s="1308"/>
      <c r="O64" s="1308"/>
      <c r="P64" s="1308"/>
      <c r="Q64" s="1308"/>
    </row>
    <row r="65" spans="1:17">
      <c r="A65" s="1308"/>
      <c r="B65" s="1425"/>
      <c r="C65" s="1308"/>
      <c r="D65" s="1308"/>
      <c r="E65" s="1308"/>
      <c r="F65" s="1308"/>
      <c r="G65" s="1308"/>
      <c r="H65" s="1308"/>
      <c r="I65" s="1308"/>
      <c r="J65" s="1308"/>
      <c r="K65" s="1308"/>
      <c r="L65" s="1308"/>
      <c r="M65" s="1308"/>
      <c r="N65" s="1308"/>
      <c r="O65" s="1308"/>
      <c r="P65" s="1308"/>
      <c r="Q65" s="1308"/>
    </row>
    <row r="66" spans="1:17">
      <c r="A66" s="1425"/>
      <c r="B66" s="1425"/>
      <c r="C66" s="1308"/>
      <c r="D66" s="1308"/>
      <c r="E66" s="1308"/>
      <c r="F66" s="1308"/>
      <c r="G66" s="1308"/>
      <c r="H66" s="1308"/>
      <c r="I66" s="1308"/>
      <c r="J66" s="1308"/>
      <c r="K66" s="1308"/>
      <c r="L66" s="1308"/>
      <c r="M66" s="1308"/>
      <c r="N66" s="1308"/>
      <c r="O66" s="1308"/>
      <c r="P66" s="1308"/>
      <c r="Q66" s="1308"/>
    </row>
    <row r="67" spans="1:17">
      <c r="A67" s="1425"/>
      <c r="B67" s="1425"/>
      <c r="C67" s="1308"/>
      <c r="D67" s="1308"/>
      <c r="E67" s="1308"/>
      <c r="F67" s="1308"/>
      <c r="G67" s="1308"/>
      <c r="H67" s="1308"/>
      <c r="I67" s="1308"/>
      <c r="J67" s="1308"/>
      <c r="K67" s="1308"/>
      <c r="L67" s="1308"/>
      <c r="M67" s="1308"/>
      <c r="N67" s="1308"/>
      <c r="O67" s="1308"/>
      <c r="P67" s="1308"/>
      <c r="Q67" s="1308"/>
    </row>
    <row r="68" spans="1:17">
      <c r="A68" s="1425"/>
      <c r="B68" s="1425"/>
      <c r="C68" s="1308"/>
      <c r="D68" s="1308"/>
      <c r="E68" s="1308"/>
      <c r="F68" s="1308"/>
      <c r="G68" s="1308"/>
      <c r="H68" s="1308"/>
      <c r="I68" s="1308"/>
      <c r="J68" s="1308"/>
      <c r="K68" s="1308"/>
      <c r="L68" s="1308"/>
      <c r="M68" s="1308"/>
      <c r="N68" s="1308"/>
      <c r="O68" s="1308"/>
      <c r="P68" s="1308"/>
      <c r="Q68" s="1308"/>
    </row>
    <row r="69" spans="1:17">
      <c r="A69" s="1425"/>
      <c r="B69" s="1425"/>
      <c r="C69" s="1308"/>
      <c r="D69" s="1308"/>
      <c r="E69" s="1308"/>
      <c r="F69" s="1308"/>
      <c r="G69" s="1308"/>
      <c r="H69" s="1308"/>
      <c r="I69" s="1308"/>
      <c r="J69" s="1308"/>
      <c r="K69" s="1308"/>
      <c r="L69" s="1308"/>
      <c r="M69" s="1308"/>
      <c r="N69" s="1308"/>
      <c r="O69" s="1308"/>
      <c r="P69" s="1308"/>
      <c r="Q69" s="1308"/>
    </row>
    <row r="70" spans="1:17">
      <c r="A70" s="1425"/>
      <c r="B70" s="1425"/>
      <c r="C70" s="1308"/>
      <c r="D70" s="1308"/>
      <c r="E70" s="1308"/>
      <c r="F70" s="1308"/>
      <c r="G70" s="1308"/>
      <c r="H70" s="1308"/>
      <c r="I70" s="1308"/>
      <c r="J70" s="1308"/>
      <c r="K70" s="1308"/>
      <c r="L70" s="1308"/>
      <c r="M70" s="1308"/>
      <c r="N70" s="1308"/>
      <c r="O70" s="1308"/>
      <c r="P70" s="1308"/>
      <c r="Q70" s="1308"/>
    </row>
    <row r="71" spans="1:17">
      <c r="A71" s="1425"/>
      <c r="B71" s="1425"/>
      <c r="C71" s="1308"/>
      <c r="D71" s="1308"/>
      <c r="E71" s="1308"/>
      <c r="F71" s="1308"/>
      <c r="G71" s="1308"/>
      <c r="H71" s="1308"/>
      <c r="I71" s="1308"/>
      <c r="J71" s="1308"/>
      <c r="K71" s="1308"/>
      <c r="L71" s="1308"/>
      <c r="M71" s="1308"/>
      <c r="N71" s="1308"/>
      <c r="O71" s="1308"/>
      <c r="P71" s="1308"/>
      <c r="Q71" s="1308"/>
    </row>
    <row r="72" spans="1:17">
      <c r="A72" s="1425"/>
      <c r="B72" s="1308"/>
      <c r="C72" s="1308"/>
      <c r="D72" s="1308"/>
      <c r="E72" s="1308"/>
      <c r="F72" s="1308"/>
      <c r="G72" s="1308"/>
      <c r="H72" s="1308"/>
      <c r="I72" s="1308"/>
      <c r="J72" s="1308"/>
      <c r="K72" s="1308"/>
      <c r="L72" s="1308"/>
      <c r="M72" s="1308"/>
      <c r="N72" s="1308"/>
      <c r="O72" s="1308"/>
      <c r="P72" s="1308"/>
      <c r="Q72" s="1308"/>
    </row>
    <row r="73" spans="1:17">
      <c r="A73" s="1308"/>
      <c r="B73" s="1308"/>
      <c r="C73" s="1308"/>
      <c r="D73" s="1308"/>
      <c r="E73" s="1308"/>
      <c r="F73" s="1308"/>
      <c r="G73" s="1308"/>
      <c r="H73" s="1308"/>
      <c r="I73" s="1308"/>
      <c r="J73" s="1308"/>
      <c r="K73" s="1308"/>
      <c r="L73" s="1308"/>
      <c r="M73" s="1308"/>
      <c r="N73" s="1308"/>
      <c r="O73" s="1308"/>
      <c r="P73" s="1308"/>
      <c r="Q73" s="1308"/>
    </row>
    <row r="74" spans="1:17">
      <c r="A74" s="1308"/>
      <c r="B74" s="1308"/>
      <c r="C74" s="1308"/>
      <c r="D74" s="1308"/>
      <c r="E74" s="1308"/>
      <c r="F74" s="1308"/>
      <c r="G74" s="1308"/>
      <c r="H74" s="1308"/>
      <c r="I74" s="1308"/>
      <c r="J74" s="1308"/>
      <c r="K74" s="1308"/>
      <c r="L74" s="1308"/>
      <c r="M74" s="1308"/>
      <c r="N74" s="1308"/>
      <c r="O74" s="1308"/>
      <c r="P74" s="1308"/>
      <c r="Q74" s="1308"/>
    </row>
    <row r="75" spans="1:17">
      <c r="A75" s="1308"/>
      <c r="B75" s="1308"/>
      <c r="C75" s="1308"/>
      <c r="D75" s="1308"/>
      <c r="E75" s="1308"/>
      <c r="F75" s="1308"/>
      <c r="G75" s="1308"/>
      <c r="H75" s="1308"/>
      <c r="I75" s="1308"/>
      <c r="J75" s="1308"/>
      <c r="K75" s="1308"/>
      <c r="L75" s="1308"/>
      <c r="M75" s="1308"/>
      <c r="N75" s="1308"/>
      <c r="O75" s="1308"/>
      <c r="P75" s="1308"/>
      <c r="Q75" s="1308"/>
    </row>
    <row r="76" spans="1:17">
      <c r="A76" s="1308"/>
      <c r="B76" s="1425"/>
      <c r="C76" s="1308"/>
      <c r="D76" s="1308"/>
      <c r="E76" s="1308"/>
      <c r="F76" s="1308"/>
      <c r="G76" s="1308"/>
      <c r="H76" s="1308"/>
      <c r="I76" s="1308"/>
      <c r="J76" s="1308"/>
      <c r="K76" s="1308"/>
      <c r="L76" s="1308"/>
      <c r="M76" s="1308"/>
      <c r="N76" s="1308"/>
      <c r="O76" s="1308"/>
      <c r="P76" s="1308"/>
      <c r="Q76" s="1308"/>
    </row>
    <row r="77" spans="1:17">
      <c r="A77" s="1308"/>
      <c r="B77" s="1425"/>
      <c r="C77" s="1308"/>
      <c r="D77" s="1308"/>
      <c r="E77" s="1308"/>
      <c r="F77" s="1308"/>
      <c r="G77" s="1308"/>
      <c r="H77" s="1308"/>
      <c r="I77" s="1308"/>
      <c r="J77" s="1308"/>
      <c r="K77" s="1308"/>
      <c r="L77" s="1308"/>
      <c r="M77" s="1308"/>
      <c r="N77" s="1308"/>
      <c r="O77" s="1308"/>
      <c r="P77" s="1308"/>
      <c r="Q77" s="1308"/>
    </row>
    <row r="78" spans="1:17">
      <c r="A78" s="1308"/>
      <c r="B78" s="1425"/>
      <c r="C78" s="1308"/>
      <c r="D78" s="1308"/>
      <c r="E78" s="1308"/>
      <c r="F78" s="1308"/>
      <c r="G78" s="1308"/>
      <c r="H78" s="1308"/>
      <c r="I78" s="1308"/>
      <c r="J78" s="1308"/>
      <c r="K78" s="1308"/>
      <c r="L78" s="1308"/>
      <c r="M78" s="1308"/>
      <c r="N78" s="1308"/>
      <c r="O78" s="1308"/>
      <c r="P78" s="1308"/>
      <c r="Q78" s="1308"/>
    </row>
    <row r="79" spans="1:17">
      <c r="A79" s="1425"/>
      <c r="B79" s="1425"/>
      <c r="C79" s="1308"/>
      <c r="D79" s="1308"/>
      <c r="E79" s="1308"/>
      <c r="F79" s="1308"/>
      <c r="G79" s="1308"/>
      <c r="H79" s="1308"/>
      <c r="I79" s="1308"/>
      <c r="J79" s="1308"/>
      <c r="K79" s="1308"/>
      <c r="L79" s="1308"/>
      <c r="M79" s="1308"/>
      <c r="N79" s="1308"/>
      <c r="O79" s="1308"/>
      <c r="P79" s="1308"/>
      <c r="Q79" s="1308"/>
    </row>
    <row r="80" spans="1:17">
      <c r="A80" s="1425"/>
      <c r="B80" s="1425"/>
      <c r="C80" s="1308"/>
      <c r="D80" s="1308"/>
      <c r="E80" s="1308"/>
      <c r="F80" s="1308"/>
      <c r="G80" s="1308"/>
      <c r="H80" s="1308"/>
      <c r="I80" s="1308"/>
      <c r="J80" s="1308"/>
      <c r="K80" s="1308"/>
      <c r="L80" s="1308"/>
      <c r="M80" s="1308"/>
      <c r="N80" s="1308"/>
      <c r="O80" s="1308"/>
      <c r="P80" s="1308"/>
      <c r="Q80" s="1308"/>
    </row>
    <row r="81" spans="1:17">
      <c r="A81" s="1425"/>
      <c r="B81" s="1425"/>
      <c r="C81" s="1308"/>
      <c r="D81" s="1308"/>
      <c r="E81" s="1308"/>
      <c r="F81" s="1308"/>
      <c r="G81" s="1308"/>
      <c r="H81" s="1308"/>
      <c r="I81" s="1308"/>
      <c r="J81" s="1308"/>
      <c r="K81" s="1308"/>
      <c r="L81" s="1308"/>
      <c r="M81" s="1308"/>
      <c r="N81" s="1308"/>
      <c r="O81" s="1308"/>
      <c r="P81" s="1308"/>
      <c r="Q81" s="1308"/>
    </row>
    <row r="82" spans="1:17">
      <c r="A82" s="1425"/>
      <c r="B82" s="1425"/>
      <c r="C82" s="1308"/>
      <c r="D82" s="1308"/>
      <c r="E82" s="1308"/>
      <c r="F82" s="1308"/>
      <c r="G82" s="1308"/>
      <c r="H82" s="1308"/>
      <c r="I82" s="1308"/>
      <c r="J82" s="1308"/>
      <c r="K82" s="1308"/>
      <c r="L82" s="1308"/>
      <c r="M82" s="1308"/>
      <c r="N82" s="1308"/>
      <c r="O82" s="1308"/>
      <c r="P82" s="1308"/>
      <c r="Q82" s="1308"/>
    </row>
    <row r="83" spans="1:17">
      <c r="A83" s="1425"/>
      <c r="B83" s="1425"/>
      <c r="C83" s="1308"/>
      <c r="D83" s="1308"/>
      <c r="E83" s="1308"/>
      <c r="F83" s="1308"/>
      <c r="G83" s="1308"/>
      <c r="H83" s="1308"/>
      <c r="I83" s="1308"/>
      <c r="J83" s="1308"/>
      <c r="K83" s="1308"/>
      <c r="L83" s="1308"/>
      <c r="M83" s="1308"/>
      <c r="N83" s="1308"/>
      <c r="O83" s="1308"/>
      <c r="P83" s="1308"/>
      <c r="Q83" s="1308"/>
    </row>
    <row r="84" spans="1:17">
      <c r="A84" s="1425"/>
      <c r="B84" s="1425"/>
      <c r="C84" s="1308"/>
      <c r="D84" s="1308"/>
      <c r="E84" s="1308"/>
      <c r="F84" s="1308"/>
      <c r="G84" s="1308"/>
      <c r="H84" s="1308"/>
      <c r="I84" s="1308"/>
      <c r="J84" s="1308"/>
      <c r="K84" s="1308"/>
      <c r="L84" s="1308"/>
      <c r="M84" s="1308"/>
      <c r="N84" s="1308"/>
      <c r="O84" s="1308"/>
      <c r="P84" s="1308"/>
      <c r="Q84" s="1308"/>
    </row>
    <row r="85" spans="1:17" ht="16">
      <c r="A85" s="1307"/>
      <c r="B85" s="1425"/>
      <c r="C85" s="1308"/>
      <c r="D85" s="1308"/>
      <c r="E85" s="1308"/>
      <c r="F85" s="1308"/>
      <c r="G85" s="1308"/>
      <c r="H85" s="1308"/>
      <c r="I85" s="1308"/>
      <c r="J85" s="1308"/>
      <c r="K85" s="1308"/>
      <c r="L85" s="1308"/>
      <c r="M85" s="1308"/>
      <c r="N85" s="1308"/>
      <c r="O85" s="1308"/>
      <c r="P85" s="1308"/>
      <c r="Q85" s="1308"/>
    </row>
    <row r="86" spans="1:17">
      <c r="A86" s="1425"/>
      <c r="B86" s="1425"/>
      <c r="C86" s="1308"/>
      <c r="D86" s="1308"/>
      <c r="E86" s="1308"/>
      <c r="F86" s="1308"/>
      <c r="G86" s="1308"/>
      <c r="H86" s="1308"/>
      <c r="I86" s="1308"/>
      <c r="J86" s="1308"/>
      <c r="K86" s="1308"/>
      <c r="L86" s="1308"/>
      <c r="M86" s="1308"/>
      <c r="N86" s="1308"/>
      <c r="O86" s="1308"/>
      <c r="P86" s="1308"/>
      <c r="Q86" s="1308"/>
    </row>
    <row r="87" spans="1:17">
      <c r="A87" s="1308"/>
      <c r="B87" s="1425"/>
      <c r="C87" s="1308"/>
      <c r="D87" s="1308"/>
      <c r="E87" s="1308"/>
      <c r="F87" s="1308"/>
      <c r="G87" s="1308"/>
      <c r="H87" s="1308"/>
      <c r="I87" s="1308"/>
      <c r="J87" s="1308"/>
      <c r="K87" s="1308"/>
      <c r="L87" s="1308"/>
      <c r="M87" s="1308"/>
      <c r="N87" s="1308"/>
      <c r="O87" s="1308"/>
      <c r="P87" s="1308"/>
      <c r="Q87" s="1308"/>
    </row>
    <row r="88" spans="1:17">
      <c r="A88" s="1425"/>
      <c r="B88" s="1425"/>
      <c r="C88" s="1308"/>
      <c r="D88" s="1308"/>
      <c r="E88" s="1308"/>
      <c r="F88" s="1308"/>
      <c r="G88" s="1308"/>
      <c r="H88" s="1308"/>
      <c r="I88" s="1308"/>
      <c r="J88" s="1308"/>
      <c r="K88" s="1308"/>
      <c r="L88" s="1308"/>
      <c r="M88" s="1308"/>
      <c r="N88" s="1308"/>
      <c r="O88" s="1308"/>
      <c r="P88" s="1308"/>
      <c r="Q88" s="1308"/>
    </row>
    <row r="89" spans="1:17">
      <c r="A89" s="1425"/>
      <c r="B89" s="1425"/>
      <c r="C89" s="1308"/>
      <c r="D89" s="1308"/>
      <c r="E89" s="1308"/>
      <c r="F89" s="1308"/>
      <c r="G89" s="1308"/>
      <c r="H89" s="1308"/>
      <c r="I89" s="1308"/>
      <c r="J89" s="1308"/>
      <c r="K89" s="1308"/>
      <c r="L89" s="1308"/>
      <c r="M89" s="1308"/>
      <c r="N89" s="1308"/>
      <c r="O89" s="1308"/>
      <c r="P89" s="1308"/>
      <c r="Q89" s="1308"/>
    </row>
    <row r="90" spans="1:17">
      <c r="A90" s="1425"/>
      <c r="B90" s="1425"/>
      <c r="C90" s="1308"/>
      <c r="D90" s="1308"/>
      <c r="E90" s="1308"/>
      <c r="F90" s="1308"/>
      <c r="G90" s="1308"/>
      <c r="H90" s="1308"/>
      <c r="I90" s="1308"/>
      <c r="J90" s="1308"/>
      <c r="K90" s="1308"/>
      <c r="L90" s="1308"/>
      <c r="M90" s="1308"/>
      <c r="N90" s="1308"/>
      <c r="O90" s="1308"/>
      <c r="P90" s="1308"/>
      <c r="Q90" s="1308"/>
    </row>
    <row r="91" spans="1:17">
      <c r="A91" s="1425"/>
      <c r="B91" s="1425"/>
      <c r="C91" s="1308"/>
      <c r="D91" s="1308"/>
      <c r="E91" s="1308"/>
      <c r="F91" s="1308"/>
      <c r="G91" s="1308"/>
      <c r="H91" s="1308"/>
      <c r="I91" s="1308"/>
      <c r="J91" s="1308"/>
      <c r="K91" s="1308"/>
      <c r="L91" s="1308"/>
      <c r="M91" s="1308"/>
      <c r="N91" s="1308"/>
      <c r="O91" s="1308"/>
      <c r="P91" s="1308"/>
      <c r="Q91" s="1308"/>
    </row>
    <row r="92" spans="1:17">
      <c r="A92" s="1308"/>
      <c r="B92" s="1308"/>
      <c r="C92" s="1308"/>
      <c r="D92" s="1308"/>
      <c r="E92" s="1308"/>
      <c r="F92" s="1308"/>
      <c r="G92" s="1308"/>
      <c r="H92" s="1308"/>
      <c r="I92" s="1308"/>
      <c r="J92" s="1308"/>
      <c r="K92" s="1308"/>
      <c r="L92" s="1308"/>
      <c r="M92" s="1308"/>
      <c r="N92" s="1308"/>
      <c r="O92" s="1308"/>
      <c r="P92" s="1308"/>
      <c r="Q92" s="1308"/>
    </row>
    <row r="93" spans="1:17">
      <c r="A93" s="1308"/>
      <c r="B93" s="1308"/>
      <c r="C93" s="1308"/>
      <c r="D93" s="1308"/>
      <c r="E93" s="1308"/>
      <c r="F93" s="1308"/>
      <c r="G93" s="1308"/>
      <c r="H93" s="1308"/>
      <c r="I93" s="1308"/>
      <c r="J93" s="1308"/>
      <c r="K93" s="1308"/>
      <c r="L93" s="1308"/>
      <c r="M93" s="1308"/>
      <c r="N93" s="1308"/>
      <c r="O93" s="1308"/>
      <c r="P93" s="1308"/>
      <c r="Q93" s="1308"/>
    </row>
    <row r="94" spans="1:17">
      <c r="A94" s="1308"/>
      <c r="B94" s="1308"/>
      <c r="C94" s="1308"/>
      <c r="D94" s="1308"/>
      <c r="E94" s="1308"/>
      <c r="F94" s="1308"/>
      <c r="G94" s="1308"/>
      <c r="H94" s="1308"/>
      <c r="I94" s="1308"/>
      <c r="J94" s="1308"/>
      <c r="K94" s="1308"/>
      <c r="L94" s="1308"/>
      <c r="M94" s="1308"/>
      <c r="N94" s="1308"/>
      <c r="O94" s="1308"/>
      <c r="P94" s="1308"/>
      <c r="Q94" s="1308"/>
    </row>
    <row r="95" spans="1:17">
      <c r="A95" s="1308"/>
      <c r="B95" s="1308"/>
      <c r="C95" s="1308"/>
      <c r="D95" s="1308"/>
      <c r="E95" s="1308"/>
      <c r="F95" s="1308"/>
      <c r="G95" s="1308"/>
      <c r="H95" s="1308"/>
      <c r="I95" s="1308"/>
      <c r="J95" s="1308"/>
      <c r="K95" s="1308"/>
      <c r="L95" s="1308"/>
      <c r="M95" s="1308"/>
      <c r="N95" s="1308"/>
      <c r="O95" s="1308"/>
      <c r="P95" s="1308"/>
      <c r="Q95" s="1308"/>
    </row>
    <row r="96" spans="1:17">
      <c r="A96" s="1308"/>
      <c r="B96" s="1308"/>
      <c r="C96" s="1308"/>
      <c r="D96" s="1308"/>
      <c r="E96" s="1308"/>
      <c r="F96" s="1308"/>
      <c r="G96" s="1308"/>
      <c r="H96" s="1308"/>
      <c r="I96" s="1308"/>
      <c r="J96" s="1308"/>
      <c r="K96" s="1308"/>
      <c r="L96" s="1308"/>
      <c r="M96" s="1308"/>
      <c r="N96" s="1308"/>
      <c r="O96" s="1308"/>
      <c r="P96" s="1308"/>
      <c r="Q96" s="1308"/>
    </row>
    <row r="97" spans="1:17">
      <c r="A97" s="1308"/>
      <c r="B97" s="1308"/>
      <c r="C97" s="1308"/>
      <c r="D97" s="1308"/>
      <c r="E97" s="1308"/>
      <c r="F97" s="1308"/>
      <c r="G97" s="1308"/>
      <c r="H97" s="1308"/>
      <c r="I97" s="1308"/>
      <c r="J97" s="1308"/>
      <c r="K97" s="1308"/>
      <c r="L97" s="1308"/>
      <c r="M97" s="1308"/>
      <c r="N97" s="1308"/>
      <c r="O97" s="1308"/>
      <c r="P97" s="1308"/>
      <c r="Q97" s="1308"/>
    </row>
    <row r="98" spans="1:17">
      <c r="A98" s="1308"/>
      <c r="B98" s="1308"/>
      <c r="C98" s="1308"/>
      <c r="D98" s="1308"/>
      <c r="E98" s="1308"/>
      <c r="F98" s="1308"/>
      <c r="G98" s="1308"/>
      <c r="H98" s="1308"/>
      <c r="I98" s="1308"/>
      <c r="J98" s="1308"/>
      <c r="K98" s="1308"/>
      <c r="L98" s="1308"/>
      <c r="M98" s="1308"/>
      <c r="N98" s="1308"/>
      <c r="O98" s="1308"/>
      <c r="P98" s="1308"/>
      <c r="Q98" s="1308"/>
    </row>
    <row r="99" spans="1:17">
      <c r="A99" s="1308"/>
      <c r="B99" s="1308"/>
      <c r="C99" s="1308"/>
      <c r="D99" s="1308"/>
      <c r="E99" s="1308"/>
      <c r="F99" s="1308"/>
      <c r="G99" s="1308"/>
      <c r="H99" s="1308"/>
      <c r="I99" s="1308"/>
      <c r="J99" s="1308"/>
      <c r="K99" s="1308"/>
      <c r="L99" s="1308"/>
      <c r="M99" s="1308"/>
      <c r="N99" s="1308"/>
      <c r="O99" s="1308"/>
      <c r="P99" s="1308"/>
      <c r="Q99" s="1308"/>
    </row>
    <row r="100" spans="1:17">
      <c r="A100" s="1308"/>
      <c r="B100" s="1308"/>
      <c r="C100" s="1308"/>
      <c r="D100" s="1308"/>
      <c r="E100" s="1308"/>
      <c r="F100" s="1308"/>
      <c r="G100" s="1308"/>
      <c r="H100" s="1308"/>
      <c r="I100" s="1308"/>
      <c r="J100" s="1308"/>
      <c r="K100" s="1308"/>
      <c r="L100" s="1308"/>
      <c r="M100" s="1308"/>
      <c r="N100" s="1308"/>
      <c r="O100" s="1308"/>
      <c r="P100" s="1308"/>
      <c r="Q100" s="1308"/>
    </row>
    <row r="101" spans="1:17">
      <c r="A101" s="1308"/>
      <c r="B101" s="1308"/>
      <c r="C101" s="1308"/>
      <c r="D101" s="1308"/>
      <c r="E101" s="1308"/>
      <c r="F101" s="1308"/>
      <c r="G101" s="1308"/>
      <c r="H101" s="1308"/>
      <c r="I101" s="1308"/>
      <c r="J101" s="1308"/>
      <c r="K101" s="1308"/>
      <c r="L101" s="1308"/>
      <c r="M101" s="1308"/>
      <c r="N101" s="1308"/>
      <c r="O101" s="1308"/>
      <c r="P101" s="1308"/>
      <c r="Q101" s="1308"/>
    </row>
    <row r="102" spans="1:17">
      <c r="A102" s="1308"/>
      <c r="B102" s="1308"/>
      <c r="C102" s="1308"/>
      <c r="D102" s="1308"/>
      <c r="E102" s="1308"/>
      <c r="F102" s="1308"/>
      <c r="G102" s="1308"/>
      <c r="H102" s="1308"/>
      <c r="I102" s="1308"/>
      <c r="J102" s="1308"/>
      <c r="K102" s="1308"/>
      <c r="L102" s="1308"/>
      <c r="M102" s="1308"/>
      <c r="N102" s="1308"/>
      <c r="O102" s="1308"/>
      <c r="P102" s="1308"/>
      <c r="Q102" s="1308"/>
    </row>
    <row r="103" spans="1:17">
      <c r="A103" s="1308"/>
      <c r="B103" s="1308"/>
      <c r="C103" s="1308"/>
      <c r="D103" s="1308"/>
      <c r="E103" s="1308"/>
      <c r="F103" s="1308"/>
      <c r="G103" s="1308"/>
      <c r="H103" s="1308"/>
      <c r="I103" s="1308"/>
      <c r="J103" s="1308"/>
      <c r="K103" s="1308"/>
      <c r="L103" s="1308"/>
      <c r="M103" s="1308"/>
      <c r="N103" s="1308"/>
      <c r="O103" s="1308"/>
      <c r="P103" s="1308"/>
      <c r="Q103" s="1308"/>
    </row>
    <row r="104" spans="1:17">
      <c r="A104" s="1308"/>
      <c r="B104" s="1308"/>
      <c r="C104" s="1308"/>
      <c r="D104" s="1308"/>
      <c r="E104" s="1308"/>
      <c r="F104" s="1308"/>
      <c r="G104" s="1308"/>
      <c r="H104" s="1308"/>
      <c r="I104" s="1308"/>
      <c r="J104" s="1308"/>
      <c r="K104" s="1308"/>
      <c r="L104" s="1308"/>
      <c r="M104" s="1308"/>
      <c r="N104" s="1308"/>
      <c r="O104" s="1308"/>
      <c r="P104" s="1308"/>
      <c r="Q104" s="1308"/>
    </row>
    <row r="105" spans="1:17">
      <c r="A105" s="1308"/>
      <c r="B105" s="1308"/>
      <c r="C105" s="1308"/>
      <c r="D105" s="1308"/>
      <c r="E105" s="1308"/>
      <c r="F105" s="1308"/>
      <c r="G105" s="1308"/>
      <c r="H105" s="1308"/>
      <c r="I105" s="1308"/>
      <c r="J105" s="1308"/>
      <c r="K105" s="1308"/>
      <c r="L105" s="1308"/>
      <c r="M105" s="1308"/>
      <c r="N105" s="1308"/>
      <c r="O105" s="1308"/>
      <c r="P105" s="1308"/>
      <c r="Q105" s="1308"/>
    </row>
    <row r="106" spans="1:17">
      <c r="A106" s="1308"/>
      <c r="B106" s="1308"/>
      <c r="C106" s="1308"/>
      <c r="D106" s="1308"/>
      <c r="E106" s="1308"/>
      <c r="F106" s="1308"/>
      <c r="G106" s="1308"/>
      <c r="H106" s="1308"/>
      <c r="I106" s="1308"/>
      <c r="J106" s="1308"/>
      <c r="K106" s="1308"/>
      <c r="L106" s="1308"/>
      <c r="M106" s="1308"/>
      <c r="N106" s="1308"/>
      <c r="O106" s="1308"/>
      <c r="P106" s="1308"/>
      <c r="Q106" s="1308"/>
    </row>
    <row r="107" spans="1:17">
      <c r="A107" s="1308"/>
      <c r="B107" s="1308"/>
      <c r="C107" s="1308"/>
      <c r="D107" s="1308"/>
      <c r="E107" s="1308"/>
      <c r="F107" s="1308"/>
      <c r="G107" s="1308"/>
      <c r="H107" s="1308"/>
      <c r="I107" s="1308"/>
      <c r="J107" s="1308"/>
      <c r="K107" s="1308"/>
      <c r="L107" s="1308"/>
      <c r="M107" s="1308"/>
      <c r="N107" s="1308"/>
      <c r="O107" s="1308"/>
      <c r="P107" s="1308"/>
      <c r="Q107" s="1308"/>
    </row>
    <row r="108" spans="1:17">
      <c r="A108" s="1308"/>
      <c r="B108" s="1308"/>
      <c r="C108" s="1308"/>
      <c r="D108" s="1308"/>
      <c r="E108" s="1308"/>
      <c r="F108" s="1308"/>
      <c r="G108" s="1308"/>
      <c r="H108" s="1308"/>
      <c r="I108" s="1308"/>
      <c r="J108" s="1308"/>
      <c r="K108" s="1308"/>
      <c r="L108" s="1308"/>
      <c r="M108" s="1308"/>
      <c r="N108" s="1308"/>
      <c r="O108" s="1308"/>
      <c r="P108" s="1308"/>
      <c r="Q108" s="1308"/>
    </row>
    <row r="109" spans="1:17">
      <c r="A109" s="1308"/>
      <c r="B109" s="1308"/>
      <c r="C109" s="1308"/>
      <c r="D109" s="1308"/>
      <c r="E109" s="1308"/>
      <c r="F109" s="1308"/>
      <c r="G109" s="1308"/>
      <c r="H109" s="1308"/>
      <c r="I109" s="1308"/>
      <c r="J109" s="1308"/>
      <c r="K109" s="1308"/>
      <c r="L109" s="1308"/>
      <c r="M109" s="1308"/>
      <c r="N109" s="1308"/>
      <c r="O109" s="1308"/>
      <c r="P109" s="1308"/>
      <c r="Q109" s="1308"/>
    </row>
    <row r="110" spans="1:17">
      <c r="A110" s="1308"/>
      <c r="B110" s="1308"/>
      <c r="C110" s="1308"/>
      <c r="D110" s="1308"/>
      <c r="E110" s="1308"/>
      <c r="F110" s="1308"/>
      <c r="G110" s="1308"/>
      <c r="H110" s="1308"/>
      <c r="I110" s="1308"/>
      <c r="J110" s="1308"/>
      <c r="K110" s="1308"/>
      <c r="L110" s="1308"/>
      <c r="M110" s="1308"/>
      <c r="N110" s="1308"/>
      <c r="O110" s="1308"/>
      <c r="P110" s="1308"/>
      <c r="Q110" s="1308"/>
    </row>
    <row r="111" spans="1:17">
      <c r="A111" s="1308"/>
      <c r="B111" s="1308"/>
      <c r="C111" s="1308"/>
      <c r="D111" s="1308"/>
      <c r="E111" s="1308"/>
      <c r="F111" s="1308"/>
      <c r="G111" s="1308"/>
      <c r="H111" s="1308"/>
      <c r="I111" s="1308"/>
      <c r="J111" s="1308"/>
      <c r="K111" s="1308"/>
      <c r="L111" s="1308"/>
      <c r="M111" s="1308"/>
      <c r="N111" s="1308"/>
      <c r="O111" s="1308"/>
      <c r="P111" s="1308"/>
      <c r="Q111" s="1308"/>
    </row>
    <row r="112" spans="1:17">
      <c r="A112" s="1308"/>
      <c r="B112" s="1308"/>
      <c r="C112" s="1308"/>
      <c r="D112" s="1308"/>
      <c r="E112" s="1308"/>
      <c r="F112" s="1308"/>
      <c r="G112" s="1308"/>
      <c r="H112" s="1308"/>
      <c r="I112" s="1308"/>
      <c r="J112" s="1308"/>
      <c r="K112" s="1308"/>
      <c r="L112" s="1308"/>
      <c r="M112" s="1308"/>
      <c r="N112" s="1308"/>
      <c r="O112" s="1308"/>
      <c r="P112" s="1308"/>
      <c r="Q112" s="1308"/>
    </row>
    <row r="113" spans="1:17">
      <c r="A113" s="1308"/>
      <c r="B113" s="1308"/>
      <c r="C113" s="1308"/>
      <c r="D113" s="1308"/>
      <c r="E113" s="1308"/>
      <c r="F113" s="1308"/>
      <c r="G113" s="1308"/>
      <c r="H113" s="1308"/>
      <c r="I113" s="1308"/>
      <c r="J113" s="1308"/>
      <c r="K113" s="1308"/>
      <c r="L113" s="1308"/>
      <c r="M113" s="1308"/>
      <c r="N113" s="1308"/>
      <c r="O113" s="1308"/>
      <c r="P113" s="1308"/>
      <c r="Q113" s="1308"/>
    </row>
    <row r="114" spans="1:17">
      <c r="A114" s="1308"/>
      <c r="B114" s="1308"/>
      <c r="C114" s="1308"/>
      <c r="D114" s="1308"/>
      <c r="E114" s="1308"/>
      <c r="F114" s="1308"/>
      <c r="G114" s="1308"/>
      <c r="H114" s="1308"/>
      <c r="I114" s="1308"/>
      <c r="J114" s="1308"/>
      <c r="K114" s="1308"/>
      <c r="L114" s="1308"/>
      <c r="M114" s="1308"/>
      <c r="N114" s="1308"/>
      <c r="O114" s="1308"/>
      <c r="P114" s="1308"/>
      <c r="Q114" s="1308"/>
    </row>
  </sheetData>
  <phoneticPr fontId="88" type="noConversion"/>
  <pageMargins left="0.35" right="0.23" top="0.59055118110236227" bottom="0.35433070866141736" header="0.23622047244094491" footer="0.19685039370078741"/>
  <pageSetup paperSize="9" scale="74" orientation="landscape" cellComments="asDisplayed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FFF6-DAFD-CB4E-AA3B-34D3DE71D908}">
  <sheetPr>
    <pageSetUpPr fitToPage="1"/>
  </sheetPr>
  <dimension ref="A1:AI86"/>
  <sheetViews>
    <sheetView zoomScale="75" workbookViewId="0">
      <selection activeCell="B2" sqref="B2"/>
    </sheetView>
  </sheetViews>
  <sheetFormatPr baseColWidth="10" defaultColWidth="10.19921875" defaultRowHeight="13"/>
  <cols>
    <col min="1" max="1" width="3.796875" style="1430" customWidth="1"/>
    <col min="2" max="2" width="45" style="1430" customWidth="1"/>
    <col min="3" max="3" width="0.3984375" style="1430" customWidth="1"/>
    <col min="4" max="11" width="9.796875" style="1430" customWidth="1"/>
    <col min="12" max="12" width="10.3984375" style="1430" customWidth="1"/>
    <col min="13" max="13" width="9.796875" style="1430" customWidth="1"/>
    <col min="14" max="14" width="3.19921875" style="1430" customWidth="1"/>
    <col min="15" max="15" width="11" style="1430" customWidth="1"/>
    <col min="16" max="16" width="11.3984375" style="1430" customWidth="1"/>
    <col min="17" max="17" width="3.19921875" style="1430" customWidth="1"/>
    <col min="18" max="18" width="11.796875" style="1430" customWidth="1"/>
    <col min="19" max="16384" width="10.19921875" style="1430"/>
  </cols>
  <sheetData>
    <row r="1" spans="1:35" ht="18">
      <c r="A1" s="1428" t="s">
        <v>2365</v>
      </c>
      <c r="B1" s="1429"/>
      <c r="C1" s="1429"/>
      <c r="D1" s="1429"/>
      <c r="E1" s="1429"/>
      <c r="F1" s="1429"/>
      <c r="G1" s="1429"/>
      <c r="H1" s="1429"/>
      <c r="I1" s="1429"/>
      <c r="J1" s="1429"/>
      <c r="K1" s="1429"/>
      <c r="L1" s="1429"/>
      <c r="M1" s="1429"/>
      <c r="N1" s="1429"/>
      <c r="O1" s="1429"/>
      <c r="P1" s="1429"/>
      <c r="Q1" s="1429"/>
      <c r="V1" s="1431"/>
      <c r="AB1" s="1431"/>
    </row>
    <row r="2" spans="1:35" ht="14" thickBot="1">
      <c r="A2" s="1432"/>
      <c r="B2" s="1432"/>
      <c r="C2" s="1432"/>
      <c r="D2" s="1432"/>
      <c r="E2" s="1432"/>
      <c r="F2" s="1432"/>
      <c r="G2" s="1432"/>
      <c r="H2" s="1432"/>
      <c r="I2" s="1432"/>
      <c r="J2" s="1432"/>
      <c r="K2" s="1432"/>
      <c r="L2" s="1432"/>
      <c r="M2" s="1432"/>
      <c r="N2" s="1432"/>
      <c r="O2" s="1432"/>
      <c r="P2" s="1432"/>
      <c r="Q2" s="1432"/>
      <c r="R2" s="1433"/>
    </row>
    <row r="3" spans="1:35" s="1442" customFormat="1" ht="10.5" customHeight="1">
      <c r="A3" s="1434"/>
      <c r="B3" s="1434"/>
      <c r="C3" s="1435"/>
      <c r="D3" s="1434"/>
      <c r="E3" s="1435"/>
      <c r="F3" s="1434"/>
      <c r="G3" s="1435"/>
      <c r="H3" s="1434"/>
      <c r="I3" s="1435"/>
      <c r="J3" s="1434"/>
      <c r="K3" s="1435"/>
      <c r="L3" s="1434"/>
      <c r="M3" s="1435"/>
      <c r="N3" s="1436"/>
      <c r="O3" s="1437"/>
      <c r="P3" s="1438"/>
      <c r="Q3" s="1439"/>
      <c r="R3" s="1435"/>
      <c r="S3" s="1430"/>
      <c r="T3" s="1440"/>
      <c r="U3" s="1440"/>
      <c r="V3" s="1440"/>
      <c r="W3" s="1440"/>
      <c r="X3" s="1441"/>
      <c r="Y3" s="1441"/>
      <c r="Z3" s="1441"/>
      <c r="AA3" s="1441"/>
      <c r="AD3" s="1443"/>
      <c r="AE3" s="1443"/>
      <c r="AF3" s="1443"/>
      <c r="AG3" s="1443"/>
    </row>
    <row r="4" spans="1:35" ht="13.5" customHeight="1">
      <c r="A4" s="1444" t="s">
        <v>2238</v>
      </c>
      <c r="B4" s="1445"/>
      <c r="C4" s="1446">
        <v>1996</v>
      </c>
      <c r="D4" s="1447">
        <v>1997</v>
      </c>
      <c r="E4" s="1446">
        <v>1998</v>
      </c>
      <c r="F4" s="1447">
        <v>1999</v>
      </c>
      <c r="G4" s="1446">
        <v>2000</v>
      </c>
      <c r="H4" s="1447">
        <v>2001</v>
      </c>
      <c r="I4" s="1446">
        <v>2002</v>
      </c>
      <c r="J4" s="1447">
        <v>2003</v>
      </c>
      <c r="K4" s="1446">
        <v>2004</v>
      </c>
      <c r="L4" s="1447">
        <v>2005</v>
      </c>
      <c r="M4" s="1446">
        <v>2006</v>
      </c>
      <c r="N4" s="1448"/>
      <c r="O4" s="1437" t="s">
        <v>1801</v>
      </c>
      <c r="P4" s="1438" t="s">
        <v>2239</v>
      </c>
      <c r="Q4" s="1439"/>
      <c r="R4" s="1449" t="s">
        <v>2240</v>
      </c>
      <c r="T4" s="1440"/>
      <c r="U4" s="1440"/>
      <c r="V4" s="1440"/>
      <c r="W4" s="1440"/>
      <c r="X4" s="1450"/>
      <c r="Y4" s="1450"/>
      <c r="Z4" s="1450"/>
      <c r="AA4" s="1450"/>
      <c r="AD4" s="1443"/>
      <c r="AE4" s="1443"/>
      <c r="AF4" s="1443"/>
      <c r="AG4" s="1443"/>
    </row>
    <row r="5" spans="1:35" ht="15.75" customHeight="1">
      <c r="A5" s="1444" t="s">
        <v>2241</v>
      </c>
      <c r="B5" s="1451"/>
      <c r="C5" s="1452"/>
      <c r="D5" s="1453"/>
      <c r="E5" s="1452"/>
      <c r="F5" s="1453"/>
      <c r="G5" s="1452"/>
      <c r="H5" s="1453"/>
      <c r="I5" s="1452"/>
      <c r="J5" s="1453"/>
      <c r="K5" s="1452"/>
      <c r="L5" s="1453"/>
      <c r="M5" s="1452"/>
      <c r="N5" s="1454"/>
      <c r="O5" s="1437" t="s">
        <v>2440</v>
      </c>
      <c r="P5" s="1438" t="s">
        <v>2242</v>
      </c>
      <c r="Q5" s="1439"/>
      <c r="R5" s="1449" t="s">
        <v>2366</v>
      </c>
      <c r="T5" s="1440"/>
      <c r="U5" s="1440"/>
      <c r="V5" s="1440"/>
      <c r="W5" s="1440"/>
      <c r="X5" s="1450"/>
      <c r="Y5" s="1450"/>
      <c r="Z5" s="1450"/>
      <c r="AA5" s="1450"/>
      <c r="AD5" s="1443"/>
      <c r="AE5" s="1443"/>
      <c r="AF5" s="1443"/>
      <c r="AG5" s="1443"/>
    </row>
    <row r="6" spans="1:35" ht="14.25" customHeight="1">
      <c r="A6" s="1455"/>
      <c r="B6" s="1455"/>
      <c r="C6" s="1456"/>
      <c r="D6" s="1457"/>
      <c r="E6" s="1456"/>
      <c r="F6" s="1457"/>
      <c r="G6" s="1456"/>
      <c r="H6" s="1457"/>
      <c r="I6" s="1456"/>
      <c r="J6" s="1457"/>
      <c r="K6" s="1456"/>
      <c r="L6" s="1457"/>
      <c r="M6" s="1456"/>
      <c r="N6" s="1458"/>
      <c r="O6" s="1459"/>
      <c r="P6" s="1460" t="s">
        <v>545</v>
      </c>
      <c r="Q6" s="1461"/>
      <c r="R6" s="1456"/>
      <c r="T6" s="1440"/>
      <c r="U6" s="1440"/>
      <c r="V6" s="1440"/>
      <c r="W6" s="1440"/>
      <c r="X6" s="1462"/>
      <c r="Y6" s="1462"/>
      <c r="Z6" s="1462"/>
      <c r="AA6" s="1462"/>
      <c r="AD6" s="1462"/>
      <c r="AE6" s="1462"/>
      <c r="AF6" s="1462"/>
      <c r="AG6" s="1462"/>
    </row>
    <row r="7" spans="1:35">
      <c r="A7" s="1463"/>
      <c r="B7" s="1464"/>
      <c r="C7" s="1465"/>
      <c r="D7" s="1464"/>
      <c r="E7" s="1465"/>
      <c r="F7" s="1464"/>
      <c r="G7" s="1465"/>
      <c r="H7" s="1464"/>
      <c r="I7" s="1465"/>
      <c r="J7" s="1464"/>
      <c r="K7" s="1465"/>
      <c r="L7" s="1464"/>
      <c r="M7" s="1465"/>
      <c r="N7" s="1466"/>
      <c r="O7" s="1465"/>
      <c r="P7" s="1467" t="s">
        <v>2441</v>
      </c>
      <c r="Q7" s="1468"/>
      <c r="R7" s="1465"/>
      <c r="T7" s="1440"/>
      <c r="U7" s="1440"/>
      <c r="V7" s="1440"/>
      <c r="W7" s="1440"/>
      <c r="X7" s="1450"/>
      <c r="Y7" s="1450"/>
      <c r="Z7" s="1450"/>
      <c r="AA7" s="1450"/>
      <c r="AD7" s="1443"/>
      <c r="AE7" s="1443"/>
      <c r="AF7" s="1443"/>
      <c r="AG7" s="1443"/>
    </row>
    <row r="8" spans="1:35" ht="18" customHeight="1" thickBot="1">
      <c r="A8" s="1469" t="s">
        <v>2347</v>
      </c>
      <c r="B8" s="1470"/>
      <c r="C8" s="1471">
        <v>5976.68608119694</v>
      </c>
      <c r="D8" s="1472">
        <v>5920.5324887865727</v>
      </c>
      <c r="E8" s="1471">
        <v>5989.0401962979158</v>
      </c>
      <c r="F8" s="1472">
        <v>6272.8466257392192</v>
      </c>
      <c r="G8" s="1471">
        <v>6460.9578237170608</v>
      </c>
      <c r="H8" s="1472">
        <v>7635.1420777467765</v>
      </c>
      <c r="I8" s="1471">
        <v>8429.5101560943567</v>
      </c>
      <c r="J8" s="1472">
        <v>8778.10319716105</v>
      </c>
      <c r="K8" s="1471">
        <v>8632.7243530636424</v>
      </c>
      <c r="L8" s="1472">
        <v>8704.8174529394601</v>
      </c>
      <c r="M8" s="1471">
        <v>8536.5423231378227</v>
      </c>
      <c r="N8" s="1473"/>
      <c r="O8" s="1474">
        <v>-1.9331264637239887E-2</v>
      </c>
      <c r="P8" s="1475">
        <v>4.1496738706241709E-2</v>
      </c>
      <c r="Q8" s="1476"/>
      <c r="R8" s="1477">
        <v>8812.7999999999993</v>
      </c>
      <c r="T8" s="1440"/>
      <c r="U8" s="1440"/>
      <c r="V8" s="1440"/>
      <c r="W8" s="1440"/>
      <c r="AD8" s="1443"/>
      <c r="AE8" s="1443"/>
      <c r="AF8" s="1443"/>
      <c r="AG8" s="1443"/>
    </row>
    <row r="9" spans="1:35" s="1487" customFormat="1" ht="14" thickBot="1">
      <c r="A9" s="1478"/>
      <c r="B9" s="1479"/>
      <c r="C9" s="1480"/>
      <c r="D9" s="1481"/>
      <c r="E9" s="1480"/>
      <c r="F9" s="1481"/>
      <c r="G9" s="1480"/>
      <c r="H9" s="1481"/>
      <c r="I9" s="1480"/>
      <c r="J9" s="1481"/>
      <c r="K9" s="1480"/>
      <c r="L9" s="1481"/>
      <c r="M9" s="1480"/>
      <c r="N9" s="1482"/>
      <c r="O9" s="1483"/>
      <c r="P9" s="1484"/>
      <c r="Q9" s="1485"/>
      <c r="R9" s="1486"/>
    </row>
    <row r="10" spans="1:35" s="1487" customFormat="1" ht="16.5" customHeight="1" thickBot="1">
      <c r="A10" s="1488" t="s">
        <v>2348</v>
      </c>
      <c r="B10" s="1478"/>
      <c r="C10" s="1489">
        <v>2694.5104040117299</v>
      </c>
      <c r="D10" s="1490">
        <v>2815.7448411451096</v>
      </c>
      <c r="E10" s="1489">
        <v>2973.2056398412365</v>
      </c>
      <c r="F10" s="1490">
        <v>3109.7236465190003</v>
      </c>
      <c r="G10" s="1489">
        <v>3228.4015641373426</v>
      </c>
      <c r="H10" s="1490">
        <v>3420.9561673120697</v>
      </c>
      <c r="I10" s="1489">
        <v>3447.3545767100568</v>
      </c>
      <c r="J10" s="1490">
        <v>3663.0755838507671</v>
      </c>
      <c r="K10" s="1489">
        <v>3771.1797269619269</v>
      </c>
      <c r="L10" s="1490">
        <v>3968.7366137610011</v>
      </c>
      <c r="M10" s="1489">
        <v>4049.5170354256738</v>
      </c>
      <c r="N10" s="1491"/>
      <c r="O10" s="1492">
        <v>2.0354190647113857E-2</v>
      </c>
      <c r="P10" s="1493">
        <v>4.1200665494678823E-2</v>
      </c>
      <c r="Q10" s="1494"/>
      <c r="R10" s="1495">
        <v>4131.941677193463</v>
      </c>
    </row>
    <row r="11" spans="1:35" ht="14" thickBot="1">
      <c r="A11" s="1478"/>
      <c r="B11" s="1496"/>
      <c r="C11" s="1480"/>
      <c r="D11" s="1481"/>
      <c r="E11" s="1480"/>
      <c r="F11" s="1481"/>
      <c r="G11" s="1480"/>
      <c r="H11" s="1481"/>
      <c r="I11" s="1480"/>
      <c r="J11" s="1481"/>
      <c r="K11" s="1480"/>
      <c r="L11" s="1481"/>
      <c r="M11" s="1480"/>
      <c r="N11" s="1482"/>
      <c r="O11" s="1483"/>
      <c r="P11" s="1484"/>
      <c r="Q11" s="1485"/>
      <c r="R11" s="1486"/>
    </row>
    <row r="12" spans="1:35" s="1487" customFormat="1" ht="14" thickBot="1">
      <c r="A12" s="1488" t="s">
        <v>2248</v>
      </c>
      <c r="B12" s="1478"/>
      <c r="C12" s="1489">
        <v>944.7</v>
      </c>
      <c r="D12" s="1490">
        <v>937.8</v>
      </c>
      <c r="E12" s="1489">
        <v>1007</v>
      </c>
      <c r="F12" s="1490">
        <v>1143.9000000000001</v>
      </c>
      <c r="G12" s="1489">
        <v>1192.9000000000001</v>
      </c>
      <c r="H12" s="1490">
        <v>1166</v>
      </c>
      <c r="I12" s="1489">
        <v>1214.2</v>
      </c>
      <c r="J12" s="1490">
        <v>1307.4000000000001</v>
      </c>
      <c r="K12" s="1489">
        <v>1524.9</v>
      </c>
      <c r="L12" s="1490">
        <v>1662.8002309999999</v>
      </c>
      <c r="M12" s="1489">
        <v>1703.226242</v>
      </c>
      <c r="N12" s="1491"/>
      <c r="O12" s="1492">
        <v>2.431200708679726E-2</v>
      </c>
      <c r="P12" s="1493">
        <v>6.8552316498617927E-2</v>
      </c>
      <c r="Q12" s="1494"/>
      <c r="R12" s="1495">
        <v>1820.3955168871255</v>
      </c>
    </row>
    <row r="13" spans="1:35" s="1487" customFormat="1" ht="15.75" customHeight="1" thickBot="1">
      <c r="A13" s="1497" t="s">
        <v>2367</v>
      </c>
      <c r="B13" s="1478"/>
      <c r="C13" s="1498">
        <v>293</v>
      </c>
      <c r="D13" s="1499">
        <v>237.5</v>
      </c>
      <c r="E13" s="1498">
        <v>264.39999999999998</v>
      </c>
      <c r="F13" s="1499">
        <v>277.10000000000002</v>
      </c>
      <c r="G13" s="1498">
        <v>317</v>
      </c>
      <c r="H13" s="1499">
        <v>315</v>
      </c>
      <c r="I13" s="1498">
        <v>343.8</v>
      </c>
      <c r="J13" s="1499">
        <v>375.1</v>
      </c>
      <c r="K13" s="1498">
        <v>421.4</v>
      </c>
      <c r="L13" s="1499">
        <v>447.8</v>
      </c>
      <c r="M13" s="1498">
        <v>476.1</v>
      </c>
      <c r="N13" s="1500"/>
      <c r="O13" s="1501">
        <v>6.3197856185797319E-2</v>
      </c>
      <c r="P13" s="1502">
        <v>8.0337363380794446E-2</v>
      </c>
      <c r="Q13" s="1503"/>
      <c r="R13" s="1504">
        <v>514.34861870559621</v>
      </c>
      <c r="S13" s="1505"/>
      <c r="T13" s="1505"/>
      <c r="U13" s="1505"/>
      <c r="V13" s="1505"/>
      <c r="W13" s="1505"/>
      <c r="X13" s="1505"/>
      <c r="Y13" s="1505"/>
      <c r="Z13" s="1505"/>
      <c r="AA13" s="1505"/>
      <c r="AB13" s="1505"/>
      <c r="AC13" s="1505"/>
      <c r="AD13" s="1505"/>
      <c r="AE13" s="1505"/>
      <c r="AF13" s="1505"/>
      <c r="AG13" s="1505"/>
      <c r="AH13" s="1505"/>
      <c r="AI13" s="1505"/>
    </row>
    <row r="14" spans="1:35" ht="15" customHeight="1" thickBot="1">
      <c r="A14" s="1497" t="s">
        <v>2368</v>
      </c>
      <c r="B14" s="1478"/>
      <c r="C14" s="1498">
        <v>203.5</v>
      </c>
      <c r="D14" s="1499">
        <v>228.6</v>
      </c>
      <c r="E14" s="1498">
        <v>266.2</v>
      </c>
      <c r="F14" s="1499">
        <v>375.1</v>
      </c>
      <c r="G14" s="1498">
        <v>378.5</v>
      </c>
      <c r="H14" s="1499">
        <v>314.89999999999998</v>
      </c>
      <c r="I14" s="1498">
        <v>319.7</v>
      </c>
      <c r="J14" s="1499">
        <v>367.7</v>
      </c>
      <c r="K14" s="1498">
        <v>381.7</v>
      </c>
      <c r="L14" s="1499">
        <v>412.4</v>
      </c>
      <c r="M14" s="1498">
        <v>405.9</v>
      </c>
      <c r="N14" s="1500"/>
      <c r="O14" s="1501">
        <v>-1.5761396702230868E-2</v>
      </c>
      <c r="P14" s="1502">
        <v>6.587127533752124E-2</v>
      </c>
      <c r="Q14" s="1503"/>
      <c r="R14" s="1504">
        <v>432.63715065949987</v>
      </c>
      <c r="S14" s="1505"/>
      <c r="T14" s="1505"/>
      <c r="U14" s="1505"/>
      <c r="V14" s="1505"/>
      <c r="W14" s="1505"/>
      <c r="X14" s="1505"/>
      <c r="Y14" s="1505"/>
      <c r="Z14" s="1505"/>
      <c r="AA14" s="1505"/>
      <c r="AB14" s="1505"/>
      <c r="AC14" s="1505"/>
      <c r="AD14" s="1505"/>
      <c r="AE14" s="1505"/>
      <c r="AF14" s="1505"/>
      <c r="AG14" s="1505"/>
      <c r="AH14" s="1505"/>
      <c r="AI14" s="1505"/>
    </row>
    <row r="15" spans="1:35" ht="15" customHeight="1" thickBot="1">
      <c r="A15" s="1497" t="s">
        <v>2369</v>
      </c>
      <c r="B15" s="1478"/>
      <c r="C15" s="1498">
        <v>448.2</v>
      </c>
      <c r="D15" s="1499">
        <v>471.7</v>
      </c>
      <c r="E15" s="1498">
        <v>476.4</v>
      </c>
      <c r="F15" s="1499">
        <v>491.7</v>
      </c>
      <c r="G15" s="1498">
        <v>497.4</v>
      </c>
      <c r="H15" s="1499">
        <v>536.1</v>
      </c>
      <c r="I15" s="1498">
        <v>550.70000000000005</v>
      </c>
      <c r="J15" s="1499">
        <v>564.6</v>
      </c>
      <c r="K15" s="1498">
        <v>721.8</v>
      </c>
      <c r="L15" s="1499">
        <v>802.60023099999989</v>
      </c>
      <c r="M15" s="1498">
        <v>821.22624199999996</v>
      </c>
      <c r="N15" s="1500"/>
      <c r="O15" s="1501">
        <v>2.3207084025870461E-2</v>
      </c>
      <c r="P15" s="1502">
        <v>6.354339748683957E-2</v>
      </c>
      <c r="Q15" s="1503"/>
      <c r="R15" s="1504">
        <v>873.40974752202942</v>
      </c>
      <c r="S15" s="1505"/>
      <c r="T15" s="1505"/>
      <c r="U15" s="1505"/>
      <c r="V15" s="1505"/>
      <c r="W15" s="1505"/>
      <c r="X15" s="1505"/>
      <c r="Y15" s="1505"/>
      <c r="Z15" s="1505"/>
      <c r="AA15" s="1505"/>
      <c r="AB15" s="1505"/>
      <c r="AC15" s="1505"/>
      <c r="AD15" s="1505"/>
      <c r="AE15" s="1505"/>
      <c r="AF15" s="1505"/>
      <c r="AG15" s="1505"/>
      <c r="AH15" s="1505"/>
      <c r="AI15" s="1505"/>
    </row>
    <row r="16" spans="1:35" s="1487" customFormat="1" ht="14" thickBot="1">
      <c r="A16" s="1506"/>
      <c r="B16" s="1506"/>
      <c r="C16" s="1507"/>
      <c r="D16" s="1508"/>
      <c r="E16" s="1507"/>
      <c r="F16" s="1508"/>
      <c r="G16" s="1507"/>
      <c r="H16" s="1508"/>
      <c r="I16" s="1507"/>
      <c r="J16" s="1508"/>
      <c r="K16" s="1507"/>
      <c r="L16" s="1508"/>
      <c r="M16" s="1507"/>
      <c r="N16" s="1509"/>
      <c r="O16" s="1510"/>
      <c r="P16" s="1511"/>
      <c r="Q16" s="1512"/>
      <c r="R16" s="1513"/>
    </row>
    <row r="17" spans="1:18" s="1515" customFormat="1" ht="16.5" customHeight="1" thickBot="1">
      <c r="A17" s="1514" t="s">
        <v>2370</v>
      </c>
      <c r="B17" s="1514"/>
      <c r="C17" s="1489">
        <v>16873.599999999999</v>
      </c>
      <c r="D17" s="1490">
        <v>17009.099999999999</v>
      </c>
      <c r="E17" s="1489">
        <v>17841.5</v>
      </c>
      <c r="F17" s="1490">
        <v>18231.2</v>
      </c>
      <c r="G17" s="1489">
        <v>19316.223118000002</v>
      </c>
      <c r="H17" s="1490">
        <v>20344.518999999997</v>
      </c>
      <c r="I17" s="1489">
        <v>20951.55</v>
      </c>
      <c r="J17" s="1490">
        <v>21678.133227000002</v>
      </c>
      <c r="K17" s="1489">
        <v>22971.142229620003</v>
      </c>
      <c r="L17" s="1490">
        <v>24341.551358520002</v>
      </c>
      <c r="M17" s="1489">
        <v>24619.755745440005</v>
      </c>
      <c r="N17" s="1491"/>
      <c r="O17" s="1492">
        <v>1.1429197047567285E-2</v>
      </c>
      <c r="P17" s="1493">
        <v>4.1944800330069087E-2</v>
      </c>
      <c r="Q17" s="1494"/>
      <c r="R17" s="1489">
        <v>25832.508284429998</v>
      </c>
    </row>
    <row r="18" spans="1:18" ht="14" thickBot="1">
      <c r="A18" s="1478"/>
      <c r="B18" s="1497" t="s">
        <v>2250</v>
      </c>
      <c r="C18" s="1498">
        <v>12459</v>
      </c>
      <c r="D18" s="1499">
        <v>13138.5</v>
      </c>
      <c r="E18" s="1498">
        <v>14024.1</v>
      </c>
      <c r="F18" s="1499">
        <v>14620.5</v>
      </c>
      <c r="G18" s="1498">
        <v>15478.308999999999</v>
      </c>
      <c r="H18" s="1499">
        <v>16386.458999999999</v>
      </c>
      <c r="I18" s="1498">
        <v>17095.580000000002</v>
      </c>
      <c r="J18" s="1499">
        <v>17924.119704000001</v>
      </c>
      <c r="K18" s="1498">
        <v>19139.808546</v>
      </c>
      <c r="L18" s="1499">
        <v>20347.706646750001</v>
      </c>
      <c r="M18" s="1498">
        <v>20602.626921510004</v>
      </c>
      <c r="N18" s="1500"/>
      <c r="O18" s="1501">
        <v>1.2528206700911815E-2</v>
      </c>
      <c r="P18" s="1502">
        <v>5.1256114332236535E-2</v>
      </c>
      <c r="Q18" s="1503"/>
      <c r="R18" s="1498">
        <v>21578.68886531</v>
      </c>
    </row>
    <row r="19" spans="1:18" ht="15" customHeight="1" thickBot="1">
      <c r="A19" s="1478"/>
      <c r="B19" s="1496" t="s">
        <v>2371</v>
      </c>
      <c r="C19" s="1516">
        <v>1678.5</v>
      </c>
      <c r="D19" s="1517">
        <v>1778</v>
      </c>
      <c r="E19" s="1516">
        <v>2097.1999999999998</v>
      </c>
      <c r="F19" s="1517">
        <v>2189.9</v>
      </c>
      <c r="G19" s="1516">
        <v>2288</v>
      </c>
      <c r="H19" s="1517">
        <v>2400.1999999999998</v>
      </c>
      <c r="I19" s="1516">
        <v>2502.83</v>
      </c>
      <c r="J19" s="1517">
        <v>2588.5</v>
      </c>
      <c r="K19" s="1516">
        <v>2832.3</v>
      </c>
      <c r="L19" s="1517">
        <v>2994.9866096700002</v>
      </c>
      <c r="M19" s="1516">
        <v>3038.7113187199998</v>
      </c>
      <c r="N19" s="1518"/>
      <c r="O19" s="1519">
        <v>1.4599300347061472E-2</v>
      </c>
      <c r="P19" s="1520">
        <v>6.1358164850872976E-2</v>
      </c>
      <c r="Q19" s="1521"/>
      <c r="R19" s="1516">
        <v>3155.0668707</v>
      </c>
    </row>
    <row r="20" spans="1:18" s="1487" customFormat="1" ht="16.5" customHeight="1" thickBot="1">
      <c r="A20" s="1478"/>
      <c r="B20" s="1496" t="s">
        <v>2372</v>
      </c>
      <c r="C20" s="1522">
        <v>1815.57</v>
      </c>
      <c r="D20" s="1523">
        <v>2087.14</v>
      </c>
      <c r="E20" s="1522">
        <v>2263.1999999999998</v>
      </c>
      <c r="F20" s="1523">
        <v>2476.6</v>
      </c>
      <c r="G20" s="1522">
        <v>2532.8000000000002</v>
      </c>
      <c r="H20" s="1523">
        <v>2671.6</v>
      </c>
      <c r="I20" s="1522">
        <v>2848.4</v>
      </c>
      <c r="J20" s="1523">
        <v>2961.1</v>
      </c>
      <c r="K20" s="1522">
        <v>3025.3</v>
      </c>
      <c r="L20" s="1523">
        <v>3119.6250399999999</v>
      </c>
      <c r="M20" s="1522">
        <v>3230.0145429999998</v>
      </c>
      <c r="N20" s="1524"/>
      <c r="O20" s="1525">
        <v>3.5385503573211352E-2</v>
      </c>
      <c r="P20" s="1526">
        <v>4.9717757619953229E-2</v>
      </c>
      <c r="Q20" s="1527"/>
      <c r="R20" s="1522">
        <v>3432.186134</v>
      </c>
    </row>
    <row r="21" spans="1:18" ht="17.25" customHeight="1" thickBot="1">
      <c r="A21" s="1478"/>
      <c r="B21" s="1497" t="s">
        <v>2373</v>
      </c>
      <c r="C21" s="1498">
        <v>3901.9</v>
      </c>
      <c r="D21" s="1499">
        <v>3394.7</v>
      </c>
      <c r="E21" s="1498">
        <v>3357.3</v>
      </c>
      <c r="F21" s="1499">
        <v>2846.8</v>
      </c>
      <c r="G21" s="1498">
        <v>2254.1563019999999</v>
      </c>
      <c r="H21" s="1499">
        <v>1604.76</v>
      </c>
      <c r="I21" s="1498">
        <v>1460.47</v>
      </c>
      <c r="J21" s="1499">
        <v>1393.5729260000001</v>
      </c>
      <c r="K21" s="1498">
        <v>1076.3591796200001</v>
      </c>
      <c r="L21" s="1499">
        <v>1181.10792477</v>
      </c>
      <c r="M21" s="1498">
        <v>1126.0691719299998</v>
      </c>
      <c r="N21" s="1500"/>
      <c r="O21" s="1501">
        <v>-4.6599257938869543E-2</v>
      </c>
      <c r="P21" s="1502">
        <v>-0.11539066354295691</v>
      </c>
      <c r="Q21" s="1503"/>
      <c r="R21" s="1498">
        <v>1216.0416881200003</v>
      </c>
    </row>
    <row r="22" spans="1:18" ht="15" customHeight="1" thickBot="1">
      <c r="A22" s="1478"/>
      <c r="B22" s="1496" t="s">
        <v>2374</v>
      </c>
      <c r="C22" s="1516">
        <v>92.3</v>
      </c>
      <c r="D22" s="1517">
        <v>106.4</v>
      </c>
      <c r="E22" s="1516">
        <v>57.8</v>
      </c>
      <c r="F22" s="1517">
        <v>59.7</v>
      </c>
      <c r="G22" s="1516">
        <v>55.1</v>
      </c>
      <c r="H22" s="1517">
        <v>28.1</v>
      </c>
      <c r="I22" s="1516">
        <v>38.17</v>
      </c>
      <c r="J22" s="1517">
        <v>39</v>
      </c>
      <c r="K22" s="1516">
        <v>35.9</v>
      </c>
      <c r="L22" s="1517">
        <v>36.691305870000001</v>
      </c>
      <c r="M22" s="1516">
        <v>42.792587509999997</v>
      </c>
      <c r="N22" s="1518"/>
      <c r="O22" s="1519">
        <v>0.16628684903222823</v>
      </c>
      <c r="P22" s="1520">
        <v>-9.6251820427311507E-2</v>
      </c>
      <c r="Q22" s="1521"/>
      <c r="R22" s="1516">
        <v>45.914382520000004</v>
      </c>
    </row>
    <row r="23" spans="1:18" ht="16.5" customHeight="1" thickBot="1">
      <c r="A23" s="1478"/>
      <c r="B23" s="1497" t="s">
        <v>2375</v>
      </c>
      <c r="C23" s="1498">
        <v>512.70000000000005</v>
      </c>
      <c r="D23" s="1499">
        <v>475.9</v>
      </c>
      <c r="E23" s="1498">
        <v>460.1</v>
      </c>
      <c r="F23" s="1499">
        <v>763.9</v>
      </c>
      <c r="G23" s="1498">
        <v>1583.757816</v>
      </c>
      <c r="H23" s="1499">
        <v>2353.3000000000002</v>
      </c>
      <c r="I23" s="1498">
        <v>2395.5</v>
      </c>
      <c r="J23" s="1499">
        <v>2360.4405969999998</v>
      </c>
      <c r="K23" s="1498">
        <v>2754.9745040000003</v>
      </c>
      <c r="L23" s="1499">
        <v>2812.7367870000003</v>
      </c>
      <c r="M23" s="1498">
        <v>2891.0596519999999</v>
      </c>
      <c r="N23" s="1528"/>
      <c r="O23" s="1529">
        <v>2.7845785415114177E-2</v>
      </c>
      <c r="P23" s="1530">
        <v>0.22196889107606554</v>
      </c>
      <c r="Q23" s="1531"/>
      <c r="R23" s="1498">
        <v>3037.7777310000001</v>
      </c>
    </row>
    <row r="24" spans="1:18" ht="13.5" customHeight="1" thickBot="1">
      <c r="A24" s="1478"/>
      <c r="B24" s="1496"/>
      <c r="C24" s="1522"/>
      <c r="D24" s="1523"/>
      <c r="E24" s="1522"/>
      <c r="F24" s="1523"/>
      <c r="G24" s="1522"/>
      <c r="H24" s="1523"/>
      <c r="I24" s="1522"/>
      <c r="J24" s="1523"/>
      <c r="K24" s="1522"/>
      <c r="L24" s="1523"/>
      <c r="M24" s="1522"/>
      <c r="N24" s="1524"/>
      <c r="O24" s="1525"/>
      <c r="P24" s="1526"/>
      <c r="Q24" s="1527"/>
      <c r="R24" s="1522"/>
    </row>
    <row r="25" spans="1:18" ht="17.25" customHeight="1" thickBot="1">
      <c r="A25" s="1488" t="s">
        <v>2376</v>
      </c>
      <c r="B25" s="1496"/>
      <c r="C25" s="1489">
        <v>1533.4</v>
      </c>
      <c r="D25" s="1490">
        <v>1599</v>
      </c>
      <c r="E25" s="1489">
        <v>1702.4</v>
      </c>
      <c r="F25" s="1490">
        <v>1632.5</v>
      </c>
      <c r="G25" s="1489">
        <v>1632.6768820000002</v>
      </c>
      <c r="H25" s="1490">
        <v>1670.33</v>
      </c>
      <c r="I25" s="1489">
        <v>1688.25</v>
      </c>
      <c r="J25" s="1490">
        <v>1731.4787729999994</v>
      </c>
      <c r="K25" s="1489">
        <v>1788.6097703800008</v>
      </c>
      <c r="L25" s="1490">
        <v>1637.5543728499972</v>
      </c>
      <c r="M25" s="1489">
        <v>1898.1885889306407</v>
      </c>
      <c r="N25" s="1524"/>
      <c r="O25" s="1492">
        <v>0.15916064858783052</v>
      </c>
      <c r="P25" s="1493">
        <v>1.924072020907186E-2</v>
      </c>
      <c r="Q25" s="1527"/>
      <c r="R25" s="1495">
        <v>1987.8892217036473</v>
      </c>
    </row>
    <row r="26" spans="1:18" ht="13.5" customHeight="1" thickBot="1">
      <c r="A26" s="1478"/>
      <c r="B26" s="1497" t="s">
        <v>2362</v>
      </c>
      <c r="C26" s="1498">
        <v>72.599999999999739</v>
      </c>
      <c r="D26" s="1499">
        <v>80.999999999998636</v>
      </c>
      <c r="E26" s="1498">
        <v>106.80000000000098</v>
      </c>
      <c r="F26" s="1499">
        <v>50.400000000001</v>
      </c>
      <c r="G26" s="1498">
        <v>32.676882000000205</v>
      </c>
      <c r="H26" s="1499">
        <v>42.130000000000337</v>
      </c>
      <c r="I26" s="1498">
        <v>72.150000000000091</v>
      </c>
      <c r="J26" s="1499">
        <v>58.37477299999955</v>
      </c>
      <c r="K26" s="1498">
        <v>57.557770380000875</v>
      </c>
      <c r="L26" s="1499">
        <v>-94.35827220000283</v>
      </c>
      <c r="M26" s="1498">
        <v>59.529167040640459</v>
      </c>
      <c r="N26" s="1500"/>
      <c r="O26" s="1501">
        <v>-1.6308844540355909</v>
      </c>
      <c r="P26" s="1502">
        <v>-3.3641414039936146E-2</v>
      </c>
      <c r="Q26" s="1503"/>
      <c r="R26" s="1504">
        <v>55.9</v>
      </c>
    </row>
    <row r="27" spans="1:18" ht="13.5" customHeight="1" thickBot="1">
      <c r="A27" s="1478"/>
      <c r="B27" s="1497" t="s">
        <v>2363</v>
      </c>
      <c r="C27" s="1498">
        <v>1460.8</v>
      </c>
      <c r="D27" s="1499">
        <v>1518</v>
      </c>
      <c r="E27" s="1498">
        <v>1595.6</v>
      </c>
      <c r="F27" s="1499">
        <v>1582.1</v>
      </c>
      <c r="G27" s="1498">
        <v>1600</v>
      </c>
      <c r="H27" s="1499">
        <v>1628.2</v>
      </c>
      <c r="I27" s="1498">
        <v>1616.1</v>
      </c>
      <c r="J27" s="1499">
        <v>1673.1039999999998</v>
      </c>
      <c r="K27" s="1498">
        <v>1731.0519999999999</v>
      </c>
      <c r="L27" s="1499">
        <v>1731.91264505</v>
      </c>
      <c r="M27" s="1498">
        <v>1838.6594218900002</v>
      </c>
      <c r="N27" s="1500"/>
      <c r="O27" s="1501">
        <v>6.1635196870404751E-2</v>
      </c>
      <c r="P27" s="1502">
        <v>2.152200046038355E-2</v>
      </c>
      <c r="Q27" s="1503"/>
      <c r="R27" s="1504">
        <v>1931.9892217036472</v>
      </c>
    </row>
    <row r="28" spans="1:18" ht="13.5" customHeight="1" thickBot="1">
      <c r="A28" s="1478"/>
      <c r="B28" s="1496"/>
      <c r="C28" s="1522"/>
      <c r="D28" s="1523"/>
      <c r="E28" s="1522"/>
      <c r="F28" s="1523"/>
      <c r="G28" s="1522"/>
      <c r="H28" s="1523"/>
      <c r="I28" s="1522"/>
      <c r="J28" s="1523"/>
      <c r="K28" s="1522"/>
      <c r="L28" s="1523"/>
      <c r="M28" s="1522"/>
      <c r="N28" s="1524"/>
      <c r="O28" s="1525"/>
      <c r="P28" s="1526"/>
      <c r="Q28" s="1527"/>
      <c r="R28" s="1522"/>
    </row>
    <row r="29" spans="1:18" ht="16.5" customHeight="1" thickBot="1">
      <c r="A29" s="1488" t="s">
        <v>2377</v>
      </c>
      <c r="B29" s="1478"/>
      <c r="C29" s="1489">
        <v>9085.3793747272994</v>
      </c>
      <c r="D29" s="1490">
        <v>9560.2825838810586</v>
      </c>
      <c r="E29" s="1489">
        <v>9926.5847325363065</v>
      </c>
      <c r="F29" s="1490">
        <v>10325.572601594233</v>
      </c>
      <c r="G29" s="1489">
        <v>10591.609459022906</v>
      </c>
      <c r="H29" s="1490">
        <v>10893.15847164562</v>
      </c>
      <c r="I29" s="1489">
        <v>11201.456825335847</v>
      </c>
      <c r="J29" s="1490">
        <v>11644.809909615662</v>
      </c>
      <c r="K29" s="1489">
        <v>11858.615486006824</v>
      </c>
      <c r="L29" s="1490">
        <v>11246.614142254475</v>
      </c>
      <c r="M29" s="1489">
        <v>11465.835693471246</v>
      </c>
      <c r="N29" s="1532"/>
      <c r="O29" s="1492">
        <v>1.9492226588723849E-2</v>
      </c>
      <c r="P29" s="1493">
        <v>2.0400244137888324E-2</v>
      </c>
      <c r="Q29" s="1533"/>
      <c r="R29" s="1495">
        <v>11786.965299785759</v>
      </c>
    </row>
    <row r="30" spans="1:18" ht="12.75" customHeight="1" thickBot="1">
      <c r="A30" s="1478"/>
      <c r="B30" s="1478"/>
      <c r="C30" s="1480"/>
      <c r="D30" s="1481"/>
      <c r="E30" s="1480"/>
      <c r="F30" s="1481"/>
      <c r="G30" s="1480"/>
      <c r="H30" s="1481"/>
      <c r="I30" s="1480"/>
      <c r="J30" s="1481"/>
      <c r="K30" s="1480"/>
      <c r="L30" s="1481"/>
      <c r="M30" s="1480"/>
      <c r="N30" s="1482"/>
      <c r="O30" s="1483"/>
      <c r="P30" s="1484"/>
      <c r="Q30" s="1485"/>
      <c r="R30" s="1480"/>
    </row>
    <row r="31" spans="1:18" ht="16.5" customHeight="1" thickBot="1">
      <c r="A31" s="1488" t="s">
        <v>2360</v>
      </c>
      <c r="B31" s="1478"/>
      <c r="C31" s="1489">
        <v>360.34572496402706</v>
      </c>
      <c r="D31" s="1490">
        <v>367.4485025408178</v>
      </c>
      <c r="E31" s="1489">
        <v>375.28251008174271</v>
      </c>
      <c r="F31" s="1490">
        <v>388.70889016736163</v>
      </c>
      <c r="G31" s="1489">
        <v>420.16510495683008</v>
      </c>
      <c r="H31" s="1490">
        <v>442.73533222173643</v>
      </c>
      <c r="I31" s="1489">
        <v>456.31192849787288</v>
      </c>
      <c r="J31" s="1490">
        <v>462.16066224325613</v>
      </c>
      <c r="K31" s="1489">
        <v>460.54510480676197</v>
      </c>
      <c r="L31" s="1490">
        <v>480.96670935903251</v>
      </c>
      <c r="M31" s="1489">
        <v>500.28122327763629</v>
      </c>
      <c r="N31" s="1491"/>
      <c r="O31" s="1492">
        <v>4.0157693958368768E-2</v>
      </c>
      <c r="P31" s="1493">
        <v>3.4882058892528489E-2</v>
      </c>
      <c r="Q31" s="1494"/>
      <c r="R31" s="1495">
        <v>531.70000000000005</v>
      </c>
    </row>
    <row r="32" spans="1:18" ht="12.75" customHeight="1" thickBot="1">
      <c r="A32" s="1488"/>
      <c r="B32" s="1496"/>
      <c r="C32" s="1534"/>
      <c r="D32" s="1535"/>
      <c r="E32" s="1480"/>
      <c r="F32" s="1481"/>
      <c r="G32" s="1480"/>
      <c r="H32" s="1481"/>
      <c r="I32" s="1480"/>
      <c r="J32" s="1481"/>
      <c r="K32" s="1480"/>
      <c r="L32" s="1481"/>
      <c r="M32" s="1480"/>
      <c r="N32" s="1482"/>
      <c r="O32" s="1483"/>
      <c r="P32" s="1484"/>
      <c r="Q32" s="1485"/>
      <c r="R32" s="1536"/>
    </row>
    <row r="33" spans="1:29" ht="17.25" customHeight="1" thickBot="1">
      <c r="A33" s="1537" t="s">
        <v>2361</v>
      </c>
      <c r="B33" s="1538"/>
      <c r="C33" s="1539">
        <v>37468.621584899993</v>
      </c>
      <c r="D33" s="1540">
        <v>38209.908416353559</v>
      </c>
      <c r="E33" s="1539">
        <v>39815.013078757198</v>
      </c>
      <c r="F33" s="1540">
        <v>41104.451764019817</v>
      </c>
      <c r="G33" s="1539">
        <v>42842.933951834144</v>
      </c>
      <c r="H33" s="1540">
        <v>45572.841048926202</v>
      </c>
      <c r="I33" s="1539">
        <v>47388.633486638137</v>
      </c>
      <c r="J33" s="1540">
        <v>49265.161352870738</v>
      </c>
      <c r="K33" s="1539">
        <v>51007.71667083916</v>
      </c>
      <c r="L33" s="1540">
        <v>52043.04088068397</v>
      </c>
      <c r="M33" s="1539">
        <v>52773.346851683025</v>
      </c>
      <c r="N33" s="1541"/>
      <c r="O33" s="1542">
        <v>1.4032730575320951E-2</v>
      </c>
      <c r="P33" s="1543">
        <v>3.6530465271365387E-2</v>
      </c>
      <c r="Q33" s="1544"/>
      <c r="R33" s="1545">
        <v>54904.2</v>
      </c>
    </row>
    <row r="34" spans="1:29" ht="14.25" customHeight="1">
      <c r="A34" s="1546" t="s">
        <v>1623</v>
      </c>
      <c r="B34" s="1546"/>
      <c r="C34" s="1547"/>
      <c r="D34" s="1547"/>
      <c r="E34" s="1547"/>
      <c r="F34" s="1547"/>
      <c r="G34" s="1547"/>
      <c r="H34" s="1547"/>
      <c r="I34" s="1547"/>
      <c r="J34" s="1547"/>
      <c r="K34" s="1547"/>
      <c r="L34" s="1429"/>
      <c r="M34" s="1547"/>
      <c r="N34" s="1429"/>
      <c r="O34" s="1429"/>
      <c r="P34" s="1547"/>
      <c r="Q34" s="1547"/>
    </row>
    <row r="35" spans="1:29">
      <c r="A35" s="1548"/>
      <c r="B35" s="1546"/>
      <c r="C35" s="1429"/>
      <c r="D35" s="1547"/>
      <c r="E35" s="1429"/>
      <c r="F35" s="1429"/>
      <c r="G35" s="1429"/>
      <c r="H35" s="1429"/>
      <c r="I35" s="1429"/>
      <c r="J35" s="1429"/>
      <c r="K35" s="1429"/>
      <c r="L35" s="1429"/>
      <c r="M35" s="1429"/>
      <c r="N35" s="1429"/>
      <c r="O35" s="1429"/>
      <c r="P35" s="1547"/>
      <c r="Q35" s="1429"/>
      <c r="R35" s="1450"/>
      <c r="S35" s="1450"/>
      <c r="T35" s="1450"/>
      <c r="U35" s="1450"/>
      <c r="X35" s="1450"/>
      <c r="Y35" s="1450"/>
      <c r="Z35" s="1450"/>
      <c r="AA35" s="1450"/>
      <c r="AB35" s="1440"/>
      <c r="AC35" s="1549"/>
    </row>
    <row r="36" spans="1:29">
      <c r="A36" s="1546" t="s">
        <v>2364</v>
      </c>
      <c r="B36" s="1546"/>
      <c r="R36" s="1450"/>
      <c r="S36" s="1450"/>
      <c r="T36" s="1450"/>
      <c r="U36" s="1450"/>
    </row>
    <row r="37" spans="1:29">
      <c r="A37" s="1546"/>
      <c r="B37" s="1546"/>
    </row>
    <row r="38" spans="1:29">
      <c r="A38" s="1546"/>
      <c r="B38" s="1546"/>
      <c r="E38" s="1450"/>
      <c r="Q38" s="1450"/>
    </row>
    <row r="39" spans="1:29">
      <c r="A39" s="1546" t="s">
        <v>634</v>
      </c>
      <c r="B39" s="1546"/>
    </row>
    <row r="40" spans="1:29">
      <c r="A40" s="1550"/>
      <c r="B40" s="1550"/>
    </row>
    <row r="41" spans="1:29">
      <c r="A41" s="1550"/>
      <c r="B41" s="1550"/>
    </row>
    <row r="42" spans="1:29">
      <c r="A42" s="1550"/>
      <c r="B42" s="1550"/>
    </row>
    <row r="43" spans="1:29">
      <c r="A43" s="1550"/>
      <c r="B43" s="1550"/>
    </row>
    <row r="44" spans="1:29">
      <c r="A44" s="1550"/>
    </row>
    <row r="45" spans="1:29">
      <c r="A45" s="1550"/>
    </row>
    <row r="48" spans="1:29">
      <c r="B48" s="1550"/>
    </row>
    <row r="49" spans="1:2">
      <c r="B49" s="1550"/>
    </row>
    <row r="50" spans="1:2" ht="16">
      <c r="A50" s="1551"/>
      <c r="B50" s="1550"/>
    </row>
    <row r="51" spans="1:2">
      <c r="A51" s="1550"/>
      <c r="B51" s="1550"/>
    </row>
    <row r="52" spans="1:2">
      <c r="A52" s="1550"/>
      <c r="B52" s="1550"/>
    </row>
    <row r="53" spans="1:2">
      <c r="A53" s="1550"/>
      <c r="B53" s="1550"/>
    </row>
    <row r="54" spans="1:2">
      <c r="A54" s="1550"/>
      <c r="B54" s="1550"/>
    </row>
    <row r="55" spans="1:2">
      <c r="A55" s="1550"/>
      <c r="B55" s="1550"/>
    </row>
    <row r="56" spans="1:2">
      <c r="A56" s="1550"/>
      <c r="B56" s="1550"/>
    </row>
    <row r="57" spans="1:2">
      <c r="A57" s="1550"/>
      <c r="B57" s="1550"/>
    </row>
    <row r="58" spans="1:2">
      <c r="A58" s="1550"/>
      <c r="B58" s="1550"/>
    </row>
    <row r="59" spans="1:2">
      <c r="A59" s="1550"/>
      <c r="B59" s="1550"/>
    </row>
    <row r="60" spans="1:2">
      <c r="B60" s="1550"/>
    </row>
    <row r="61" spans="1:2">
      <c r="A61" s="1550"/>
      <c r="B61" s="1550"/>
    </row>
    <row r="62" spans="1:2">
      <c r="A62" s="1550"/>
      <c r="B62" s="1550"/>
    </row>
    <row r="63" spans="1:2">
      <c r="A63" s="1550"/>
      <c r="B63" s="1550"/>
    </row>
    <row r="64" spans="1:2">
      <c r="A64" s="1550"/>
      <c r="B64" s="1550"/>
    </row>
    <row r="65" spans="1:2">
      <c r="A65" s="1550"/>
      <c r="B65" s="1550"/>
    </row>
    <row r="66" spans="1:2">
      <c r="A66" s="1550"/>
      <c r="B66" s="1550"/>
    </row>
    <row r="67" spans="1:2">
      <c r="A67" s="1550"/>
    </row>
    <row r="71" spans="1:2">
      <c r="B71" s="1550"/>
    </row>
    <row r="72" spans="1:2">
      <c r="B72" s="1550"/>
    </row>
    <row r="73" spans="1:2">
      <c r="B73" s="1550"/>
    </row>
    <row r="74" spans="1:2">
      <c r="A74" s="1550"/>
      <c r="B74" s="1550"/>
    </row>
    <row r="75" spans="1:2">
      <c r="A75" s="1550"/>
      <c r="B75" s="1550"/>
    </row>
    <row r="76" spans="1:2">
      <c r="A76" s="1550"/>
      <c r="B76" s="1550"/>
    </row>
    <row r="77" spans="1:2">
      <c r="A77" s="1550"/>
      <c r="B77" s="1550"/>
    </row>
    <row r="78" spans="1:2">
      <c r="A78" s="1550"/>
      <c r="B78" s="1550"/>
    </row>
    <row r="79" spans="1:2">
      <c r="A79" s="1550"/>
      <c r="B79" s="1550"/>
    </row>
    <row r="80" spans="1:2" ht="16">
      <c r="A80" s="1551"/>
      <c r="B80" s="1550"/>
    </row>
    <row r="81" spans="1:2">
      <c r="A81" s="1550"/>
      <c r="B81" s="1550"/>
    </row>
    <row r="82" spans="1:2">
      <c r="B82" s="1550"/>
    </row>
    <row r="83" spans="1:2">
      <c r="A83" s="1550"/>
      <c r="B83" s="1550"/>
    </row>
    <row r="84" spans="1:2">
      <c r="A84" s="1550"/>
      <c r="B84" s="1550"/>
    </row>
    <row r="85" spans="1:2">
      <c r="A85" s="1550"/>
      <c r="B85" s="1550"/>
    </row>
    <row r="86" spans="1:2">
      <c r="A86" s="1550"/>
      <c r="B86" s="1550"/>
    </row>
  </sheetData>
  <phoneticPr fontId="88" type="noConversion"/>
  <pageMargins left="0.28000000000000003" right="0.35433070866141736" top="0.59055118110236227" bottom="0.35433070866141736" header="0.23622047244094491" footer="0.19685039370078741"/>
  <pageSetup paperSize="9" scale="76" orientation="landscape" cellComments="asDisplayed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FE6-2FFD-8D4E-A9A8-53FAA8FD6924}">
  <dimension ref="A1:T110"/>
  <sheetViews>
    <sheetView topLeftCell="A69" zoomScale="75" workbookViewId="0">
      <selection activeCell="B91" sqref="B91"/>
    </sheetView>
  </sheetViews>
  <sheetFormatPr baseColWidth="10" defaultColWidth="10.19921875" defaultRowHeight="13"/>
  <cols>
    <col min="1" max="1" width="3.796875" style="1554" customWidth="1"/>
    <col min="2" max="2" width="3" style="1554" customWidth="1"/>
    <col min="3" max="3" width="49.3984375" style="1554" customWidth="1"/>
    <col min="4" max="4" width="0.3984375" style="1554" customWidth="1"/>
    <col min="5" max="12" width="10.19921875" style="1554" customWidth="1"/>
    <col min="13" max="13" width="9.19921875" style="1554" customWidth="1"/>
    <col min="14" max="14" width="10.19921875" style="1554" customWidth="1"/>
    <col min="15" max="15" width="2.796875" style="1554" customWidth="1"/>
    <col min="16" max="16" width="10.796875" style="1554" customWidth="1"/>
    <col min="17" max="17" width="10.59765625" style="1554" customWidth="1"/>
    <col min="18" max="18" width="2.796875" style="1554" customWidth="1"/>
    <col min="19" max="19" width="11.19921875" style="1554" customWidth="1"/>
    <col min="20" max="16384" width="10.19921875" style="1554"/>
  </cols>
  <sheetData>
    <row r="1" spans="1:20" ht="16">
      <c r="A1" s="1552"/>
      <c r="B1" s="1553" t="s">
        <v>2378</v>
      </c>
      <c r="C1" s="1552"/>
      <c r="D1" s="1552"/>
      <c r="E1" s="1552"/>
      <c r="F1" s="1552"/>
      <c r="G1" s="1552"/>
      <c r="H1" s="1552"/>
      <c r="I1" s="1552"/>
      <c r="J1" s="1552"/>
      <c r="K1" s="1552"/>
      <c r="L1" s="1552"/>
      <c r="M1" s="1552"/>
      <c r="N1" s="1552"/>
      <c r="O1" s="1552"/>
      <c r="P1" s="1552"/>
      <c r="Q1" s="1552"/>
      <c r="R1" s="1552"/>
    </row>
    <row r="2" spans="1:20" ht="14.25" customHeight="1" thickBot="1">
      <c r="A2" s="1552"/>
      <c r="B2" s="1555"/>
      <c r="C2" s="1555"/>
      <c r="D2" s="1555"/>
      <c r="E2" s="1555"/>
      <c r="F2" s="1555"/>
      <c r="G2" s="1555"/>
      <c r="H2" s="1555"/>
      <c r="I2" s="1555"/>
      <c r="J2" s="1555"/>
      <c r="K2" s="1555"/>
      <c r="L2" s="1555"/>
      <c r="M2" s="1555"/>
      <c r="N2" s="1555"/>
      <c r="O2" s="1555"/>
      <c r="P2" s="1555"/>
      <c r="Q2" s="1555"/>
      <c r="R2" s="1555"/>
    </row>
    <row r="3" spans="1:20" ht="13.5" customHeight="1">
      <c r="A3" s="1552"/>
      <c r="B3" s="1556"/>
      <c r="C3" s="1556"/>
      <c r="D3" s="1557"/>
      <c r="E3" s="1556"/>
      <c r="F3" s="1557"/>
      <c r="G3" s="1556"/>
      <c r="H3" s="1557"/>
      <c r="I3" s="1558"/>
      <c r="J3" s="1559"/>
      <c r="K3" s="1558"/>
      <c r="L3" s="1559"/>
      <c r="M3" s="1558"/>
      <c r="N3" s="1559"/>
      <c r="O3" s="1560"/>
      <c r="P3" s="1559" t="s">
        <v>1801</v>
      </c>
      <c r="Q3" s="1561" t="s">
        <v>2379</v>
      </c>
      <c r="R3" s="1562"/>
      <c r="S3" s="1563" t="s">
        <v>2240</v>
      </c>
    </row>
    <row r="4" spans="1:20" ht="15.75" customHeight="1">
      <c r="A4" s="1552"/>
      <c r="B4" s="1564" t="s">
        <v>2421</v>
      </c>
      <c r="C4" s="1565"/>
      <c r="D4" s="1566">
        <v>1996</v>
      </c>
      <c r="E4" s="1567">
        <v>1997</v>
      </c>
      <c r="F4" s="1566">
        <v>1998</v>
      </c>
      <c r="G4" s="1567">
        <v>1999</v>
      </c>
      <c r="H4" s="1566">
        <v>2000</v>
      </c>
      <c r="I4" s="1567">
        <v>2001</v>
      </c>
      <c r="J4" s="1566">
        <v>2002</v>
      </c>
      <c r="K4" s="1567">
        <v>2003</v>
      </c>
      <c r="L4" s="1566">
        <v>2004</v>
      </c>
      <c r="M4" s="1567">
        <v>2005</v>
      </c>
      <c r="N4" s="1566">
        <v>2006</v>
      </c>
      <c r="O4" s="1568"/>
      <c r="P4" s="1559" t="s">
        <v>2440</v>
      </c>
      <c r="Q4" s="1569" t="s">
        <v>2242</v>
      </c>
      <c r="R4" s="1570"/>
      <c r="S4" s="1571" t="s">
        <v>2422</v>
      </c>
    </row>
    <row r="5" spans="1:20" ht="9.75" customHeight="1">
      <c r="A5" s="1552"/>
      <c r="B5" s="1564"/>
      <c r="C5" s="1565"/>
      <c r="D5" s="1572"/>
      <c r="E5" s="1573"/>
      <c r="F5" s="1572"/>
      <c r="G5" s="1573"/>
      <c r="H5" s="1572"/>
      <c r="I5" s="1574"/>
      <c r="J5" s="1575"/>
      <c r="K5" s="1574"/>
      <c r="L5" s="1575"/>
      <c r="M5" s="1574"/>
      <c r="N5" s="1575"/>
      <c r="O5" s="1576"/>
      <c r="P5" s="1575"/>
      <c r="Q5" s="1569" t="s">
        <v>545</v>
      </c>
      <c r="R5" s="1570"/>
      <c r="S5" s="1572"/>
    </row>
    <row r="6" spans="1:20" ht="9.75" customHeight="1">
      <c r="A6" s="1552"/>
      <c r="B6" s="1577"/>
      <c r="C6" s="1578"/>
      <c r="D6" s="1579"/>
      <c r="E6" s="1580"/>
      <c r="F6" s="1579"/>
      <c r="G6" s="1580"/>
      <c r="H6" s="1579"/>
      <c r="I6" s="1581"/>
      <c r="J6" s="1582"/>
      <c r="K6" s="1581"/>
      <c r="L6" s="1582"/>
      <c r="M6" s="1581"/>
      <c r="N6" s="1582"/>
      <c r="O6" s="1583"/>
      <c r="P6" s="1582"/>
      <c r="Q6" s="1584" t="s">
        <v>2441</v>
      </c>
      <c r="R6" s="1585"/>
      <c r="S6" s="1579"/>
    </row>
    <row r="7" spans="1:20" ht="17.25" customHeight="1" thickBot="1">
      <c r="A7" s="1819" t="s">
        <v>2380</v>
      </c>
      <c r="B7" s="1586" t="s">
        <v>2423</v>
      </c>
      <c r="C7" s="1587"/>
      <c r="D7" s="1588">
        <v>15102.8</v>
      </c>
      <c r="E7" s="1589">
        <v>15124.7</v>
      </c>
      <c r="F7" s="1588">
        <v>15686.5</v>
      </c>
      <c r="G7" s="1589">
        <v>15981.6</v>
      </c>
      <c r="H7" s="1588">
        <v>16973.123118</v>
      </c>
      <c r="I7" s="1589">
        <v>17916.27</v>
      </c>
      <c r="J7" s="1588">
        <v>18410.55</v>
      </c>
      <c r="K7" s="1589">
        <v>19050.633227000002</v>
      </c>
      <c r="L7" s="1588">
        <v>20102.942229619999</v>
      </c>
      <c r="M7" s="1589">
        <v>21309.873442980002</v>
      </c>
      <c r="N7" s="1588">
        <v>21538.251839210003</v>
      </c>
      <c r="O7" s="1590"/>
      <c r="P7" s="1591">
        <v>1.0717022644038066E-2</v>
      </c>
      <c r="Q7" s="1592">
        <v>4.0059503827091003E-2</v>
      </c>
      <c r="R7" s="1593"/>
      <c r="S7" s="1588">
        <v>22631.527031209996</v>
      </c>
    </row>
    <row r="8" spans="1:20" ht="14" thickBot="1">
      <c r="A8" s="1820"/>
      <c r="B8" s="1594"/>
      <c r="C8" s="1595" t="s">
        <v>2250</v>
      </c>
      <c r="D8" s="1596">
        <v>10780.5</v>
      </c>
      <c r="E8" s="1597">
        <v>11360.5</v>
      </c>
      <c r="F8" s="1596">
        <v>11926.9</v>
      </c>
      <c r="G8" s="1597">
        <v>12430.6</v>
      </c>
      <c r="H8" s="1596">
        <v>13190.308999999999</v>
      </c>
      <c r="I8" s="1597">
        <v>13986.27</v>
      </c>
      <c r="J8" s="1596">
        <v>14592.75</v>
      </c>
      <c r="K8" s="1597">
        <v>15335.619704000001</v>
      </c>
      <c r="L8" s="1596">
        <v>16307.508545999999</v>
      </c>
      <c r="M8" s="1597">
        <v>17352.720037080002</v>
      </c>
      <c r="N8" s="1596">
        <v>17563.915602790003</v>
      </c>
      <c r="O8" s="1598"/>
      <c r="P8" s="1599">
        <v>1.2170747021718276E-2</v>
      </c>
      <c r="Q8" s="1600">
        <v>4.960255033110661E-2</v>
      </c>
      <c r="R8" s="1601"/>
      <c r="S8" s="1596">
        <v>18423.621994609999</v>
      </c>
    </row>
    <row r="9" spans="1:20" ht="14" thickBot="1">
      <c r="A9" s="1820"/>
      <c r="B9" s="1594"/>
      <c r="C9" s="1595" t="s">
        <v>2251</v>
      </c>
      <c r="D9" s="1596">
        <v>3809.6</v>
      </c>
      <c r="E9" s="1597">
        <v>3288.3</v>
      </c>
      <c r="F9" s="1596">
        <v>3299.5</v>
      </c>
      <c r="G9" s="1597">
        <v>2787.1</v>
      </c>
      <c r="H9" s="1596">
        <v>2199.056302</v>
      </c>
      <c r="I9" s="1597">
        <v>1576.7</v>
      </c>
      <c r="J9" s="1596">
        <v>1422.3</v>
      </c>
      <c r="K9" s="1597">
        <v>1354.5729260000001</v>
      </c>
      <c r="L9" s="1596">
        <v>1040.45917962</v>
      </c>
      <c r="M9" s="1597">
        <v>1144.4166189</v>
      </c>
      <c r="N9" s="1596">
        <v>1083.2765844199998</v>
      </c>
      <c r="O9" s="1598"/>
      <c r="P9" s="1599">
        <v>-5.3424630043180654E-2</v>
      </c>
      <c r="Q9" s="1600">
        <v>-0.11606840364226556</v>
      </c>
      <c r="R9" s="1601"/>
      <c r="S9" s="1596">
        <v>1170.1273056000002</v>
      </c>
    </row>
    <row r="10" spans="1:20" ht="14" thickBot="1">
      <c r="A10" s="1820"/>
      <c r="B10" s="1594"/>
      <c r="C10" s="1595" t="s">
        <v>2381</v>
      </c>
      <c r="D10" s="1596">
        <v>512.70000000000005</v>
      </c>
      <c r="E10" s="1597">
        <v>475.9</v>
      </c>
      <c r="F10" s="1596">
        <v>460.1</v>
      </c>
      <c r="G10" s="1597">
        <v>763.9</v>
      </c>
      <c r="H10" s="1596">
        <v>1583.757816</v>
      </c>
      <c r="I10" s="1597">
        <v>2353.3000000000002</v>
      </c>
      <c r="J10" s="1596">
        <v>2395.5</v>
      </c>
      <c r="K10" s="1597">
        <v>2360.4405969999998</v>
      </c>
      <c r="L10" s="1596">
        <v>2754.9745040000003</v>
      </c>
      <c r="M10" s="1597">
        <v>2812.7367870000003</v>
      </c>
      <c r="N10" s="1596">
        <v>2891.0596519999999</v>
      </c>
      <c r="O10" s="1598"/>
      <c r="P10" s="1599">
        <v>2.7845785415114177E-2</v>
      </c>
      <c r="Q10" s="1600">
        <v>0.22196889107606554</v>
      </c>
      <c r="R10" s="1601"/>
      <c r="S10" s="1596">
        <v>3037.7777310000001</v>
      </c>
    </row>
    <row r="11" spans="1:20" ht="7.5" customHeight="1" thickBot="1">
      <c r="A11" s="1820"/>
      <c r="B11" s="1594"/>
      <c r="C11" s="1594"/>
      <c r="D11" s="1602"/>
      <c r="E11" s="1603"/>
      <c r="F11" s="1602"/>
      <c r="G11" s="1603"/>
      <c r="H11" s="1602"/>
      <c r="I11" s="1603"/>
      <c r="J11" s="1602"/>
      <c r="K11" s="1603"/>
      <c r="L11" s="1602"/>
      <c r="M11" s="1603"/>
      <c r="N11" s="1602"/>
      <c r="O11" s="1604"/>
      <c r="P11" s="1605"/>
      <c r="Q11" s="1606"/>
      <c r="R11" s="1607"/>
      <c r="S11" s="1608"/>
    </row>
    <row r="12" spans="1:20" ht="16.5" customHeight="1" thickBot="1">
      <c r="A12" s="1820"/>
      <c r="B12" s="1609" t="s">
        <v>2424</v>
      </c>
      <c r="C12" s="1594"/>
      <c r="D12" s="1610">
        <v>72.599999999999739</v>
      </c>
      <c r="E12" s="1611">
        <v>80.999999999998636</v>
      </c>
      <c r="F12" s="1610">
        <v>106.80000000000098</v>
      </c>
      <c r="G12" s="1611">
        <v>50.400000000001</v>
      </c>
      <c r="H12" s="1610">
        <v>32.676882000000205</v>
      </c>
      <c r="I12" s="1611">
        <v>42.130000000000337</v>
      </c>
      <c r="J12" s="1610">
        <v>72.150000000000091</v>
      </c>
      <c r="K12" s="1611">
        <v>58.37477299999955</v>
      </c>
      <c r="L12" s="1610">
        <v>57.557770380000875</v>
      </c>
      <c r="M12" s="1611">
        <v>-94.35827220000283</v>
      </c>
      <c r="N12" s="1610">
        <v>59.529167040640459</v>
      </c>
      <c r="O12" s="1612"/>
      <c r="P12" s="1613">
        <v>1.6308844540355909</v>
      </c>
      <c r="Q12" s="1614">
        <v>-3.3641414039936146E-2</v>
      </c>
      <c r="R12" s="1615"/>
      <c r="S12" s="1616">
        <v>55.9</v>
      </c>
      <c r="T12" s="1615"/>
    </row>
    <row r="13" spans="1:20" ht="9" customHeight="1" thickBot="1">
      <c r="A13" s="1820"/>
      <c r="B13" s="1594"/>
      <c r="C13" s="1594"/>
      <c r="D13" s="1602"/>
      <c r="E13" s="1603"/>
      <c r="F13" s="1602"/>
      <c r="G13" s="1603"/>
      <c r="H13" s="1602"/>
      <c r="I13" s="1603"/>
      <c r="J13" s="1602"/>
      <c r="K13" s="1603"/>
      <c r="L13" s="1602"/>
      <c r="M13" s="1603"/>
      <c r="N13" s="1602"/>
      <c r="O13" s="1604"/>
      <c r="P13" s="1605"/>
      <c r="Q13" s="1606"/>
      <c r="R13" s="1607"/>
      <c r="S13" s="1608"/>
      <c r="T13" s="1617"/>
    </row>
    <row r="14" spans="1:20" ht="16.5" customHeight="1" thickBot="1">
      <c r="A14" s="1820"/>
      <c r="B14" s="1609" t="s">
        <v>2425</v>
      </c>
      <c r="C14" s="1594"/>
      <c r="D14" s="1610">
        <v>15175.4</v>
      </c>
      <c r="E14" s="1611">
        <v>15205.7</v>
      </c>
      <c r="F14" s="1610">
        <v>15793.3</v>
      </c>
      <c r="G14" s="1611">
        <v>16032</v>
      </c>
      <c r="H14" s="1610">
        <v>17005.8</v>
      </c>
      <c r="I14" s="1611">
        <v>17958.400000000001</v>
      </c>
      <c r="J14" s="1610">
        <v>18482.7</v>
      </c>
      <c r="K14" s="1611">
        <v>19109.008000000002</v>
      </c>
      <c r="L14" s="1610">
        <v>20160.5</v>
      </c>
      <c r="M14" s="1611">
        <v>21215.51517078</v>
      </c>
      <c r="N14" s="1610">
        <v>21597.781006250643</v>
      </c>
      <c r="O14" s="1612"/>
      <c r="P14" s="1613">
        <v>1.8018220740504853E-2</v>
      </c>
      <c r="Q14" s="1614">
        <v>3.9761266779976268E-2</v>
      </c>
      <c r="R14" s="1615"/>
      <c r="S14" s="1616">
        <v>22687.427031209998</v>
      </c>
      <c r="T14" s="1615"/>
    </row>
    <row r="15" spans="1:20" ht="8.25" customHeight="1" thickBot="1">
      <c r="A15" s="1820"/>
      <c r="B15" s="1594"/>
      <c r="C15" s="1594"/>
      <c r="D15" s="1602"/>
      <c r="E15" s="1603"/>
      <c r="F15" s="1602"/>
      <c r="G15" s="1603"/>
      <c r="H15" s="1602"/>
      <c r="I15" s="1603"/>
      <c r="J15" s="1602"/>
      <c r="K15" s="1603"/>
      <c r="L15" s="1602"/>
      <c r="M15" s="1603"/>
      <c r="N15" s="1602"/>
      <c r="O15" s="1604"/>
      <c r="P15" s="1605"/>
      <c r="Q15" s="1606"/>
      <c r="R15" s="1607"/>
      <c r="S15" s="1608"/>
      <c r="T15" s="1617"/>
    </row>
    <row r="16" spans="1:20" ht="16.5" customHeight="1" thickBot="1">
      <c r="A16" s="1820"/>
      <c r="B16" s="1609" t="s">
        <v>2426</v>
      </c>
      <c r="C16" s="1594"/>
      <c r="D16" s="1610">
        <v>1460.8</v>
      </c>
      <c r="E16" s="1611">
        <v>1518</v>
      </c>
      <c r="F16" s="1610">
        <v>1595.6</v>
      </c>
      <c r="G16" s="1611">
        <v>1582.1</v>
      </c>
      <c r="H16" s="1610">
        <v>1600</v>
      </c>
      <c r="I16" s="1611">
        <v>1628.2</v>
      </c>
      <c r="J16" s="1610">
        <v>1616.1</v>
      </c>
      <c r="K16" s="1611">
        <v>1673.1039999999998</v>
      </c>
      <c r="L16" s="1610">
        <v>1731.0519999999999</v>
      </c>
      <c r="M16" s="1611">
        <v>1731.91264505</v>
      </c>
      <c r="N16" s="1610">
        <v>1838.6594218900002</v>
      </c>
      <c r="O16" s="1612"/>
      <c r="P16" s="1613">
        <v>6.1635196870404751E-2</v>
      </c>
      <c r="Q16" s="1614">
        <v>2.152200046038355E-2</v>
      </c>
      <c r="R16" s="1615"/>
      <c r="S16" s="1616">
        <v>1931.9892217036472</v>
      </c>
      <c r="T16" s="1615"/>
    </row>
    <row r="17" spans="1:19" ht="8.25" customHeight="1" thickBot="1">
      <c r="A17" s="1820"/>
      <c r="B17" s="1594"/>
      <c r="C17" s="1594"/>
      <c r="D17" s="1618"/>
      <c r="E17" s="1594"/>
      <c r="F17" s="1618"/>
      <c r="G17" s="1594"/>
      <c r="H17" s="1618"/>
      <c r="I17" s="1594"/>
      <c r="J17" s="1618"/>
      <c r="K17" s="1594"/>
      <c r="L17" s="1618"/>
      <c r="M17" s="1594"/>
      <c r="N17" s="1618"/>
      <c r="O17" s="1619"/>
      <c r="P17" s="1605"/>
      <c r="Q17" s="1606"/>
      <c r="R17" s="1607"/>
      <c r="S17" s="1608"/>
    </row>
    <row r="18" spans="1:19" ht="16.5" customHeight="1" thickBot="1">
      <c r="A18" s="1820"/>
      <c r="B18" s="1609" t="s">
        <v>2427</v>
      </c>
      <c r="C18" s="1594"/>
      <c r="D18" s="1610">
        <v>16636.2</v>
      </c>
      <c r="E18" s="1611">
        <v>16723.7</v>
      </c>
      <c r="F18" s="1610">
        <v>17388.900000000001</v>
      </c>
      <c r="G18" s="1611">
        <v>17614.099999999999</v>
      </c>
      <c r="H18" s="1610">
        <v>18605.8</v>
      </c>
      <c r="I18" s="1611">
        <v>19586.599999999999</v>
      </c>
      <c r="J18" s="1610">
        <v>20098.8</v>
      </c>
      <c r="K18" s="1611">
        <v>20782.112000000001</v>
      </c>
      <c r="L18" s="1610">
        <v>21891.552</v>
      </c>
      <c r="M18" s="1611">
        <v>22947.42781583</v>
      </c>
      <c r="N18" s="1610">
        <v>23436.440428140642</v>
      </c>
      <c r="O18" s="1620"/>
      <c r="P18" s="1613">
        <v>2.1310127489465369E-2</v>
      </c>
      <c r="Q18" s="1614">
        <v>3.8207984892576929E-2</v>
      </c>
      <c r="R18" s="1612"/>
      <c r="S18" s="1616">
        <v>24619.416252913648</v>
      </c>
    </row>
    <row r="19" spans="1:19" ht="14" thickBot="1">
      <c r="A19" s="1820"/>
      <c r="B19" s="1594"/>
      <c r="C19" s="1595" t="s">
        <v>2250</v>
      </c>
      <c r="D19" s="1596">
        <v>11739.7</v>
      </c>
      <c r="E19" s="1597">
        <v>12260.3</v>
      </c>
      <c r="F19" s="1596">
        <v>12798.7</v>
      </c>
      <c r="G19" s="1597">
        <v>13282.2</v>
      </c>
      <c r="H19" s="1596">
        <v>14059.1</v>
      </c>
      <c r="I19" s="1597">
        <v>14886.7</v>
      </c>
      <c r="J19" s="1596">
        <v>15483.3</v>
      </c>
      <c r="K19" s="1597">
        <v>16304.208000000002</v>
      </c>
      <c r="L19" s="1596">
        <v>17379.804</v>
      </c>
      <c r="M19" s="1597">
        <v>18272.676915579999</v>
      </c>
      <c r="N19" s="1596">
        <v>18616.168259350641</v>
      </c>
      <c r="O19" s="1598"/>
      <c r="P19" s="1599">
        <v>1.8798085543654919E-2</v>
      </c>
      <c r="Q19" s="1600">
        <v>4.7500780856740477E-2</v>
      </c>
      <c r="R19" s="1601"/>
      <c r="S19" s="1621">
        <v>19523.411789685233</v>
      </c>
    </row>
    <row r="20" spans="1:19" ht="14" thickBot="1">
      <c r="A20" s="1820"/>
      <c r="B20" s="1594"/>
      <c r="C20" s="1595" t="s">
        <v>2251</v>
      </c>
      <c r="D20" s="1596">
        <v>4375.2</v>
      </c>
      <c r="E20" s="1597">
        <v>3892.3</v>
      </c>
      <c r="F20" s="1596">
        <v>4038.2</v>
      </c>
      <c r="G20" s="1597">
        <v>3415.2</v>
      </c>
      <c r="H20" s="1596">
        <v>2646.1</v>
      </c>
      <c r="I20" s="1597">
        <v>1875.9</v>
      </c>
      <c r="J20" s="1596">
        <v>1740.9</v>
      </c>
      <c r="K20" s="1597">
        <v>1645.404</v>
      </c>
      <c r="L20" s="1596">
        <v>1205.748</v>
      </c>
      <c r="M20" s="1597">
        <v>1392.2470854699995</v>
      </c>
      <c r="N20" s="1596">
        <v>1351.0005863899996</v>
      </c>
      <c r="O20" s="1598"/>
      <c r="P20" s="1599">
        <v>-2.9625846956667035E-2</v>
      </c>
      <c r="Q20" s="1600">
        <v>-0.11092417082609085</v>
      </c>
      <c r="R20" s="1601"/>
      <c r="S20" s="1621">
        <v>1450.6649379701998</v>
      </c>
    </row>
    <row r="21" spans="1:19" ht="14" thickBot="1">
      <c r="A21" s="1820"/>
      <c r="B21" s="1594"/>
      <c r="C21" s="1595" t="s">
        <v>2381</v>
      </c>
      <c r="D21" s="1596">
        <v>521.29999999999995</v>
      </c>
      <c r="E21" s="1597">
        <v>571.1</v>
      </c>
      <c r="F21" s="1596">
        <v>552</v>
      </c>
      <c r="G21" s="1597">
        <v>916.7</v>
      </c>
      <c r="H21" s="1596">
        <v>1900.6</v>
      </c>
      <c r="I21" s="1597">
        <v>2824</v>
      </c>
      <c r="J21" s="1596">
        <v>2874.6</v>
      </c>
      <c r="K21" s="1597">
        <v>2832.5</v>
      </c>
      <c r="L21" s="1596">
        <v>3306</v>
      </c>
      <c r="M21" s="1597">
        <v>3282.5038147800005</v>
      </c>
      <c r="N21" s="1596">
        <v>3469.2715824000006</v>
      </c>
      <c r="O21" s="1598"/>
      <c r="P21" s="1599">
        <v>5.6897959045484781E-2</v>
      </c>
      <c r="Q21" s="1600">
        <v>0.2219641361667839</v>
      </c>
      <c r="R21" s="1601"/>
      <c r="S21" s="1621">
        <v>3645.3395252582145</v>
      </c>
    </row>
    <row r="22" spans="1:19" ht="14" thickBot="1">
      <c r="A22" s="1820"/>
      <c r="B22" s="1594"/>
      <c r="C22" s="1595"/>
      <c r="D22" s="1622"/>
      <c r="E22" s="1623"/>
      <c r="F22" s="1622"/>
      <c r="G22" s="1623"/>
      <c r="H22" s="1622"/>
      <c r="I22" s="1623"/>
      <c r="J22" s="1622"/>
      <c r="K22" s="1623"/>
      <c r="L22" s="1622"/>
      <c r="M22" s="1623"/>
      <c r="N22" s="1622"/>
      <c r="O22" s="1624"/>
      <c r="P22" s="1625"/>
      <c r="Q22" s="1626"/>
      <c r="R22" s="1627"/>
      <c r="S22" s="1628"/>
    </row>
    <row r="23" spans="1:19" ht="17.25" customHeight="1" thickBot="1">
      <c r="A23" s="1820"/>
      <c r="B23" s="1609" t="s">
        <v>2428</v>
      </c>
      <c r="C23" s="1594"/>
      <c r="D23" s="1610">
        <v>1770.8</v>
      </c>
      <c r="E23" s="1611">
        <v>1884.4</v>
      </c>
      <c r="F23" s="1610">
        <v>2155</v>
      </c>
      <c r="G23" s="1611">
        <v>2249.6</v>
      </c>
      <c r="H23" s="1610">
        <v>2343.1</v>
      </c>
      <c r="I23" s="1611">
        <v>2428.2489999999998</v>
      </c>
      <c r="J23" s="1610">
        <v>2541</v>
      </c>
      <c r="K23" s="1611">
        <v>2627.5</v>
      </c>
      <c r="L23" s="1610">
        <v>2868.2</v>
      </c>
      <c r="M23" s="1611">
        <v>3031.6779155400004</v>
      </c>
      <c r="N23" s="1610">
        <v>3081.5039062299998</v>
      </c>
      <c r="O23" s="1620"/>
      <c r="P23" s="1613">
        <v>1.6435120114375534E-2</v>
      </c>
      <c r="Q23" s="1614">
        <v>5.6165995554501746E-2</v>
      </c>
      <c r="R23" s="1612"/>
      <c r="S23" s="1610">
        <v>3200.9812532199999</v>
      </c>
    </row>
    <row r="24" spans="1:19" ht="14" thickBot="1">
      <c r="A24" s="1820"/>
      <c r="B24" s="1594"/>
      <c r="C24" s="1595" t="s">
        <v>2250</v>
      </c>
      <c r="D24" s="1596">
        <v>1678.5</v>
      </c>
      <c r="E24" s="1597">
        <v>1778</v>
      </c>
      <c r="F24" s="1596">
        <v>2097.1999999999998</v>
      </c>
      <c r="G24" s="1597">
        <v>2189.9</v>
      </c>
      <c r="H24" s="1596">
        <v>2288</v>
      </c>
      <c r="I24" s="1597">
        <v>2400.1889999999999</v>
      </c>
      <c r="J24" s="1596">
        <v>2502.83</v>
      </c>
      <c r="K24" s="1597">
        <v>2588.5</v>
      </c>
      <c r="L24" s="1596">
        <v>2832.3</v>
      </c>
      <c r="M24" s="1597">
        <v>2994.9866096700002</v>
      </c>
      <c r="N24" s="1596">
        <v>3038.7113187199998</v>
      </c>
      <c r="O24" s="1598"/>
      <c r="P24" s="1599">
        <v>1.4599300347061472E-2</v>
      </c>
      <c r="Q24" s="1600">
        <v>6.1358164850872976E-2</v>
      </c>
      <c r="R24" s="1601"/>
      <c r="S24" s="1596">
        <v>3155.0668707</v>
      </c>
    </row>
    <row r="25" spans="1:19" ht="14" thickBot="1">
      <c r="A25" s="1820"/>
      <c r="B25" s="1594"/>
      <c r="C25" s="1595" t="s">
        <v>2251</v>
      </c>
      <c r="D25" s="1596">
        <v>92.3</v>
      </c>
      <c r="E25" s="1597">
        <v>106.4</v>
      </c>
      <c r="F25" s="1596">
        <v>57.8</v>
      </c>
      <c r="G25" s="1597">
        <v>59.7</v>
      </c>
      <c r="H25" s="1596">
        <v>55.1</v>
      </c>
      <c r="I25" s="1597">
        <v>28.06</v>
      </c>
      <c r="J25" s="1596">
        <v>38.17</v>
      </c>
      <c r="K25" s="1597">
        <v>39</v>
      </c>
      <c r="L25" s="1596">
        <v>35.9</v>
      </c>
      <c r="M25" s="1597">
        <v>36.691305870000001</v>
      </c>
      <c r="N25" s="1596">
        <v>42.792587509999997</v>
      </c>
      <c r="O25" s="1598"/>
      <c r="P25" s="1599">
        <v>0.16628684903222823</v>
      </c>
      <c r="Q25" s="1600">
        <v>-9.6251820427311507E-2</v>
      </c>
      <c r="R25" s="1601"/>
      <c r="S25" s="1596">
        <v>45.914382520000004</v>
      </c>
    </row>
    <row r="26" spans="1:19" ht="14" thickBot="1">
      <c r="A26" s="1820"/>
      <c r="B26" s="1594"/>
      <c r="C26" s="1595" t="s">
        <v>2381</v>
      </c>
      <c r="D26" s="1596">
        <v>0</v>
      </c>
      <c r="E26" s="1597">
        <v>0</v>
      </c>
      <c r="F26" s="1596">
        <v>0</v>
      </c>
      <c r="G26" s="1597">
        <v>0</v>
      </c>
      <c r="H26" s="1596">
        <v>0</v>
      </c>
      <c r="I26" s="1597">
        <v>0</v>
      </c>
      <c r="J26" s="1596">
        <v>0</v>
      </c>
      <c r="K26" s="1597">
        <v>0</v>
      </c>
      <c r="L26" s="1596">
        <v>0</v>
      </c>
      <c r="M26" s="1597">
        <v>0</v>
      </c>
      <c r="N26" s="1596">
        <v>0</v>
      </c>
      <c r="O26" s="1598"/>
      <c r="P26" s="1599" t="s">
        <v>59</v>
      </c>
      <c r="Q26" s="1600" t="s">
        <v>59</v>
      </c>
      <c r="R26" s="1601"/>
      <c r="S26" s="1596">
        <v>0</v>
      </c>
    </row>
    <row r="27" spans="1:19" ht="14" thickBot="1">
      <c r="A27" s="1820"/>
      <c r="B27" s="1594"/>
      <c r="C27" s="1595"/>
      <c r="D27" s="1622"/>
      <c r="E27" s="1623"/>
      <c r="F27" s="1622"/>
      <c r="G27" s="1623"/>
      <c r="H27" s="1622"/>
      <c r="I27" s="1623"/>
      <c r="J27" s="1622"/>
      <c r="K27" s="1623"/>
      <c r="L27" s="1622"/>
      <c r="M27" s="1623"/>
      <c r="N27" s="1622"/>
      <c r="O27" s="1624"/>
      <c r="P27" s="1625"/>
      <c r="Q27" s="1626"/>
      <c r="R27" s="1627"/>
      <c r="S27" s="1628"/>
    </row>
    <row r="28" spans="1:19" ht="17.25" customHeight="1" thickBot="1">
      <c r="A28" s="1820"/>
      <c r="B28" s="1609" t="s">
        <v>2429</v>
      </c>
      <c r="C28" s="1594"/>
      <c r="D28" s="1629">
        <v>18407</v>
      </c>
      <c r="E28" s="1630">
        <v>18608.099999999999</v>
      </c>
      <c r="F28" s="1629">
        <v>19543.900000000001</v>
      </c>
      <c r="G28" s="1630">
        <v>19863.7</v>
      </c>
      <c r="H28" s="1629">
        <v>20948.900000000001</v>
      </c>
      <c r="I28" s="1630">
        <v>22014.849000000002</v>
      </c>
      <c r="J28" s="1629">
        <v>22639.8</v>
      </c>
      <c r="K28" s="1630">
        <v>23409.612000000001</v>
      </c>
      <c r="L28" s="1629">
        <v>24759.752</v>
      </c>
      <c r="M28" s="1630">
        <v>25979.10573137</v>
      </c>
      <c r="N28" s="1629">
        <v>26517.944334370641</v>
      </c>
      <c r="O28" s="1631"/>
      <c r="P28" s="1632">
        <v>2.0741229839562392E-2</v>
      </c>
      <c r="Q28" s="1633">
        <v>4.0143097706719866E-2</v>
      </c>
      <c r="R28" s="1634"/>
      <c r="S28" s="1635">
        <v>27820.39750613365</v>
      </c>
    </row>
    <row r="29" spans="1:19" ht="14" thickBot="1">
      <c r="A29" s="1820"/>
      <c r="B29" s="1594"/>
      <c r="C29" s="1595" t="s">
        <v>2250</v>
      </c>
      <c r="D29" s="1636">
        <v>13418.2</v>
      </c>
      <c r="E29" s="1637">
        <v>14038.3</v>
      </c>
      <c r="F29" s="1636">
        <v>14895.9</v>
      </c>
      <c r="G29" s="1637">
        <v>15472.1</v>
      </c>
      <c r="H29" s="1636">
        <v>16347.1</v>
      </c>
      <c r="I29" s="1637">
        <v>17286.888999999999</v>
      </c>
      <c r="J29" s="1636">
        <v>17986.13</v>
      </c>
      <c r="K29" s="1637">
        <v>18892.708000000002</v>
      </c>
      <c r="L29" s="1636">
        <v>20212.103999999999</v>
      </c>
      <c r="M29" s="1637">
        <v>21267.663525249998</v>
      </c>
      <c r="N29" s="1636">
        <v>21654.879578070642</v>
      </c>
      <c r="O29" s="1638"/>
      <c r="P29" s="1639">
        <v>1.8206797956951126E-2</v>
      </c>
      <c r="Q29" s="1640">
        <v>4.933871154103131E-2</v>
      </c>
      <c r="R29" s="1641"/>
      <c r="S29" s="1642">
        <v>22678.478660385234</v>
      </c>
    </row>
    <row r="30" spans="1:19" ht="14" thickBot="1">
      <c r="A30" s="1820"/>
      <c r="B30" s="1594"/>
      <c r="C30" s="1595" t="s">
        <v>2251</v>
      </c>
      <c r="D30" s="1636">
        <v>4467.5</v>
      </c>
      <c r="E30" s="1637">
        <v>3998.7</v>
      </c>
      <c r="F30" s="1636">
        <v>4096</v>
      </c>
      <c r="G30" s="1637">
        <v>3474.9</v>
      </c>
      <c r="H30" s="1636">
        <v>2701.2</v>
      </c>
      <c r="I30" s="1637">
        <v>1903.96</v>
      </c>
      <c r="J30" s="1636">
        <v>1779.07</v>
      </c>
      <c r="K30" s="1637">
        <v>1684.404</v>
      </c>
      <c r="L30" s="1636">
        <v>1241.6480000000001</v>
      </c>
      <c r="M30" s="1637">
        <v>1428.9383913399995</v>
      </c>
      <c r="N30" s="1636">
        <v>1393.7931738999996</v>
      </c>
      <c r="O30" s="1638"/>
      <c r="P30" s="1639">
        <v>-2.4595334307619954E-2</v>
      </c>
      <c r="Q30" s="1640">
        <v>-0.11050775135326929</v>
      </c>
      <c r="R30" s="1641"/>
      <c r="S30" s="1642">
        <v>1496.5793204901997</v>
      </c>
    </row>
    <row r="31" spans="1:19">
      <c r="A31" s="1820"/>
      <c r="B31" s="1643"/>
      <c r="C31" s="1644" t="s">
        <v>2381</v>
      </c>
      <c r="D31" s="1645">
        <v>521.29999999999995</v>
      </c>
      <c r="E31" s="1646">
        <v>571.1</v>
      </c>
      <c r="F31" s="1645">
        <v>552</v>
      </c>
      <c r="G31" s="1646">
        <v>916.7</v>
      </c>
      <c r="H31" s="1645">
        <v>1900.6</v>
      </c>
      <c r="I31" s="1646">
        <v>2824</v>
      </c>
      <c r="J31" s="1645">
        <v>2874.6</v>
      </c>
      <c r="K31" s="1646">
        <v>2832.5</v>
      </c>
      <c r="L31" s="1645">
        <v>3306</v>
      </c>
      <c r="M31" s="1646">
        <v>3282.5038147800005</v>
      </c>
      <c r="N31" s="1645">
        <v>3469.2715824000006</v>
      </c>
      <c r="O31" s="1647"/>
      <c r="P31" s="1648">
        <v>5.6897959045484781E-2</v>
      </c>
      <c r="Q31" s="1649">
        <v>0.2219641361667839</v>
      </c>
      <c r="R31" s="1650"/>
      <c r="S31" s="1651">
        <v>3645.3395252582145</v>
      </c>
    </row>
    <row r="32" spans="1:19" ht="8.25" customHeight="1">
      <c r="A32" s="1552"/>
      <c r="B32" s="1652"/>
      <c r="C32" s="1653"/>
      <c r="D32" s="1654"/>
      <c r="E32" s="1654"/>
      <c r="F32" s="1654"/>
      <c r="G32" s="1654"/>
      <c r="H32" s="1654"/>
      <c r="I32" s="1655"/>
      <c r="J32" s="1655"/>
      <c r="K32" s="1655"/>
      <c r="L32" s="1655"/>
      <c r="M32" s="1655"/>
      <c r="N32" s="1655"/>
      <c r="O32" s="1655"/>
      <c r="P32" s="1656"/>
      <c r="Q32" s="1657"/>
      <c r="R32" s="1656"/>
      <c r="S32" s="1658"/>
    </row>
    <row r="33" spans="1:19" ht="8.25" customHeight="1">
      <c r="A33" s="1552"/>
      <c r="B33" s="1659"/>
      <c r="C33" s="1660"/>
      <c r="D33" s="1661"/>
      <c r="E33" s="1661"/>
      <c r="F33" s="1661"/>
      <c r="G33" s="1661"/>
      <c r="H33" s="1661"/>
      <c r="I33" s="1662"/>
      <c r="J33" s="1662"/>
      <c r="K33" s="1662"/>
      <c r="L33" s="1662"/>
      <c r="M33" s="1662"/>
      <c r="N33" s="1662"/>
      <c r="O33" s="1662"/>
      <c r="P33" s="1663"/>
      <c r="Q33" s="1664"/>
      <c r="R33" s="1663"/>
      <c r="S33" s="1665"/>
    </row>
    <row r="34" spans="1:19" ht="15.75" customHeight="1" thickBot="1">
      <c r="A34" s="1817" t="s">
        <v>456</v>
      </c>
      <c r="B34" s="1586" t="s">
        <v>2430</v>
      </c>
      <c r="C34" s="1587"/>
      <c r="D34" s="1588">
        <v>16013.1</v>
      </c>
      <c r="E34" s="1589">
        <v>16937.3</v>
      </c>
      <c r="F34" s="1588">
        <v>17695.3</v>
      </c>
      <c r="G34" s="1589">
        <v>17814.400000000001</v>
      </c>
      <c r="H34" s="1588">
        <v>18506.971013000002</v>
      </c>
      <c r="I34" s="1589">
        <v>19132.22</v>
      </c>
      <c r="J34" s="1588">
        <v>20686.96</v>
      </c>
      <c r="K34" s="1589">
        <v>22048.513701</v>
      </c>
      <c r="L34" s="1588">
        <v>23360.39678399</v>
      </c>
      <c r="M34" s="1589">
        <v>23865.649597220003</v>
      </c>
      <c r="N34" s="1588">
        <v>24817.983544449999</v>
      </c>
      <c r="O34" s="1590"/>
      <c r="P34" s="1591">
        <v>3.990396085178971E-2</v>
      </c>
      <c r="Q34" s="1592">
        <v>4.3363915028669986E-2</v>
      </c>
      <c r="R34" s="1593"/>
      <c r="S34" s="1588">
        <v>25247.301839669999</v>
      </c>
    </row>
    <row r="35" spans="1:19" ht="15.75" customHeight="1" thickBot="1">
      <c r="A35" s="1818"/>
      <c r="B35" s="1594"/>
      <c r="C35" s="1595" t="s">
        <v>2431</v>
      </c>
      <c r="D35" s="1596">
        <v>11035.2</v>
      </c>
      <c r="E35" s="1597">
        <v>11924.8</v>
      </c>
      <c r="F35" s="1596">
        <v>12604.2</v>
      </c>
      <c r="G35" s="1597">
        <v>12949.5</v>
      </c>
      <c r="H35" s="1596">
        <v>13346.689</v>
      </c>
      <c r="I35" s="1597">
        <v>13954.72</v>
      </c>
      <c r="J35" s="1596">
        <v>15296.16</v>
      </c>
      <c r="K35" s="1597">
        <v>16759.707467</v>
      </c>
      <c r="L35" s="1596">
        <v>17979.586842000001</v>
      </c>
      <c r="M35" s="1597">
        <v>18442.676721830001</v>
      </c>
      <c r="N35" s="1596">
        <v>19234.85838514</v>
      </c>
      <c r="O35" s="1598"/>
      <c r="P35" s="1599">
        <v>4.2953724953185279E-2</v>
      </c>
      <c r="Q35" s="1600">
        <v>5.4558985722149567E-2</v>
      </c>
      <c r="R35" s="1601"/>
      <c r="S35" s="1596">
        <v>19629.610287169999</v>
      </c>
    </row>
    <row r="36" spans="1:19" ht="14" thickBot="1">
      <c r="A36" s="1818"/>
      <c r="B36" s="1594"/>
      <c r="C36" s="1595" t="s">
        <v>2251</v>
      </c>
      <c r="D36" s="1596">
        <v>4337.5</v>
      </c>
      <c r="E36" s="1597">
        <v>4410.6000000000004</v>
      </c>
      <c r="F36" s="1596">
        <v>4453.3</v>
      </c>
      <c r="G36" s="1597">
        <v>3766.7</v>
      </c>
      <c r="H36" s="1596">
        <v>2917.3519609999998</v>
      </c>
      <c r="I36" s="1597">
        <v>1987</v>
      </c>
      <c r="J36" s="1596">
        <v>1958.4</v>
      </c>
      <c r="K36" s="1597">
        <v>1882.6076640000001</v>
      </c>
      <c r="L36" s="1596">
        <v>1358.7895999899999</v>
      </c>
      <c r="M36" s="1597">
        <v>1397.6693543900001</v>
      </c>
      <c r="N36" s="1596">
        <v>1384.0624223099999</v>
      </c>
      <c r="O36" s="1598"/>
      <c r="P36" s="1599">
        <v>-9.7354442502882721E-3</v>
      </c>
      <c r="Q36" s="1600">
        <v>-0.12082949105685559</v>
      </c>
      <c r="R36" s="1601"/>
      <c r="S36" s="1596">
        <v>1410.6232075</v>
      </c>
    </row>
    <row r="37" spans="1:19" ht="14" thickBot="1">
      <c r="A37" s="1818"/>
      <c r="B37" s="1594"/>
      <c r="C37" s="1595" t="s">
        <v>2381</v>
      </c>
      <c r="D37" s="1596">
        <v>640.4</v>
      </c>
      <c r="E37" s="1597">
        <v>601.9</v>
      </c>
      <c r="F37" s="1596">
        <v>637.79999999999995</v>
      </c>
      <c r="G37" s="1597">
        <v>1098.2</v>
      </c>
      <c r="H37" s="1596">
        <v>2242.9300519999997</v>
      </c>
      <c r="I37" s="1597">
        <v>3190.5</v>
      </c>
      <c r="J37" s="1596">
        <v>3432.4</v>
      </c>
      <c r="K37" s="1597">
        <v>3406.1985699999996</v>
      </c>
      <c r="L37" s="1596">
        <v>4022.0203419999989</v>
      </c>
      <c r="M37" s="1597">
        <v>4025.3035210000007</v>
      </c>
      <c r="N37" s="1596">
        <v>4199.0627370000002</v>
      </c>
      <c r="O37" s="1598"/>
      <c r="P37" s="1599">
        <v>4.3166736394783189E-2</v>
      </c>
      <c r="Q37" s="1600">
        <v>0.24089903454863459</v>
      </c>
      <c r="R37" s="1601"/>
      <c r="S37" s="1596">
        <v>4207.0683449999997</v>
      </c>
    </row>
    <row r="38" spans="1:19" ht="9.75" customHeight="1" thickBot="1">
      <c r="A38" s="1818"/>
      <c r="B38" s="1594"/>
      <c r="C38" s="1595"/>
      <c r="D38" s="1596"/>
      <c r="E38" s="1597"/>
      <c r="F38" s="1596"/>
      <c r="G38" s="1597"/>
      <c r="H38" s="1596"/>
      <c r="I38" s="1597"/>
      <c r="J38" s="1596"/>
      <c r="K38" s="1597"/>
      <c r="L38" s="1596"/>
      <c r="M38" s="1597"/>
      <c r="N38" s="1596"/>
      <c r="O38" s="1598"/>
      <c r="P38" s="1599"/>
      <c r="Q38" s="1600"/>
      <c r="R38" s="1601"/>
      <c r="S38" s="1666"/>
    </row>
    <row r="39" spans="1:19" ht="17.25" customHeight="1" thickBot="1">
      <c r="A39" s="1818"/>
      <c r="B39" s="1609" t="s">
        <v>2428</v>
      </c>
      <c r="C39" s="1594"/>
      <c r="D39" s="1610">
        <v>1770.8</v>
      </c>
      <c r="E39" s="1611">
        <v>1884.4</v>
      </c>
      <c r="F39" s="1610">
        <v>2155</v>
      </c>
      <c r="G39" s="1611">
        <v>2249.6</v>
      </c>
      <c r="H39" s="1610">
        <v>2343.1</v>
      </c>
      <c r="I39" s="1611">
        <v>2428.2489999999998</v>
      </c>
      <c r="J39" s="1610">
        <v>2541</v>
      </c>
      <c r="K39" s="1611">
        <v>2627.5</v>
      </c>
      <c r="L39" s="1610">
        <v>2868.2</v>
      </c>
      <c r="M39" s="1611">
        <v>3031.6779155400004</v>
      </c>
      <c r="N39" s="1610">
        <v>3081.5039062299998</v>
      </c>
      <c r="O39" s="1620"/>
      <c r="P39" s="1613">
        <v>1.6435120114375534E-2</v>
      </c>
      <c r="Q39" s="1614">
        <v>5.6165995554501746E-2</v>
      </c>
      <c r="R39" s="1612"/>
      <c r="S39" s="1610">
        <v>3200.9812532199999</v>
      </c>
    </row>
    <row r="40" spans="1:19" ht="14" thickBot="1">
      <c r="A40" s="1818"/>
      <c r="B40" s="1594"/>
      <c r="C40" s="1595" t="s">
        <v>2250</v>
      </c>
      <c r="D40" s="1596">
        <v>1678.5</v>
      </c>
      <c r="E40" s="1597">
        <v>1778</v>
      </c>
      <c r="F40" s="1596">
        <v>2097.1999999999998</v>
      </c>
      <c r="G40" s="1597">
        <v>2189.9</v>
      </c>
      <c r="H40" s="1596">
        <v>2288</v>
      </c>
      <c r="I40" s="1597">
        <v>2400.1889999999999</v>
      </c>
      <c r="J40" s="1596">
        <v>2502.83</v>
      </c>
      <c r="K40" s="1597">
        <v>2588.5</v>
      </c>
      <c r="L40" s="1596">
        <v>2832.3</v>
      </c>
      <c r="M40" s="1597">
        <v>2994.9866096700002</v>
      </c>
      <c r="N40" s="1596">
        <v>3038.7113187199998</v>
      </c>
      <c r="O40" s="1598"/>
      <c r="P40" s="1599">
        <v>1.4599300347061472E-2</v>
      </c>
      <c r="Q40" s="1600">
        <v>6.1358164850872976E-2</v>
      </c>
      <c r="R40" s="1601"/>
      <c r="S40" s="1596">
        <v>3155.0668707</v>
      </c>
    </row>
    <row r="41" spans="1:19" ht="14" thickBot="1">
      <c r="A41" s="1818"/>
      <c r="B41" s="1594"/>
      <c r="C41" s="1595" t="s">
        <v>2251</v>
      </c>
      <c r="D41" s="1596">
        <v>92.3</v>
      </c>
      <c r="E41" s="1597">
        <v>106.4</v>
      </c>
      <c r="F41" s="1596">
        <v>57.8</v>
      </c>
      <c r="G41" s="1597">
        <v>59.7</v>
      </c>
      <c r="H41" s="1596">
        <v>55.1</v>
      </c>
      <c r="I41" s="1597">
        <v>28.06</v>
      </c>
      <c r="J41" s="1596">
        <v>38.17</v>
      </c>
      <c r="K41" s="1597">
        <v>39</v>
      </c>
      <c r="L41" s="1596">
        <v>35.9</v>
      </c>
      <c r="M41" s="1597">
        <v>36.691305870000001</v>
      </c>
      <c r="N41" s="1596">
        <v>42.792587509999997</v>
      </c>
      <c r="O41" s="1598"/>
      <c r="P41" s="1599">
        <v>0.16628684903222823</v>
      </c>
      <c r="Q41" s="1600">
        <v>-9.6251820427311507E-2</v>
      </c>
      <c r="R41" s="1601"/>
      <c r="S41" s="1596">
        <v>45.914382520000004</v>
      </c>
    </row>
    <row r="42" spans="1:19" ht="14" thickBot="1">
      <c r="A42" s="1818"/>
      <c r="B42" s="1594"/>
      <c r="C42" s="1595" t="s">
        <v>2381</v>
      </c>
      <c r="D42" s="1596">
        <v>0</v>
      </c>
      <c r="E42" s="1597">
        <v>0</v>
      </c>
      <c r="F42" s="1596">
        <v>0</v>
      </c>
      <c r="G42" s="1597">
        <v>0</v>
      </c>
      <c r="H42" s="1596">
        <v>0</v>
      </c>
      <c r="I42" s="1597">
        <v>0</v>
      </c>
      <c r="J42" s="1596">
        <v>0</v>
      </c>
      <c r="K42" s="1597">
        <v>0</v>
      </c>
      <c r="L42" s="1596">
        <v>0</v>
      </c>
      <c r="M42" s="1597">
        <v>0</v>
      </c>
      <c r="N42" s="1596">
        <v>0</v>
      </c>
      <c r="O42" s="1598"/>
      <c r="P42" s="1599" t="s">
        <v>59</v>
      </c>
      <c r="Q42" s="1600" t="s">
        <v>59</v>
      </c>
      <c r="R42" s="1601"/>
      <c r="S42" s="1596">
        <v>0</v>
      </c>
    </row>
    <row r="43" spans="1:19" ht="14" thickBot="1">
      <c r="A43" s="1667"/>
      <c r="B43" s="1594"/>
      <c r="C43" s="1594"/>
      <c r="D43" s="1602"/>
      <c r="E43" s="1603"/>
      <c r="F43" s="1602"/>
      <c r="G43" s="1603"/>
      <c r="H43" s="1602"/>
      <c r="I43" s="1603"/>
      <c r="J43" s="1602"/>
      <c r="K43" s="1603"/>
      <c r="L43" s="1602"/>
      <c r="M43" s="1603"/>
      <c r="N43" s="1602"/>
      <c r="O43" s="1604"/>
      <c r="P43" s="1605"/>
      <c r="Q43" s="1606"/>
      <c r="R43" s="1607"/>
      <c r="S43" s="1668"/>
    </row>
    <row r="44" spans="1:19" ht="17.25" customHeight="1" thickBot="1">
      <c r="A44" s="1667"/>
      <c r="B44" s="1609" t="s">
        <v>2432</v>
      </c>
      <c r="C44" s="1594"/>
      <c r="D44" s="1629">
        <v>17783.900000000001</v>
      </c>
      <c r="E44" s="1630">
        <v>18821.7</v>
      </c>
      <c r="F44" s="1629">
        <v>19850.3</v>
      </c>
      <c r="G44" s="1630">
        <v>20064</v>
      </c>
      <c r="H44" s="1629">
        <v>20850.071013000001</v>
      </c>
      <c r="I44" s="1630">
        <v>21560.469000000001</v>
      </c>
      <c r="J44" s="1629">
        <v>23227.96</v>
      </c>
      <c r="K44" s="1630">
        <v>24676.013701</v>
      </c>
      <c r="L44" s="1629">
        <v>26228.59678399</v>
      </c>
      <c r="M44" s="1630">
        <v>26897.327512760003</v>
      </c>
      <c r="N44" s="1629">
        <v>27899.487450679997</v>
      </c>
      <c r="O44" s="1631"/>
      <c r="P44" s="1632">
        <v>3.7258717894726567E-2</v>
      </c>
      <c r="Q44" s="1633">
        <v>4.4703481462599726E-2</v>
      </c>
      <c r="R44" s="1634"/>
      <c r="S44" s="1669">
        <v>28448.28309289</v>
      </c>
    </row>
    <row r="45" spans="1:19" ht="14" thickBot="1">
      <c r="A45" s="1667"/>
      <c r="B45" s="1594"/>
      <c r="C45" s="1595" t="s">
        <v>2250</v>
      </c>
      <c r="D45" s="1636">
        <v>12713.7</v>
      </c>
      <c r="E45" s="1637">
        <v>13702.8</v>
      </c>
      <c r="F45" s="1636">
        <v>14701.4</v>
      </c>
      <c r="G45" s="1637">
        <v>15139.4</v>
      </c>
      <c r="H45" s="1636">
        <v>15634.689</v>
      </c>
      <c r="I45" s="1637">
        <v>16354.909</v>
      </c>
      <c r="J45" s="1636">
        <v>17798.990000000002</v>
      </c>
      <c r="K45" s="1637">
        <v>19348.207467</v>
      </c>
      <c r="L45" s="1636">
        <v>20811.886842</v>
      </c>
      <c r="M45" s="1637">
        <v>21437.6633315</v>
      </c>
      <c r="N45" s="1636">
        <v>22273.569703860001</v>
      </c>
      <c r="O45" s="1638"/>
      <c r="P45" s="1639">
        <v>3.8992419996247474E-2</v>
      </c>
      <c r="Q45" s="1640">
        <v>5.5461213925776853E-2</v>
      </c>
      <c r="R45" s="1641"/>
      <c r="S45" s="1670">
        <v>22784.677157869999</v>
      </c>
    </row>
    <row r="46" spans="1:19" ht="14" thickBot="1">
      <c r="A46" s="1667"/>
      <c r="B46" s="1594"/>
      <c r="C46" s="1595" t="s">
        <v>2251</v>
      </c>
      <c r="D46" s="1636">
        <v>4429.8</v>
      </c>
      <c r="E46" s="1637">
        <v>4517</v>
      </c>
      <c r="F46" s="1636">
        <v>4511.1000000000004</v>
      </c>
      <c r="G46" s="1637">
        <v>3826.4</v>
      </c>
      <c r="H46" s="1636">
        <v>2972.4519609999998</v>
      </c>
      <c r="I46" s="1637">
        <v>2015.06</v>
      </c>
      <c r="J46" s="1636">
        <v>1996.57</v>
      </c>
      <c r="K46" s="1637">
        <v>1921.6076640000001</v>
      </c>
      <c r="L46" s="1636">
        <v>1394.68959999</v>
      </c>
      <c r="M46" s="1637">
        <v>1434.36066026</v>
      </c>
      <c r="N46" s="1636">
        <v>1426.8550098199999</v>
      </c>
      <c r="O46" s="1638"/>
      <c r="P46" s="1639">
        <v>-5.2327497873788653E-3</v>
      </c>
      <c r="Q46" s="1640">
        <v>-0.12018331273610938</v>
      </c>
      <c r="R46" s="1641"/>
      <c r="S46" s="1670">
        <v>1456.5375900200002</v>
      </c>
    </row>
    <row r="47" spans="1:19">
      <c r="A47" s="1667"/>
      <c r="B47" s="1643"/>
      <c r="C47" s="1644" t="s">
        <v>2381</v>
      </c>
      <c r="D47" s="1645">
        <v>640.4</v>
      </c>
      <c r="E47" s="1646">
        <v>601.9</v>
      </c>
      <c r="F47" s="1645">
        <v>637.79999999999995</v>
      </c>
      <c r="G47" s="1646">
        <v>1098.2</v>
      </c>
      <c r="H47" s="1645">
        <v>2242.9300519999997</v>
      </c>
      <c r="I47" s="1646">
        <v>3190.5</v>
      </c>
      <c r="J47" s="1645">
        <v>3432.4</v>
      </c>
      <c r="K47" s="1646">
        <v>3406.1985699999996</v>
      </c>
      <c r="L47" s="1645">
        <v>4022.0203419999989</v>
      </c>
      <c r="M47" s="1646">
        <v>4025.3035210000007</v>
      </c>
      <c r="N47" s="1645">
        <v>4199.0627370000002</v>
      </c>
      <c r="O47" s="1647"/>
      <c r="P47" s="1648">
        <v>4.3166736394783189E-2</v>
      </c>
      <c r="Q47" s="1649">
        <v>0.24089903454863459</v>
      </c>
      <c r="R47" s="1650"/>
      <c r="S47" s="1671">
        <v>4207.0683449999997</v>
      </c>
    </row>
    <row r="48" spans="1:19" ht="8.25" customHeight="1">
      <c r="A48" s="1672"/>
      <c r="B48" s="1652"/>
      <c r="C48" s="1653"/>
      <c r="D48" s="1655"/>
      <c r="E48" s="1655"/>
      <c r="F48" s="1655"/>
      <c r="G48" s="1655"/>
      <c r="H48" s="1655"/>
      <c r="I48" s="1655"/>
      <c r="J48" s="1655"/>
      <c r="K48" s="1655"/>
      <c r="L48" s="1655"/>
      <c r="M48" s="1655"/>
      <c r="N48" s="1655"/>
      <c r="O48" s="1655"/>
      <c r="P48" s="1656"/>
      <c r="Q48" s="1656"/>
      <c r="R48" s="1656"/>
      <c r="S48" s="1673"/>
    </row>
    <row r="49" spans="1:19" ht="8.25" customHeight="1">
      <c r="A49" s="1552"/>
      <c r="B49" s="1659"/>
      <c r="C49" s="1659"/>
      <c r="D49" s="1674"/>
      <c r="E49" s="1674"/>
      <c r="F49" s="1674"/>
      <c r="G49" s="1674"/>
      <c r="H49" s="1674"/>
      <c r="I49" s="1675"/>
      <c r="J49" s="1675"/>
      <c r="K49" s="1675"/>
      <c r="L49" s="1675"/>
      <c r="M49" s="1675"/>
      <c r="N49" s="1675"/>
      <c r="O49" s="1675"/>
      <c r="P49" s="1676"/>
      <c r="Q49" s="1677"/>
      <c r="R49" s="1676"/>
      <c r="S49" s="1678"/>
    </row>
    <row r="50" spans="1:19" ht="17.25" customHeight="1" thickBot="1">
      <c r="A50" s="1552"/>
      <c r="B50" s="1586" t="s">
        <v>2433</v>
      </c>
      <c r="C50" s="1587"/>
      <c r="D50" s="1679">
        <v>623.1</v>
      </c>
      <c r="E50" s="1680">
        <v>-213.60000000000218</v>
      </c>
      <c r="F50" s="1679">
        <v>-306.39999999999782</v>
      </c>
      <c r="G50" s="1680">
        <v>-200.29999999999927</v>
      </c>
      <c r="H50" s="1679">
        <v>98.828986999997142</v>
      </c>
      <c r="I50" s="1680">
        <v>454.38000000000102</v>
      </c>
      <c r="J50" s="1679">
        <v>-588.16000000000349</v>
      </c>
      <c r="K50" s="1680">
        <v>-1266.4017009999989</v>
      </c>
      <c r="L50" s="1679">
        <v>-1468.84478399</v>
      </c>
      <c r="M50" s="1680">
        <v>-918.22178139000243</v>
      </c>
      <c r="N50" s="1679">
        <v>-1381.5431163093563</v>
      </c>
      <c r="O50" s="1681"/>
      <c r="P50" s="1682">
        <v>-0.50458543274586543</v>
      </c>
      <c r="Q50" s="1683" t="s">
        <v>59</v>
      </c>
      <c r="R50" s="1684"/>
      <c r="S50" s="1685">
        <v>-627.88558675635068</v>
      </c>
    </row>
    <row r="51" spans="1:19" ht="14" thickBot="1">
      <c r="A51" s="1552"/>
      <c r="B51" s="1594"/>
      <c r="C51" s="1595" t="s">
        <v>2250</v>
      </c>
      <c r="D51" s="1610">
        <v>704.5</v>
      </c>
      <c r="E51" s="1611">
        <v>335.5</v>
      </c>
      <c r="F51" s="1610">
        <v>194.5</v>
      </c>
      <c r="G51" s="1611">
        <v>332.70000000000073</v>
      </c>
      <c r="H51" s="1610">
        <v>712.41100000000006</v>
      </c>
      <c r="I51" s="1611">
        <v>931.98000000000138</v>
      </c>
      <c r="J51" s="1610">
        <v>187.13999999999942</v>
      </c>
      <c r="K51" s="1611">
        <v>-455.49946699999782</v>
      </c>
      <c r="L51" s="1610">
        <v>-599.78284200000053</v>
      </c>
      <c r="M51" s="1611">
        <v>-169.99980625000171</v>
      </c>
      <c r="N51" s="1610">
        <v>-618.69012578935872</v>
      </c>
      <c r="O51" s="1620"/>
      <c r="P51" s="1613">
        <v>-2.6393578289113639</v>
      </c>
      <c r="Q51" s="1614" t="s">
        <v>59</v>
      </c>
      <c r="R51" s="1612"/>
      <c r="S51" s="1616">
        <v>-106.19849748476554</v>
      </c>
    </row>
    <row r="52" spans="1:19" ht="14" thickBot="1">
      <c r="A52" s="1552"/>
      <c r="B52" s="1594"/>
      <c r="C52" s="1595" t="s">
        <v>2251</v>
      </c>
      <c r="D52" s="1610">
        <v>37.699999999999818</v>
      </c>
      <c r="E52" s="1611">
        <v>-518.29999999999995</v>
      </c>
      <c r="F52" s="1610">
        <v>-415.1</v>
      </c>
      <c r="G52" s="1611">
        <v>-351.5</v>
      </c>
      <c r="H52" s="1610">
        <v>-271.25196099999994</v>
      </c>
      <c r="I52" s="1611">
        <v>-111.1</v>
      </c>
      <c r="J52" s="1610">
        <v>-217.5</v>
      </c>
      <c r="K52" s="1611">
        <v>-237.20366400000012</v>
      </c>
      <c r="L52" s="1610">
        <v>-153.0415999899999</v>
      </c>
      <c r="M52" s="1611">
        <v>-5.4222689200005334</v>
      </c>
      <c r="N52" s="1610">
        <v>-33.061835920000249</v>
      </c>
      <c r="O52" s="1620"/>
      <c r="P52" s="1613">
        <v>-5.0974172265873152</v>
      </c>
      <c r="Q52" s="1614" t="s">
        <v>59</v>
      </c>
      <c r="R52" s="1612"/>
      <c r="S52" s="1616">
        <v>40.041730470199809</v>
      </c>
    </row>
    <row r="53" spans="1:19">
      <c r="A53" s="1552"/>
      <c r="B53" s="1643"/>
      <c r="C53" s="1644" t="s">
        <v>2381</v>
      </c>
      <c r="D53" s="1686">
        <v>-119.1</v>
      </c>
      <c r="E53" s="1687">
        <v>-30.8</v>
      </c>
      <c r="F53" s="1686">
        <v>-85.8</v>
      </c>
      <c r="G53" s="1687">
        <v>-181.5</v>
      </c>
      <c r="H53" s="1686">
        <v>-342.3300519999998</v>
      </c>
      <c r="I53" s="1687">
        <v>-366.5</v>
      </c>
      <c r="J53" s="1686">
        <v>-557.79999999999995</v>
      </c>
      <c r="K53" s="1687">
        <v>-573.69856999999956</v>
      </c>
      <c r="L53" s="1686">
        <v>-716.02034199999889</v>
      </c>
      <c r="M53" s="1687">
        <v>-742.79970622000019</v>
      </c>
      <c r="N53" s="1686">
        <v>-729.79115459999957</v>
      </c>
      <c r="O53" s="1688"/>
      <c r="P53" s="1689">
        <v>1.7512865865549787E-2</v>
      </c>
      <c r="Q53" s="1690" t="s">
        <v>59</v>
      </c>
      <c r="R53" s="1691"/>
      <c r="S53" s="1692">
        <v>-561.72881974178517</v>
      </c>
    </row>
    <row r="54" spans="1:19" ht="11.25" customHeight="1" thickBot="1">
      <c r="A54" s="1552"/>
      <c r="B54" s="1555"/>
      <c r="C54" s="1555"/>
      <c r="D54" s="1693"/>
      <c r="E54" s="1693"/>
      <c r="F54" s="1693"/>
      <c r="G54" s="1693"/>
      <c r="H54" s="1693"/>
      <c r="I54" s="1694"/>
      <c r="J54" s="1694"/>
      <c r="K54" s="1694"/>
      <c r="L54" s="1694"/>
      <c r="M54" s="1694"/>
      <c r="N54" s="1694"/>
      <c r="O54" s="1694"/>
      <c r="P54" s="1555"/>
      <c r="Q54" s="1693"/>
      <c r="R54" s="1693"/>
      <c r="S54" s="1693"/>
    </row>
    <row r="55" spans="1:19" ht="13.5" customHeight="1">
      <c r="A55" s="1552"/>
      <c r="B55" s="1695" t="s">
        <v>1623</v>
      </c>
      <c r="C55" s="1552"/>
      <c r="D55" s="1552"/>
      <c r="E55" s="1552"/>
      <c r="F55" s="1552"/>
      <c r="G55" s="1552"/>
      <c r="H55" s="1552"/>
      <c r="I55" s="1552"/>
      <c r="J55" s="1552"/>
      <c r="K55" s="1552"/>
      <c r="L55" s="1552"/>
      <c r="M55" s="1552"/>
      <c r="N55" s="1552"/>
      <c r="O55" s="1552"/>
      <c r="P55" s="1552"/>
      <c r="Q55" s="1552"/>
      <c r="R55" s="1552"/>
      <c r="S55" s="1552"/>
    </row>
    <row r="56" spans="1:19" ht="14.25" customHeight="1">
      <c r="A56" s="1552"/>
      <c r="B56" s="1552"/>
      <c r="C56" s="1552"/>
      <c r="D56" s="1552"/>
      <c r="E56" s="1552"/>
      <c r="F56" s="1552"/>
      <c r="G56" s="1552"/>
      <c r="H56" s="1552"/>
      <c r="I56" s="1552"/>
      <c r="J56" s="1552"/>
      <c r="K56" s="1552"/>
      <c r="L56" s="1552"/>
      <c r="M56" s="1552"/>
      <c r="N56" s="1552"/>
      <c r="O56" s="1552"/>
      <c r="P56" s="1552"/>
      <c r="Q56" s="1552"/>
      <c r="R56" s="1552"/>
    </row>
    <row r="57" spans="1:19" ht="12.75" customHeight="1">
      <c r="A57" s="1552"/>
      <c r="B57" s="1552"/>
      <c r="C57" s="1552"/>
      <c r="D57" s="1552"/>
      <c r="E57" s="1552"/>
      <c r="F57" s="1552"/>
      <c r="G57" s="1552"/>
      <c r="H57" s="1552"/>
      <c r="I57" s="1552"/>
      <c r="J57" s="1552"/>
      <c r="K57" s="1552"/>
      <c r="L57" s="1552"/>
      <c r="M57" s="1552"/>
      <c r="N57" s="1552"/>
      <c r="O57" s="1552"/>
      <c r="P57" s="1552"/>
      <c r="Q57" s="1552"/>
      <c r="R57" s="1552"/>
    </row>
    <row r="58" spans="1:19">
      <c r="A58" s="1552"/>
      <c r="B58" s="1552"/>
      <c r="C58" s="1552"/>
      <c r="D58" s="1552"/>
      <c r="E58" s="1552"/>
      <c r="F58" s="1552"/>
      <c r="G58" s="1552"/>
      <c r="H58" s="1552"/>
      <c r="I58" s="1552"/>
      <c r="J58" s="1552"/>
      <c r="K58" s="1552"/>
      <c r="L58" s="1552"/>
      <c r="M58" s="1552"/>
      <c r="N58" s="1552"/>
      <c r="O58" s="1552"/>
      <c r="P58" s="1552"/>
      <c r="Q58" s="1552"/>
      <c r="R58" s="1552"/>
    </row>
    <row r="59" spans="1:19">
      <c r="A59" s="1552"/>
      <c r="B59" s="1696" t="s">
        <v>2382</v>
      </c>
      <c r="C59" s="1697"/>
      <c r="D59" s="1552"/>
      <c r="E59" s="1552"/>
      <c r="F59" s="1552"/>
      <c r="G59" s="1552"/>
      <c r="H59" s="1552"/>
      <c r="I59" s="1552"/>
      <c r="J59" s="1552"/>
      <c r="K59" s="1552"/>
      <c r="L59" s="1552"/>
      <c r="M59" s="1552"/>
      <c r="N59" s="1552"/>
      <c r="O59" s="1552"/>
      <c r="P59" s="1552"/>
      <c r="Q59" s="1552"/>
      <c r="R59" s="1552"/>
    </row>
    <row r="60" spans="1:19">
      <c r="A60" s="1552"/>
      <c r="B60" s="1659" t="s">
        <v>2383</v>
      </c>
      <c r="C60" s="1659"/>
      <c r="D60" s="1552"/>
      <c r="E60" s="1552"/>
      <c r="F60" s="1552"/>
      <c r="G60" s="1552"/>
      <c r="H60" s="1552"/>
      <c r="I60" s="1552"/>
      <c r="J60" s="1552"/>
      <c r="K60" s="1552"/>
      <c r="L60" s="1552"/>
      <c r="M60" s="1552"/>
      <c r="N60" s="1552"/>
      <c r="O60" s="1552"/>
      <c r="P60" s="1552"/>
      <c r="Q60" s="1552"/>
      <c r="R60" s="1552"/>
    </row>
    <row r="61" spans="1:19">
      <c r="A61" s="1552"/>
      <c r="B61" s="1659" t="s">
        <v>2384</v>
      </c>
      <c r="C61" s="1659"/>
      <c r="D61" s="1552"/>
      <c r="E61" s="1552"/>
      <c r="F61" s="1552"/>
      <c r="G61" s="1552"/>
      <c r="H61" s="1552"/>
      <c r="I61" s="1552"/>
      <c r="J61" s="1552"/>
      <c r="K61" s="1552"/>
      <c r="L61" s="1552"/>
      <c r="M61" s="1552"/>
      <c r="N61" s="1552"/>
      <c r="O61" s="1552"/>
      <c r="P61" s="1552"/>
      <c r="Q61" s="1552"/>
      <c r="R61" s="1552"/>
    </row>
    <row r="62" spans="1:19">
      <c r="A62" s="1552"/>
      <c r="B62" s="1659" t="s">
        <v>2385</v>
      </c>
      <c r="C62" s="1659"/>
      <c r="D62" s="1552"/>
      <c r="E62" s="1552"/>
      <c r="F62" s="1552"/>
      <c r="G62" s="1552"/>
      <c r="H62" s="1552"/>
      <c r="I62" s="1552"/>
      <c r="J62" s="1552"/>
      <c r="K62" s="1552"/>
      <c r="L62" s="1552"/>
      <c r="M62" s="1552"/>
      <c r="N62" s="1552"/>
      <c r="O62" s="1552"/>
      <c r="P62" s="1552"/>
      <c r="Q62" s="1552"/>
      <c r="R62" s="1552"/>
    </row>
    <row r="63" spans="1:19">
      <c r="A63" s="1552"/>
      <c r="B63" s="1659" t="s">
        <v>2386</v>
      </c>
      <c r="C63" s="1552"/>
      <c r="D63" s="1552"/>
      <c r="E63" s="1552"/>
      <c r="F63" s="1552"/>
      <c r="G63" s="1552"/>
      <c r="H63" s="1552"/>
      <c r="I63" s="1552"/>
      <c r="J63" s="1552"/>
      <c r="K63" s="1552"/>
      <c r="L63" s="1552"/>
      <c r="M63" s="1552"/>
      <c r="N63" s="1552"/>
      <c r="O63" s="1552"/>
      <c r="P63" s="1552"/>
      <c r="Q63" s="1552"/>
      <c r="R63" s="1552"/>
    </row>
    <row r="64" spans="1:19">
      <c r="A64" s="1552"/>
      <c r="B64" s="1659" t="s">
        <v>2387</v>
      </c>
      <c r="C64" s="1552"/>
      <c r="D64" s="1552"/>
      <c r="E64" s="1552"/>
      <c r="F64" s="1552"/>
      <c r="G64" s="1552"/>
      <c r="H64" s="1552"/>
      <c r="I64" s="1552"/>
      <c r="J64" s="1552"/>
      <c r="K64" s="1552"/>
      <c r="L64" s="1552"/>
      <c r="M64" s="1552"/>
      <c r="N64" s="1552"/>
      <c r="O64" s="1552"/>
      <c r="P64" s="1552"/>
      <c r="Q64" s="1552"/>
      <c r="R64" s="1552"/>
    </row>
    <row r="65" spans="1:18">
      <c r="A65" s="1552"/>
      <c r="B65" s="1659" t="s">
        <v>2388</v>
      </c>
      <c r="C65" s="1659"/>
      <c r="D65" s="1552"/>
      <c r="E65" s="1552"/>
      <c r="F65" s="1552"/>
      <c r="G65" s="1552"/>
      <c r="H65" s="1552"/>
      <c r="I65" s="1552"/>
      <c r="J65" s="1552"/>
      <c r="K65" s="1552"/>
      <c r="L65" s="1552"/>
      <c r="M65" s="1552"/>
      <c r="N65" s="1552"/>
      <c r="O65" s="1552"/>
      <c r="P65" s="1552"/>
      <c r="Q65" s="1552"/>
      <c r="R65" s="1552"/>
    </row>
    <row r="66" spans="1:18">
      <c r="A66" s="1552"/>
      <c r="B66" s="1698" t="s">
        <v>2389</v>
      </c>
      <c r="C66" s="1659"/>
      <c r="D66" s="1552"/>
      <c r="E66" s="1552"/>
      <c r="F66" s="1552"/>
      <c r="G66" s="1552"/>
      <c r="H66" s="1552"/>
      <c r="I66" s="1552"/>
      <c r="J66" s="1552"/>
      <c r="K66" s="1552"/>
      <c r="L66" s="1552"/>
      <c r="M66" s="1552"/>
      <c r="N66" s="1552"/>
      <c r="O66" s="1552"/>
      <c r="P66" s="1552"/>
      <c r="Q66" s="1552"/>
      <c r="R66" s="1552"/>
    </row>
    <row r="67" spans="1:18">
      <c r="A67" s="1552"/>
      <c r="B67" s="1698" t="s">
        <v>2390</v>
      </c>
      <c r="C67" s="1659"/>
      <c r="D67" s="1552"/>
      <c r="E67" s="1552"/>
      <c r="F67" s="1552"/>
      <c r="G67" s="1552"/>
      <c r="H67" s="1552"/>
      <c r="I67" s="1552"/>
      <c r="J67" s="1552"/>
      <c r="K67" s="1552"/>
      <c r="L67" s="1552"/>
      <c r="M67" s="1552"/>
      <c r="N67" s="1552"/>
      <c r="O67" s="1552"/>
      <c r="P67" s="1552"/>
      <c r="Q67" s="1552"/>
      <c r="R67" s="1552"/>
    </row>
    <row r="68" spans="1:18">
      <c r="A68" s="1552"/>
      <c r="B68" s="1698" t="s">
        <v>2391</v>
      </c>
      <c r="C68" s="1699"/>
      <c r="D68" s="1552"/>
      <c r="E68" s="1552"/>
      <c r="F68" s="1552"/>
      <c r="G68" s="1552"/>
      <c r="H68" s="1552"/>
      <c r="I68" s="1552"/>
      <c r="J68" s="1552"/>
      <c r="K68" s="1552"/>
      <c r="L68" s="1552"/>
      <c r="M68" s="1552"/>
      <c r="N68" s="1552"/>
      <c r="O68" s="1552"/>
      <c r="P68" s="1552"/>
      <c r="Q68" s="1552"/>
      <c r="R68" s="1552"/>
    </row>
    <row r="69" spans="1:18">
      <c r="A69" s="1552"/>
      <c r="B69" s="1659" t="s">
        <v>2392</v>
      </c>
      <c r="C69" s="1659"/>
      <c r="D69" s="1552"/>
      <c r="E69" s="1552"/>
      <c r="F69" s="1552"/>
      <c r="G69" s="1552"/>
      <c r="H69" s="1552"/>
      <c r="I69" s="1552"/>
      <c r="J69" s="1552"/>
      <c r="K69" s="1552"/>
      <c r="L69" s="1552"/>
      <c r="M69" s="1552"/>
      <c r="N69" s="1552"/>
      <c r="O69" s="1552"/>
      <c r="P69" s="1552"/>
      <c r="Q69" s="1552"/>
      <c r="R69" s="1552"/>
    </row>
    <row r="70" spans="1:18">
      <c r="A70" s="1552"/>
      <c r="B70" s="1659" t="s">
        <v>2393</v>
      </c>
      <c r="C70" s="1659"/>
      <c r="D70" s="1552"/>
      <c r="E70" s="1552"/>
      <c r="F70" s="1552"/>
      <c r="G70" s="1552"/>
      <c r="H70" s="1552"/>
      <c r="I70" s="1552"/>
      <c r="J70" s="1552"/>
      <c r="K70" s="1552"/>
      <c r="L70" s="1552"/>
      <c r="M70" s="1552"/>
      <c r="N70" s="1552"/>
      <c r="O70" s="1552"/>
      <c r="P70" s="1552"/>
      <c r="Q70" s="1552"/>
      <c r="R70" s="1552"/>
    </row>
    <row r="71" spans="1:18">
      <c r="A71" s="1552"/>
      <c r="B71" s="1659" t="s">
        <v>2394</v>
      </c>
      <c r="C71" s="1699"/>
      <c r="D71" s="1552"/>
      <c r="E71" s="1552"/>
      <c r="F71" s="1552"/>
      <c r="G71" s="1552"/>
      <c r="H71" s="1552"/>
      <c r="I71" s="1552"/>
      <c r="J71" s="1552"/>
      <c r="K71" s="1552"/>
      <c r="L71" s="1552"/>
      <c r="M71" s="1552"/>
      <c r="N71" s="1552"/>
      <c r="O71" s="1552"/>
      <c r="P71" s="1552"/>
      <c r="Q71" s="1552"/>
      <c r="R71" s="1552"/>
    </row>
    <row r="72" spans="1:18">
      <c r="A72" s="1552"/>
      <c r="B72" s="1552" t="s">
        <v>2395</v>
      </c>
      <c r="C72" s="1700"/>
      <c r="D72" s="1552"/>
      <c r="E72" s="1552"/>
      <c r="F72" s="1552"/>
      <c r="G72" s="1552"/>
      <c r="H72" s="1552"/>
      <c r="I72" s="1552"/>
      <c r="J72" s="1552"/>
      <c r="K72" s="1552"/>
      <c r="L72" s="1552"/>
      <c r="M72" s="1552"/>
      <c r="N72" s="1552"/>
      <c r="O72" s="1552"/>
      <c r="P72" s="1552"/>
      <c r="Q72" s="1552"/>
      <c r="R72" s="1552"/>
    </row>
    <row r="73" spans="1:18">
      <c r="A73" s="1552"/>
      <c r="B73" s="1552" t="s">
        <v>2396</v>
      </c>
      <c r="C73" s="1700"/>
      <c r="D73" s="1552"/>
      <c r="E73" s="1552"/>
      <c r="F73" s="1552"/>
      <c r="G73" s="1552"/>
      <c r="H73" s="1552"/>
      <c r="I73" s="1552"/>
      <c r="J73" s="1552"/>
      <c r="K73" s="1552"/>
      <c r="L73" s="1552"/>
      <c r="M73" s="1552"/>
      <c r="N73" s="1552"/>
      <c r="O73" s="1552"/>
      <c r="P73" s="1552"/>
      <c r="Q73" s="1552"/>
      <c r="R73" s="1552"/>
    </row>
    <row r="74" spans="1:18">
      <c r="A74" s="1552"/>
      <c r="B74" s="1552" t="s">
        <v>2397</v>
      </c>
      <c r="C74" s="1659"/>
      <c r="D74" s="1552"/>
      <c r="E74" s="1552"/>
      <c r="F74" s="1552"/>
      <c r="G74" s="1552"/>
      <c r="H74" s="1552"/>
      <c r="I74" s="1552"/>
      <c r="J74" s="1552"/>
      <c r="K74" s="1552"/>
      <c r="L74" s="1552"/>
      <c r="M74" s="1552"/>
      <c r="N74" s="1552"/>
      <c r="O74" s="1552"/>
      <c r="P74" s="1552"/>
      <c r="Q74" s="1552"/>
      <c r="R74" s="1552"/>
    </row>
    <row r="75" spans="1:18">
      <c r="A75" s="1552"/>
      <c r="B75" s="1552" t="s">
        <v>2398</v>
      </c>
      <c r="C75" s="1659"/>
      <c r="D75" s="1552"/>
      <c r="E75" s="1552"/>
      <c r="F75" s="1552"/>
      <c r="G75" s="1552"/>
      <c r="H75" s="1552"/>
      <c r="I75" s="1552"/>
      <c r="J75" s="1552"/>
      <c r="K75" s="1552"/>
      <c r="L75" s="1552"/>
      <c r="M75" s="1552"/>
      <c r="N75" s="1552"/>
      <c r="O75" s="1552"/>
      <c r="P75" s="1552"/>
      <c r="Q75" s="1552"/>
      <c r="R75" s="1552"/>
    </row>
    <row r="76" spans="1:18" ht="15">
      <c r="A76" s="1552"/>
      <c r="B76" s="1698" t="s">
        <v>2434</v>
      </c>
      <c r="C76" s="1552"/>
      <c r="D76" s="1552"/>
      <c r="E76" s="1552"/>
      <c r="F76" s="1552"/>
      <c r="G76" s="1552"/>
      <c r="H76" s="1552"/>
      <c r="I76" s="1552"/>
      <c r="J76" s="1552"/>
      <c r="K76" s="1552"/>
      <c r="L76" s="1552"/>
      <c r="M76" s="1552"/>
      <c r="N76" s="1552"/>
      <c r="O76" s="1552"/>
      <c r="P76" s="1552"/>
      <c r="Q76" s="1552"/>
      <c r="R76" s="1552"/>
    </row>
    <row r="77" spans="1:18">
      <c r="A77" s="1552"/>
      <c r="B77" s="1698" t="s">
        <v>2399</v>
      </c>
      <c r="C77" s="1659"/>
      <c r="D77" s="1552"/>
      <c r="E77" s="1552"/>
      <c r="F77" s="1552"/>
      <c r="G77" s="1552"/>
      <c r="H77" s="1552"/>
      <c r="I77" s="1552"/>
      <c r="J77" s="1552"/>
      <c r="K77" s="1552"/>
      <c r="L77" s="1552"/>
      <c r="M77" s="1552"/>
      <c r="N77" s="1552"/>
      <c r="O77" s="1552"/>
      <c r="P77" s="1552"/>
      <c r="Q77" s="1552"/>
      <c r="R77" s="1552"/>
    </row>
    <row r="78" spans="1:18">
      <c r="A78" s="1552"/>
      <c r="B78" s="1659" t="s">
        <v>2400</v>
      </c>
      <c r="C78" s="1659"/>
      <c r="D78" s="1552"/>
      <c r="E78" s="1552"/>
      <c r="F78" s="1552"/>
      <c r="G78" s="1552"/>
      <c r="H78" s="1552"/>
      <c r="I78" s="1552"/>
      <c r="J78" s="1552"/>
      <c r="K78" s="1552"/>
      <c r="L78" s="1552"/>
      <c r="M78" s="1552"/>
      <c r="N78" s="1552"/>
      <c r="O78" s="1552"/>
      <c r="P78" s="1552"/>
      <c r="Q78" s="1552"/>
      <c r="R78" s="1552"/>
    </row>
    <row r="79" spans="1:18">
      <c r="A79" s="1552"/>
      <c r="B79" s="1698" t="s">
        <v>2401</v>
      </c>
      <c r="C79" s="1659"/>
      <c r="D79" s="1552"/>
      <c r="E79" s="1552"/>
      <c r="F79" s="1552"/>
      <c r="G79" s="1552"/>
      <c r="H79" s="1552"/>
      <c r="I79" s="1552"/>
      <c r="J79" s="1552"/>
      <c r="K79" s="1552"/>
      <c r="L79" s="1552"/>
      <c r="M79" s="1552"/>
      <c r="N79" s="1552"/>
      <c r="O79" s="1552"/>
      <c r="P79" s="1552"/>
      <c r="Q79" s="1552"/>
      <c r="R79" s="1552"/>
    </row>
    <row r="80" spans="1:18">
      <c r="A80" s="1552"/>
      <c r="B80" s="1698" t="s">
        <v>2435</v>
      </c>
      <c r="C80" s="1659"/>
      <c r="D80" s="1552"/>
      <c r="E80" s="1552"/>
      <c r="F80" s="1552"/>
      <c r="G80" s="1552"/>
      <c r="H80" s="1552"/>
      <c r="I80" s="1552"/>
      <c r="J80" s="1552"/>
      <c r="K80" s="1552"/>
      <c r="L80" s="1552"/>
      <c r="M80" s="1552"/>
      <c r="N80" s="1552"/>
      <c r="O80" s="1552"/>
      <c r="P80" s="1552"/>
      <c r="Q80" s="1552"/>
      <c r="R80" s="1552"/>
    </row>
    <row r="81" spans="1:18" ht="15">
      <c r="A81" s="1552"/>
      <c r="B81" s="1701" t="s">
        <v>2436</v>
      </c>
      <c r="C81" s="1659"/>
      <c r="D81" s="1552"/>
      <c r="E81" s="1552"/>
      <c r="F81" s="1552"/>
      <c r="G81" s="1552"/>
      <c r="H81" s="1552"/>
      <c r="I81" s="1552"/>
      <c r="J81" s="1552"/>
      <c r="K81" s="1552"/>
      <c r="L81" s="1552"/>
      <c r="M81" s="1552"/>
      <c r="N81" s="1552"/>
      <c r="O81" s="1552"/>
      <c r="P81" s="1552"/>
      <c r="Q81" s="1552"/>
      <c r="R81" s="1552"/>
    </row>
    <row r="82" spans="1:18">
      <c r="A82" s="1552"/>
      <c r="B82" s="1552"/>
      <c r="C82" s="1552"/>
      <c r="D82" s="1552"/>
      <c r="E82" s="1552"/>
      <c r="F82" s="1552"/>
      <c r="G82" s="1552"/>
      <c r="H82" s="1552"/>
      <c r="I82" s="1552"/>
      <c r="J82" s="1552"/>
      <c r="K82" s="1552"/>
      <c r="L82" s="1552"/>
      <c r="M82" s="1552"/>
      <c r="N82" s="1552"/>
      <c r="O82" s="1552"/>
      <c r="P82" s="1552"/>
      <c r="Q82" s="1552"/>
      <c r="R82" s="1552"/>
    </row>
    <row r="83" spans="1:18">
      <c r="A83" s="1552"/>
      <c r="B83" s="1552"/>
      <c r="C83" s="1552"/>
      <c r="D83" s="1552"/>
      <c r="E83" s="1552"/>
      <c r="F83" s="1552"/>
      <c r="G83" s="1552"/>
      <c r="H83" s="1552"/>
      <c r="I83" s="1552"/>
      <c r="J83" s="1552"/>
      <c r="K83" s="1552"/>
      <c r="L83" s="1552"/>
      <c r="M83" s="1552"/>
      <c r="N83" s="1552"/>
      <c r="O83" s="1552"/>
      <c r="P83" s="1552"/>
      <c r="Q83" s="1552"/>
      <c r="R83" s="1552"/>
    </row>
    <row r="84" spans="1:18">
      <c r="A84" s="1552"/>
      <c r="B84" s="1696" t="s">
        <v>2402</v>
      </c>
      <c r="C84" s="1552"/>
      <c r="D84" s="1552"/>
      <c r="E84" s="1552"/>
      <c r="F84" s="1552"/>
      <c r="G84" s="1552"/>
      <c r="H84" s="1552"/>
      <c r="I84" s="1552"/>
      <c r="J84" s="1552"/>
      <c r="K84" s="1552"/>
      <c r="L84" s="1552"/>
      <c r="M84" s="1552"/>
      <c r="N84" s="1552"/>
      <c r="O84" s="1552"/>
      <c r="P84" s="1552"/>
      <c r="Q84" s="1552"/>
      <c r="R84" s="1552"/>
    </row>
    <row r="85" spans="1:18">
      <c r="A85" s="1552"/>
      <c r="B85" s="1552" t="s">
        <v>2403</v>
      </c>
      <c r="C85" s="1552"/>
      <c r="D85" s="1552"/>
      <c r="E85" s="1552"/>
      <c r="F85" s="1552"/>
      <c r="G85" s="1552"/>
      <c r="H85" s="1552"/>
      <c r="I85" s="1552"/>
      <c r="J85" s="1552"/>
      <c r="K85" s="1552"/>
      <c r="L85" s="1552"/>
      <c r="M85" s="1552"/>
      <c r="N85" s="1552"/>
      <c r="O85" s="1552"/>
      <c r="P85" s="1552"/>
      <c r="Q85" s="1552"/>
      <c r="R85" s="1552"/>
    </row>
    <row r="86" spans="1:18">
      <c r="A86" s="1552"/>
      <c r="B86" s="1552" t="s">
        <v>2404</v>
      </c>
      <c r="C86" s="1552"/>
      <c r="D86" s="1552"/>
      <c r="E86" s="1552"/>
      <c r="F86" s="1552"/>
      <c r="G86" s="1552"/>
      <c r="H86" s="1552"/>
      <c r="I86" s="1552"/>
      <c r="J86" s="1552"/>
      <c r="K86" s="1552"/>
      <c r="L86" s="1552"/>
      <c r="M86" s="1552"/>
      <c r="N86" s="1552"/>
      <c r="O86" s="1552"/>
      <c r="P86" s="1552"/>
      <c r="Q86" s="1552"/>
      <c r="R86" s="1552"/>
    </row>
    <row r="87" spans="1:18">
      <c r="A87" s="1552"/>
      <c r="B87" s="1659" t="s">
        <v>2405</v>
      </c>
      <c r="C87" s="1552"/>
      <c r="D87" s="1552"/>
      <c r="E87" s="1552"/>
      <c r="F87" s="1552"/>
      <c r="G87" s="1552"/>
      <c r="H87" s="1552"/>
      <c r="I87" s="1552"/>
      <c r="J87" s="1552"/>
      <c r="K87" s="1552"/>
      <c r="L87" s="1552"/>
      <c r="M87" s="1552"/>
      <c r="N87" s="1552"/>
      <c r="O87" s="1552"/>
      <c r="P87" s="1552"/>
      <c r="Q87" s="1552"/>
      <c r="R87" s="1552"/>
    </row>
    <row r="88" spans="1:18">
      <c r="B88" s="1659" t="s">
        <v>2406</v>
      </c>
    </row>
    <row r="89" spans="1:18">
      <c r="B89" s="1698" t="s">
        <v>2437</v>
      </c>
    </row>
    <row r="90" spans="1:18" ht="15">
      <c r="B90" s="1701" t="s">
        <v>2438</v>
      </c>
    </row>
    <row r="93" spans="1:18" ht="16.5" customHeight="1">
      <c r="A93" s="1552"/>
      <c r="B93" s="1702" t="s">
        <v>2407</v>
      </c>
      <c r="C93" s="1672"/>
      <c r="D93" s="1552"/>
      <c r="E93" s="1552"/>
      <c r="F93" s="1552"/>
      <c r="G93" s="1552"/>
      <c r="H93" s="1552"/>
      <c r="I93" s="1552"/>
      <c r="J93" s="1552"/>
      <c r="K93" s="1552"/>
      <c r="L93" s="1552"/>
      <c r="M93" s="1552"/>
      <c r="N93" s="1552"/>
      <c r="O93" s="1552"/>
      <c r="P93" s="1552"/>
      <c r="Q93" s="1552"/>
      <c r="R93" s="1552"/>
    </row>
    <row r="94" spans="1:18">
      <c r="A94" s="1552"/>
      <c r="B94" s="1698" t="s">
        <v>2408</v>
      </c>
      <c r="C94" s="1552"/>
      <c r="D94" s="1552"/>
      <c r="E94" s="1552"/>
      <c r="F94" s="1552"/>
      <c r="G94" s="1552"/>
      <c r="H94" s="1552"/>
      <c r="I94" s="1552"/>
      <c r="J94" s="1552"/>
      <c r="K94" s="1552"/>
      <c r="L94" s="1552"/>
      <c r="M94" s="1552"/>
      <c r="N94" s="1552"/>
      <c r="O94" s="1552"/>
      <c r="P94" s="1552"/>
      <c r="Q94" s="1552"/>
      <c r="R94" s="1552"/>
    </row>
    <row r="95" spans="1:18">
      <c r="A95" s="1552"/>
      <c r="B95" s="1552" t="s">
        <v>2409</v>
      </c>
      <c r="C95" s="1552"/>
      <c r="D95" s="1552"/>
      <c r="E95" s="1552"/>
      <c r="F95" s="1552"/>
      <c r="G95" s="1552"/>
      <c r="H95" s="1552"/>
      <c r="I95" s="1552"/>
      <c r="J95" s="1552"/>
      <c r="K95" s="1552"/>
      <c r="L95" s="1552"/>
      <c r="M95" s="1552"/>
      <c r="N95" s="1552"/>
      <c r="O95" s="1552"/>
      <c r="P95" s="1552"/>
      <c r="Q95" s="1552"/>
      <c r="R95" s="1552"/>
    </row>
    <row r="96" spans="1:18">
      <c r="A96" s="1552"/>
      <c r="B96" s="1552" t="s">
        <v>2410</v>
      </c>
      <c r="C96" s="1552"/>
      <c r="D96" s="1552"/>
      <c r="E96" s="1552"/>
      <c r="F96" s="1552"/>
      <c r="G96" s="1552"/>
      <c r="H96" s="1552"/>
      <c r="I96" s="1552"/>
      <c r="J96" s="1552"/>
      <c r="K96" s="1552"/>
      <c r="L96" s="1552"/>
      <c r="M96" s="1552"/>
      <c r="N96" s="1552"/>
      <c r="O96" s="1552"/>
      <c r="P96" s="1552"/>
      <c r="Q96" s="1552"/>
      <c r="R96" s="1552"/>
    </row>
    <row r="97" spans="1:18">
      <c r="A97" s="1552"/>
      <c r="B97" s="1552" t="s">
        <v>2411</v>
      </c>
      <c r="C97" s="1552"/>
      <c r="D97" s="1552"/>
      <c r="E97" s="1552"/>
      <c r="F97" s="1552"/>
      <c r="G97" s="1552"/>
      <c r="H97" s="1552"/>
      <c r="I97" s="1552"/>
      <c r="J97" s="1552"/>
      <c r="K97" s="1552"/>
      <c r="L97" s="1552"/>
      <c r="M97" s="1552"/>
      <c r="N97" s="1552"/>
      <c r="O97" s="1552"/>
      <c r="P97" s="1552"/>
      <c r="Q97" s="1552"/>
      <c r="R97" s="1552"/>
    </row>
    <row r="98" spans="1:18">
      <c r="A98" s="1552"/>
      <c r="B98" s="1552" t="s">
        <v>2412</v>
      </c>
      <c r="C98" s="1552"/>
      <c r="D98" s="1552"/>
      <c r="E98" s="1552"/>
      <c r="F98" s="1552"/>
      <c r="G98" s="1552"/>
      <c r="H98" s="1552"/>
      <c r="I98" s="1552"/>
      <c r="J98" s="1552"/>
      <c r="K98" s="1552"/>
      <c r="L98" s="1552"/>
      <c r="M98" s="1552"/>
      <c r="N98" s="1552"/>
      <c r="O98" s="1552"/>
      <c r="P98" s="1552"/>
      <c r="Q98" s="1552"/>
      <c r="R98" s="1552"/>
    </row>
    <row r="99" spans="1:18">
      <c r="A99" s="1552"/>
      <c r="B99" s="1552" t="s">
        <v>2413</v>
      </c>
      <c r="C99" s="1552"/>
      <c r="D99" s="1552"/>
      <c r="E99" s="1552"/>
      <c r="F99" s="1552"/>
      <c r="G99" s="1552"/>
      <c r="H99" s="1552"/>
      <c r="I99" s="1552"/>
      <c r="J99" s="1552"/>
      <c r="K99" s="1552"/>
      <c r="L99" s="1552"/>
      <c r="M99" s="1552"/>
      <c r="N99" s="1552"/>
      <c r="O99" s="1552"/>
      <c r="P99" s="1552"/>
      <c r="Q99" s="1552"/>
      <c r="R99" s="1552"/>
    </row>
    <row r="100" spans="1:18">
      <c r="A100" s="1552"/>
      <c r="B100" s="1552" t="s">
        <v>2414</v>
      </c>
      <c r="C100" s="1552"/>
      <c r="D100" s="1552"/>
      <c r="E100" s="1552"/>
      <c r="F100" s="1552"/>
      <c r="G100" s="1552"/>
      <c r="H100" s="1552"/>
      <c r="I100" s="1552"/>
      <c r="J100" s="1552"/>
      <c r="K100" s="1552"/>
      <c r="L100" s="1552"/>
      <c r="M100" s="1552"/>
      <c r="N100" s="1552"/>
      <c r="O100" s="1552"/>
      <c r="P100" s="1552"/>
      <c r="Q100" s="1552"/>
      <c r="R100" s="1552"/>
    </row>
    <row r="101" spans="1:18">
      <c r="A101" s="1552"/>
      <c r="B101" s="1552" t="s">
        <v>2415</v>
      </c>
      <c r="C101" s="1552"/>
      <c r="D101" s="1552"/>
      <c r="E101" s="1552"/>
      <c r="F101" s="1552"/>
      <c r="G101" s="1552"/>
      <c r="H101" s="1552"/>
      <c r="I101" s="1552"/>
      <c r="J101" s="1552"/>
      <c r="K101" s="1552"/>
      <c r="L101" s="1552"/>
      <c r="M101" s="1552"/>
      <c r="N101" s="1552"/>
      <c r="O101" s="1552"/>
      <c r="P101" s="1552"/>
      <c r="Q101" s="1552"/>
      <c r="R101" s="1552"/>
    </row>
    <row r="102" spans="1:18">
      <c r="A102" s="1552"/>
      <c r="B102" s="1552" t="s">
        <v>2416</v>
      </c>
      <c r="C102" s="1552"/>
      <c r="D102" s="1552"/>
      <c r="E102" s="1552"/>
      <c r="F102" s="1552"/>
      <c r="G102" s="1552"/>
      <c r="H102" s="1552"/>
      <c r="I102" s="1552"/>
      <c r="J102" s="1552"/>
      <c r="K102" s="1552"/>
      <c r="L102" s="1552"/>
      <c r="M102" s="1552"/>
      <c r="N102" s="1552"/>
      <c r="O102" s="1552"/>
      <c r="P102" s="1552"/>
      <c r="Q102" s="1552"/>
      <c r="R102" s="1552"/>
    </row>
    <row r="103" spans="1:18">
      <c r="A103" s="1552"/>
      <c r="B103" s="1552" t="s">
        <v>2417</v>
      </c>
      <c r="C103" s="1552"/>
      <c r="D103" s="1552"/>
      <c r="E103" s="1552"/>
      <c r="F103" s="1552"/>
      <c r="G103" s="1552"/>
      <c r="H103" s="1552"/>
      <c r="I103" s="1552"/>
      <c r="J103" s="1552"/>
      <c r="K103" s="1552"/>
      <c r="L103" s="1552"/>
      <c r="M103" s="1552"/>
      <c r="N103" s="1552"/>
      <c r="O103" s="1552"/>
      <c r="P103" s="1552"/>
      <c r="Q103" s="1552"/>
      <c r="R103" s="1552"/>
    </row>
    <row r="104" spans="1:18">
      <c r="A104" s="1552"/>
      <c r="B104" s="1698" t="s">
        <v>2418</v>
      </c>
      <c r="C104" s="1552"/>
      <c r="D104" s="1552"/>
      <c r="E104" s="1552"/>
      <c r="F104" s="1552"/>
      <c r="G104" s="1552"/>
      <c r="H104" s="1552"/>
      <c r="I104" s="1552"/>
      <c r="J104" s="1552"/>
      <c r="K104" s="1552"/>
      <c r="L104" s="1552"/>
      <c r="M104" s="1552"/>
      <c r="N104" s="1552"/>
      <c r="O104" s="1552"/>
      <c r="P104" s="1552"/>
      <c r="Q104" s="1552"/>
      <c r="R104" s="1552"/>
    </row>
    <row r="105" spans="1:18">
      <c r="A105" s="1552"/>
      <c r="B105" s="1698" t="s">
        <v>2419</v>
      </c>
      <c r="C105" s="1552"/>
      <c r="D105" s="1552"/>
      <c r="E105" s="1552"/>
      <c r="F105" s="1552"/>
      <c r="G105" s="1552"/>
      <c r="H105" s="1552"/>
      <c r="I105" s="1552"/>
      <c r="J105" s="1552"/>
      <c r="K105" s="1552"/>
      <c r="L105" s="1552"/>
      <c r="M105" s="1552"/>
      <c r="N105" s="1552"/>
      <c r="O105" s="1552"/>
      <c r="P105" s="1552"/>
      <c r="Q105" s="1552"/>
      <c r="R105" s="1552"/>
    </row>
    <row r="106" spans="1:18" ht="13.5" customHeight="1">
      <c r="A106" s="1552"/>
      <c r="B106" s="1552" t="s">
        <v>2420</v>
      </c>
      <c r="C106" s="1552"/>
      <c r="D106" s="1552"/>
      <c r="E106" s="1552"/>
      <c r="F106" s="1552"/>
      <c r="G106" s="1552"/>
      <c r="H106" s="1552"/>
      <c r="I106" s="1552"/>
      <c r="J106" s="1552"/>
      <c r="K106" s="1552"/>
      <c r="L106" s="1552"/>
      <c r="M106" s="1552"/>
      <c r="N106" s="1552"/>
      <c r="O106" s="1552"/>
      <c r="P106" s="1552"/>
      <c r="Q106" s="1552"/>
      <c r="R106" s="1552"/>
    </row>
    <row r="107" spans="1:18" ht="12.75" customHeight="1">
      <c r="A107" s="1552"/>
      <c r="B107" s="1698" t="s">
        <v>2439</v>
      </c>
      <c r="C107" s="1552"/>
      <c r="D107" s="1552"/>
      <c r="E107" s="1552"/>
      <c r="F107" s="1552"/>
      <c r="G107" s="1552"/>
      <c r="H107" s="1552"/>
      <c r="I107" s="1552"/>
      <c r="J107" s="1552"/>
      <c r="K107" s="1552"/>
      <c r="L107" s="1552"/>
      <c r="M107" s="1552"/>
      <c r="N107" s="1552"/>
      <c r="O107" s="1552"/>
      <c r="P107" s="1552"/>
      <c r="Q107" s="1552"/>
      <c r="R107" s="1552"/>
    </row>
    <row r="110" spans="1:18">
      <c r="A110" s="1552"/>
      <c r="B110" s="1552" t="s">
        <v>634</v>
      </c>
      <c r="C110" s="1703"/>
      <c r="D110" s="1552"/>
      <c r="E110" s="1552"/>
      <c r="F110" s="1552"/>
      <c r="G110" s="1552"/>
      <c r="H110" s="1552"/>
      <c r="I110" s="1552"/>
      <c r="J110" s="1552"/>
      <c r="K110" s="1552"/>
      <c r="L110" s="1552"/>
      <c r="M110" s="1552"/>
      <c r="N110" s="1552"/>
      <c r="O110" s="1552"/>
      <c r="P110" s="1552"/>
      <c r="Q110" s="1552"/>
      <c r="R110" s="1552"/>
    </row>
  </sheetData>
  <mergeCells count="2">
    <mergeCell ref="A34:A42"/>
    <mergeCell ref="A7:A31"/>
  </mergeCells>
  <phoneticPr fontId="88" type="noConversion"/>
  <pageMargins left="0.4" right="0.46" top="0.47" bottom="0.33" header="0.25" footer="0.14000000000000001"/>
  <pageSetup paperSize="9" scale="67" orientation="landscape"/>
  <headerFooter alignWithMargins="0">
    <oddFooter>&amp;R&amp;8&amp;P/&amp;N</oddFooter>
  </headerFooter>
  <rowBreaks count="1" manualBreakCount="1">
    <brk id="58" max="16383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05F6-A224-174B-B48C-205102D10B5A}">
  <sheetPr>
    <pageSetUpPr fitToPage="1"/>
  </sheetPr>
  <dimension ref="A1:V52"/>
  <sheetViews>
    <sheetView topLeftCell="A27" zoomScale="75" workbookViewId="0">
      <selection activeCell="W34" sqref="W34"/>
    </sheetView>
  </sheetViews>
  <sheetFormatPr baseColWidth="10" defaultColWidth="11.3984375" defaultRowHeight="13"/>
  <cols>
    <col min="1" max="1" width="8.19921875" style="2" customWidth="1"/>
    <col min="2" max="3" width="11" style="156" customWidth="1"/>
    <col min="4" max="4" width="10.59765625" style="156" customWidth="1"/>
    <col min="5" max="8" width="11" style="156" customWidth="1"/>
    <col min="9" max="9" width="10.19921875" style="95" customWidth="1"/>
    <col min="10" max="10" width="9.796875" style="156" customWidth="1"/>
    <col min="11" max="11" width="11" style="156" customWidth="1"/>
    <col min="12" max="12" width="11.3984375" style="2"/>
    <col min="13" max="13" width="8.796875" style="2" hidden="1" customWidth="1"/>
    <col min="14" max="22" width="9.796875" style="156" hidden="1" customWidth="1"/>
    <col min="23" max="16384" width="11.3984375" style="2"/>
  </cols>
  <sheetData>
    <row r="1" spans="1:22" s="1" customFormat="1" ht="14" customHeight="1">
      <c r="A1" s="381"/>
      <c r="B1" s="1117"/>
      <c r="C1" s="1117"/>
      <c r="D1" s="1117"/>
      <c r="E1" s="1117"/>
      <c r="F1" s="1117"/>
      <c r="G1" s="1117"/>
      <c r="H1" s="1117"/>
      <c r="I1" s="1198"/>
      <c r="J1" s="1117"/>
      <c r="K1" s="1117"/>
      <c r="N1" s="136"/>
      <c r="O1" s="136"/>
      <c r="P1" s="136"/>
      <c r="Q1" s="136"/>
      <c r="R1" s="136"/>
      <c r="S1" s="136"/>
      <c r="T1" s="136"/>
      <c r="U1" s="136"/>
      <c r="V1" s="136"/>
    </row>
    <row r="2" spans="1:22" s="1" customFormat="1" ht="27" customHeight="1">
      <c r="A2" s="384" t="s">
        <v>6</v>
      </c>
      <c r="B2" s="1117"/>
      <c r="C2" s="1117"/>
      <c r="D2" s="1117"/>
      <c r="E2" s="1117"/>
      <c r="F2" s="1117"/>
      <c r="G2" s="1117"/>
      <c r="H2" s="1117"/>
      <c r="I2" s="1198"/>
      <c r="J2" s="1117"/>
      <c r="K2" s="321">
        <v>2007</v>
      </c>
      <c r="M2" s="109" t="s">
        <v>1158</v>
      </c>
      <c r="N2" s="136"/>
      <c r="O2" s="136"/>
      <c r="P2" s="136"/>
      <c r="Q2" s="136"/>
      <c r="R2" s="136"/>
      <c r="S2" s="136"/>
      <c r="T2" s="136"/>
      <c r="U2" s="136"/>
      <c r="V2" s="136"/>
    </row>
    <row r="3" spans="1:22" ht="27" customHeight="1">
      <c r="A3" s="110" t="s">
        <v>1797</v>
      </c>
      <c r="B3" s="111" t="s">
        <v>1507</v>
      </c>
      <c r="C3" s="112" t="s">
        <v>1159</v>
      </c>
      <c r="D3" s="111" t="s">
        <v>1159</v>
      </c>
      <c r="E3" s="112" t="s">
        <v>629</v>
      </c>
      <c r="F3" s="111" t="s">
        <v>1160</v>
      </c>
      <c r="G3" s="112" t="s">
        <v>7</v>
      </c>
      <c r="H3" s="111" t="s">
        <v>999</v>
      </c>
      <c r="I3" s="167" t="s">
        <v>1161</v>
      </c>
      <c r="J3" s="111" t="s">
        <v>1162</v>
      </c>
      <c r="K3" s="112" t="s">
        <v>7</v>
      </c>
      <c r="M3" s="110" t="s">
        <v>1797</v>
      </c>
      <c r="N3" s="111" t="s">
        <v>1507</v>
      </c>
      <c r="O3" s="112" t="s">
        <v>1159</v>
      </c>
      <c r="P3" s="111" t="s">
        <v>1159</v>
      </c>
      <c r="Q3" s="112" t="s">
        <v>629</v>
      </c>
      <c r="R3" s="111" t="s">
        <v>1801</v>
      </c>
      <c r="S3" s="112" t="s">
        <v>1163</v>
      </c>
      <c r="T3" s="111" t="s">
        <v>999</v>
      </c>
      <c r="U3" s="112" t="s">
        <v>1801</v>
      </c>
      <c r="V3" s="111" t="s">
        <v>1162</v>
      </c>
    </row>
    <row r="4" spans="1:22" ht="15" customHeight="1">
      <c r="A4" s="308"/>
      <c r="B4" s="391" t="s">
        <v>1164</v>
      </c>
      <c r="C4" s="115" t="s">
        <v>1165</v>
      </c>
      <c r="D4" s="114" t="s">
        <v>1166</v>
      </c>
      <c r="E4" s="928" t="s">
        <v>1167</v>
      </c>
      <c r="F4" s="114" t="s">
        <v>8</v>
      </c>
      <c r="G4" s="115" t="s">
        <v>1802</v>
      </c>
      <c r="H4" s="114" t="s">
        <v>1168</v>
      </c>
      <c r="I4" s="113" t="s">
        <v>1169</v>
      </c>
      <c r="J4" s="114" t="s">
        <v>1170</v>
      </c>
      <c r="K4" s="115" t="s">
        <v>1802</v>
      </c>
      <c r="M4" s="308"/>
      <c r="N4" s="391" t="s">
        <v>1164</v>
      </c>
      <c r="O4" s="115" t="s">
        <v>1165</v>
      </c>
      <c r="P4" s="114" t="s">
        <v>1166</v>
      </c>
      <c r="Q4" s="928" t="s">
        <v>1167</v>
      </c>
      <c r="R4" s="114" t="s">
        <v>1802</v>
      </c>
      <c r="S4" s="115" t="s">
        <v>9</v>
      </c>
      <c r="T4" s="114" t="s">
        <v>1168</v>
      </c>
      <c r="U4" s="115" t="s">
        <v>1802</v>
      </c>
      <c r="V4" s="114" t="s">
        <v>1170</v>
      </c>
    </row>
    <row r="5" spans="1:22" ht="15" hidden="1" customHeight="1">
      <c r="A5" s="308"/>
      <c r="B5" s="391"/>
      <c r="C5" s="928" t="s">
        <v>1171</v>
      </c>
      <c r="D5" s="391"/>
      <c r="E5" s="928"/>
      <c r="F5" s="114"/>
      <c r="G5" s="928"/>
      <c r="H5" s="114" t="s">
        <v>1172</v>
      </c>
      <c r="I5" s="1199"/>
      <c r="J5" s="391"/>
      <c r="K5" s="115"/>
      <c r="M5" s="308"/>
      <c r="N5" s="391"/>
      <c r="O5" s="115" t="s">
        <v>1171</v>
      </c>
      <c r="P5" s="114"/>
      <c r="Q5" s="928"/>
      <c r="R5" s="114"/>
      <c r="S5" s="115"/>
      <c r="T5" s="114" t="s">
        <v>1172</v>
      </c>
      <c r="U5" s="115"/>
      <c r="V5" s="114"/>
    </row>
    <row r="6" spans="1:22" ht="15" customHeight="1">
      <c r="A6" s="308"/>
      <c r="B6" s="391" t="s">
        <v>1173</v>
      </c>
      <c r="C6" s="928" t="s">
        <v>1174</v>
      </c>
      <c r="D6" s="391" t="s">
        <v>1175</v>
      </c>
      <c r="E6" s="928" t="s">
        <v>1176</v>
      </c>
      <c r="F6" s="391"/>
      <c r="G6" s="928" t="s">
        <v>1806</v>
      </c>
      <c r="H6" s="391" t="s">
        <v>10</v>
      </c>
      <c r="I6" s="1199" t="s">
        <v>11</v>
      </c>
      <c r="J6" s="391" t="s">
        <v>12</v>
      </c>
      <c r="K6" s="928" t="s">
        <v>1806</v>
      </c>
      <c r="M6" s="308"/>
      <c r="N6" s="391" t="s">
        <v>1173</v>
      </c>
      <c r="O6" s="928" t="s">
        <v>1174</v>
      </c>
      <c r="P6" s="391" t="s">
        <v>1177</v>
      </c>
      <c r="Q6" s="928" t="s">
        <v>1176</v>
      </c>
      <c r="R6" s="391" t="s">
        <v>1806</v>
      </c>
      <c r="S6" s="928"/>
      <c r="T6" s="114" t="s">
        <v>1178</v>
      </c>
      <c r="U6" s="928" t="s">
        <v>1806</v>
      </c>
      <c r="V6" s="114" t="s">
        <v>9</v>
      </c>
    </row>
    <row r="7" spans="1:22" ht="27" customHeight="1">
      <c r="A7" s="308"/>
      <c r="B7" s="391" t="s">
        <v>13</v>
      </c>
      <c r="C7" s="928" t="s">
        <v>14</v>
      </c>
      <c r="D7" s="391" t="s">
        <v>15</v>
      </c>
      <c r="E7" s="928" t="s">
        <v>16</v>
      </c>
      <c r="F7" s="391"/>
      <c r="G7" s="928"/>
      <c r="H7" s="391"/>
      <c r="I7" s="1199"/>
      <c r="J7" s="391"/>
      <c r="K7" s="928"/>
      <c r="M7" s="505"/>
      <c r="N7" s="120" t="s">
        <v>1336</v>
      </c>
      <c r="O7" s="119" t="s">
        <v>1179</v>
      </c>
      <c r="P7" s="120" t="s">
        <v>1180</v>
      </c>
      <c r="Q7" s="119" t="s">
        <v>1181</v>
      </c>
      <c r="R7" s="120" t="s">
        <v>870</v>
      </c>
      <c r="S7" s="119"/>
      <c r="T7" s="120"/>
      <c r="U7" s="119" t="s">
        <v>870</v>
      </c>
      <c r="V7" s="120"/>
    </row>
    <row r="8" spans="1:22" ht="30" customHeight="1" thickBot="1">
      <c r="A8" s="1144" t="s">
        <v>1807</v>
      </c>
      <c r="B8" s="326">
        <v>1322842</v>
      </c>
      <c r="C8" s="327">
        <v>1151</v>
      </c>
      <c r="D8" s="326">
        <v>1852</v>
      </c>
      <c r="E8" s="327">
        <v>3003</v>
      </c>
      <c r="F8" s="1200">
        <v>2.2701123792561773</v>
      </c>
      <c r="G8" s="555">
        <v>-1.8160991369328361E-2</v>
      </c>
      <c r="H8" s="326">
        <v>226</v>
      </c>
      <c r="I8" s="1201">
        <v>2</v>
      </c>
      <c r="J8" s="1200">
        <v>1.7084428828234968</v>
      </c>
      <c r="K8" s="555">
        <v>1.0070857930239541E-2</v>
      </c>
      <c r="M8" s="1144" t="s">
        <v>1807</v>
      </c>
      <c r="N8" s="326">
        <v>1209530</v>
      </c>
      <c r="O8" s="327">
        <v>875</v>
      </c>
      <c r="P8" s="326">
        <v>1726</v>
      </c>
      <c r="Q8" s="327">
        <v>2601</v>
      </c>
      <c r="R8" s="1145"/>
      <c r="S8" s="327">
        <f t="shared" ref="S8:S34" si="0">N8/Q8</f>
        <v>465.02499038831218</v>
      </c>
      <c r="T8" s="326">
        <v>223</v>
      </c>
      <c r="U8" s="980"/>
      <c r="V8" s="326">
        <f t="shared" ref="V8:V34" si="1">N8/T8</f>
        <v>5423.9013452914796</v>
      </c>
    </row>
    <row r="9" spans="1:22" ht="18" customHeight="1" thickBot="1">
      <c r="A9" s="554" t="s">
        <v>1808</v>
      </c>
      <c r="B9" s="144">
        <v>969907</v>
      </c>
      <c r="C9" s="297">
        <v>866</v>
      </c>
      <c r="D9" s="144">
        <v>1183</v>
      </c>
      <c r="E9" s="297">
        <v>2049</v>
      </c>
      <c r="F9" s="1200">
        <v>2.1125736797445529</v>
      </c>
      <c r="G9" s="555">
        <v>-8.5845549139377253E-3</v>
      </c>
      <c r="H9" s="144">
        <v>178</v>
      </c>
      <c r="I9" s="1201">
        <v>2</v>
      </c>
      <c r="J9" s="1200">
        <v>1.8352275011934136</v>
      </c>
      <c r="K9" s="555">
        <v>-5.1233507921805255E-2</v>
      </c>
      <c r="M9" s="554" t="s">
        <v>1808</v>
      </c>
      <c r="N9" s="144">
        <v>949795</v>
      </c>
      <c r="O9" s="297">
        <v>581</v>
      </c>
      <c r="P9" s="144">
        <v>1249</v>
      </c>
      <c r="Q9" s="297">
        <v>1830</v>
      </c>
      <c r="R9" s="820"/>
      <c r="S9" s="297">
        <f t="shared" si="0"/>
        <v>519.01366120218574</v>
      </c>
      <c r="T9" s="144">
        <v>172</v>
      </c>
      <c r="U9" s="821"/>
      <c r="V9" s="144">
        <f t="shared" si="1"/>
        <v>5522.0639534883721</v>
      </c>
    </row>
    <row r="10" spans="1:22" ht="18" customHeight="1" thickBot="1">
      <c r="A10" s="554" t="s">
        <v>1809</v>
      </c>
      <c r="B10" s="144">
        <v>361924</v>
      </c>
      <c r="C10" s="297">
        <v>250</v>
      </c>
      <c r="D10" s="144">
        <v>295</v>
      </c>
      <c r="E10" s="297">
        <v>545</v>
      </c>
      <c r="F10" s="1200">
        <v>1.5058410052939291</v>
      </c>
      <c r="G10" s="555">
        <v>1.02585787145828E-2</v>
      </c>
      <c r="H10" s="144">
        <v>33</v>
      </c>
      <c r="I10" s="1201">
        <v>1</v>
      </c>
      <c r="J10" s="1200">
        <v>0.91179363623302123</v>
      </c>
      <c r="K10" s="555">
        <v>-3.9245727247254392E-2</v>
      </c>
      <c r="M10" s="554" t="s">
        <v>1809</v>
      </c>
      <c r="N10" s="144">
        <v>343180</v>
      </c>
      <c r="O10" s="297">
        <v>203</v>
      </c>
      <c r="P10" s="144">
        <v>282</v>
      </c>
      <c r="Q10" s="297">
        <v>485</v>
      </c>
      <c r="R10" s="820"/>
      <c r="S10" s="297">
        <f t="shared" si="0"/>
        <v>707.58762886597935</v>
      </c>
      <c r="T10" s="144">
        <v>34</v>
      </c>
      <c r="U10" s="821"/>
      <c r="V10" s="144">
        <f t="shared" si="1"/>
        <v>10093.529411764706</v>
      </c>
    </row>
    <row r="11" spans="1:22" ht="18" customHeight="1" thickBot="1">
      <c r="A11" s="554" t="s">
        <v>1810</v>
      </c>
      <c r="B11" s="144">
        <v>34447</v>
      </c>
      <c r="C11" s="297">
        <v>25</v>
      </c>
      <c r="D11" s="144">
        <v>18</v>
      </c>
      <c r="E11" s="297">
        <v>43</v>
      </c>
      <c r="F11" s="1200">
        <v>1.2482944813771881</v>
      </c>
      <c r="G11" s="555">
        <v>5.2677602283323743E-2</v>
      </c>
      <c r="H11" s="144">
        <v>2</v>
      </c>
      <c r="I11" s="1201">
        <v>1</v>
      </c>
      <c r="J11" s="1200">
        <v>0.58060208436148286</v>
      </c>
      <c r="K11" s="555">
        <v>3.7158533399135329E-3</v>
      </c>
      <c r="M11" s="554" t="s">
        <v>1810</v>
      </c>
      <c r="N11" s="144">
        <v>34560</v>
      </c>
      <c r="O11" s="297">
        <v>21</v>
      </c>
      <c r="P11" s="144">
        <v>22</v>
      </c>
      <c r="Q11" s="297">
        <v>43</v>
      </c>
      <c r="R11" s="820"/>
      <c r="S11" s="297">
        <f t="shared" si="0"/>
        <v>803.72093023255809</v>
      </c>
      <c r="T11" s="144">
        <v>2</v>
      </c>
      <c r="U11" s="821"/>
      <c r="V11" s="144">
        <f t="shared" si="1"/>
        <v>17280</v>
      </c>
    </row>
    <row r="12" spans="1:22" ht="18" customHeight="1" thickBot="1">
      <c r="A12" s="554" t="s">
        <v>1811</v>
      </c>
      <c r="B12" s="144">
        <v>139874</v>
      </c>
      <c r="C12" s="297">
        <v>96</v>
      </c>
      <c r="D12" s="144">
        <v>92</v>
      </c>
      <c r="E12" s="297">
        <v>188</v>
      </c>
      <c r="F12" s="1200">
        <v>1.3440668029798246</v>
      </c>
      <c r="G12" s="555">
        <v>-6.9718208572588924E-3</v>
      </c>
      <c r="H12" s="144">
        <v>12</v>
      </c>
      <c r="I12" s="1201">
        <v>1</v>
      </c>
      <c r="J12" s="1200">
        <v>0.85791498062542004</v>
      </c>
      <c r="K12" s="555">
        <v>-1.2253885639933015E-2</v>
      </c>
      <c r="M12" s="554" t="s">
        <v>1811</v>
      </c>
      <c r="N12" s="144">
        <v>126680</v>
      </c>
      <c r="O12" s="297">
        <v>65</v>
      </c>
      <c r="P12" s="144">
        <v>66</v>
      </c>
      <c r="Q12" s="297">
        <v>131</v>
      </c>
      <c r="R12" s="820"/>
      <c r="S12" s="297">
        <f t="shared" si="0"/>
        <v>967.02290076335873</v>
      </c>
      <c r="T12" s="144">
        <v>11</v>
      </c>
      <c r="U12" s="821"/>
      <c r="V12" s="144">
        <f t="shared" si="1"/>
        <v>11516.363636363636</v>
      </c>
    </row>
    <row r="13" spans="1:22" ht="18" customHeight="1" thickBot="1">
      <c r="A13" s="554" t="s">
        <v>1812</v>
      </c>
      <c r="B13" s="144">
        <v>33785</v>
      </c>
      <c r="C13" s="297">
        <v>26</v>
      </c>
      <c r="D13" s="144">
        <v>12</v>
      </c>
      <c r="E13" s="297">
        <v>38</v>
      </c>
      <c r="F13" s="1200">
        <v>1.1247595086576885</v>
      </c>
      <c r="G13" s="555">
        <v>-3.6600220853587495E-2</v>
      </c>
      <c r="H13" s="144">
        <v>4</v>
      </c>
      <c r="I13" s="1201">
        <v>1</v>
      </c>
      <c r="J13" s="1200">
        <v>1.1839573775344088</v>
      </c>
      <c r="K13" s="555">
        <v>-1.1247595086576911E-2</v>
      </c>
      <c r="M13" s="554" t="s">
        <v>1812</v>
      </c>
      <c r="N13" s="144">
        <v>31952</v>
      </c>
      <c r="O13" s="297">
        <v>19</v>
      </c>
      <c r="P13" s="144">
        <v>13</v>
      </c>
      <c r="Q13" s="297">
        <v>32</v>
      </c>
      <c r="R13" s="820"/>
      <c r="S13" s="297">
        <f t="shared" si="0"/>
        <v>998.5</v>
      </c>
      <c r="T13" s="144">
        <v>2</v>
      </c>
      <c r="U13" s="821"/>
      <c r="V13" s="144">
        <f t="shared" si="1"/>
        <v>15976</v>
      </c>
    </row>
    <row r="14" spans="1:22" ht="18" customHeight="1" thickBot="1">
      <c r="A14" s="554" t="s">
        <v>1813</v>
      </c>
      <c r="B14" s="144">
        <v>39566</v>
      </c>
      <c r="C14" s="297">
        <v>27</v>
      </c>
      <c r="D14" s="144">
        <v>21</v>
      </c>
      <c r="E14" s="297">
        <v>48</v>
      </c>
      <c r="F14" s="1200">
        <v>1.2131628165596724</v>
      </c>
      <c r="G14" s="555">
        <v>6.1490505316011967E-2</v>
      </c>
      <c r="H14" s="144">
        <v>2</v>
      </c>
      <c r="I14" s="1201">
        <v>1</v>
      </c>
      <c r="J14" s="1200">
        <v>0.50548450689986357</v>
      </c>
      <c r="K14" s="555">
        <v>-4.8526512662385723E-3</v>
      </c>
      <c r="M14" s="554" t="s">
        <v>1813</v>
      </c>
      <c r="N14" s="144">
        <v>36549</v>
      </c>
      <c r="O14" s="297">
        <v>16</v>
      </c>
      <c r="P14" s="144">
        <v>20</v>
      </c>
      <c r="Q14" s="297">
        <v>36</v>
      </c>
      <c r="R14" s="820"/>
      <c r="S14" s="297">
        <f t="shared" si="0"/>
        <v>1015.25</v>
      </c>
      <c r="T14" s="144">
        <v>2</v>
      </c>
      <c r="U14" s="821"/>
      <c r="V14" s="144">
        <f t="shared" si="1"/>
        <v>18274.5</v>
      </c>
    </row>
    <row r="15" spans="1:22" ht="18" customHeight="1" thickBot="1">
      <c r="A15" s="554" t="s">
        <v>1814</v>
      </c>
      <c r="B15" s="144">
        <v>38034</v>
      </c>
      <c r="C15" s="297">
        <v>32</v>
      </c>
      <c r="D15" s="144">
        <v>25</v>
      </c>
      <c r="E15" s="297">
        <v>57</v>
      </c>
      <c r="F15" s="1200">
        <v>1.4986590944943998</v>
      </c>
      <c r="G15" s="555">
        <v>3.5464440906939787E-2</v>
      </c>
      <c r="H15" s="144">
        <v>2</v>
      </c>
      <c r="I15" s="1201">
        <v>1</v>
      </c>
      <c r="J15" s="1200">
        <v>0.52584529631382448</v>
      </c>
      <c r="K15" s="555">
        <v>-8.6764473891787208E-4</v>
      </c>
      <c r="M15" s="554" t="s">
        <v>1814</v>
      </c>
      <c r="N15" s="144">
        <v>38305</v>
      </c>
      <c r="O15" s="297">
        <v>25</v>
      </c>
      <c r="P15" s="144">
        <v>22</v>
      </c>
      <c r="Q15" s="297">
        <v>47</v>
      </c>
      <c r="R15" s="820"/>
      <c r="S15" s="297">
        <f t="shared" si="0"/>
        <v>815</v>
      </c>
      <c r="T15" s="144">
        <v>3</v>
      </c>
      <c r="U15" s="821"/>
      <c r="V15" s="144">
        <f t="shared" si="1"/>
        <v>12768.333333333334</v>
      </c>
    </row>
    <row r="16" spans="1:22" ht="18" customHeight="1" thickBot="1">
      <c r="A16" s="554" t="s">
        <v>1815</v>
      </c>
      <c r="B16" s="144">
        <v>108826</v>
      </c>
      <c r="C16" s="297">
        <v>80</v>
      </c>
      <c r="D16" s="144">
        <v>121</v>
      </c>
      <c r="E16" s="297">
        <v>201</v>
      </c>
      <c r="F16" s="1200">
        <v>1.8469850954735083</v>
      </c>
      <c r="G16" s="555">
        <v>1.6807917791138882E-2</v>
      </c>
      <c r="H16" s="144">
        <v>13</v>
      </c>
      <c r="I16" s="1201">
        <v>1</v>
      </c>
      <c r="J16" s="1200">
        <v>1.1945674746843584</v>
      </c>
      <c r="K16" s="555">
        <v>-1.354455736680571E-2</v>
      </c>
      <c r="M16" s="554" t="s">
        <v>1815</v>
      </c>
      <c r="N16" s="144">
        <v>97049</v>
      </c>
      <c r="O16" s="297">
        <v>53</v>
      </c>
      <c r="P16" s="144">
        <v>102</v>
      </c>
      <c r="Q16" s="297">
        <v>155</v>
      </c>
      <c r="R16" s="820"/>
      <c r="S16" s="297">
        <f t="shared" si="0"/>
        <v>626.12258064516129</v>
      </c>
      <c r="T16" s="144">
        <v>14</v>
      </c>
      <c r="U16" s="821"/>
      <c r="V16" s="144">
        <f t="shared" si="1"/>
        <v>6932.0714285714284</v>
      </c>
    </row>
    <row r="17" spans="1:22" ht="18" customHeight="1" thickBot="1">
      <c r="A17" s="554" t="s">
        <v>1816</v>
      </c>
      <c r="B17" s="144">
        <v>264151</v>
      </c>
      <c r="C17" s="297">
        <v>163</v>
      </c>
      <c r="D17" s="144">
        <v>243</v>
      </c>
      <c r="E17" s="297">
        <v>406</v>
      </c>
      <c r="F17" s="1200">
        <v>1.5369996706429276</v>
      </c>
      <c r="G17" s="555">
        <v>-6.7808720366503428E-3</v>
      </c>
      <c r="H17" s="144">
        <v>69</v>
      </c>
      <c r="I17" s="1201">
        <v>2</v>
      </c>
      <c r="J17" s="1200">
        <v>2.612142297398079</v>
      </c>
      <c r="K17" s="555">
        <v>4.3952715856286018E-2</v>
      </c>
      <c r="M17" s="554" t="s">
        <v>1816</v>
      </c>
      <c r="N17" s="144">
        <v>235151</v>
      </c>
      <c r="O17" s="297">
        <v>112</v>
      </c>
      <c r="P17" s="144">
        <v>225</v>
      </c>
      <c r="Q17" s="297">
        <v>337</v>
      </c>
      <c r="R17" s="820"/>
      <c r="S17" s="297">
        <f t="shared" si="0"/>
        <v>697.77744807121667</v>
      </c>
      <c r="T17" s="144">
        <v>71</v>
      </c>
      <c r="U17" s="821"/>
      <c r="V17" s="144">
        <f t="shared" si="1"/>
        <v>3311.9859154929577</v>
      </c>
    </row>
    <row r="18" spans="1:22" ht="18" customHeight="1" thickBot="1">
      <c r="A18" s="554" t="s">
        <v>1817</v>
      </c>
      <c r="B18" s="144">
        <v>249005</v>
      </c>
      <c r="C18" s="297">
        <v>218</v>
      </c>
      <c r="D18" s="144">
        <v>187</v>
      </c>
      <c r="E18" s="297">
        <v>405</v>
      </c>
      <c r="F18" s="1200">
        <v>1.626473363988675</v>
      </c>
      <c r="G18" s="555">
        <v>-1.3105394765283496E-2</v>
      </c>
      <c r="H18" s="144">
        <v>26</v>
      </c>
      <c r="I18" s="1201">
        <v>1</v>
      </c>
      <c r="J18" s="1200">
        <v>1.0441557398445815</v>
      </c>
      <c r="K18" s="555">
        <v>-5.7950643561373028E-3</v>
      </c>
      <c r="M18" s="554" t="s">
        <v>1817</v>
      </c>
      <c r="N18" s="144">
        <v>241747</v>
      </c>
      <c r="O18" s="297">
        <v>158</v>
      </c>
      <c r="P18" s="144">
        <v>210</v>
      </c>
      <c r="Q18" s="297">
        <v>368</v>
      </c>
      <c r="R18" s="820"/>
      <c r="S18" s="297">
        <f t="shared" si="0"/>
        <v>656.92119565217388</v>
      </c>
      <c r="T18" s="144">
        <v>28</v>
      </c>
      <c r="U18" s="821"/>
      <c r="V18" s="144">
        <f t="shared" si="1"/>
        <v>8633.8214285714294</v>
      </c>
    </row>
    <row r="19" spans="1:22" ht="18" customHeight="1" thickBot="1">
      <c r="A19" s="554" t="s">
        <v>1818</v>
      </c>
      <c r="B19" s="144">
        <v>189777</v>
      </c>
      <c r="C19" s="297">
        <v>221</v>
      </c>
      <c r="D19" s="144">
        <v>514</v>
      </c>
      <c r="E19" s="297">
        <v>735</v>
      </c>
      <c r="F19" s="1200">
        <v>3.8729666924864445</v>
      </c>
      <c r="G19" s="555">
        <v>1.671519004246913E-2</v>
      </c>
      <c r="H19" s="144">
        <v>69</v>
      </c>
      <c r="I19" s="1201">
        <v>3</v>
      </c>
      <c r="J19" s="1200">
        <v>3.6358462827423765</v>
      </c>
      <c r="K19" s="555">
        <v>2.8823303140002032E-3</v>
      </c>
      <c r="M19" s="554" t="s">
        <v>1818</v>
      </c>
      <c r="N19" s="144">
        <v>192347</v>
      </c>
      <c r="O19" s="297">
        <v>118</v>
      </c>
      <c r="P19" s="144">
        <v>556</v>
      </c>
      <c r="Q19" s="297">
        <v>674</v>
      </c>
      <c r="R19" s="820"/>
      <c r="S19" s="297">
        <f t="shared" si="0"/>
        <v>285.38130563798222</v>
      </c>
      <c r="T19" s="144">
        <v>70</v>
      </c>
      <c r="U19" s="821"/>
      <c r="V19" s="144">
        <f t="shared" si="1"/>
        <v>2747.8142857142857</v>
      </c>
    </row>
    <row r="20" spans="1:22" ht="18" customHeight="1" thickBot="1">
      <c r="A20" s="554" t="s">
        <v>1819</v>
      </c>
      <c r="B20" s="144">
        <v>267247</v>
      </c>
      <c r="C20" s="297">
        <v>231</v>
      </c>
      <c r="D20" s="144">
        <v>303</v>
      </c>
      <c r="E20" s="297">
        <v>534</v>
      </c>
      <c r="F20" s="1200">
        <v>1.9981515227486184</v>
      </c>
      <c r="G20" s="555">
        <v>-3.4397351956050315E-3</v>
      </c>
      <c r="H20" s="144">
        <v>41</v>
      </c>
      <c r="I20" s="1201">
        <v>1</v>
      </c>
      <c r="J20" s="1200">
        <v>1.5341612815111114</v>
      </c>
      <c r="K20" s="555">
        <v>1.9561398257043061E-2</v>
      </c>
      <c r="M20" s="554" t="s">
        <v>1819</v>
      </c>
      <c r="N20" s="144">
        <v>255485</v>
      </c>
      <c r="O20" s="297">
        <v>164</v>
      </c>
      <c r="P20" s="144">
        <v>306</v>
      </c>
      <c r="Q20" s="297">
        <v>470</v>
      </c>
      <c r="R20" s="820"/>
      <c r="S20" s="297">
        <f t="shared" si="0"/>
        <v>543.58510638297878</v>
      </c>
      <c r="T20" s="144">
        <v>36</v>
      </c>
      <c r="U20" s="821"/>
      <c r="V20" s="144">
        <f t="shared" si="1"/>
        <v>7096.8055555555557</v>
      </c>
    </row>
    <row r="21" spans="1:22" ht="18" customHeight="1" thickBot="1">
      <c r="A21" s="554" t="s">
        <v>1820</v>
      </c>
      <c r="B21" s="144">
        <v>74598</v>
      </c>
      <c r="C21" s="297">
        <v>74</v>
      </c>
      <c r="D21" s="144">
        <v>74</v>
      </c>
      <c r="E21" s="297">
        <v>148</v>
      </c>
      <c r="F21" s="1200">
        <v>1.9839673985897746</v>
      </c>
      <c r="G21" s="555">
        <v>-3.5255636880344721E-3</v>
      </c>
      <c r="H21" s="144">
        <v>13</v>
      </c>
      <c r="I21" s="1201">
        <v>2</v>
      </c>
      <c r="J21" s="1200">
        <v>1.742674066328856</v>
      </c>
      <c r="K21" s="555">
        <v>-3.5255636880345831E-3</v>
      </c>
      <c r="M21" s="554" t="s">
        <v>1820</v>
      </c>
      <c r="N21" s="144">
        <v>73115</v>
      </c>
      <c r="O21" s="297">
        <v>55</v>
      </c>
      <c r="P21" s="144">
        <v>81</v>
      </c>
      <c r="Q21" s="297">
        <v>136</v>
      </c>
      <c r="R21" s="820"/>
      <c r="S21" s="297">
        <f t="shared" si="0"/>
        <v>537.61029411764707</v>
      </c>
      <c r="T21" s="144">
        <v>14</v>
      </c>
      <c r="U21" s="821"/>
      <c r="V21" s="144">
        <f t="shared" si="1"/>
        <v>5222.5</v>
      </c>
    </row>
    <row r="22" spans="1:22" ht="18" customHeight="1" thickBot="1">
      <c r="A22" s="554" t="s">
        <v>1821</v>
      </c>
      <c r="B22" s="144">
        <v>52345</v>
      </c>
      <c r="C22" s="297">
        <v>44</v>
      </c>
      <c r="D22" s="144">
        <v>52</v>
      </c>
      <c r="E22" s="297">
        <v>96</v>
      </c>
      <c r="F22" s="1200">
        <v>1.8339860540643804</v>
      </c>
      <c r="G22" s="555">
        <v>-2.1624582586879493E-2</v>
      </c>
      <c r="H22" s="144">
        <v>6</v>
      </c>
      <c r="I22" s="1201">
        <v>1</v>
      </c>
      <c r="J22" s="1200">
        <v>1.1462412837902378</v>
      </c>
      <c r="K22" s="555">
        <v>-1.2417613907726999E-3</v>
      </c>
      <c r="M22" s="554" t="s">
        <v>1821</v>
      </c>
      <c r="N22" s="144">
        <v>53390</v>
      </c>
      <c r="O22" s="297">
        <v>44</v>
      </c>
      <c r="P22" s="144">
        <v>36</v>
      </c>
      <c r="Q22" s="297">
        <v>80</v>
      </c>
      <c r="R22" s="820"/>
      <c r="S22" s="297">
        <f t="shared" si="0"/>
        <v>667.375</v>
      </c>
      <c r="T22" s="144">
        <v>4</v>
      </c>
      <c r="U22" s="821"/>
      <c r="V22" s="144">
        <f t="shared" si="1"/>
        <v>13347.5</v>
      </c>
    </row>
    <row r="23" spans="1:22" ht="18" customHeight="1" thickBot="1">
      <c r="A23" s="554" t="s">
        <v>1822</v>
      </c>
      <c r="B23" s="144">
        <v>15028</v>
      </c>
      <c r="C23" s="297">
        <v>11</v>
      </c>
      <c r="D23" s="144">
        <v>6</v>
      </c>
      <c r="E23" s="297">
        <v>17</v>
      </c>
      <c r="F23" s="1200">
        <v>1.1312217194570138</v>
      </c>
      <c r="G23" s="555">
        <v>-4.8516842634489521E-2</v>
      </c>
      <c r="H23" s="144">
        <v>1</v>
      </c>
      <c r="I23" s="1201">
        <v>1</v>
      </c>
      <c r="J23" s="1200">
        <v>0.66542454085706682</v>
      </c>
      <c r="K23" s="555">
        <v>7.4527548575991087E-3</v>
      </c>
      <c r="M23" s="554" t="s">
        <v>1822</v>
      </c>
      <c r="N23" s="144">
        <v>14520</v>
      </c>
      <c r="O23" s="297">
        <v>8</v>
      </c>
      <c r="P23" s="144">
        <v>7</v>
      </c>
      <c r="Q23" s="297">
        <v>15</v>
      </c>
      <c r="R23" s="820"/>
      <c r="S23" s="297">
        <f t="shared" si="0"/>
        <v>968</v>
      </c>
      <c r="T23" s="144">
        <v>1</v>
      </c>
      <c r="U23" s="821"/>
      <c r="V23" s="144">
        <f t="shared" si="1"/>
        <v>14520</v>
      </c>
    </row>
    <row r="24" spans="1:22" ht="18" customHeight="1" thickBot="1">
      <c r="A24" s="554" t="s">
        <v>1823</v>
      </c>
      <c r="B24" s="144">
        <v>465852</v>
      </c>
      <c r="C24" s="297">
        <v>354</v>
      </c>
      <c r="D24" s="144">
        <v>415</v>
      </c>
      <c r="E24" s="297">
        <v>769</v>
      </c>
      <c r="F24" s="1200">
        <v>1.6507388612692444</v>
      </c>
      <c r="G24" s="555">
        <v>9.6764960962820723E-3</v>
      </c>
      <c r="H24" s="144">
        <v>49</v>
      </c>
      <c r="I24" s="1201">
        <v>1</v>
      </c>
      <c r="J24" s="1200">
        <v>1.0518362054901558</v>
      </c>
      <c r="K24" s="555">
        <v>-6.0791839468328224E-3</v>
      </c>
      <c r="M24" s="554" t="s">
        <v>1823</v>
      </c>
      <c r="N24" s="144">
        <v>445797</v>
      </c>
      <c r="O24" s="297">
        <v>300</v>
      </c>
      <c r="P24" s="144">
        <v>370</v>
      </c>
      <c r="Q24" s="297">
        <v>670</v>
      </c>
      <c r="R24" s="820"/>
      <c r="S24" s="297">
        <f t="shared" si="0"/>
        <v>665.36865671641795</v>
      </c>
      <c r="T24" s="144">
        <v>49</v>
      </c>
      <c r="U24" s="821"/>
      <c r="V24" s="144">
        <f t="shared" si="1"/>
        <v>9097.8979591836742</v>
      </c>
    </row>
    <row r="25" spans="1:22" ht="18" customHeight="1" thickBot="1">
      <c r="A25" s="554" t="s">
        <v>1824</v>
      </c>
      <c r="B25" s="144">
        <v>191878</v>
      </c>
      <c r="C25" s="297">
        <v>179</v>
      </c>
      <c r="D25" s="144">
        <v>153</v>
      </c>
      <c r="E25" s="297">
        <v>332</v>
      </c>
      <c r="F25" s="1200">
        <v>1.7302661065885614</v>
      </c>
      <c r="G25" s="555">
        <v>-1.1212317279341022E-2</v>
      </c>
      <c r="H25" s="144">
        <v>40</v>
      </c>
      <c r="I25" s="1201">
        <v>2</v>
      </c>
      <c r="J25" s="1200">
        <v>2.0846579597452548</v>
      </c>
      <c r="K25" s="555">
        <v>2.3305139670747099E-2</v>
      </c>
      <c r="M25" s="554" t="s">
        <v>1824</v>
      </c>
      <c r="N25" s="144">
        <v>187572</v>
      </c>
      <c r="O25" s="297">
        <v>146</v>
      </c>
      <c r="P25" s="144">
        <v>178</v>
      </c>
      <c r="Q25" s="297">
        <v>324</v>
      </c>
      <c r="R25" s="820"/>
      <c r="S25" s="297">
        <f t="shared" si="0"/>
        <v>578.92592592592598</v>
      </c>
      <c r="T25" s="144">
        <v>36</v>
      </c>
      <c r="U25" s="821"/>
      <c r="V25" s="144">
        <f t="shared" si="1"/>
        <v>5210.333333333333</v>
      </c>
    </row>
    <row r="26" spans="1:22" ht="18" customHeight="1" thickBot="1">
      <c r="A26" s="554" t="s">
        <v>1825</v>
      </c>
      <c r="B26" s="144">
        <v>578790</v>
      </c>
      <c r="C26" s="297">
        <v>375</v>
      </c>
      <c r="D26" s="144">
        <v>510</v>
      </c>
      <c r="E26" s="297">
        <v>885</v>
      </c>
      <c r="F26" s="1200">
        <v>1.5290519877675841</v>
      </c>
      <c r="G26" s="555">
        <v>1.2389740326315568E-2</v>
      </c>
      <c r="H26" s="144">
        <v>111</v>
      </c>
      <c r="I26" s="1201">
        <v>2</v>
      </c>
      <c r="J26" s="1200">
        <v>1.917794018555953</v>
      </c>
      <c r="K26" s="555">
        <v>7.6670390030704194E-3</v>
      </c>
      <c r="M26" s="554" t="s">
        <v>1825</v>
      </c>
      <c r="N26" s="144">
        <v>536746</v>
      </c>
      <c r="O26" s="297">
        <v>281</v>
      </c>
      <c r="P26" s="144">
        <v>454</v>
      </c>
      <c r="Q26" s="297">
        <v>735</v>
      </c>
      <c r="R26" s="820"/>
      <c r="S26" s="297">
        <f t="shared" si="0"/>
        <v>730.26666666666665</v>
      </c>
      <c r="T26" s="144">
        <v>108</v>
      </c>
      <c r="U26" s="821"/>
      <c r="V26" s="144">
        <f t="shared" si="1"/>
        <v>4969.8703703703704</v>
      </c>
    </row>
    <row r="27" spans="1:22" ht="18" customHeight="1" thickBot="1">
      <c r="A27" s="554" t="s">
        <v>1826</v>
      </c>
      <c r="B27" s="144">
        <v>238141</v>
      </c>
      <c r="C27" s="297">
        <v>172</v>
      </c>
      <c r="D27" s="144">
        <v>153</v>
      </c>
      <c r="E27" s="297">
        <v>325</v>
      </c>
      <c r="F27" s="1200">
        <v>1.3647376974145569</v>
      </c>
      <c r="G27" s="555">
        <v>1.5683429178035002E-2</v>
      </c>
      <c r="H27" s="144">
        <v>23</v>
      </c>
      <c r="I27" s="1201">
        <v>1</v>
      </c>
      <c r="J27" s="1200">
        <v>0.96581437047799412</v>
      </c>
      <c r="K27" s="555">
        <v>-9.3180090786549874E-3</v>
      </c>
      <c r="M27" s="554" t="s">
        <v>1826</v>
      </c>
      <c r="N27" s="144">
        <v>226619</v>
      </c>
      <c r="O27" s="297">
        <v>144</v>
      </c>
      <c r="P27" s="144">
        <v>138</v>
      </c>
      <c r="Q27" s="297">
        <v>282</v>
      </c>
      <c r="R27" s="820"/>
      <c r="S27" s="297">
        <f t="shared" si="0"/>
        <v>803.61347517730496</v>
      </c>
      <c r="T27" s="144">
        <v>23</v>
      </c>
      <c r="U27" s="821"/>
      <c r="V27" s="144">
        <f t="shared" si="1"/>
        <v>9853</v>
      </c>
    </row>
    <row r="28" spans="1:22" ht="18" customHeight="1" thickBot="1">
      <c r="A28" s="554" t="s">
        <v>1827</v>
      </c>
      <c r="B28" s="144">
        <v>327632</v>
      </c>
      <c r="C28" s="297">
        <v>285</v>
      </c>
      <c r="D28" s="144">
        <v>384</v>
      </c>
      <c r="E28" s="297">
        <v>669</v>
      </c>
      <c r="F28" s="1200">
        <v>2.0419250866826193</v>
      </c>
      <c r="G28" s="555">
        <v>-1.0650310501174598E-3</v>
      </c>
      <c r="H28" s="144">
        <v>182</v>
      </c>
      <c r="I28" s="1201">
        <v>3</v>
      </c>
      <c r="J28" s="1200">
        <v>5.5550129413488305</v>
      </c>
      <c r="K28" s="555">
        <v>1.374929147692705E-2</v>
      </c>
      <c r="M28" s="554" t="s">
        <v>1827</v>
      </c>
      <c r="N28" s="144">
        <v>303836</v>
      </c>
      <c r="O28" s="297">
        <v>193</v>
      </c>
      <c r="P28" s="144">
        <v>384</v>
      </c>
      <c r="Q28" s="297">
        <v>577</v>
      </c>
      <c r="R28" s="820"/>
      <c r="S28" s="297">
        <f t="shared" si="0"/>
        <v>526.57885615251303</v>
      </c>
      <c r="T28" s="144">
        <v>171</v>
      </c>
      <c r="U28" s="821"/>
      <c r="V28" s="144">
        <f t="shared" si="1"/>
        <v>1776.8187134502923</v>
      </c>
    </row>
    <row r="29" spans="1:22" ht="18" customHeight="1" thickBot="1">
      <c r="A29" s="554" t="s">
        <v>1828</v>
      </c>
      <c r="B29" s="144">
        <v>678143</v>
      </c>
      <c r="C29" s="297">
        <v>574</v>
      </c>
      <c r="D29" s="144">
        <v>1091</v>
      </c>
      <c r="E29" s="297">
        <v>1665</v>
      </c>
      <c r="F29" s="1200">
        <v>2.4552343679725368</v>
      </c>
      <c r="G29" s="555">
        <v>-3.9136422014885985E-3</v>
      </c>
      <c r="H29" s="144">
        <v>242</v>
      </c>
      <c r="I29" s="1201">
        <v>3</v>
      </c>
      <c r="J29" s="1200">
        <v>3.5685688711672903</v>
      </c>
      <c r="K29" s="555">
        <v>-1.6452773726683967E-3</v>
      </c>
      <c r="M29" s="554" t="s">
        <v>1828</v>
      </c>
      <c r="N29" s="144">
        <v>623912</v>
      </c>
      <c r="O29" s="297">
        <v>474</v>
      </c>
      <c r="P29" s="144">
        <v>999</v>
      </c>
      <c r="Q29" s="297">
        <v>1473</v>
      </c>
      <c r="R29" s="820"/>
      <c r="S29" s="297">
        <f t="shared" si="0"/>
        <v>423.56551255940258</v>
      </c>
      <c r="T29" s="144">
        <v>234</v>
      </c>
      <c r="U29" s="821"/>
      <c r="V29" s="144">
        <f t="shared" si="1"/>
        <v>2666.2905982905982</v>
      </c>
    </row>
    <row r="30" spans="1:22" ht="18" customHeight="1" thickBot="1">
      <c r="A30" s="554" t="s">
        <v>1829</v>
      </c>
      <c r="B30" s="144">
        <v>296923</v>
      </c>
      <c r="C30" s="297">
        <v>219</v>
      </c>
      <c r="D30" s="144">
        <v>285</v>
      </c>
      <c r="E30" s="297">
        <v>504</v>
      </c>
      <c r="F30" s="1200">
        <v>1.6974097661683332</v>
      </c>
      <c r="G30" s="555">
        <v>-3.1406470707710521E-2</v>
      </c>
      <c r="H30" s="144">
        <v>110</v>
      </c>
      <c r="I30" s="1201">
        <v>2</v>
      </c>
      <c r="J30" s="1200">
        <v>3.7046641721927904</v>
      </c>
      <c r="K30" s="555">
        <v>-1.2188345126514344E-2</v>
      </c>
      <c r="M30" s="554" t="s">
        <v>1829</v>
      </c>
      <c r="N30" s="144">
        <v>271444</v>
      </c>
      <c r="O30" s="297">
        <v>172</v>
      </c>
      <c r="P30" s="144">
        <v>274</v>
      </c>
      <c r="Q30" s="297">
        <v>446</v>
      </c>
      <c r="R30" s="820"/>
      <c r="S30" s="297">
        <f t="shared" si="0"/>
        <v>608.61883408071753</v>
      </c>
      <c r="T30" s="144">
        <v>105</v>
      </c>
      <c r="U30" s="821"/>
      <c r="V30" s="144">
        <f t="shared" si="1"/>
        <v>2585.1809523809525</v>
      </c>
    </row>
    <row r="31" spans="1:22" ht="18" customHeight="1" thickBot="1">
      <c r="A31" s="554" t="s">
        <v>1830</v>
      </c>
      <c r="B31" s="144">
        <v>169895</v>
      </c>
      <c r="C31" s="297">
        <v>145</v>
      </c>
      <c r="D31" s="144">
        <v>213</v>
      </c>
      <c r="E31" s="297">
        <v>358</v>
      </c>
      <c r="F31" s="1200">
        <v>2.1071838488478178</v>
      </c>
      <c r="G31" s="555">
        <v>1.4124131482279312E-2</v>
      </c>
      <c r="H31" s="144">
        <v>57</v>
      </c>
      <c r="I31" s="1201">
        <v>3</v>
      </c>
      <c r="J31" s="1200">
        <v>3.3550133906236206</v>
      </c>
      <c r="K31" s="555">
        <v>-2.8723623414461663E-3</v>
      </c>
      <c r="M31" s="554" t="s">
        <v>1830</v>
      </c>
      <c r="N31" s="144">
        <v>166096</v>
      </c>
      <c r="O31" s="297">
        <v>119</v>
      </c>
      <c r="P31" s="144">
        <v>198</v>
      </c>
      <c r="Q31" s="297">
        <v>317</v>
      </c>
      <c r="R31" s="820"/>
      <c r="S31" s="297">
        <f t="shared" si="0"/>
        <v>523.96214511041012</v>
      </c>
      <c r="T31" s="144">
        <v>54</v>
      </c>
      <c r="U31" s="821"/>
      <c r="V31" s="144">
        <f t="shared" si="1"/>
        <v>3075.8518518518517</v>
      </c>
    </row>
    <row r="32" spans="1:22" ht="18" customHeight="1" thickBot="1">
      <c r="A32" s="554" t="s">
        <v>1831</v>
      </c>
      <c r="B32" s="144">
        <v>441756</v>
      </c>
      <c r="C32" s="297">
        <v>451</v>
      </c>
      <c r="D32" s="144">
        <v>1005</v>
      </c>
      <c r="E32" s="297">
        <v>1456</v>
      </c>
      <c r="F32" s="1200">
        <v>3.2959371236610253</v>
      </c>
      <c r="G32" s="555">
        <v>3.4762451985081988E-4</v>
      </c>
      <c r="H32" s="144">
        <v>170</v>
      </c>
      <c r="I32" s="1201">
        <v>3</v>
      </c>
      <c r="J32" s="1200">
        <v>3.8482782350437801</v>
      </c>
      <c r="K32" s="555">
        <v>-1.0283600234661572E-2</v>
      </c>
      <c r="M32" s="554" t="s">
        <v>1831</v>
      </c>
      <c r="N32" s="144">
        <v>404080</v>
      </c>
      <c r="O32" s="297">
        <v>235</v>
      </c>
      <c r="P32" s="144">
        <v>1022</v>
      </c>
      <c r="Q32" s="297">
        <v>1257</v>
      </c>
      <c r="R32" s="820"/>
      <c r="S32" s="297">
        <f t="shared" si="0"/>
        <v>321.46380270485281</v>
      </c>
      <c r="T32" s="144">
        <v>170</v>
      </c>
      <c r="U32" s="821"/>
      <c r="V32" s="144">
        <f t="shared" si="1"/>
        <v>2376.9411764705883</v>
      </c>
    </row>
    <row r="33" spans="1:22" ht="18" customHeight="1" thickBot="1">
      <c r="A33" s="554" t="s">
        <v>1832</v>
      </c>
      <c r="B33" s="144">
        <v>68233</v>
      </c>
      <c r="C33" s="297">
        <v>48</v>
      </c>
      <c r="D33" s="144">
        <v>64</v>
      </c>
      <c r="E33" s="297">
        <v>112</v>
      </c>
      <c r="F33" s="1200">
        <v>1.6414344965046239</v>
      </c>
      <c r="G33" s="555">
        <v>-2.9027265271999503E-2</v>
      </c>
      <c r="H33" s="144">
        <v>19</v>
      </c>
      <c r="I33" s="1201">
        <v>2</v>
      </c>
      <c r="J33" s="1200">
        <v>2.7845763779989152</v>
      </c>
      <c r="K33" s="555">
        <v>-3.0190670203569248E-3</v>
      </c>
      <c r="M33" s="554" t="s">
        <v>1832</v>
      </c>
      <c r="N33" s="144">
        <v>67281</v>
      </c>
      <c r="O33" s="297">
        <v>41</v>
      </c>
      <c r="P33" s="144">
        <v>60</v>
      </c>
      <c r="Q33" s="297">
        <v>101</v>
      </c>
      <c r="R33" s="820"/>
      <c r="S33" s="297">
        <f t="shared" si="0"/>
        <v>666.14851485148517</v>
      </c>
      <c r="T33" s="144">
        <v>17</v>
      </c>
      <c r="U33" s="821"/>
      <c r="V33" s="144">
        <f t="shared" si="1"/>
        <v>3957.705882352941</v>
      </c>
    </row>
    <row r="34" spans="1:22" ht="30" customHeight="1" thickBot="1">
      <c r="A34" s="556" t="s">
        <v>628</v>
      </c>
      <c r="B34" s="338">
        <v>7618599</v>
      </c>
      <c r="C34" s="339">
        <v>6317</v>
      </c>
      <c r="D34" s="338">
        <v>9271</v>
      </c>
      <c r="E34" s="339">
        <v>15588</v>
      </c>
      <c r="F34" s="1202">
        <v>2.0460454737150493</v>
      </c>
      <c r="G34" s="557">
        <v>-4.4288123513958055E-3</v>
      </c>
      <c r="H34" s="338">
        <v>1700</v>
      </c>
      <c r="I34" s="1203" t="s">
        <v>59</v>
      </c>
      <c r="J34" s="1202">
        <v>2.2313813865252654</v>
      </c>
      <c r="K34" s="557">
        <v>-3.3151271137219496E-3</v>
      </c>
      <c r="M34" s="1204" t="s">
        <v>629</v>
      </c>
      <c r="N34" s="672">
        <f>SUM(N8:N33)</f>
        <v>7166738</v>
      </c>
      <c r="O34" s="1205">
        <f>SUM(O8:O33)</f>
        <v>4622</v>
      </c>
      <c r="P34" s="672">
        <f>SUM(P8:P33)</f>
        <v>9000</v>
      </c>
      <c r="Q34" s="1205">
        <f>SUM(Q8:Q33)</f>
        <v>13622</v>
      </c>
      <c r="R34" s="1195"/>
      <c r="S34" s="1205">
        <f t="shared" si="0"/>
        <v>526.11496109235065</v>
      </c>
      <c r="T34" s="672">
        <f>SUM(T8:T33)</f>
        <v>1654</v>
      </c>
      <c r="U34" s="1196"/>
      <c r="V34" s="672">
        <f t="shared" si="1"/>
        <v>4332.9733978234581</v>
      </c>
    </row>
    <row r="35" spans="1:22" ht="20" customHeight="1">
      <c r="A35" s="1085" t="s">
        <v>1182</v>
      </c>
      <c r="B35" s="1086"/>
      <c r="C35" s="1086"/>
      <c r="D35" s="1086"/>
      <c r="E35" s="1086"/>
      <c r="F35" s="1086"/>
      <c r="G35" s="1086"/>
      <c r="H35" s="1086"/>
      <c r="I35" s="1208"/>
      <c r="J35" s="1086"/>
      <c r="K35" s="1086"/>
      <c r="M35" s="1209" t="s">
        <v>1183</v>
      </c>
      <c r="N35" s="1210"/>
      <c r="O35" s="1210"/>
      <c r="P35" s="1210"/>
      <c r="Q35" s="1210"/>
      <c r="R35" s="1210"/>
      <c r="S35" s="1210"/>
      <c r="T35" s="1210"/>
      <c r="U35" s="1210"/>
      <c r="V35" s="1210"/>
    </row>
    <row r="36" spans="1:22" ht="10.5" customHeight="1">
      <c r="A36" s="1131"/>
      <c r="B36" s="1132"/>
      <c r="C36" s="1132"/>
      <c r="D36" s="1132"/>
      <c r="E36" s="1132"/>
      <c r="F36" s="1132"/>
      <c r="G36" s="1132"/>
      <c r="H36" s="1132"/>
      <c r="I36" s="1211"/>
      <c r="J36" s="1132"/>
      <c r="K36" s="1132"/>
      <c r="M36" s="791"/>
      <c r="N36" s="1212"/>
      <c r="O36" s="1212"/>
      <c r="P36" s="1212"/>
      <c r="Q36" s="1212"/>
      <c r="R36" s="1212"/>
      <c r="S36" s="1212"/>
      <c r="T36" s="1212"/>
      <c r="U36" s="1212"/>
      <c r="V36" s="1212"/>
    </row>
    <row r="37" spans="1:22" ht="12" customHeight="1">
      <c r="A37" s="1131" t="s">
        <v>1184</v>
      </c>
      <c r="B37" s="1132"/>
      <c r="C37" s="1132"/>
      <c r="D37" s="1132"/>
      <c r="E37" s="1132"/>
      <c r="F37" s="1132"/>
      <c r="G37" s="1132"/>
      <c r="H37" s="1132"/>
      <c r="I37" s="1211"/>
      <c r="J37" s="1132"/>
      <c r="K37" s="1132"/>
      <c r="M37" s="2" t="s">
        <v>1185</v>
      </c>
      <c r="N37" s="1212"/>
      <c r="O37" s="1212"/>
      <c r="P37" s="1212"/>
      <c r="Q37" s="1212"/>
      <c r="R37" s="1212"/>
      <c r="S37" s="1212"/>
      <c r="T37" s="1212"/>
      <c r="U37" s="1212"/>
      <c r="V37" s="1212"/>
    </row>
    <row r="38" spans="1:22" ht="12" customHeight="1">
      <c r="A38" s="1131" t="s">
        <v>1186</v>
      </c>
      <c r="B38" s="1132"/>
      <c r="C38" s="1132"/>
      <c r="D38" s="1132"/>
      <c r="E38" s="1132"/>
      <c r="F38" s="1132"/>
      <c r="G38" s="1132"/>
      <c r="H38" s="1132"/>
      <c r="I38" s="1211"/>
      <c r="J38" s="1132"/>
      <c r="K38" s="1132"/>
      <c r="N38" s="1212"/>
      <c r="O38" s="1212"/>
      <c r="P38" s="1212"/>
      <c r="Q38" s="1212"/>
      <c r="R38" s="1212"/>
      <c r="S38" s="1212"/>
      <c r="T38" s="1212"/>
      <c r="U38" s="1212"/>
      <c r="V38" s="1212"/>
    </row>
    <row r="39" spans="1:22" ht="12" customHeight="1">
      <c r="A39" s="1131" t="s">
        <v>1187</v>
      </c>
      <c r="B39" s="1132"/>
      <c r="C39" s="1132"/>
      <c r="D39" s="1132"/>
      <c r="E39" s="1132"/>
      <c r="F39" s="1132"/>
      <c r="G39" s="1132"/>
      <c r="H39" s="1132"/>
      <c r="I39" s="1211"/>
      <c r="J39" s="1132"/>
      <c r="K39" s="1132"/>
      <c r="N39" s="1212"/>
      <c r="O39" s="1212"/>
      <c r="P39" s="1212"/>
      <c r="Q39" s="1212"/>
      <c r="R39" s="1212"/>
      <c r="S39" s="1212"/>
      <c r="T39" s="1212"/>
      <c r="U39" s="1212"/>
      <c r="V39" s="1212"/>
    </row>
    <row r="40" spans="1:22" ht="12" customHeight="1">
      <c r="A40" s="1131" t="s">
        <v>1188</v>
      </c>
      <c r="B40" s="1132"/>
      <c r="C40" s="1132"/>
      <c r="D40" s="1132"/>
      <c r="E40" s="1132"/>
      <c r="F40" s="1132"/>
      <c r="G40" s="1132"/>
      <c r="H40" s="1132"/>
      <c r="I40" s="1211"/>
      <c r="J40" s="1132"/>
      <c r="K40" s="1132"/>
      <c r="M40" s="2" t="s">
        <v>1185</v>
      </c>
      <c r="N40" s="1212"/>
      <c r="O40" s="1212"/>
      <c r="P40" s="1212"/>
      <c r="Q40" s="1212"/>
      <c r="R40" s="1212"/>
      <c r="S40" s="1212"/>
      <c r="T40" s="1212"/>
      <c r="U40" s="1212"/>
      <c r="V40" s="1212"/>
    </row>
    <row r="41" spans="1:22" ht="12" customHeight="1">
      <c r="A41" s="1131" t="s">
        <v>0</v>
      </c>
      <c r="B41" s="1132"/>
      <c r="C41" s="1132"/>
      <c r="D41" s="1132"/>
      <c r="E41" s="1132"/>
      <c r="F41" s="1132"/>
      <c r="G41" s="1132"/>
      <c r="H41" s="1132"/>
      <c r="I41" s="1211"/>
      <c r="J41" s="1132"/>
      <c r="K41" s="1132"/>
      <c r="N41" s="1212"/>
      <c r="O41" s="1212"/>
      <c r="P41" s="1212"/>
      <c r="Q41" s="1212"/>
      <c r="R41" s="1212"/>
      <c r="S41" s="1212"/>
      <c r="T41" s="1212"/>
      <c r="U41" s="1212"/>
      <c r="V41" s="1212"/>
    </row>
    <row r="42" spans="1:22" ht="12" customHeight="1">
      <c r="A42" s="1131" t="s">
        <v>1</v>
      </c>
      <c r="B42" s="1132"/>
      <c r="C42" s="1132"/>
      <c r="D42" s="1132"/>
      <c r="E42" s="1132"/>
      <c r="F42" s="1132"/>
      <c r="G42" s="1132"/>
      <c r="H42" s="1132"/>
      <c r="I42" s="1211"/>
      <c r="J42" s="1132"/>
      <c r="K42" s="1132"/>
      <c r="N42" s="1212"/>
      <c r="O42" s="1212"/>
      <c r="P42" s="1212"/>
      <c r="Q42" s="1212"/>
      <c r="R42" s="1212"/>
      <c r="S42" s="1212"/>
      <c r="T42" s="1212"/>
      <c r="U42" s="1212"/>
      <c r="V42" s="1212"/>
    </row>
    <row r="43" spans="1:22" ht="12" customHeight="1">
      <c r="A43" s="1131" t="s">
        <v>2</v>
      </c>
      <c r="B43" s="1132"/>
      <c r="C43" s="1132"/>
      <c r="D43" s="1132"/>
      <c r="E43" s="1132"/>
      <c r="F43" s="1132"/>
      <c r="G43" s="1132"/>
      <c r="H43" s="1132"/>
      <c r="I43" s="1211"/>
      <c r="J43" s="1132"/>
      <c r="K43" s="1132"/>
      <c r="N43" s="1212"/>
      <c r="O43" s="1212"/>
      <c r="P43" s="1212"/>
      <c r="Q43" s="1212"/>
      <c r="R43" s="1212"/>
      <c r="S43" s="1212"/>
      <c r="T43" s="1212"/>
      <c r="U43" s="1212"/>
      <c r="V43" s="1212"/>
    </row>
    <row r="44" spans="1:22" ht="12" customHeight="1">
      <c r="A44" s="1131" t="s">
        <v>3</v>
      </c>
      <c r="B44" s="1132"/>
      <c r="C44" s="1132"/>
      <c r="D44" s="1132"/>
      <c r="E44" s="1132"/>
      <c r="F44" s="1132"/>
      <c r="G44" s="1132"/>
      <c r="H44" s="1132"/>
      <c r="I44" s="1211"/>
      <c r="J44" s="1132"/>
      <c r="K44" s="1132"/>
      <c r="N44" s="1212"/>
      <c r="O44" s="1212"/>
      <c r="P44" s="1212"/>
      <c r="Q44" s="1212"/>
      <c r="R44" s="1212"/>
      <c r="S44" s="1212"/>
      <c r="T44" s="1212"/>
      <c r="U44" s="1212"/>
      <c r="V44" s="1212"/>
    </row>
    <row r="45" spans="1:22" ht="12" customHeight="1">
      <c r="A45" s="1131" t="s">
        <v>4</v>
      </c>
      <c r="B45" s="1132"/>
      <c r="C45" s="1132"/>
      <c r="D45" s="1132"/>
      <c r="E45" s="1132"/>
      <c r="F45" s="1132"/>
      <c r="G45" s="1132"/>
      <c r="H45" s="1132"/>
      <c r="I45" s="1211"/>
      <c r="J45" s="1132"/>
      <c r="K45" s="1132"/>
      <c r="N45" s="1212"/>
      <c r="O45" s="1212"/>
      <c r="P45" s="1212"/>
      <c r="Q45" s="1212"/>
      <c r="R45" s="1212"/>
      <c r="S45" s="1212"/>
      <c r="T45" s="1212"/>
      <c r="U45" s="1212"/>
      <c r="V45" s="1212"/>
    </row>
    <row r="46" spans="1:22" ht="12" customHeight="1">
      <c r="A46" s="1087" t="s">
        <v>5</v>
      </c>
      <c r="B46" s="1132"/>
      <c r="C46" s="1132"/>
      <c r="D46" s="1132"/>
      <c r="E46" s="1132"/>
      <c r="F46" s="1132"/>
      <c r="G46" s="1132"/>
      <c r="H46" s="1132"/>
      <c r="I46" s="1211"/>
      <c r="J46" s="1132"/>
      <c r="K46" s="1132"/>
      <c r="N46" s="1212"/>
      <c r="O46" s="1212"/>
      <c r="P46" s="1212"/>
      <c r="Q46" s="1212"/>
      <c r="R46" s="1212"/>
      <c r="S46" s="1212"/>
      <c r="T46" s="1212"/>
      <c r="U46" s="1212"/>
      <c r="V46" s="1212"/>
    </row>
    <row r="47" spans="1:22" ht="12" customHeight="1">
      <c r="A47" s="1131"/>
      <c r="B47" s="1132"/>
      <c r="C47" s="1132"/>
      <c r="D47" s="1132"/>
      <c r="E47" s="1132"/>
      <c r="F47" s="1132"/>
      <c r="G47" s="1132"/>
      <c r="H47" s="1132"/>
      <c r="I47" s="1211"/>
      <c r="J47" s="1132"/>
      <c r="K47" s="1132"/>
      <c r="N47" s="1212"/>
      <c r="O47" s="1212"/>
      <c r="P47" s="1212"/>
      <c r="Q47" s="1212"/>
      <c r="R47" s="1212"/>
      <c r="S47" s="1212"/>
      <c r="T47" s="1212"/>
      <c r="U47" s="1212"/>
      <c r="V47" s="1212"/>
    </row>
    <row r="48" spans="1:22" ht="12" customHeight="1">
      <c r="A48" s="1131"/>
      <c r="B48" s="1132"/>
      <c r="C48" s="1132"/>
      <c r="D48" s="1132"/>
      <c r="E48" s="1132"/>
      <c r="F48" s="1132"/>
      <c r="G48" s="1132"/>
      <c r="H48" s="1132"/>
      <c r="I48" s="1211"/>
      <c r="J48" s="1132"/>
      <c r="K48" s="1132"/>
      <c r="N48" s="1212"/>
      <c r="O48" s="1212"/>
      <c r="P48" s="1212"/>
      <c r="Q48" s="1212"/>
      <c r="R48" s="1212"/>
      <c r="S48" s="1212"/>
      <c r="T48" s="1212"/>
      <c r="U48" s="1212"/>
      <c r="V48" s="1212"/>
    </row>
    <row r="49" spans="1:22" ht="12" customHeight="1">
      <c r="A49" s="1131" t="s">
        <v>634</v>
      </c>
      <c r="B49" s="1132"/>
      <c r="C49" s="1132"/>
      <c r="D49" s="1132"/>
      <c r="E49" s="1132"/>
      <c r="F49" s="1132"/>
      <c r="G49" s="1132"/>
      <c r="H49" s="1132"/>
      <c r="I49" s="1211"/>
      <c r="J49" s="1132"/>
      <c r="K49" s="1132"/>
      <c r="N49" s="1212"/>
      <c r="O49" s="1212"/>
      <c r="P49" s="1212"/>
      <c r="Q49" s="1212"/>
      <c r="R49" s="1212"/>
      <c r="S49" s="1212"/>
      <c r="T49" s="1212"/>
      <c r="U49" s="1212"/>
      <c r="V49" s="1212"/>
    </row>
    <row r="50" spans="1:22" ht="12" customHeight="1">
      <c r="A50" s="1131"/>
      <c r="B50" s="1132"/>
      <c r="C50" s="1132"/>
      <c r="D50" s="1132"/>
      <c r="E50" s="1132"/>
      <c r="F50" s="1132"/>
      <c r="G50" s="1132"/>
      <c r="H50" s="1132"/>
      <c r="I50" s="1211"/>
      <c r="J50" s="1132"/>
      <c r="K50" s="1132"/>
      <c r="N50" s="1212"/>
      <c r="O50" s="1212"/>
      <c r="P50" s="1212"/>
      <c r="Q50" s="1212"/>
      <c r="R50" s="1212"/>
      <c r="S50" s="1212"/>
      <c r="T50" s="1212"/>
      <c r="U50" s="1212"/>
      <c r="V50" s="1212"/>
    </row>
    <row r="51" spans="1:22" ht="12" customHeight="1">
      <c r="A51" s="1087"/>
      <c r="B51" s="1122"/>
      <c r="C51" s="1122"/>
      <c r="D51" s="1122"/>
      <c r="E51" s="1122"/>
      <c r="F51" s="1122"/>
      <c r="G51" s="1122"/>
      <c r="H51" s="1122"/>
      <c r="I51" s="1213"/>
      <c r="J51" s="1122"/>
      <c r="K51" s="1122"/>
      <c r="N51" s="1212"/>
      <c r="O51" s="1212"/>
      <c r="P51" s="1212"/>
      <c r="Q51" s="1212"/>
      <c r="R51" s="1212"/>
      <c r="S51" s="1212"/>
      <c r="T51" s="1212"/>
      <c r="U51" s="1212"/>
      <c r="V51" s="1212"/>
    </row>
    <row r="52" spans="1:22">
      <c r="A52" s="300"/>
      <c r="B52" s="1214"/>
      <c r="C52" s="1214"/>
      <c r="D52" s="1214"/>
      <c r="E52" s="1214"/>
      <c r="F52" s="1214"/>
      <c r="G52" s="1214"/>
      <c r="H52" s="1214"/>
      <c r="I52" s="630"/>
      <c r="J52" s="1214"/>
      <c r="K52" s="1214"/>
    </row>
  </sheetData>
  <phoneticPr fontId="0" type="noConversion"/>
  <pageMargins left="0.48" right="0.47" top="1" bottom="0.49" header="0.48" footer="0.4921259845"/>
  <pageSetup paperSize="9" scale="82" orientation="portrait" horizontalDpi="4294967292" verticalDpi="4294967292"/>
  <headerFooter alignWithMargins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513D-E06F-7D44-963A-54B1562087C5}">
  <sheetPr>
    <pageSetUpPr fitToPage="1"/>
  </sheetPr>
  <dimension ref="A1:N38"/>
  <sheetViews>
    <sheetView zoomScale="75" workbookViewId="0">
      <selection activeCell="L17" sqref="L17"/>
    </sheetView>
  </sheetViews>
  <sheetFormatPr baseColWidth="10" defaultColWidth="11.3984375" defaultRowHeight="13"/>
  <cols>
    <col min="1" max="1" width="11.796875" style="2" customWidth="1"/>
    <col min="2" max="8" width="11.796875" style="156" customWidth="1"/>
    <col min="9" max="9" width="12.19921875" style="156" customWidth="1"/>
    <col min="10" max="10" width="7.19921875" style="2" customWidth="1"/>
    <col min="11" max="16384" width="11.3984375" style="2"/>
  </cols>
  <sheetData>
    <row r="1" spans="1:9" s="1" customFormat="1" ht="14" customHeight="1">
      <c r="A1" s="381"/>
      <c r="B1" s="1117"/>
      <c r="C1" s="1117"/>
      <c r="D1" s="1117"/>
      <c r="E1" s="1117"/>
      <c r="F1" s="1117"/>
      <c r="G1" s="1117"/>
      <c r="H1" s="1117"/>
      <c r="I1" s="1117"/>
    </row>
    <row r="2" spans="1:9" s="1" customFormat="1" ht="42.75" customHeight="1">
      <c r="A2" s="1806" t="s">
        <v>17</v>
      </c>
      <c r="B2" s="1804"/>
      <c r="C2" s="1804"/>
      <c r="D2" s="1804"/>
      <c r="E2" s="1804"/>
      <c r="F2" s="1804"/>
      <c r="G2" s="1804"/>
      <c r="H2" s="1804"/>
      <c r="I2" s="321"/>
    </row>
    <row r="3" spans="1:9" ht="27" customHeight="1">
      <c r="A3" s="110" t="s">
        <v>533</v>
      </c>
      <c r="B3" s="111" t="s">
        <v>1507</v>
      </c>
      <c r="C3" s="112" t="s">
        <v>1801</v>
      </c>
      <c r="D3" s="111" t="s">
        <v>999</v>
      </c>
      <c r="E3" s="112" t="s">
        <v>1160</v>
      </c>
      <c r="F3" s="111" t="s">
        <v>22</v>
      </c>
      <c r="G3" s="112" t="s">
        <v>999</v>
      </c>
      <c r="H3" s="111" t="s">
        <v>1162</v>
      </c>
      <c r="I3" s="112" t="s">
        <v>22</v>
      </c>
    </row>
    <row r="4" spans="1:9" ht="17.25" customHeight="1">
      <c r="A4" s="308"/>
      <c r="B4" s="391" t="s">
        <v>1164</v>
      </c>
      <c r="C4" s="928" t="s">
        <v>51</v>
      </c>
      <c r="D4" s="114" t="s">
        <v>23</v>
      </c>
      <c r="E4" s="115" t="s">
        <v>24</v>
      </c>
      <c r="F4" s="114" t="s">
        <v>51</v>
      </c>
      <c r="G4" s="115" t="s">
        <v>1168</v>
      </c>
      <c r="H4" s="114" t="s">
        <v>1170</v>
      </c>
      <c r="I4" s="115" t="s">
        <v>51</v>
      </c>
    </row>
    <row r="5" spans="1:9" ht="18.75" customHeight="1">
      <c r="A5" s="308"/>
      <c r="B5" s="391" t="s">
        <v>1173</v>
      </c>
      <c r="C5" s="928" t="s">
        <v>1806</v>
      </c>
      <c r="D5" s="391"/>
      <c r="E5" s="928"/>
      <c r="F5" s="391" t="s">
        <v>1806</v>
      </c>
      <c r="G5" s="115" t="s">
        <v>25</v>
      </c>
      <c r="H5" s="391" t="s">
        <v>26</v>
      </c>
      <c r="I5" s="115" t="s">
        <v>1806</v>
      </c>
    </row>
    <row r="6" spans="1:9" ht="21" customHeight="1">
      <c r="A6" s="505"/>
      <c r="B6" s="120" t="s">
        <v>13</v>
      </c>
      <c r="C6" s="119"/>
      <c r="D6" s="120"/>
      <c r="E6" s="119"/>
      <c r="F6" s="120"/>
      <c r="G6" s="119"/>
      <c r="H6" s="120"/>
      <c r="I6" s="119"/>
    </row>
    <row r="7" spans="1:9" ht="1.5" customHeight="1" thickBot="1">
      <c r="A7" s="553">
        <v>1996</v>
      </c>
      <c r="B7" s="142">
        <v>7105446</v>
      </c>
      <c r="C7" s="143">
        <v>3.459706242723432E-3</v>
      </c>
      <c r="D7" s="142">
        <v>12711</v>
      </c>
      <c r="E7" s="1215">
        <v>1.7889095209505499</v>
      </c>
      <c r="F7" s="586">
        <v>2.7595951533686547E-2</v>
      </c>
      <c r="G7" s="291">
        <v>1649</v>
      </c>
      <c r="H7" s="1216">
        <v>2.3207550940503947</v>
      </c>
      <c r="I7" s="143">
        <v>1.4104900491136441E-3</v>
      </c>
    </row>
    <row r="8" spans="1:9" ht="18" customHeight="1" thickBot="1">
      <c r="A8" s="554">
        <v>1997</v>
      </c>
      <c r="B8" s="144">
        <v>7113565</v>
      </c>
      <c r="C8" s="145">
        <v>1.142644670017899E-3</v>
      </c>
      <c r="D8" s="144">
        <v>13038</v>
      </c>
      <c r="E8" s="1217">
        <v>1.8328362782936545</v>
      </c>
      <c r="F8" s="416">
        <v>2.4555046987375651E-2</v>
      </c>
      <c r="G8" s="297">
        <v>1651</v>
      </c>
      <c r="H8" s="1200">
        <v>2.3209178520193463</v>
      </c>
      <c r="I8" s="145">
        <v>7.0131471161527514E-5</v>
      </c>
    </row>
    <row r="9" spans="1:9" ht="18" customHeight="1" thickBot="1">
      <c r="A9" s="554">
        <v>1998</v>
      </c>
      <c r="B9" s="144">
        <v>7131888</v>
      </c>
      <c r="C9" s="145">
        <v>2.5757830286220764E-3</v>
      </c>
      <c r="D9" s="144">
        <v>13357</v>
      </c>
      <c r="E9" s="1217">
        <v>1.8728561076674226</v>
      </c>
      <c r="F9" s="416">
        <v>2.1834917743458249E-2</v>
      </c>
      <c r="G9" s="297">
        <v>1653</v>
      </c>
      <c r="H9" s="1200">
        <v>2.3177593366581193</v>
      </c>
      <c r="I9" s="145">
        <v>-1.3608906314710456E-3</v>
      </c>
    </row>
    <row r="10" spans="1:9" ht="18" customHeight="1" thickBot="1">
      <c r="A10" s="554">
        <v>1999</v>
      </c>
      <c r="B10" s="144">
        <v>7166738</v>
      </c>
      <c r="C10" s="145">
        <v>4.8865041066264644E-3</v>
      </c>
      <c r="D10" s="144">
        <v>13622</v>
      </c>
      <c r="E10" s="1217">
        <v>1.9007252671996662</v>
      </c>
      <c r="F10" s="416">
        <v>1.4880566327625466E-2</v>
      </c>
      <c r="G10" s="297">
        <v>1654</v>
      </c>
      <c r="H10" s="1200">
        <v>2.3078840052475758</v>
      </c>
      <c r="I10" s="145">
        <v>-4.260723386743992E-3</v>
      </c>
    </row>
    <row r="11" spans="1:9" ht="18" customHeight="1" thickBot="1">
      <c r="A11" s="554">
        <v>2000</v>
      </c>
      <c r="B11" s="144">
        <v>7209042</v>
      </c>
      <c r="C11" s="145">
        <v>5.9028249672305588E-3</v>
      </c>
      <c r="D11" s="144">
        <v>13935</v>
      </c>
      <c r="E11" s="1217">
        <v>1.9329891544535323</v>
      </c>
      <c r="F11" s="416">
        <v>1.6974513787255674E-2</v>
      </c>
      <c r="G11" s="297">
        <v>1664</v>
      </c>
      <c r="H11" s="1200">
        <v>2.3082123810625603</v>
      </c>
      <c r="I11" s="145">
        <v>1.4228436708174641E-4</v>
      </c>
    </row>
    <row r="12" spans="1:9" ht="18" customHeight="1" thickBot="1">
      <c r="A12" s="554">
        <v>2001</v>
      </c>
      <c r="B12" s="144">
        <v>7260339</v>
      </c>
      <c r="C12" s="145">
        <v>7.1156472663080617E-3</v>
      </c>
      <c r="D12" s="144">
        <v>14178</v>
      </c>
      <c r="E12" s="1217">
        <v>1.952801377456342</v>
      </c>
      <c r="F12" s="416">
        <v>1.0249526210306614E-2</v>
      </c>
      <c r="G12" s="297">
        <v>1653</v>
      </c>
      <c r="H12" s="1200">
        <v>2.2767531929294211</v>
      </c>
      <c r="I12" s="145">
        <v>-1.362924330154458E-2</v>
      </c>
    </row>
    <row r="13" spans="1:9" ht="18" customHeight="1" thickBot="1">
      <c r="A13" s="554">
        <v>2002</v>
      </c>
      <c r="B13" s="144">
        <v>7347770</v>
      </c>
      <c r="C13" s="145">
        <v>1.2042275160980775E-2</v>
      </c>
      <c r="D13" s="144">
        <v>14408</v>
      </c>
      <c r="E13" s="1217">
        <v>1.9608670385708864</v>
      </c>
      <c r="F13" s="416">
        <v>4.1303028601149538E-3</v>
      </c>
      <c r="G13" s="297">
        <v>1648</v>
      </c>
      <c r="H13" s="1200">
        <v>2.2428573567218355</v>
      </c>
      <c r="I13" s="145">
        <v>-1.4887795617395394E-2</v>
      </c>
    </row>
    <row r="14" spans="1:9" ht="18" customHeight="1" thickBot="1">
      <c r="A14" s="554">
        <v>2003</v>
      </c>
      <c r="B14" s="144">
        <v>7405051</v>
      </c>
      <c r="C14" s="145">
        <v>7.7956985588824908E-3</v>
      </c>
      <c r="D14" s="144">
        <v>14879</v>
      </c>
      <c r="E14" s="1217">
        <v>2.0093041898023394</v>
      </c>
      <c r="F14" s="416">
        <v>2.4701904962793897E-2</v>
      </c>
      <c r="G14" s="297">
        <v>1653</v>
      </c>
      <c r="H14" s="1200">
        <v>2.2322601154266191</v>
      </c>
      <c r="I14" s="145">
        <v>-4.7248842033830174E-3</v>
      </c>
    </row>
    <row r="15" spans="1:9" ht="18" customHeight="1" thickBot="1">
      <c r="A15" s="554">
        <v>2004</v>
      </c>
      <c r="B15" s="144">
        <v>7454112</v>
      </c>
      <c r="C15" s="145">
        <v>6.6253426208678374E-3</v>
      </c>
      <c r="D15" s="144">
        <v>15199</v>
      </c>
      <c r="E15" s="1217">
        <v>2.03900880480465</v>
      </c>
      <c r="F15" s="416">
        <v>1.4783533102189272E-2</v>
      </c>
      <c r="G15" s="297">
        <v>1656</v>
      </c>
      <c r="H15" s="1200">
        <v>2.2215925921155999</v>
      </c>
      <c r="I15" s="145">
        <v>-4.7787994048267279E-3</v>
      </c>
    </row>
    <row r="16" spans="1:9" ht="18" customHeight="1" thickBot="1">
      <c r="A16" s="554">
        <v>2005</v>
      </c>
      <c r="B16" s="144">
        <v>7501255</v>
      </c>
      <c r="C16" s="145">
        <v>6.3244287180015402E-3</v>
      </c>
      <c r="D16" s="144">
        <v>15313</v>
      </c>
      <c r="E16" s="1217">
        <v>2.0413917404487649</v>
      </c>
      <c r="F16" s="416">
        <v>1.1686735429978778E-3</v>
      </c>
      <c r="G16" s="297">
        <v>1672</v>
      </c>
      <c r="H16" s="1200">
        <v>2.2289603539674361</v>
      </c>
      <c r="I16" s="145">
        <v>3.3164324899102038E-3</v>
      </c>
    </row>
    <row r="17" spans="1:14" ht="18" customHeight="1" thickBot="1">
      <c r="A17" s="554">
        <v>2006</v>
      </c>
      <c r="B17" s="144">
        <v>7557609</v>
      </c>
      <c r="C17" s="145">
        <v>7.5126095566675488E-3</v>
      </c>
      <c r="D17" s="144">
        <v>15532</v>
      </c>
      <c r="E17" s="1217">
        <v>2.0551473356189769</v>
      </c>
      <c r="F17" s="416">
        <v>6.7383417389490496E-3</v>
      </c>
      <c r="G17" s="297">
        <v>1692</v>
      </c>
      <c r="H17" s="1200">
        <v>2.2388033040608479</v>
      </c>
      <c r="I17" s="145">
        <v>4.415937715487761E-3</v>
      </c>
    </row>
    <row r="18" spans="1:14" ht="30" customHeight="1" thickBot="1">
      <c r="A18" s="556">
        <v>2007</v>
      </c>
      <c r="B18" s="338">
        <v>7618599</v>
      </c>
      <c r="C18" s="588">
        <v>8.0700126190704768E-3</v>
      </c>
      <c r="D18" s="338">
        <v>15588</v>
      </c>
      <c r="E18" s="1218">
        <v>2.0460454737150493</v>
      </c>
      <c r="F18" s="587">
        <v>-4.4288123513958055E-3</v>
      </c>
      <c r="G18" s="339">
        <v>1700</v>
      </c>
      <c r="H18" s="1219">
        <v>2.2313813865252654</v>
      </c>
      <c r="I18" s="588">
        <v>-3.3151271137219496E-3</v>
      </c>
    </row>
    <row r="19" spans="1:14" ht="20" customHeight="1">
      <c r="A19" s="1085" t="s">
        <v>1182</v>
      </c>
      <c r="B19" s="1086"/>
      <c r="C19" s="1086"/>
      <c r="D19" s="1086"/>
      <c r="E19" s="1086"/>
      <c r="F19" s="1086"/>
      <c r="G19" s="1086"/>
      <c r="H19" s="1086"/>
      <c r="I19" s="1086"/>
    </row>
    <row r="20" spans="1:14" ht="17.25" customHeight="1">
      <c r="A20" s="1131"/>
      <c r="B20" s="1132"/>
      <c r="C20" s="1132"/>
      <c r="D20" s="1132"/>
      <c r="E20" s="1132"/>
      <c r="F20" s="1132"/>
      <c r="G20" s="1132"/>
      <c r="H20" s="1132"/>
      <c r="I20" s="1132"/>
    </row>
    <row r="21" spans="1:14" ht="12" customHeight="1">
      <c r="A21" s="1131" t="s">
        <v>18</v>
      </c>
      <c r="B21" s="1132"/>
      <c r="C21" s="1132"/>
      <c r="D21" s="1132"/>
      <c r="E21" s="1132"/>
      <c r="F21" s="1132"/>
      <c r="G21" s="1132"/>
      <c r="H21" s="1132"/>
      <c r="I21" s="1132"/>
    </row>
    <row r="22" spans="1:14" ht="12" customHeight="1">
      <c r="A22" s="348" t="s">
        <v>19</v>
      </c>
      <c r="B22" s="1132"/>
      <c r="C22" s="1132"/>
      <c r="D22" s="1132"/>
      <c r="E22" s="1132"/>
      <c r="F22" s="1132"/>
      <c r="G22" s="1132"/>
      <c r="H22" s="1132"/>
      <c r="I22" s="1132"/>
    </row>
    <row r="23" spans="1:14" ht="12" customHeight="1">
      <c r="A23" s="348" t="s">
        <v>20</v>
      </c>
      <c r="B23" s="1132"/>
      <c r="C23" s="1132"/>
      <c r="D23" s="1132"/>
      <c r="E23" s="1132"/>
      <c r="F23" s="1132"/>
      <c r="G23" s="1132"/>
      <c r="H23" s="1132"/>
      <c r="I23" s="1132"/>
    </row>
    <row r="24" spans="1:14" ht="12" customHeight="1">
      <c r="A24" s="348" t="s">
        <v>21</v>
      </c>
      <c r="B24" s="1132"/>
      <c r="C24" s="1132"/>
      <c r="D24" s="1132"/>
      <c r="E24" s="1132"/>
      <c r="F24" s="1132"/>
      <c r="G24" s="1132"/>
      <c r="H24" s="1132"/>
      <c r="I24" s="1132"/>
    </row>
    <row r="25" spans="1:14" ht="15" customHeight="1">
      <c r="A25" s="157"/>
      <c r="B25" s="1125"/>
      <c r="C25" s="1125"/>
      <c r="D25" s="1125"/>
      <c r="E25" s="1125"/>
      <c r="F25" s="1125"/>
      <c r="G25" s="1125"/>
      <c r="H25" s="1125"/>
      <c r="I25" s="1125"/>
    </row>
    <row r="26" spans="1:14" ht="15" customHeight="1">
      <c r="A26" s="4"/>
      <c r="B26" s="1123"/>
      <c r="C26" s="1123"/>
      <c r="D26" s="1123"/>
      <c r="E26" s="1123"/>
      <c r="F26" s="1123"/>
      <c r="G26" s="1123"/>
      <c r="H26" s="1123"/>
      <c r="I26" s="1123"/>
      <c r="J26" s="4"/>
      <c r="K26" s="4"/>
      <c r="L26" s="4"/>
      <c r="M26" s="4"/>
      <c r="N26" s="4"/>
    </row>
    <row r="27" spans="1:14" ht="15" customHeight="1">
      <c r="A27" s="4" t="s">
        <v>634</v>
      </c>
      <c r="B27" s="1123"/>
      <c r="C27" s="1123"/>
      <c r="D27" s="1123"/>
      <c r="E27" s="1123"/>
      <c r="F27" s="1123"/>
      <c r="G27" s="1123"/>
      <c r="H27" s="1123"/>
      <c r="I27" s="1123"/>
      <c r="J27" s="4"/>
      <c r="K27" s="4"/>
      <c r="L27" s="1124"/>
      <c r="M27" s="4"/>
      <c r="N27" s="4"/>
    </row>
    <row r="28" spans="1:14" ht="31" customHeight="1">
      <c r="A28" s="4"/>
      <c r="B28" s="1123"/>
      <c r="C28" s="1123"/>
      <c r="D28" s="1123"/>
      <c r="E28" s="1123"/>
      <c r="F28" s="1123"/>
      <c r="G28" s="1123"/>
      <c r="H28" s="1123"/>
      <c r="I28" s="1123"/>
      <c r="J28" s="4"/>
      <c r="K28" s="4"/>
      <c r="L28" s="4"/>
      <c r="M28" s="4"/>
      <c r="N28" s="4"/>
    </row>
    <row r="29" spans="1:14" ht="31" customHeight="1">
      <c r="A29" s="4"/>
      <c r="B29" s="1123"/>
      <c r="C29" s="1123"/>
      <c r="D29" s="1123"/>
      <c r="E29" s="1123"/>
      <c r="F29" s="1123"/>
      <c r="G29" s="1123"/>
      <c r="H29" s="1123"/>
      <c r="I29" s="1123"/>
      <c r="J29" s="4"/>
      <c r="K29" s="4"/>
      <c r="L29" s="4"/>
      <c r="M29" s="4"/>
      <c r="N29" s="4"/>
    </row>
    <row r="30" spans="1:14" ht="31" customHeight="1">
      <c r="A30" s="4"/>
      <c r="B30" s="1123"/>
      <c r="C30" s="1123"/>
      <c r="D30" s="1123"/>
      <c r="E30" s="1123"/>
      <c r="F30" s="1123"/>
      <c r="G30" s="1123"/>
      <c r="H30" s="1123"/>
      <c r="I30" s="1123"/>
      <c r="J30" s="4"/>
      <c r="K30" s="4"/>
      <c r="L30" s="4"/>
      <c r="M30" s="4"/>
      <c r="N30" s="4"/>
    </row>
    <row r="31" spans="1:14" ht="31" customHeight="1">
      <c r="A31" s="4"/>
      <c r="B31" s="1123"/>
      <c r="C31" s="1123"/>
      <c r="D31" s="1123"/>
      <c r="E31" s="1123"/>
      <c r="F31" s="1123"/>
      <c r="G31" s="1123"/>
      <c r="H31" s="1123"/>
      <c r="I31" s="1123"/>
      <c r="J31" s="4"/>
      <c r="K31" s="4"/>
      <c r="L31" s="4"/>
      <c r="M31" s="4"/>
      <c r="N31" s="4"/>
    </row>
    <row r="32" spans="1:14" ht="31" customHeight="1">
      <c r="A32" s="4"/>
      <c r="B32" s="1123"/>
      <c r="C32" s="1123"/>
      <c r="D32" s="1123"/>
      <c r="E32" s="1123"/>
      <c r="F32" s="1123"/>
      <c r="G32" s="1123"/>
      <c r="H32" s="1123"/>
      <c r="I32" s="1123"/>
      <c r="J32" s="4"/>
      <c r="K32" s="4"/>
      <c r="L32" s="4"/>
      <c r="M32" s="4"/>
      <c r="N32" s="4"/>
    </row>
    <row r="33" spans="1:14" ht="18" customHeight="1">
      <c r="A33" s="4"/>
      <c r="B33" s="1123"/>
      <c r="C33" s="1123"/>
      <c r="D33" s="1123"/>
      <c r="E33" s="1123"/>
      <c r="F33" s="1123"/>
      <c r="G33" s="1123"/>
      <c r="H33" s="1123"/>
      <c r="I33" s="1123"/>
      <c r="J33" s="4"/>
      <c r="K33" s="4"/>
      <c r="L33" s="4"/>
      <c r="M33" s="4"/>
      <c r="N33" s="4"/>
    </row>
    <row r="34" spans="1:14">
      <c r="A34" s="4"/>
      <c r="B34" s="1123"/>
      <c r="C34" s="1123"/>
      <c r="D34" s="1123"/>
      <c r="E34" s="1123"/>
      <c r="F34" s="1123"/>
      <c r="G34" s="1123"/>
      <c r="H34" s="1123"/>
      <c r="I34" s="1123"/>
      <c r="J34" s="4"/>
      <c r="K34" s="4"/>
      <c r="L34" s="4"/>
      <c r="M34" s="4"/>
      <c r="N34" s="4"/>
    </row>
    <row r="35" spans="1:14">
      <c r="A35" s="4"/>
      <c r="B35" s="1123"/>
      <c r="C35" s="1123"/>
      <c r="D35" s="1123"/>
      <c r="E35" s="1123"/>
      <c r="F35" s="1123"/>
      <c r="G35" s="1123"/>
      <c r="H35" s="1123"/>
      <c r="I35" s="1123"/>
      <c r="J35" s="4"/>
      <c r="K35" s="4"/>
      <c r="L35" s="4"/>
      <c r="M35" s="4"/>
      <c r="N35" s="4"/>
    </row>
    <row r="36" spans="1:14">
      <c r="A36" s="4"/>
      <c r="B36" s="1123"/>
      <c r="C36" s="1123"/>
      <c r="D36" s="1123"/>
      <c r="E36" s="1123"/>
      <c r="F36" s="1123"/>
      <c r="G36" s="1123"/>
      <c r="H36" s="1123"/>
      <c r="I36" s="1123"/>
      <c r="J36" s="4"/>
      <c r="K36" s="4"/>
      <c r="L36" s="4"/>
      <c r="M36" s="4"/>
      <c r="N36" s="4"/>
    </row>
    <row r="37" spans="1:14">
      <c r="A37" s="4"/>
      <c r="B37" s="1123"/>
      <c r="C37" s="1123"/>
      <c r="D37" s="1123"/>
      <c r="E37" s="1123"/>
      <c r="F37" s="1123"/>
      <c r="G37" s="1123"/>
      <c r="H37" s="1123"/>
      <c r="I37" s="1123"/>
      <c r="J37" s="4"/>
      <c r="K37" s="4"/>
      <c r="L37" s="4"/>
      <c r="M37" s="4"/>
      <c r="N37" s="4"/>
    </row>
    <row r="38" spans="1:14">
      <c r="A38" s="4"/>
      <c r="B38" s="1123"/>
      <c r="C38" s="1123"/>
      <c r="D38" s="1123"/>
      <c r="E38" s="1123"/>
      <c r="F38" s="1123"/>
      <c r="G38" s="1123"/>
      <c r="H38" s="1123"/>
      <c r="I38" s="1123"/>
      <c r="J38" s="4"/>
      <c r="K38" s="4"/>
      <c r="L38" s="4"/>
      <c r="M38" s="4"/>
      <c r="N38" s="4"/>
    </row>
  </sheetData>
  <mergeCells count="1">
    <mergeCell ref="A2:H2"/>
  </mergeCells>
  <phoneticPr fontId="0" type="noConversion"/>
  <pageMargins left="0.55000000000000004" right="0.61" top="0.94" bottom="0.49" header="0.56999999999999995" footer="0.4921259845"/>
  <pageSetup paperSize="9" scale="87" orientation="portrait" horizontalDpi="4294967292" verticalDpi="4294967292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C359-FF57-4B41-9A51-1BD3FCFBF8EC}">
  <sheetPr>
    <pageSetUpPr fitToPage="1"/>
  </sheetPr>
  <dimension ref="A1:N41"/>
  <sheetViews>
    <sheetView topLeftCell="A18" zoomScale="75" workbookViewId="0">
      <selection activeCell="B21" sqref="B21"/>
    </sheetView>
  </sheetViews>
  <sheetFormatPr baseColWidth="10" defaultColWidth="11.3984375" defaultRowHeight="13"/>
  <cols>
    <col min="1" max="1" width="9.19921875" style="2" customWidth="1"/>
    <col min="2" max="2" width="13.19921875" style="156" customWidth="1"/>
    <col min="3" max="6" width="11.3984375" style="156"/>
    <col min="7" max="7" width="11.19921875" style="156" customWidth="1"/>
    <col min="8" max="9" width="11.19921875" style="2" customWidth="1"/>
    <col min="10" max="10" width="11.19921875" customWidth="1"/>
    <col min="11" max="12" width="11.796875" style="2" customWidth="1"/>
    <col min="13" max="13" width="18.19921875" style="2" customWidth="1"/>
    <col min="14" max="14" width="5" style="2" customWidth="1"/>
    <col min="15" max="16" width="11.3984375" style="2"/>
    <col min="17" max="17" width="8.19921875" style="2" customWidth="1"/>
    <col min="18" max="16384" width="11.3984375" style="2"/>
  </cols>
  <sheetData>
    <row r="1" spans="1:14" s="1" customFormat="1" ht="15.75" customHeight="1">
      <c r="A1" s="381"/>
      <c r="B1" s="1117"/>
      <c r="C1" s="1117"/>
      <c r="D1" s="1117"/>
      <c r="E1" s="1117"/>
      <c r="F1" s="1117"/>
      <c r="G1" s="1117"/>
      <c r="H1" s="381"/>
      <c r="J1"/>
      <c r="K1"/>
    </row>
    <row r="2" spans="1:14" s="1" customFormat="1" ht="29.25" customHeight="1">
      <c r="A2" s="1821" t="s">
        <v>27</v>
      </c>
      <c r="B2" s="1822"/>
      <c r="C2" s="1822"/>
      <c r="D2" s="1822"/>
      <c r="E2" s="1822"/>
      <c r="F2" s="1822"/>
      <c r="G2" s="1822"/>
      <c r="H2" s="1822"/>
      <c r="I2" s="1822"/>
      <c r="J2" s="1822"/>
      <c r="K2" s="1822"/>
      <c r="L2" s="796"/>
      <c r="M2" s="550"/>
    </row>
    <row r="3" spans="1:14" ht="21.75" customHeight="1">
      <c r="A3" s="110" t="s">
        <v>533</v>
      </c>
      <c r="B3" s="576" t="s">
        <v>709</v>
      </c>
      <c r="C3" s="1220"/>
      <c r="D3" s="1152" t="s">
        <v>563</v>
      </c>
      <c r="E3" s="115"/>
      <c r="F3" s="114"/>
      <c r="G3" s="1220"/>
      <c r="H3" s="1152" t="s">
        <v>564</v>
      </c>
      <c r="I3" s="115"/>
      <c r="J3" s="114"/>
      <c r="K3" s="1153" t="s">
        <v>565</v>
      </c>
      <c r="L3" s="1152"/>
      <c r="M3" s="1153" t="s">
        <v>28</v>
      </c>
      <c r="N3"/>
    </row>
    <row r="4" spans="1:14" ht="20.25" customHeight="1">
      <c r="A4" s="308"/>
      <c r="B4" s="579" t="s">
        <v>720</v>
      </c>
      <c r="C4" s="1221" t="s">
        <v>1210</v>
      </c>
      <c r="D4" s="1222"/>
      <c r="E4" s="1223"/>
      <c r="F4" s="1223"/>
      <c r="G4" s="1221" t="s">
        <v>1211</v>
      </c>
      <c r="H4" s="1222"/>
      <c r="I4" s="1223"/>
      <c r="J4" s="1223"/>
      <c r="K4" s="1224"/>
      <c r="L4" s="1225"/>
      <c r="M4" s="1224" t="s">
        <v>566</v>
      </c>
      <c r="N4"/>
    </row>
    <row r="5" spans="1:14" s="419" customFormat="1" ht="15" customHeight="1">
      <c r="A5" s="578"/>
      <c r="B5" s="579" t="s">
        <v>1212</v>
      </c>
      <c r="C5" s="1226" t="s">
        <v>521</v>
      </c>
      <c r="D5" s="114" t="s">
        <v>521</v>
      </c>
      <c r="E5" s="115" t="s">
        <v>521</v>
      </c>
      <c r="F5" s="579" t="s">
        <v>1213</v>
      </c>
      <c r="G5" s="1226" t="s">
        <v>521</v>
      </c>
      <c r="H5" s="114" t="s">
        <v>521</v>
      </c>
      <c r="I5" s="115" t="s">
        <v>521</v>
      </c>
      <c r="J5" s="579" t="s">
        <v>1213</v>
      </c>
      <c r="K5" s="1226" t="s">
        <v>521</v>
      </c>
      <c r="L5" s="579" t="s">
        <v>521</v>
      </c>
      <c r="M5" s="1226" t="s">
        <v>1214</v>
      </c>
      <c r="N5" s="1227"/>
    </row>
    <row r="6" spans="1:14" s="419" customFormat="1" ht="15" customHeight="1">
      <c r="A6" s="578"/>
      <c r="B6" s="579" t="s">
        <v>1215</v>
      </c>
      <c r="C6" s="1226" t="s">
        <v>1216</v>
      </c>
      <c r="D6" s="391" t="s">
        <v>1217</v>
      </c>
      <c r="E6" s="115" t="s">
        <v>1218</v>
      </c>
      <c r="F6" s="579" t="s">
        <v>567</v>
      </c>
      <c r="G6" s="1226" t="s">
        <v>1216</v>
      </c>
      <c r="H6" s="391" t="s">
        <v>1217</v>
      </c>
      <c r="I6" s="115" t="s">
        <v>1218</v>
      </c>
      <c r="J6" s="579" t="s">
        <v>567</v>
      </c>
      <c r="K6" s="1226" t="s">
        <v>1217</v>
      </c>
      <c r="L6" s="579" t="s">
        <v>1218</v>
      </c>
      <c r="M6" s="1226" t="s">
        <v>1219</v>
      </c>
      <c r="N6" s="1227"/>
    </row>
    <row r="7" spans="1:14" s="419" customFormat="1" ht="18" customHeight="1">
      <c r="A7" s="578"/>
      <c r="B7" s="1228"/>
      <c r="C7" s="1226" t="s">
        <v>1220</v>
      </c>
      <c r="D7" s="1229"/>
      <c r="E7" s="1230"/>
      <c r="F7" s="579"/>
      <c r="G7" s="1226" t="s">
        <v>1220</v>
      </c>
      <c r="H7" s="1229"/>
      <c r="I7" s="1230"/>
      <c r="J7" s="1231"/>
      <c r="K7" s="1232"/>
      <c r="L7" s="1229"/>
      <c r="M7" s="1226" t="s">
        <v>1221</v>
      </c>
      <c r="N7" s="1227"/>
    </row>
    <row r="8" spans="1:14" s="419" customFormat="1" ht="23.25" customHeight="1">
      <c r="A8" s="578"/>
      <c r="B8" s="579"/>
      <c r="C8" s="1233"/>
      <c r="D8" s="579"/>
      <c r="E8" s="580"/>
      <c r="F8" s="579"/>
      <c r="G8" s="1226"/>
      <c r="H8" s="579"/>
      <c r="I8" s="580"/>
      <c r="J8" s="579"/>
      <c r="K8" s="1226"/>
      <c r="L8" s="579"/>
      <c r="M8" s="1226"/>
      <c r="N8" s="1227"/>
    </row>
    <row r="9" spans="1:14" ht="3" customHeight="1" thickBot="1">
      <c r="A9" s="1234">
        <v>1996</v>
      </c>
      <c r="B9" s="1235">
        <v>7194754</v>
      </c>
      <c r="C9" s="1236" t="s">
        <v>59</v>
      </c>
      <c r="D9" s="1237">
        <v>0.18782351696805755</v>
      </c>
      <c r="E9" s="1238">
        <v>0.10061414191506757</v>
      </c>
      <c r="F9" s="1237" t="s">
        <v>59</v>
      </c>
      <c r="G9" s="1236" t="s">
        <v>59</v>
      </c>
      <c r="H9" s="1237" t="s">
        <v>59</v>
      </c>
      <c r="I9" s="1238" t="s">
        <v>59</v>
      </c>
      <c r="J9" s="1237" t="s">
        <v>59</v>
      </c>
      <c r="K9" s="1236" t="s">
        <v>59</v>
      </c>
      <c r="L9" s="1237" t="s">
        <v>59</v>
      </c>
      <c r="M9" s="1236" t="s">
        <v>59</v>
      </c>
      <c r="N9"/>
    </row>
    <row r="10" spans="1:14" ht="22.5" customHeight="1" thickBot="1">
      <c r="A10" s="1234">
        <v>1997</v>
      </c>
      <c r="B10" s="1235">
        <v>7214805</v>
      </c>
      <c r="C10" s="1236" t="s">
        <v>59</v>
      </c>
      <c r="D10" s="1237">
        <v>0.17122098241047401</v>
      </c>
      <c r="E10" s="1238">
        <v>8.6709897218289339E-2</v>
      </c>
      <c r="F10" s="1237" t="s">
        <v>59</v>
      </c>
      <c r="G10" s="1236" t="s">
        <v>59</v>
      </c>
      <c r="H10" s="1237" t="s">
        <v>59</v>
      </c>
      <c r="I10" s="1238" t="s">
        <v>59</v>
      </c>
      <c r="J10" s="1237" t="s">
        <v>59</v>
      </c>
      <c r="K10" s="1236">
        <v>2.1729346808402997E-2</v>
      </c>
      <c r="L10" s="1239">
        <v>6.734901359080391E-3</v>
      </c>
      <c r="M10" s="1236" t="s">
        <v>59</v>
      </c>
      <c r="N10"/>
    </row>
    <row r="11" spans="1:14" ht="22.5" customHeight="1" thickBot="1">
      <c r="A11" s="1234">
        <v>1998</v>
      </c>
      <c r="B11" s="1235">
        <v>7248603</v>
      </c>
      <c r="C11" s="1236" t="s">
        <v>59</v>
      </c>
      <c r="D11" s="1237">
        <v>0.16889778623549945</v>
      </c>
      <c r="E11" s="1238">
        <v>8.0429428953413512E-2</v>
      </c>
      <c r="F11" s="1237" t="s">
        <v>59</v>
      </c>
      <c r="G11" s="1236" t="s">
        <v>59</v>
      </c>
      <c r="H11" s="1237" t="s">
        <v>59</v>
      </c>
      <c r="I11" s="1238" t="s">
        <v>59</v>
      </c>
      <c r="J11" s="1237" t="s">
        <v>59</v>
      </c>
      <c r="K11" s="1236">
        <v>2.1183943995829266E-2</v>
      </c>
      <c r="L11" s="1240">
        <v>6.9956928252243918E-3</v>
      </c>
      <c r="M11" s="1236" t="s">
        <v>59</v>
      </c>
      <c r="N11"/>
    </row>
    <row r="12" spans="1:14" ht="22.5" customHeight="1" thickBot="1">
      <c r="A12" s="554">
        <v>1999</v>
      </c>
      <c r="B12" s="1235">
        <v>7266534</v>
      </c>
      <c r="C12" s="1236" t="s">
        <v>59</v>
      </c>
      <c r="D12" s="1237">
        <v>0.15472314586293823</v>
      </c>
      <c r="E12" s="1238">
        <v>7.4331173569132131E-2</v>
      </c>
      <c r="F12" s="1237" t="s">
        <v>59</v>
      </c>
      <c r="G12" s="1236" t="s">
        <v>59</v>
      </c>
      <c r="H12" s="1237" t="s">
        <v>59</v>
      </c>
      <c r="I12" s="1238" t="s">
        <v>59</v>
      </c>
      <c r="J12" s="1237" t="s">
        <v>59</v>
      </c>
      <c r="K12" s="1236">
        <v>3.5360462085500463E-2</v>
      </c>
      <c r="L12" s="1240">
        <v>5.9961186447348904E-3</v>
      </c>
      <c r="M12" s="1236" t="s">
        <v>59</v>
      </c>
      <c r="N12"/>
    </row>
    <row r="13" spans="1:14" ht="22.5" customHeight="1" thickBot="1">
      <c r="A13" s="554">
        <v>2000</v>
      </c>
      <c r="B13" s="1235">
        <v>7268111</v>
      </c>
      <c r="C13" s="1236" t="s">
        <v>59</v>
      </c>
      <c r="D13" s="1237">
        <v>0.12321647261578696</v>
      </c>
      <c r="E13" s="1238">
        <v>6.2163057223534421E-2</v>
      </c>
      <c r="F13" s="1237" t="s">
        <v>59</v>
      </c>
      <c r="G13" s="1236" t="s">
        <v>59</v>
      </c>
      <c r="H13" s="1237" t="s">
        <v>59</v>
      </c>
      <c r="I13" s="1238" t="s">
        <v>59</v>
      </c>
      <c r="J13" s="1237" t="s">
        <v>59</v>
      </c>
      <c r="K13" s="1236">
        <v>6.6940089384985996E-2</v>
      </c>
      <c r="L13" s="1240">
        <v>2.2992631785618025E-2</v>
      </c>
      <c r="M13" s="1236" t="s">
        <v>59</v>
      </c>
      <c r="N13"/>
    </row>
    <row r="14" spans="1:14" ht="22.5" customHeight="1" thickBot="1">
      <c r="A14" s="554">
        <v>2001</v>
      </c>
      <c r="B14" s="1235">
        <v>7321287</v>
      </c>
      <c r="C14" s="1236" t="s">
        <v>59</v>
      </c>
      <c r="D14" s="1237">
        <v>0.11914653803354519</v>
      </c>
      <c r="E14" s="1238">
        <v>6.1670168100226096E-2</v>
      </c>
      <c r="F14" s="1237" t="s">
        <v>59</v>
      </c>
      <c r="G14" s="1236" t="s">
        <v>59</v>
      </c>
      <c r="H14" s="1237" t="s">
        <v>59</v>
      </c>
      <c r="I14" s="1238" t="s">
        <v>59</v>
      </c>
      <c r="J14" s="1237" t="s">
        <v>59</v>
      </c>
      <c r="K14" s="1236">
        <v>9.1391855011284218E-2</v>
      </c>
      <c r="L14" s="1240">
        <v>3.6045984811140443E-2</v>
      </c>
      <c r="M14" s="1236" t="s">
        <v>59</v>
      </c>
      <c r="N14"/>
    </row>
    <row r="15" spans="1:14" ht="22.5" customHeight="1" thickBot="1">
      <c r="A15" s="554">
        <v>2002</v>
      </c>
      <c r="B15" s="1235">
        <v>7359365</v>
      </c>
      <c r="C15" s="1236">
        <v>0.41612068432534599</v>
      </c>
      <c r="D15" s="1237">
        <v>0.10741619691372829</v>
      </c>
      <c r="E15" s="1238">
        <v>5.1274804279988831E-2</v>
      </c>
      <c r="F15" s="1237" t="s">
        <v>59</v>
      </c>
      <c r="G15" s="1236" t="s">
        <v>59</v>
      </c>
      <c r="H15" s="1237" t="s">
        <v>59</v>
      </c>
      <c r="I15" s="1238" t="s">
        <v>59</v>
      </c>
      <c r="J15" s="1237" t="s">
        <v>59</v>
      </c>
      <c r="K15" s="1236">
        <v>9.5236341722417628E-2</v>
      </c>
      <c r="L15" s="1240">
        <v>4.2874215370483727E-2</v>
      </c>
      <c r="M15" s="1236" t="s">
        <v>59</v>
      </c>
      <c r="N15"/>
    </row>
    <row r="16" spans="1:14" ht="22.5" customHeight="1" thickBot="1">
      <c r="A16" s="554">
        <v>2003</v>
      </c>
      <c r="B16" s="1235">
        <v>7393188</v>
      </c>
      <c r="C16" s="1236">
        <v>0.40096288637594502</v>
      </c>
      <c r="D16" s="1237">
        <v>0.10284683684494429</v>
      </c>
      <c r="E16" s="1238">
        <v>4.5843416940026416E-2</v>
      </c>
      <c r="F16" s="1237" t="s">
        <v>59</v>
      </c>
      <c r="G16" s="1236" t="s">
        <v>59</v>
      </c>
      <c r="H16" s="1237" t="s">
        <v>59</v>
      </c>
      <c r="I16" s="1238" t="s">
        <v>59</v>
      </c>
      <c r="J16" s="1237" t="s">
        <v>59</v>
      </c>
      <c r="K16" s="1236">
        <v>9.3782276333294917E-2</v>
      </c>
      <c r="L16" s="1240">
        <v>4.102993187783132E-2</v>
      </c>
      <c r="M16" s="1236">
        <v>0.23588525004368888</v>
      </c>
      <c r="N16"/>
    </row>
    <row r="17" spans="1:14" ht="22.5" customHeight="1" thickBot="1">
      <c r="A17" s="554">
        <v>2004</v>
      </c>
      <c r="B17" s="1235">
        <v>7419974</v>
      </c>
      <c r="C17" s="1236">
        <v>0.41515172425132485</v>
      </c>
      <c r="D17" s="1237">
        <v>8.8858128074303225E-2</v>
      </c>
      <c r="E17" s="1238">
        <v>3.8901214478649117E-2</v>
      </c>
      <c r="F17" s="1237" t="s">
        <v>59</v>
      </c>
      <c r="G17" s="1236" t="s">
        <v>59</v>
      </c>
      <c r="H17" s="1237" t="s">
        <v>59</v>
      </c>
      <c r="I17" s="1238" t="s">
        <v>59</v>
      </c>
      <c r="J17" s="1237" t="s">
        <v>59</v>
      </c>
      <c r="K17" s="1236">
        <v>0.1022666656244348</v>
      </c>
      <c r="L17" s="1240">
        <v>4.6828870289841985E-2</v>
      </c>
      <c r="M17" s="1236">
        <v>0.22847465503248393</v>
      </c>
      <c r="N17"/>
    </row>
    <row r="18" spans="1:14" ht="22.5" customHeight="1" thickBot="1">
      <c r="A18" s="554">
        <v>2005</v>
      </c>
      <c r="B18" s="1235">
        <v>7458475</v>
      </c>
      <c r="C18" s="1236">
        <v>0.40559658643355379</v>
      </c>
      <c r="D18" s="1237">
        <v>8.7504349079402965E-2</v>
      </c>
      <c r="E18" s="1238">
        <v>3.6415889307130481E-2</v>
      </c>
      <c r="F18" s="1237" t="s">
        <v>59</v>
      </c>
      <c r="G18" s="1236" t="s">
        <v>59</v>
      </c>
      <c r="H18" s="1237" t="s">
        <v>59</v>
      </c>
      <c r="I18" s="1238" t="s">
        <v>59</v>
      </c>
      <c r="J18" s="1237" t="s">
        <v>59</v>
      </c>
      <c r="K18" s="1236">
        <v>9.9828450185862394E-2</v>
      </c>
      <c r="L18" s="1240">
        <v>4.6900204130200879E-2</v>
      </c>
      <c r="M18" s="1236">
        <v>0.22295429025370467</v>
      </c>
      <c r="N18"/>
    </row>
    <row r="19" spans="1:14" ht="22.5" customHeight="1" thickBot="1">
      <c r="A19" s="554">
        <v>2006</v>
      </c>
      <c r="B19" s="1235">
        <v>7507545</v>
      </c>
      <c r="C19" s="1236">
        <v>0.35229745542650759</v>
      </c>
      <c r="D19" s="1237">
        <v>8.0637811694768399E-2</v>
      </c>
      <c r="E19" s="1238">
        <v>3.4424568883702995E-2</v>
      </c>
      <c r="F19" s="1237">
        <v>1.1072461104129246E-2</v>
      </c>
      <c r="G19" s="1236">
        <v>2.8267829230460822E-2</v>
      </c>
      <c r="H19" s="1237">
        <v>7.3543348724516471E-3</v>
      </c>
      <c r="I19" s="1238">
        <v>3.3165302372479954E-3</v>
      </c>
      <c r="J19" s="1237">
        <v>8.6433048353356525E-4</v>
      </c>
      <c r="K19" s="1236">
        <v>0.10136709137274569</v>
      </c>
      <c r="L19" s="1240">
        <v>4.8815425015767473E-2</v>
      </c>
      <c r="M19" s="1236">
        <v>0.21886368979473317</v>
      </c>
      <c r="N19"/>
    </row>
    <row r="20" spans="1:14" s="285" customFormat="1" ht="29.25" customHeight="1" thickBot="1">
      <c r="A20" s="556">
        <v>2007</v>
      </c>
      <c r="B20" s="333">
        <v>7577132</v>
      </c>
      <c r="C20" s="1241">
        <v>0.34950084015957489</v>
      </c>
      <c r="D20" s="1242">
        <v>7.9577602713005402E-2</v>
      </c>
      <c r="E20" s="1243">
        <v>3.4038868532315393E-2</v>
      </c>
      <c r="F20" s="1242">
        <v>2.0345824779085281E-2</v>
      </c>
      <c r="G20" s="1241">
        <v>3.0507453215807775E-2</v>
      </c>
      <c r="H20" s="1242">
        <v>7.6386421669834975E-3</v>
      </c>
      <c r="I20" s="1097">
        <v>4.5006474745325807E-3</v>
      </c>
      <c r="J20" s="1244">
        <v>4.7718582703851539E-3</v>
      </c>
      <c r="K20" s="1245">
        <v>9.8380231464886711E-2</v>
      </c>
      <c r="L20" s="574">
        <v>4.8201615070187505E-2</v>
      </c>
      <c r="M20" s="1245">
        <v>0.21754194067095572</v>
      </c>
      <c r="N20" s="1178"/>
    </row>
    <row r="21" spans="1:14" ht="20" customHeight="1">
      <c r="A21" s="1085" t="s">
        <v>948</v>
      </c>
      <c r="B21" s="1086"/>
      <c r="C21" s="1086"/>
      <c r="D21" s="1086"/>
      <c r="E21" s="1086"/>
      <c r="F21" s="1086"/>
      <c r="G21" s="1086"/>
      <c r="H21" s="1086"/>
      <c r="J21" s="558"/>
    </row>
    <row r="22" spans="1:14" ht="13.5" customHeight="1">
      <c r="A22" s="1087"/>
      <c r="B22" s="1122"/>
      <c r="C22" s="1122"/>
      <c r="D22" s="1122"/>
      <c r="E22" s="1122"/>
      <c r="F22" s="1122"/>
      <c r="G22" s="1122"/>
      <c r="H22" s="1122"/>
    </row>
    <row r="23" spans="1:14" ht="12.75" customHeight="1">
      <c r="A23" s="1087" t="s">
        <v>1222</v>
      </c>
      <c r="B23" s="1122"/>
      <c r="C23" s="1122"/>
      <c r="D23" s="1122"/>
      <c r="E23" s="1122"/>
      <c r="F23" s="1122"/>
      <c r="G23" s="1122"/>
      <c r="H23" s="1122"/>
    </row>
    <row r="24" spans="1:14" ht="12.75" customHeight="1">
      <c r="A24" s="1087" t="s">
        <v>643</v>
      </c>
      <c r="B24" s="1122"/>
      <c r="C24" s="1122"/>
      <c r="D24" s="1122"/>
      <c r="E24" s="1122"/>
      <c r="F24" s="1122"/>
      <c r="G24" s="1122"/>
      <c r="H24" s="1122"/>
    </row>
    <row r="25" spans="1:14" ht="13.5" customHeight="1">
      <c r="A25" s="1131" t="s">
        <v>644</v>
      </c>
      <c r="B25" s="1122"/>
      <c r="C25" s="1122"/>
      <c r="D25" s="1122"/>
      <c r="E25" s="1122"/>
      <c r="F25" s="1122"/>
      <c r="G25" s="1122"/>
      <c r="H25" s="1122"/>
    </row>
    <row r="26" spans="1:14" ht="13.5" customHeight="1">
      <c r="A26" s="2" t="s">
        <v>645</v>
      </c>
      <c r="B26" s="1122"/>
      <c r="C26" s="1122"/>
      <c r="D26" s="1122"/>
      <c r="E26" s="1122"/>
      <c r="F26" s="1122"/>
      <c r="G26" s="1122"/>
      <c r="H26" s="1122"/>
    </row>
    <row r="27" spans="1:14" ht="13.5" customHeight="1">
      <c r="A27" s="1087" t="s">
        <v>646</v>
      </c>
      <c r="B27" s="1122"/>
      <c r="C27" s="1122"/>
      <c r="D27" s="1122"/>
      <c r="E27" s="1122"/>
      <c r="F27" s="1122"/>
      <c r="G27" s="1122"/>
      <c r="H27" s="1122"/>
    </row>
    <row r="28" spans="1:14" ht="13.5" customHeight="1">
      <c r="A28" s="1131" t="s">
        <v>647</v>
      </c>
      <c r="B28" s="1122"/>
      <c r="C28" s="1122"/>
      <c r="D28" s="1122"/>
      <c r="E28" s="1122"/>
      <c r="F28" s="1122"/>
      <c r="G28" s="1122"/>
      <c r="H28" s="1122"/>
    </row>
    <row r="29" spans="1:14" ht="13.5" customHeight="1">
      <c r="A29" s="4" t="s">
        <v>648</v>
      </c>
      <c r="B29" s="1122"/>
      <c r="C29" s="1122"/>
      <c r="D29" s="1122"/>
      <c r="E29" s="1122"/>
      <c r="F29" s="1122"/>
      <c r="G29" s="1122"/>
      <c r="H29" s="1122"/>
    </row>
    <row r="30" spans="1:14" ht="13.5" customHeight="1">
      <c r="A30" s="4" t="s">
        <v>649</v>
      </c>
      <c r="B30" s="1122"/>
      <c r="C30" s="1122"/>
      <c r="D30" s="1122"/>
      <c r="E30" s="1122"/>
      <c r="F30" s="1122"/>
      <c r="G30" s="1122"/>
      <c r="H30" s="1122"/>
    </row>
    <row r="31" spans="1:14" ht="13.5" customHeight="1">
      <c r="A31" s="1246" t="s">
        <v>557</v>
      </c>
      <c r="B31" s="1122"/>
      <c r="C31" s="1122"/>
      <c r="D31" s="1122"/>
      <c r="E31" s="1122"/>
      <c r="F31" s="1122"/>
      <c r="G31" s="1122"/>
      <c r="H31" s="1122"/>
    </row>
    <row r="32" spans="1:14" ht="13.5" customHeight="1">
      <c r="A32" s="781" t="s">
        <v>558</v>
      </c>
      <c r="B32" s="1122"/>
      <c r="C32" s="1122"/>
      <c r="D32" s="1122"/>
      <c r="E32" s="1122"/>
      <c r="F32" s="1122"/>
      <c r="G32" s="1122"/>
      <c r="H32" s="1122"/>
    </row>
    <row r="33" spans="1:8" ht="13.5" customHeight="1">
      <c r="A33" s="1246" t="s">
        <v>559</v>
      </c>
      <c r="B33" s="1122"/>
      <c r="C33" s="1122"/>
      <c r="D33" s="1122"/>
      <c r="E33" s="1122"/>
      <c r="F33" s="1122"/>
      <c r="G33" s="1122"/>
      <c r="H33" s="1122"/>
    </row>
    <row r="34" spans="1:8" ht="13.5" customHeight="1">
      <c r="A34" s="1246" t="s">
        <v>560</v>
      </c>
      <c r="B34" s="1122"/>
      <c r="C34" s="1122"/>
      <c r="D34" s="1122"/>
      <c r="E34" s="1122"/>
      <c r="F34" s="1122"/>
      <c r="G34" s="1122"/>
      <c r="H34" s="1122"/>
    </row>
    <row r="35" spans="1:8" ht="13.5" customHeight="1">
      <c r="A35" s="1246" t="s">
        <v>561</v>
      </c>
      <c r="B35" s="1122"/>
      <c r="C35" s="1122"/>
      <c r="D35" s="1122"/>
      <c r="E35" s="1122"/>
      <c r="F35" s="1122"/>
      <c r="G35" s="1122"/>
      <c r="H35" s="1122"/>
    </row>
    <row r="36" spans="1:8" ht="13.5" customHeight="1">
      <c r="A36" s="2" t="s">
        <v>562</v>
      </c>
      <c r="B36" s="1122"/>
      <c r="C36" s="1122"/>
      <c r="D36" s="1122"/>
      <c r="E36" s="1122"/>
      <c r="F36" s="1122"/>
      <c r="G36" s="1122"/>
      <c r="H36" s="1122"/>
    </row>
    <row r="37" spans="1:8" ht="12.75" customHeight="1">
      <c r="A37" s="1087"/>
      <c r="B37" s="1122"/>
      <c r="C37" s="1122"/>
      <c r="D37" s="1122"/>
      <c r="E37" s="1122"/>
      <c r="F37" s="1122"/>
      <c r="G37" s="1122"/>
      <c r="H37" s="4"/>
    </row>
    <row r="38" spans="1:8" ht="15" customHeight="1">
      <c r="A38" s="52"/>
      <c r="B38" s="1123"/>
      <c r="C38" s="1123"/>
      <c r="D38" s="1123"/>
      <c r="E38" s="1123"/>
      <c r="F38" s="1123"/>
      <c r="G38" s="1123"/>
      <c r="H38" s="4"/>
    </row>
    <row r="39" spans="1:8" ht="15" customHeight="1">
      <c r="A39" s="400" t="s">
        <v>634</v>
      </c>
      <c r="B39" s="1123"/>
      <c r="C39" s="1123"/>
      <c r="D39" s="1123"/>
      <c r="E39" s="1123"/>
      <c r="F39" s="1123"/>
      <c r="G39" s="1123"/>
      <c r="H39" s="4"/>
    </row>
    <row r="40" spans="1:8" ht="15" customHeight="1">
      <c r="A40" s="400"/>
      <c r="B40" s="1123"/>
      <c r="C40" s="1123"/>
      <c r="D40" s="1123"/>
      <c r="E40" s="1123"/>
      <c r="F40" s="1123"/>
      <c r="G40" s="1123"/>
      <c r="H40" s="4"/>
    </row>
    <row r="41" spans="1:8" ht="15" customHeight="1">
      <c r="A41" s="400"/>
      <c r="B41" s="1123"/>
      <c r="C41" s="1123"/>
      <c r="D41" s="1123"/>
      <c r="E41" s="1123"/>
      <c r="F41" s="1123"/>
      <c r="G41" s="1123"/>
      <c r="H41" s="4"/>
    </row>
  </sheetData>
  <mergeCells count="1">
    <mergeCell ref="A2:K2"/>
  </mergeCells>
  <phoneticPr fontId="0" type="noConversion"/>
  <pageMargins left="0.38" right="0.28999999999999998" top="0.71" bottom="0.49" header="0.52" footer="0.4921259845"/>
  <pageSetup paperSize="9" scale="77" orientation="landscape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944A-4244-614D-9359-2E3994F924EE}">
  <sheetPr>
    <pageSetUpPr fitToPage="1"/>
  </sheetPr>
  <dimension ref="A1:K52"/>
  <sheetViews>
    <sheetView topLeftCell="A27" zoomScale="75" workbookViewId="0">
      <selection activeCell="A19" sqref="A19"/>
    </sheetView>
  </sheetViews>
  <sheetFormatPr baseColWidth="10" defaultColWidth="11.3984375" defaultRowHeight="13"/>
  <cols>
    <col min="1" max="1" width="12.19921875" style="2" customWidth="1"/>
    <col min="2" max="2" width="13.19921875" style="156" customWidth="1"/>
    <col min="3" max="3" width="12.796875" style="156" customWidth="1"/>
    <col min="4" max="4" width="14" style="156" customWidth="1"/>
    <col min="5" max="5" width="13.3984375" style="156" customWidth="1"/>
    <col min="6" max="6" width="13.59765625" style="156" customWidth="1"/>
    <col min="7" max="7" width="13.19921875" style="156" customWidth="1"/>
    <col min="8" max="8" width="13.3984375" style="156" customWidth="1"/>
    <col min="9" max="9" width="12.796875" style="156" customWidth="1"/>
    <col min="10" max="16384" width="11.3984375" style="2"/>
  </cols>
  <sheetData>
    <row r="1" spans="1:9" s="1" customFormat="1" ht="14" customHeight="1">
      <c r="A1" s="381"/>
      <c r="B1" s="1117"/>
      <c r="C1" s="1117"/>
      <c r="D1" s="1117"/>
      <c r="E1" s="1117"/>
      <c r="F1" s="1117"/>
      <c r="G1" s="1117"/>
      <c r="H1" s="1117"/>
      <c r="I1" s="1117"/>
    </row>
    <row r="2" spans="1:9" s="1" customFormat="1" ht="27" customHeight="1">
      <c r="A2" s="1150" t="s">
        <v>921</v>
      </c>
      <c r="B2" s="1151"/>
      <c r="C2" s="1151"/>
      <c r="D2" s="1151"/>
      <c r="E2" s="1151"/>
      <c r="F2" s="1151"/>
      <c r="G2" s="1151"/>
      <c r="H2" s="1151"/>
      <c r="I2" s="550"/>
    </row>
    <row r="3" spans="1:9" s="1261" customFormat="1" ht="52.5" customHeight="1">
      <c r="A3" s="1258" t="s">
        <v>533</v>
      </c>
      <c r="B3" s="1259" t="s">
        <v>522</v>
      </c>
      <c r="C3" s="1260" t="s">
        <v>1206</v>
      </c>
      <c r="D3" s="1259" t="s">
        <v>2135</v>
      </c>
      <c r="E3" s="1260" t="s">
        <v>2136</v>
      </c>
      <c r="F3" s="1259" t="s">
        <v>2137</v>
      </c>
      <c r="G3" s="1260" t="s">
        <v>2138</v>
      </c>
      <c r="H3" s="1259" t="s">
        <v>2139</v>
      </c>
      <c r="I3" s="1260" t="s">
        <v>2140</v>
      </c>
    </row>
    <row r="4" spans="1:9" ht="15.75" customHeight="1">
      <c r="A4" s="309"/>
      <c r="B4" s="120"/>
      <c r="C4" s="119"/>
      <c r="D4" s="120"/>
      <c r="E4" s="119" t="s">
        <v>1071</v>
      </c>
      <c r="F4" s="120"/>
      <c r="G4" s="119"/>
      <c r="H4" s="120"/>
      <c r="I4" s="119"/>
    </row>
    <row r="5" spans="1:9" ht="3" customHeight="1" thickBot="1">
      <c r="A5" s="553">
        <v>1996</v>
      </c>
      <c r="B5" s="819">
        <v>100</v>
      </c>
      <c r="C5" s="311">
        <v>100</v>
      </c>
      <c r="D5" s="819">
        <v>100</v>
      </c>
      <c r="E5" s="311">
        <v>100</v>
      </c>
      <c r="F5" s="819">
        <v>100</v>
      </c>
      <c r="G5" s="311">
        <v>100</v>
      </c>
      <c r="H5" s="819">
        <v>100</v>
      </c>
      <c r="I5" s="311">
        <v>100</v>
      </c>
    </row>
    <row r="6" spans="1:9" ht="18" customHeight="1" thickBot="1">
      <c r="A6" s="554">
        <v>1997</v>
      </c>
      <c r="B6" s="820">
        <v>99.603751768772071</v>
      </c>
      <c r="C6" s="821">
        <v>100.38008221695314</v>
      </c>
      <c r="D6" s="820">
        <v>100.54808570359472</v>
      </c>
      <c r="E6" s="821">
        <v>101.42789940293106</v>
      </c>
      <c r="F6" s="820">
        <v>99.259050938587137</v>
      </c>
      <c r="G6" s="821">
        <v>99.621819781936267</v>
      </c>
      <c r="H6" s="820">
        <v>100.76095634245317</v>
      </c>
      <c r="I6" s="821">
        <v>100.52020451848172</v>
      </c>
    </row>
    <row r="7" spans="1:9" ht="18" customHeight="1" thickBot="1">
      <c r="A7" s="554">
        <v>1998</v>
      </c>
      <c r="B7" s="820">
        <v>96.927242504783251</v>
      </c>
      <c r="C7" s="821">
        <v>100.33490779124649</v>
      </c>
      <c r="D7" s="820">
        <v>101.27038445552139</v>
      </c>
      <c r="E7" s="821">
        <v>102.99618303138374</v>
      </c>
      <c r="F7" s="820">
        <v>98.452579284674385</v>
      </c>
      <c r="G7" s="821">
        <v>100.44765774993816</v>
      </c>
      <c r="H7" s="820">
        <v>101.24816209588769</v>
      </c>
      <c r="I7" s="821">
        <v>100.538234878222</v>
      </c>
    </row>
    <row r="8" spans="1:9" ht="18" customHeight="1" thickBot="1">
      <c r="A8" s="554">
        <v>1999</v>
      </c>
      <c r="B8" s="820">
        <v>95.844672232466905</v>
      </c>
      <c r="C8" s="821">
        <v>100.33187275209576</v>
      </c>
      <c r="D8" s="820">
        <v>101.87444222283719</v>
      </c>
      <c r="E8" s="821">
        <v>104.14320934906627</v>
      </c>
      <c r="F8" s="820">
        <v>98.676778256833302</v>
      </c>
      <c r="G8" s="821">
        <v>98.097369567529682</v>
      </c>
      <c r="H8" s="820">
        <v>101.67388949401801</v>
      </c>
      <c r="I8" s="821">
        <v>101.34904536554785</v>
      </c>
    </row>
    <row r="9" spans="1:9" ht="18" customHeight="1" thickBot="1">
      <c r="A9" s="554">
        <v>2000</v>
      </c>
      <c r="B9" s="820">
        <v>96.254772438034038</v>
      </c>
      <c r="C9" s="821">
        <v>100.33187275209576</v>
      </c>
      <c r="D9" s="820">
        <v>103.57018844964638</v>
      </c>
      <c r="E9" s="821">
        <v>104.72011004030597</v>
      </c>
      <c r="F9" s="820">
        <v>98.363608314160032</v>
      </c>
      <c r="G9" s="821">
        <v>97.073589844089597</v>
      </c>
      <c r="H9" s="820">
        <v>102.16099312393871</v>
      </c>
      <c r="I9" s="821">
        <v>102.92856130382158</v>
      </c>
    </row>
    <row r="10" spans="1:9" ht="18" customHeight="1" thickBot="1">
      <c r="A10" s="554">
        <v>2001</v>
      </c>
      <c r="B10" s="820">
        <v>95.617677812696272</v>
      </c>
      <c r="C10" s="821">
        <v>100.39157021638326</v>
      </c>
      <c r="D10" s="820">
        <v>105.66882988327751</v>
      </c>
      <c r="E10" s="821">
        <v>105.48310266577438</v>
      </c>
      <c r="F10" s="820">
        <v>99.731930662678707</v>
      </c>
      <c r="G10" s="821">
        <v>97.957928816735219</v>
      </c>
      <c r="H10" s="820">
        <v>102.72634889630439</v>
      </c>
      <c r="I10" s="821">
        <v>103.94658841484843</v>
      </c>
    </row>
    <row r="11" spans="1:9" ht="18" customHeight="1" thickBot="1">
      <c r="A11" s="554">
        <v>2002</v>
      </c>
      <c r="B11" s="820">
        <v>92.551966547481953</v>
      </c>
      <c r="C11" s="821">
        <v>100.41926181326284</v>
      </c>
      <c r="D11" s="820">
        <v>106.79946557044345</v>
      </c>
      <c r="E11" s="821">
        <v>107.26502318301614</v>
      </c>
      <c r="F11" s="820">
        <v>100.07068960129637</v>
      </c>
      <c r="G11" s="821">
        <v>98.584756517798724</v>
      </c>
      <c r="H11" s="820">
        <v>103.14270646204406</v>
      </c>
      <c r="I11" s="821">
        <v>104.61466069154169</v>
      </c>
    </row>
    <row r="12" spans="1:9" ht="18" customHeight="1" thickBot="1">
      <c r="A12" s="554">
        <v>2003</v>
      </c>
      <c r="B12" s="820">
        <v>91.45775676895002</v>
      </c>
      <c r="C12" s="821">
        <v>100.41926181326284</v>
      </c>
      <c r="D12" s="820">
        <v>107.42707824790855</v>
      </c>
      <c r="E12" s="821">
        <v>109.53160933947478</v>
      </c>
      <c r="F12" s="820">
        <v>99.942646202359242</v>
      </c>
      <c r="G12" s="821">
        <v>101.42505436052258</v>
      </c>
      <c r="H12" s="820">
        <v>104.03822755450696</v>
      </c>
      <c r="I12" s="821">
        <v>105.28242519538023</v>
      </c>
    </row>
    <row r="13" spans="1:9" ht="18" customHeight="1" thickBot="1">
      <c r="A13" s="554">
        <v>2004</v>
      </c>
      <c r="B13" s="820">
        <v>91.277873491072683</v>
      </c>
      <c r="C13" s="821">
        <v>100.41926181326284</v>
      </c>
      <c r="D13" s="820">
        <v>108.0206930792616</v>
      </c>
      <c r="E13" s="821">
        <v>111.84653649880872</v>
      </c>
      <c r="F13" s="820">
        <v>99.616681761713792</v>
      </c>
      <c r="G13" s="821">
        <v>102.9912008077947</v>
      </c>
      <c r="H13" s="820">
        <v>105.00309051283621</v>
      </c>
      <c r="I13" s="821">
        <v>106.12777463640488</v>
      </c>
    </row>
    <row r="14" spans="1:9" ht="18" customHeight="1" thickBot="1">
      <c r="A14" s="554">
        <v>2005</v>
      </c>
      <c r="B14" s="820">
        <v>90.545065570821578</v>
      </c>
      <c r="C14" s="821">
        <v>100.41926181326284</v>
      </c>
      <c r="D14" s="820">
        <v>108.68924828481903</v>
      </c>
      <c r="E14" s="821">
        <v>113.62688750297009</v>
      </c>
      <c r="F14" s="820">
        <v>99.312074290760378</v>
      </c>
      <c r="G14" s="821">
        <v>104.286528158435</v>
      </c>
      <c r="H14" s="820">
        <v>105.64575378514422</v>
      </c>
      <c r="I14" s="821">
        <v>107.37148474241722</v>
      </c>
    </row>
    <row r="15" spans="1:9" ht="18" customHeight="1" thickBot="1">
      <c r="A15" s="554">
        <v>2006</v>
      </c>
      <c r="B15" s="820">
        <v>86.696332978376475</v>
      </c>
      <c r="C15" s="821">
        <v>100.71403685540849</v>
      </c>
      <c r="D15" s="820">
        <v>109.14873746718119</v>
      </c>
      <c r="E15" s="821">
        <v>115.28983892872013</v>
      </c>
      <c r="F15" s="820">
        <v>98.680124510149113</v>
      </c>
      <c r="G15" s="821">
        <v>106.00372327689165</v>
      </c>
      <c r="H15" s="820">
        <v>105.66566787033413</v>
      </c>
      <c r="I15" s="821">
        <v>108.50911580449518</v>
      </c>
    </row>
    <row r="16" spans="1:9" s="148" customFormat="1" ht="27" customHeight="1" thickBot="1">
      <c r="A16" s="556">
        <v>2007</v>
      </c>
      <c r="B16" s="872">
        <v>83.233835471503482</v>
      </c>
      <c r="C16" s="873">
        <v>100.42267684759494</v>
      </c>
      <c r="D16" s="872">
        <v>110.00800794644306</v>
      </c>
      <c r="E16" s="873">
        <v>116.63437045741058</v>
      </c>
      <c r="F16" s="872">
        <v>99.187764413075584</v>
      </c>
      <c r="G16" s="873">
        <v>105.50553429064226</v>
      </c>
      <c r="H16" s="872">
        <v>105.43881893306715</v>
      </c>
      <c r="I16" s="873">
        <v>109.30370285388793</v>
      </c>
    </row>
    <row r="17" spans="1:9" ht="20" customHeight="1">
      <c r="A17" s="1085"/>
      <c r="B17" s="1086"/>
      <c r="C17" s="1086"/>
      <c r="D17" s="1086"/>
      <c r="E17" s="1086"/>
      <c r="F17" s="1086"/>
      <c r="G17" s="1086"/>
      <c r="H17" s="1086"/>
      <c r="I17" s="1086"/>
    </row>
    <row r="18" spans="1:9" ht="28.5" customHeight="1">
      <c r="A18" s="1262" t="s">
        <v>919</v>
      </c>
      <c r="B18" s="1132"/>
      <c r="C18" s="1132"/>
      <c r="D18" s="1132"/>
      <c r="E18" s="1132"/>
      <c r="F18" s="1132"/>
      <c r="G18" s="1132"/>
      <c r="H18" s="1132"/>
      <c r="I18" s="1132"/>
    </row>
    <row r="19" spans="1:9" ht="51" customHeight="1">
      <c r="A19" s="1263" t="s">
        <v>533</v>
      </c>
      <c r="B19" s="1264" t="s">
        <v>522</v>
      </c>
      <c r="C19" s="1265" t="s">
        <v>1206</v>
      </c>
      <c r="D19" s="1264" t="s">
        <v>2135</v>
      </c>
      <c r="E19" s="1265" t="s">
        <v>2136</v>
      </c>
      <c r="F19" s="1264" t="s">
        <v>2137</v>
      </c>
      <c r="G19" s="1265" t="s">
        <v>2138</v>
      </c>
      <c r="H19" s="1264" t="s">
        <v>2139</v>
      </c>
      <c r="I19" s="1265" t="s">
        <v>2140</v>
      </c>
    </row>
    <row r="20" spans="1:9" ht="21" customHeight="1">
      <c r="A20" s="309"/>
      <c r="B20" s="120"/>
      <c r="C20" s="119"/>
      <c r="D20" s="120"/>
      <c r="E20" s="119"/>
      <c r="F20" s="120"/>
      <c r="G20" s="119"/>
      <c r="H20" s="120"/>
      <c r="I20" s="119"/>
    </row>
    <row r="21" spans="1:9" ht="20.25" customHeight="1" thickBot="1">
      <c r="A21" s="553">
        <v>1997</v>
      </c>
      <c r="B21" s="586">
        <v>-3.9624823122792474E-3</v>
      </c>
      <c r="C21" s="143">
        <v>3.8008221695313704E-3</v>
      </c>
      <c r="D21" s="586">
        <v>5.4808570359472508E-3</v>
      </c>
      <c r="E21" s="143">
        <v>1.4278994029310654E-2</v>
      </c>
      <c r="F21" s="586">
        <v>-7.4094906141286554E-3</v>
      </c>
      <c r="G21" s="143">
        <v>-3.7818021806372837E-3</v>
      </c>
      <c r="H21" s="586">
        <v>7.6095634245316734E-3</v>
      </c>
      <c r="I21" s="143">
        <v>5.2020451848171501E-3</v>
      </c>
    </row>
    <row r="22" spans="1:9" ht="20.25" customHeight="1" thickBot="1">
      <c r="A22" s="554">
        <v>1998</v>
      </c>
      <c r="B22" s="416">
        <v>-2.6871570763742691E-2</v>
      </c>
      <c r="C22" s="145">
        <v>-4.5003375877905594E-4</v>
      </c>
      <c r="D22" s="416">
        <v>7.1836151516193603E-3</v>
      </c>
      <c r="E22" s="145">
        <v>1.5462053711893686E-2</v>
      </c>
      <c r="F22" s="416">
        <v>-8.1249180431084422E-3</v>
      </c>
      <c r="G22" s="145">
        <v>8.2897297982467144E-3</v>
      </c>
      <c r="H22" s="416">
        <v>4.8352632916530691E-3</v>
      </c>
      <c r="I22" s="145">
        <v>1.7937050393657117E-4</v>
      </c>
    </row>
    <row r="23" spans="1:9" ht="20.25" customHeight="1" thickBot="1">
      <c r="A23" s="554">
        <v>1999</v>
      </c>
      <c r="B23" s="416">
        <v>-1.1168895806180856E-2</v>
      </c>
      <c r="C23" s="145">
        <v>-3.0249084964961703E-5</v>
      </c>
      <c r="D23" s="416">
        <v>5.9648017588114222E-3</v>
      </c>
      <c r="E23" s="145">
        <v>1.1136590540768099E-2</v>
      </c>
      <c r="F23" s="416">
        <v>2.2772280197012051E-3</v>
      </c>
      <c r="G23" s="145">
        <v>-2.3398138244890232E-2</v>
      </c>
      <c r="H23" s="416">
        <v>4.2047913692213612E-3</v>
      </c>
      <c r="I23" s="145">
        <v>8.0646978565712679E-3</v>
      </c>
    </row>
    <row r="24" spans="1:9" ht="20.25" customHeight="1" thickBot="1">
      <c r="A24" s="554">
        <v>2000</v>
      </c>
      <c r="B24" s="416">
        <v>4.2788002297347028E-3</v>
      </c>
      <c r="C24" s="145">
        <v>0</v>
      </c>
      <c r="D24" s="416">
        <v>1.6645452871290045E-2</v>
      </c>
      <c r="E24" s="145">
        <v>5.5394940759512235E-3</v>
      </c>
      <c r="F24" s="416">
        <v>-3.1736944416462798E-3</v>
      </c>
      <c r="G24" s="145">
        <v>-1.0436362646149444E-2</v>
      </c>
      <c r="H24" s="416">
        <v>4.7908428835050643E-3</v>
      </c>
      <c r="I24" s="145">
        <v>1.5584911851677541E-2</v>
      </c>
    </row>
    <row r="25" spans="1:9" ht="20.25" customHeight="1" thickBot="1">
      <c r="A25" s="554">
        <v>2001</v>
      </c>
      <c r="B25" s="416">
        <v>-6.618836751683288E-3</v>
      </c>
      <c r="C25" s="145">
        <v>5.9499999999990116E-4</v>
      </c>
      <c r="D25" s="416">
        <v>2.0262987497135176E-2</v>
      </c>
      <c r="E25" s="145">
        <v>7.2860181790750378E-3</v>
      </c>
      <c r="F25" s="416">
        <v>1.3910859635694051E-2</v>
      </c>
      <c r="G25" s="145">
        <v>9.1099852603160336E-3</v>
      </c>
      <c r="H25" s="416">
        <v>5.5339690333648939E-3</v>
      </c>
      <c r="I25" s="145">
        <v>9.8906182903097939E-3</v>
      </c>
    </row>
    <row r="26" spans="1:9" ht="20.25" customHeight="1" thickBot="1">
      <c r="A26" s="554">
        <v>2002</v>
      </c>
      <c r="B26" s="416">
        <v>-3.206218071118272E-2</v>
      </c>
      <c r="C26" s="145">
        <v>2.7583587765289685E-4</v>
      </c>
      <c r="D26" s="416">
        <v>1.0699803228774618E-2</v>
      </c>
      <c r="E26" s="145">
        <v>1.6892947516796264E-2</v>
      </c>
      <c r="F26" s="416">
        <v>3.3966948836419153E-3</v>
      </c>
      <c r="G26" s="145">
        <v>6.3989480855215497E-3</v>
      </c>
      <c r="H26" s="416">
        <v>4.0530747000455669E-3</v>
      </c>
      <c r="I26" s="145">
        <v>6.4270726618462781E-3</v>
      </c>
    </row>
    <row r="27" spans="1:9" ht="20.25" customHeight="1" thickBot="1">
      <c r="A27" s="554">
        <v>2003</v>
      </c>
      <c r="B27" s="416">
        <v>-1.1822652930562727E-2</v>
      </c>
      <c r="C27" s="145">
        <v>0</v>
      </c>
      <c r="D27" s="416">
        <v>5.8765526036377302E-3</v>
      </c>
      <c r="E27" s="145">
        <v>2.1130710544772668E-2</v>
      </c>
      <c r="F27" s="416">
        <v>-1.2795294950727065E-3</v>
      </c>
      <c r="G27" s="145">
        <v>2.8810720268006795E-2</v>
      </c>
      <c r="H27" s="416">
        <v>8.6823501455475238E-3</v>
      </c>
      <c r="I27" s="145">
        <v>6.3830872214694079E-3</v>
      </c>
    </row>
    <row r="28" spans="1:9" ht="20.25" customHeight="1" thickBot="1">
      <c r="A28" s="554">
        <v>2004</v>
      </c>
      <c r="B28" s="416">
        <v>-1.966845505863235E-3</v>
      </c>
      <c r="C28" s="145">
        <v>0</v>
      </c>
      <c r="D28" s="416">
        <v>5.5257467766476331E-3</v>
      </c>
      <c r="E28" s="145">
        <v>2.1134786326011179E-2</v>
      </c>
      <c r="F28" s="416">
        <v>-3.2615150091729328E-3</v>
      </c>
      <c r="G28" s="145">
        <v>1.5441415902082145E-2</v>
      </c>
      <c r="H28" s="416">
        <v>9.2741195328778225E-3</v>
      </c>
      <c r="I28" s="145">
        <v>8.0293500026797915E-3</v>
      </c>
    </row>
    <row r="29" spans="1:9" ht="20.25" customHeight="1" thickBot="1">
      <c r="A29" s="554">
        <v>2005</v>
      </c>
      <c r="B29" s="416">
        <v>-8.0283193749334236E-3</v>
      </c>
      <c r="C29" s="145">
        <v>0</v>
      </c>
      <c r="D29" s="416">
        <v>6.1891401221325637E-3</v>
      </c>
      <c r="E29" s="145">
        <v>1.5917801837165957E-2</v>
      </c>
      <c r="F29" s="416">
        <v>-3.0577957985193915E-3</v>
      </c>
      <c r="G29" s="145">
        <v>1.2577068142527015E-2</v>
      </c>
      <c r="H29" s="416">
        <v>6.1204224482274139E-3</v>
      </c>
      <c r="I29" s="145">
        <v>1.1718987892409105E-2</v>
      </c>
    </row>
    <row r="30" spans="1:9" ht="20.25" customHeight="1" thickBot="1">
      <c r="A30" s="554">
        <v>2006</v>
      </c>
      <c r="B30" s="416">
        <v>-4.2506265451149772E-2</v>
      </c>
      <c r="C30" s="145">
        <v>2.9354432289476762E-3</v>
      </c>
      <c r="D30" s="416">
        <v>4.227549547109577E-3</v>
      </c>
      <c r="E30" s="145">
        <v>1.4635192974959965E-2</v>
      </c>
      <c r="F30" s="416">
        <v>-6.3632723928520596E-3</v>
      </c>
      <c r="G30" s="145">
        <v>1.6466126054631269E-2</v>
      </c>
      <c r="H30" s="416">
        <v>1.8849868050940799E-4</v>
      </c>
      <c r="I30" s="145">
        <v>1.059528109168939E-2</v>
      </c>
    </row>
    <row r="31" spans="1:9" ht="29.25" customHeight="1" thickBot="1">
      <c r="A31" s="1249">
        <v>2007</v>
      </c>
      <c r="B31" s="574">
        <v>-3.9938223312589227E-2</v>
      </c>
      <c r="C31" s="1097">
        <v>-2.8929433960813711E-3</v>
      </c>
      <c r="D31" s="574">
        <v>7.8724729135801752E-3</v>
      </c>
      <c r="E31" s="1097">
        <v>1.1662185854225404E-2</v>
      </c>
      <c r="F31" s="574">
        <v>5.1442973491004906E-3</v>
      </c>
      <c r="G31" s="1097">
        <v>-4.6997310174480278E-3</v>
      </c>
      <c r="H31" s="574">
        <v>-2.1468556612480594E-3</v>
      </c>
      <c r="I31" s="1097">
        <v>7.3227677094371835E-3</v>
      </c>
    </row>
    <row r="32" spans="1:9" ht="20" customHeight="1">
      <c r="A32" s="1085" t="s">
        <v>1300</v>
      </c>
      <c r="B32" s="1132"/>
      <c r="C32" s="1132"/>
      <c r="D32" s="1132"/>
      <c r="E32" s="1132"/>
      <c r="F32" s="1132"/>
      <c r="G32" s="1132"/>
      <c r="H32" s="1132"/>
      <c r="I32" s="1132"/>
    </row>
    <row r="33" spans="1:9" ht="11.25" customHeight="1">
      <c r="A33" s="1131"/>
      <c r="B33" s="1132"/>
      <c r="C33" s="1132"/>
      <c r="D33" s="1132"/>
      <c r="E33" s="1132"/>
      <c r="F33" s="1132"/>
      <c r="G33" s="1132"/>
      <c r="H33" s="1132"/>
      <c r="I33" s="1132"/>
    </row>
    <row r="34" spans="1:9" ht="13.5" customHeight="1">
      <c r="A34" s="1131" t="s">
        <v>920</v>
      </c>
      <c r="B34" s="1132"/>
      <c r="C34" s="1132"/>
      <c r="D34" s="1132"/>
      <c r="E34" s="1132"/>
      <c r="F34" s="1132"/>
      <c r="G34" s="1132"/>
      <c r="H34" s="1132"/>
      <c r="I34" s="1132"/>
    </row>
    <row r="35" spans="1:9" ht="12.75" customHeight="1">
      <c r="A35" s="1131"/>
      <c r="B35" s="1132"/>
      <c r="C35" s="1132"/>
      <c r="D35" s="1132"/>
      <c r="E35" s="1132"/>
      <c r="F35" s="1132"/>
      <c r="G35" s="1132"/>
      <c r="H35" s="1132"/>
      <c r="I35" s="1132"/>
    </row>
    <row r="36" spans="1:9" ht="13.5" customHeight="1">
      <c r="A36" s="232" t="s">
        <v>2141</v>
      </c>
      <c r="B36" s="1125"/>
      <c r="C36" s="1125"/>
      <c r="D36" s="1125"/>
      <c r="E36" s="1125"/>
      <c r="F36" s="1125"/>
      <c r="G36" s="1125"/>
      <c r="H36" s="1125"/>
      <c r="I36" s="1125"/>
    </row>
    <row r="37" spans="1:9" ht="13.5" customHeight="1">
      <c r="A37" s="976" t="s">
        <v>2142</v>
      </c>
      <c r="B37" s="1125"/>
      <c r="C37" s="1125"/>
      <c r="D37" s="1125"/>
      <c r="E37" s="1125"/>
      <c r="F37" s="1125"/>
      <c r="G37" s="1125"/>
      <c r="H37" s="1125"/>
      <c r="I37" s="1125"/>
    </row>
    <row r="38" spans="1:9" ht="13.5" customHeight="1">
      <c r="A38" s="976" t="s">
        <v>2143</v>
      </c>
      <c r="B38" s="1125"/>
      <c r="C38" s="1125"/>
      <c r="D38" s="1125"/>
      <c r="E38" s="1125"/>
      <c r="F38" s="1125"/>
      <c r="G38" s="1125"/>
      <c r="H38" s="1125"/>
      <c r="I38" s="1125"/>
    </row>
    <row r="39" spans="1:9" ht="13.5" customHeight="1">
      <c r="A39" s="2" t="s">
        <v>2144</v>
      </c>
      <c r="B39" s="1125"/>
      <c r="C39" s="1125"/>
      <c r="D39" s="1125"/>
      <c r="E39" s="1125"/>
      <c r="F39" s="1125"/>
      <c r="G39" s="1125"/>
      <c r="H39" s="1125"/>
      <c r="I39" s="1125"/>
    </row>
    <row r="40" spans="1:9" ht="13.5" customHeight="1">
      <c r="A40" s="2" t="s">
        <v>2145</v>
      </c>
      <c r="B40" s="1125"/>
      <c r="C40" s="1125"/>
      <c r="D40" s="1125"/>
      <c r="E40" s="1125"/>
      <c r="F40" s="1125"/>
      <c r="G40" s="1125"/>
      <c r="H40" s="1125"/>
      <c r="I40" s="1125"/>
    </row>
    <row r="41" spans="1:9" ht="13.5" customHeight="1">
      <c r="A41" s="976" t="s">
        <v>2146</v>
      </c>
      <c r="B41" s="1125"/>
      <c r="C41" s="1125"/>
      <c r="D41" s="1125"/>
      <c r="E41" s="1125"/>
      <c r="F41" s="1125"/>
      <c r="G41" s="1125"/>
      <c r="H41" s="1125"/>
      <c r="I41" s="1125"/>
    </row>
    <row r="42" spans="1:9" ht="13.5" customHeight="1">
      <c r="A42" s="976" t="s">
        <v>2147</v>
      </c>
      <c r="B42" s="1125"/>
      <c r="C42" s="1125"/>
      <c r="D42" s="1125"/>
      <c r="E42" s="1125"/>
      <c r="F42" s="1125"/>
      <c r="G42" s="1125"/>
      <c r="H42" s="1125"/>
      <c r="I42" s="1125"/>
    </row>
    <row r="43" spans="1:9" ht="13.5" customHeight="1">
      <c r="A43" s="976" t="s">
        <v>2148</v>
      </c>
      <c r="B43" s="1125"/>
      <c r="C43" s="1125"/>
      <c r="D43" s="1125"/>
      <c r="E43" s="1125"/>
      <c r="F43" s="1125"/>
      <c r="G43" s="1125"/>
      <c r="H43" s="1125"/>
      <c r="I43" s="1125"/>
    </row>
    <row r="44" spans="1:9" ht="13.5" customHeight="1">
      <c r="A44" s="976" t="s">
        <v>2149</v>
      </c>
      <c r="B44" s="1125"/>
      <c r="C44" s="1125"/>
      <c r="D44" s="1125"/>
      <c r="E44" s="1125"/>
      <c r="F44" s="1125"/>
      <c r="G44" s="1125"/>
      <c r="H44" s="1125"/>
      <c r="I44" s="1125"/>
    </row>
    <row r="45" spans="1:9" ht="13.5" customHeight="1">
      <c r="A45" s="2" t="s">
        <v>2150</v>
      </c>
      <c r="B45" s="1125"/>
      <c r="C45" s="1125"/>
      <c r="D45" s="1125"/>
      <c r="E45" s="1125"/>
      <c r="F45" s="1125"/>
      <c r="G45" s="1125"/>
      <c r="H45" s="1125"/>
      <c r="I45" s="1125"/>
    </row>
    <row r="46" spans="1:9" ht="13.5" customHeight="1">
      <c r="A46" s="2" t="s">
        <v>2151</v>
      </c>
      <c r="B46" s="1125"/>
      <c r="C46" s="1125"/>
      <c r="D46" s="1125"/>
      <c r="E46" s="1125"/>
      <c r="F46" s="1125"/>
      <c r="G46" s="1125"/>
      <c r="H46" s="1125"/>
      <c r="I46" s="1125"/>
    </row>
    <row r="47" spans="1:9" ht="13.5" customHeight="1">
      <c r="A47" s="976" t="s">
        <v>2152</v>
      </c>
      <c r="B47" s="1125"/>
      <c r="C47" s="1125"/>
      <c r="D47" s="1125"/>
      <c r="E47" s="1125"/>
      <c r="F47" s="1125"/>
      <c r="G47" s="1125"/>
      <c r="H47" s="1125"/>
      <c r="I47" s="1125"/>
    </row>
    <row r="49" spans="1:11">
      <c r="A49" s="1131" t="s">
        <v>2153</v>
      </c>
    </row>
    <row r="52" spans="1:11" ht="16">
      <c r="A52" s="300" t="s">
        <v>634</v>
      </c>
      <c r="K52" s="157"/>
    </row>
  </sheetData>
  <phoneticPr fontId="0" type="noConversion"/>
  <pageMargins left="0.5" right="0.44" top="0.76" bottom="0.49" header="0.38" footer="0.4921259845"/>
  <pageSetup paperSize="9" scale="80" orientation="portrait" horizontalDpi="4294967292" verticalDpi="4294967292"/>
  <headerFooter alignWithMargins="0"/>
  <rowBreaks count="1" manualBreakCount="1">
    <brk id="49" max="16383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F167-AB75-D049-8BE7-BA394FA3462C}">
  <sheetPr>
    <pageSetUpPr fitToPage="1"/>
  </sheetPr>
  <dimension ref="A1:K65"/>
  <sheetViews>
    <sheetView topLeftCell="A28" zoomScale="75" workbookViewId="0">
      <selection activeCell="K45" sqref="K45"/>
    </sheetView>
  </sheetViews>
  <sheetFormatPr baseColWidth="10" defaultColWidth="11.3984375" defaultRowHeight="13"/>
  <cols>
    <col min="1" max="1" width="11.3984375" style="2"/>
    <col min="2" max="7" width="13.59765625" style="156" customWidth="1"/>
    <col min="8" max="9" width="13.59765625" style="2" customWidth="1"/>
    <col min="10" max="10" width="2.796875" style="2" customWidth="1"/>
    <col min="11" max="11" width="12.796875" style="2" customWidth="1"/>
    <col min="12" max="16384" width="11.3984375" style="2"/>
  </cols>
  <sheetData>
    <row r="1" spans="1:11" s="1" customFormat="1" ht="14" customHeight="1">
      <c r="A1" s="381"/>
      <c r="B1" s="1117"/>
      <c r="C1" s="1117"/>
      <c r="D1" s="1117"/>
      <c r="E1" s="1117"/>
      <c r="F1" s="1117"/>
      <c r="G1" s="1117"/>
    </row>
    <row r="2" spans="1:11" s="1" customFormat="1" ht="41.25" customHeight="1">
      <c r="A2" s="1821" t="s">
        <v>2154</v>
      </c>
      <c r="B2" s="1804"/>
      <c r="C2" s="1804"/>
      <c r="D2" s="1804"/>
      <c r="E2" s="1804"/>
      <c r="F2" s="1804"/>
      <c r="G2" s="1804"/>
      <c r="H2" s="1804"/>
      <c r="I2" s="355"/>
      <c r="J2" s="1266"/>
      <c r="K2" s="56"/>
    </row>
    <row r="3" spans="1:11" ht="27" customHeight="1">
      <c r="A3" s="110" t="s">
        <v>533</v>
      </c>
      <c r="B3" s="1267" t="s">
        <v>2164</v>
      </c>
      <c r="C3" s="112"/>
      <c r="D3" s="111"/>
      <c r="E3" s="1268"/>
      <c r="F3" s="1139" t="s">
        <v>2165</v>
      </c>
      <c r="G3" s="112"/>
      <c r="H3" s="1269"/>
      <c r="I3" s="16"/>
      <c r="J3" s="300"/>
    </row>
    <row r="4" spans="1:11" ht="20.25" customHeight="1">
      <c r="A4" s="308"/>
      <c r="B4" s="391" t="s">
        <v>994</v>
      </c>
      <c r="C4" s="115" t="s">
        <v>1800</v>
      </c>
      <c r="D4" s="114" t="s">
        <v>1799</v>
      </c>
      <c r="E4" s="115" t="s">
        <v>2155</v>
      </c>
      <c r="F4" s="1270" t="s">
        <v>629</v>
      </c>
      <c r="G4" s="580" t="s">
        <v>521</v>
      </c>
      <c r="H4" s="579" t="s">
        <v>521</v>
      </c>
      <c r="I4" s="580" t="s">
        <v>521</v>
      </c>
      <c r="J4" s="1271"/>
    </row>
    <row r="5" spans="1:11" ht="15" customHeight="1">
      <c r="A5" s="308"/>
      <c r="B5" s="391"/>
      <c r="C5" s="115"/>
      <c r="D5" s="114" t="s">
        <v>1973</v>
      </c>
      <c r="E5" s="115"/>
      <c r="F5" s="1142"/>
      <c r="G5" s="580" t="s">
        <v>1216</v>
      </c>
      <c r="H5" s="579" t="s">
        <v>1217</v>
      </c>
      <c r="I5" s="580" t="s">
        <v>1218</v>
      </c>
      <c r="J5" s="1271"/>
    </row>
    <row r="6" spans="1:11" s="549" customFormat="1" ht="26.25" customHeight="1">
      <c r="A6" s="390"/>
      <c r="B6" s="391"/>
      <c r="C6" s="928"/>
      <c r="D6" s="391" t="s">
        <v>1804</v>
      </c>
      <c r="E6" s="928"/>
      <c r="F6" s="1272"/>
      <c r="G6" s="928" t="s">
        <v>2156</v>
      </c>
      <c r="H6" s="120"/>
      <c r="I6" s="119"/>
      <c r="J6" s="869"/>
    </row>
    <row r="7" spans="1:11" ht="3" customHeight="1" thickBot="1">
      <c r="A7" s="1144">
        <v>1996</v>
      </c>
      <c r="B7" s="1145">
        <v>85.845027995215389</v>
      </c>
      <c r="C7" s="980" t="s">
        <v>59</v>
      </c>
      <c r="D7" s="1145" t="s">
        <v>59</v>
      </c>
      <c r="E7" s="980" t="s">
        <v>59</v>
      </c>
      <c r="F7" s="1146" t="s">
        <v>59</v>
      </c>
      <c r="G7" s="980" t="s">
        <v>59</v>
      </c>
      <c r="H7" s="819" t="s">
        <v>59</v>
      </c>
      <c r="I7" s="311" t="s">
        <v>59</v>
      </c>
      <c r="J7" s="1122"/>
    </row>
    <row r="8" spans="1:11" ht="18" customHeight="1" thickBot="1">
      <c r="A8" s="554">
        <v>1997</v>
      </c>
      <c r="B8" s="1145">
        <v>92.815135115864891</v>
      </c>
      <c r="C8" s="821">
        <v>92.444560110674317</v>
      </c>
      <c r="D8" s="820">
        <v>92.272278855639584</v>
      </c>
      <c r="E8" s="821">
        <v>94.708135081815001</v>
      </c>
      <c r="F8" s="1146" t="s">
        <v>59</v>
      </c>
      <c r="G8" s="980" t="s">
        <v>59</v>
      </c>
      <c r="H8" s="819" t="s">
        <v>59</v>
      </c>
      <c r="I8" s="311" t="s">
        <v>59</v>
      </c>
      <c r="J8" s="1122"/>
    </row>
    <row r="9" spans="1:11" ht="18" customHeight="1" thickBot="1">
      <c r="A9" s="1273">
        <v>1998</v>
      </c>
      <c r="B9" s="1145">
        <v>97.82364594098182</v>
      </c>
      <c r="C9" s="1274">
        <v>97.816191141488716</v>
      </c>
      <c r="D9" s="1275">
        <v>98.901550603293458</v>
      </c>
      <c r="E9" s="1274">
        <v>97.609376813276072</v>
      </c>
      <c r="F9" s="1146" t="s">
        <v>59</v>
      </c>
      <c r="G9" s="980" t="s">
        <v>59</v>
      </c>
      <c r="H9" s="819" t="s">
        <v>59</v>
      </c>
      <c r="I9" s="311" t="s">
        <v>59</v>
      </c>
      <c r="J9" s="1122"/>
    </row>
    <row r="10" spans="1:11" ht="18" customHeight="1" thickBot="1">
      <c r="A10" s="554">
        <v>1999</v>
      </c>
      <c r="B10" s="1145">
        <v>100</v>
      </c>
      <c r="C10" s="821">
        <v>100</v>
      </c>
      <c r="D10" s="820">
        <v>100</v>
      </c>
      <c r="E10" s="821">
        <v>100</v>
      </c>
      <c r="F10" s="1147">
        <v>100</v>
      </c>
      <c r="G10" s="821">
        <v>100</v>
      </c>
      <c r="H10" s="820">
        <v>100</v>
      </c>
      <c r="I10" s="821">
        <v>100</v>
      </c>
      <c r="J10" s="1122"/>
    </row>
    <row r="11" spans="1:11" ht="18" customHeight="1" thickBot="1">
      <c r="A11" s="553">
        <v>2000</v>
      </c>
      <c r="B11" s="819">
        <v>103.20562026598945</v>
      </c>
      <c r="C11" s="311">
        <v>103.03441222531174</v>
      </c>
      <c r="D11" s="819">
        <v>99.091265525004431</v>
      </c>
      <c r="E11" s="311">
        <v>103.07365838293074</v>
      </c>
      <c r="F11" s="1276">
        <v>106.4</v>
      </c>
      <c r="G11" s="311">
        <v>104.3</v>
      </c>
      <c r="H11" s="819">
        <v>107.5</v>
      </c>
      <c r="I11" s="311">
        <v>106.7</v>
      </c>
      <c r="J11" s="1122"/>
    </row>
    <row r="12" spans="1:11" ht="18" customHeight="1" thickBot="1">
      <c r="A12" s="554">
        <v>2001</v>
      </c>
      <c r="B12" s="820">
        <v>106.94335020000455</v>
      </c>
      <c r="C12" s="821">
        <v>107.41253121846763</v>
      </c>
      <c r="D12" s="820">
        <v>99.966483697164392</v>
      </c>
      <c r="E12" s="821">
        <v>108.20305376415389</v>
      </c>
      <c r="F12" s="1147">
        <v>111.1</v>
      </c>
      <c r="G12" s="821">
        <v>107.5</v>
      </c>
      <c r="H12" s="820">
        <v>112.5</v>
      </c>
      <c r="I12" s="821">
        <v>112.5</v>
      </c>
      <c r="J12" s="1122"/>
    </row>
    <row r="13" spans="1:11" ht="18" customHeight="1" thickBot="1">
      <c r="A13" s="1273">
        <v>2002</v>
      </c>
      <c r="B13" s="1275">
        <v>116.62017344016445</v>
      </c>
      <c r="C13" s="1274">
        <v>116.60890964793332</v>
      </c>
      <c r="D13" s="1275">
        <v>112.72607694837224</v>
      </c>
      <c r="E13" s="1274">
        <v>118.09048558497321</v>
      </c>
      <c r="F13" s="1277">
        <v>115.4</v>
      </c>
      <c r="G13" s="1274">
        <v>107.9</v>
      </c>
      <c r="H13" s="1275">
        <v>117.5</v>
      </c>
      <c r="I13" s="1274">
        <v>119.3</v>
      </c>
      <c r="J13" s="1122"/>
    </row>
    <row r="14" spans="1:11" ht="18" customHeight="1" thickBot="1">
      <c r="A14" s="1273">
        <v>2003</v>
      </c>
      <c r="B14" s="1275">
        <v>127.26432081149086</v>
      </c>
      <c r="C14" s="1274">
        <v>126.36094255801954</v>
      </c>
      <c r="D14" s="1275">
        <v>128.18468115245491</v>
      </c>
      <c r="E14" s="1274">
        <v>128.50511447470944</v>
      </c>
      <c r="F14" s="1277">
        <v>116.38</v>
      </c>
      <c r="G14" s="1274">
        <v>110</v>
      </c>
      <c r="H14" s="1275">
        <v>117.9</v>
      </c>
      <c r="I14" s="1274">
        <v>120.1</v>
      </c>
      <c r="J14" s="1122"/>
    </row>
    <row r="15" spans="1:11" ht="15.75" customHeight="1" thickBot="1">
      <c r="A15" s="1273">
        <v>2004</v>
      </c>
      <c r="B15" s="1275">
        <v>136.21209815526825</v>
      </c>
      <c r="C15" s="1274">
        <v>134.46062249738608</v>
      </c>
      <c r="D15" s="1275">
        <v>140.98790883565627</v>
      </c>
      <c r="E15" s="1274">
        <v>134.59274855352376</v>
      </c>
      <c r="F15" s="1277">
        <v>117.9</v>
      </c>
      <c r="G15" s="1274">
        <v>113.3</v>
      </c>
      <c r="H15" s="1275">
        <v>118.6</v>
      </c>
      <c r="I15" s="1274">
        <v>121.2</v>
      </c>
      <c r="J15" s="1122"/>
    </row>
    <row r="16" spans="1:11" s="148" customFormat="1" ht="19.5" customHeight="1" thickBot="1">
      <c r="A16" s="1273">
        <v>2005</v>
      </c>
      <c r="B16" s="1275">
        <v>138.755283887497</v>
      </c>
      <c r="C16" s="1274">
        <v>137.01928125613529</v>
      </c>
      <c r="D16" s="1275">
        <v>145.19388864998862</v>
      </c>
      <c r="E16" s="1274">
        <v>134.35401780533496</v>
      </c>
      <c r="F16" s="1277">
        <v>118.91</v>
      </c>
      <c r="G16" s="1274">
        <v>114.2</v>
      </c>
      <c r="H16" s="1275">
        <v>119.4</v>
      </c>
      <c r="I16" s="1274">
        <v>122.7</v>
      </c>
      <c r="J16" s="1122"/>
    </row>
    <row r="17" spans="1:11" ht="19.5" customHeight="1" thickBot="1">
      <c r="A17" s="1273">
        <v>2006</v>
      </c>
      <c r="B17" s="1275">
        <v>144.06903358290245</v>
      </c>
      <c r="C17" s="1274">
        <v>142.457115984312</v>
      </c>
      <c r="D17" s="1275">
        <v>151.60878253610909</v>
      </c>
      <c r="E17" s="1274">
        <v>137.84213929276015</v>
      </c>
      <c r="F17" s="1277">
        <v>122.4</v>
      </c>
      <c r="G17" s="1274">
        <v>113.4</v>
      </c>
      <c r="H17" s="1275">
        <v>123.8</v>
      </c>
      <c r="I17" s="1274">
        <v>128.5</v>
      </c>
      <c r="J17" s="1122"/>
    </row>
    <row r="18" spans="1:11" s="148" customFormat="1" ht="19.5" customHeight="1" thickBot="1">
      <c r="A18" s="1278">
        <v>2007</v>
      </c>
      <c r="B18" s="1279">
        <v>145.70957931673081</v>
      </c>
      <c r="C18" s="1280">
        <v>143.74603348537357</v>
      </c>
      <c r="D18" s="1279">
        <v>152.46313206688083</v>
      </c>
      <c r="E18" s="1280">
        <v>137.76256237669722</v>
      </c>
      <c r="F18" s="1281">
        <v>123</v>
      </c>
      <c r="G18" s="1280">
        <v>113.3</v>
      </c>
      <c r="H18" s="1279">
        <v>124.8</v>
      </c>
      <c r="I18" s="1280">
        <v>128.80000000000001</v>
      </c>
      <c r="J18" s="1282"/>
    </row>
    <row r="19" spans="1:11" s="419" customFormat="1" ht="21.75" customHeight="1" thickBot="1">
      <c r="A19" s="1283">
        <v>2008</v>
      </c>
      <c r="B19" s="1284" t="s">
        <v>59</v>
      </c>
      <c r="C19" s="1285" t="s">
        <v>59</v>
      </c>
      <c r="D19" s="1286" t="s">
        <v>59</v>
      </c>
      <c r="E19" s="1285" t="s">
        <v>59</v>
      </c>
      <c r="F19" s="1287">
        <v>124.4</v>
      </c>
      <c r="G19" s="1285">
        <v>114.4</v>
      </c>
      <c r="H19" s="1286">
        <v>125.1</v>
      </c>
      <c r="I19" s="1285">
        <v>132</v>
      </c>
      <c r="J19" s="1288"/>
    </row>
    <row r="20" spans="1:11" ht="18" customHeight="1">
      <c r="A20" s="1250"/>
      <c r="B20" s="1122"/>
      <c r="C20" s="870"/>
      <c r="D20" s="1122"/>
      <c r="E20" s="870"/>
      <c r="F20" s="1122"/>
      <c r="G20" s="870"/>
      <c r="H20" s="1122"/>
      <c r="I20" s="870"/>
      <c r="J20" s="299"/>
    </row>
    <row r="21" spans="1:11" ht="18" customHeight="1">
      <c r="A21" s="1250"/>
      <c r="B21" s="1122"/>
      <c r="C21" s="870"/>
      <c r="D21" s="1122"/>
      <c r="E21" s="870"/>
      <c r="F21" s="1122"/>
      <c r="G21" s="870"/>
      <c r="H21" s="1122"/>
      <c r="I21" s="870"/>
      <c r="J21" s="299"/>
    </row>
    <row r="22" spans="1:11" ht="18" customHeight="1">
      <c r="A22" s="1289" t="s">
        <v>2157</v>
      </c>
      <c r="B22" s="1122"/>
      <c r="C22" s="870"/>
      <c r="D22" s="1122"/>
      <c r="E22" s="870"/>
      <c r="F22" s="1122"/>
      <c r="G22" s="870"/>
      <c r="H22" s="1122"/>
      <c r="I22" s="870"/>
      <c r="J22" s="299"/>
    </row>
    <row r="23" spans="1:11" ht="12.75" customHeight="1">
      <c r="A23" s="1290"/>
      <c r="B23" s="1291"/>
      <c r="C23" s="1292"/>
      <c r="D23" s="1291"/>
      <c r="E23" s="1292"/>
      <c r="F23" s="1291"/>
      <c r="G23" s="1292"/>
      <c r="H23" s="1291"/>
      <c r="I23" s="1292"/>
      <c r="J23" s="299"/>
      <c r="K23" s="428"/>
    </row>
    <row r="24" spans="1:11" ht="27" customHeight="1">
      <c r="A24" s="110" t="s">
        <v>533</v>
      </c>
      <c r="B24" s="1267" t="s">
        <v>2164</v>
      </c>
      <c r="C24" s="112"/>
      <c r="D24" s="111"/>
      <c r="E24" s="1268"/>
      <c r="F24" s="1139" t="s">
        <v>2165</v>
      </c>
      <c r="G24" s="112"/>
      <c r="H24" s="1269"/>
      <c r="I24" s="16"/>
      <c r="J24" s="299"/>
      <c r="K24" s="1293" t="s">
        <v>2158</v>
      </c>
    </row>
    <row r="25" spans="1:11" ht="20.25" customHeight="1">
      <c r="A25" s="308"/>
      <c r="B25" s="391" t="s">
        <v>994</v>
      </c>
      <c r="C25" s="115" t="s">
        <v>1800</v>
      </c>
      <c r="D25" s="114" t="s">
        <v>1799</v>
      </c>
      <c r="E25" s="115" t="s">
        <v>2155</v>
      </c>
      <c r="F25" s="1270" t="s">
        <v>629</v>
      </c>
      <c r="G25" s="580" t="s">
        <v>521</v>
      </c>
      <c r="H25" s="579" t="s">
        <v>521</v>
      </c>
      <c r="I25" s="580" t="s">
        <v>521</v>
      </c>
      <c r="J25" s="299"/>
      <c r="K25" s="1294" t="s">
        <v>2159</v>
      </c>
    </row>
    <row r="26" spans="1:11" ht="15" customHeight="1">
      <c r="A26" s="308"/>
      <c r="B26" s="391"/>
      <c r="C26" s="115"/>
      <c r="D26" s="114" t="s">
        <v>1973</v>
      </c>
      <c r="E26" s="115"/>
      <c r="F26" s="1142"/>
      <c r="G26" s="580" t="s">
        <v>1216</v>
      </c>
      <c r="H26" s="579" t="s">
        <v>1217</v>
      </c>
      <c r="I26" s="580" t="s">
        <v>1218</v>
      </c>
      <c r="J26" s="299"/>
      <c r="K26" s="1294" t="s">
        <v>2160</v>
      </c>
    </row>
    <row r="27" spans="1:11" s="549" customFormat="1" ht="26.25" customHeight="1">
      <c r="A27" s="309"/>
      <c r="B27" s="120"/>
      <c r="C27" s="119"/>
      <c r="D27" s="120" t="s">
        <v>1804</v>
      </c>
      <c r="E27" s="119"/>
      <c r="F27" s="1143"/>
      <c r="G27" s="119" t="s">
        <v>2156</v>
      </c>
      <c r="H27" s="120"/>
      <c r="I27" s="119"/>
      <c r="J27" s="299"/>
      <c r="K27" s="1295" t="s">
        <v>2166</v>
      </c>
    </row>
    <row r="28" spans="1:11" ht="26.25" customHeight="1" thickBot="1">
      <c r="A28" s="553">
        <v>1997</v>
      </c>
      <c r="B28" s="586">
        <v>8.1194068933590158E-2</v>
      </c>
      <c r="C28" s="143" t="s">
        <v>59</v>
      </c>
      <c r="D28" s="586" t="s">
        <v>59</v>
      </c>
      <c r="E28" s="143" t="s">
        <v>59</v>
      </c>
      <c r="F28" s="1296" t="s">
        <v>59</v>
      </c>
      <c r="G28" s="143" t="s">
        <v>59</v>
      </c>
      <c r="H28" s="586" t="s">
        <v>59</v>
      </c>
      <c r="I28" s="143" t="s">
        <v>59</v>
      </c>
      <c r="J28" s="299"/>
      <c r="K28" s="819" t="s">
        <v>59</v>
      </c>
    </row>
    <row r="29" spans="1:11" ht="18" customHeight="1" thickBot="1">
      <c r="A29" s="554">
        <v>1998</v>
      </c>
      <c r="B29" s="586">
        <v>5.3962220912188608E-2</v>
      </c>
      <c r="C29" s="145">
        <v>5.8106512967161184E-2</v>
      </c>
      <c r="D29" s="416">
        <v>7.1844673501836986E-2</v>
      </c>
      <c r="E29" s="145">
        <v>3.0633500796471091E-2</v>
      </c>
      <c r="F29" s="1296" t="s">
        <v>59</v>
      </c>
      <c r="G29" s="143" t="s">
        <v>59</v>
      </c>
      <c r="H29" s="586" t="s">
        <v>59</v>
      </c>
      <c r="I29" s="143" t="s">
        <v>59</v>
      </c>
      <c r="J29" s="299"/>
      <c r="K29" s="819" t="s">
        <v>59</v>
      </c>
    </row>
    <row r="30" spans="1:11" ht="18" customHeight="1" thickBot="1">
      <c r="A30" s="553">
        <v>1999</v>
      </c>
      <c r="B30" s="586">
        <v>2.2247729964299134E-2</v>
      </c>
      <c r="C30" s="145">
        <v>2.2325637842026236E-2</v>
      </c>
      <c r="D30" s="416">
        <v>1.1106493174334098E-2</v>
      </c>
      <c r="E30" s="145">
        <v>2.4491737011057113E-2</v>
      </c>
      <c r="F30" s="1296" t="s">
        <v>59</v>
      </c>
      <c r="G30" s="143" t="s">
        <v>59</v>
      </c>
      <c r="H30" s="586" t="s">
        <v>59</v>
      </c>
      <c r="I30" s="143" t="s">
        <v>59</v>
      </c>
      <c r="J30" s="299"/>
      <c r="K30" s="820" t="s">
        <v>59</v>
      </c>
    </row>
    <row r="31" spans="1:11" ht="18" customHeight="1" thickBot="1">
      <c r="A31" s="554">
        <v>2000</v>
      </c>
      <c r="B31" s="586">
        <v>3.2056202659894506E-2</v>
      </c>
      <c r="C31" s="145">
        <v>3.0344122253117334E-2</v>
      </c>
      <c r="D31" s="416">
        <v>-9.0873447499556503E-3</v>
      </c>
      <c r="E31" s="145">
        <v>3.073658382930744E-2</v>
      </c>
      <c r="F31" s="1297">
        <v>6.4000000000000001E-2</v>
      </c>
      <c r="G31" s="145">
        <v>4.2999999999999997E-2</v>
      </c>
      <c r="H31" s="416">
        <v>7.4999999999999997E-2</v>
      </c>
      <c r="I31" s="145">
        <v>6.7000000000000004E-2</v>
      </c>
      <c r="J31" s="299"/>
      <c r="K31" s="586">
        <v>-3.0000000000000001E-3</v>
      </c>
    </row>
    <row r="32" spans="1:11" ht="18" customHeight="1" thickBot="1">
      <c r="A32" s="553">
        <v>2001</v>
      </c>
      <c r="B32" s="586">
        <v>3.6216340974279504E-2</v>
      </c>
      <c r="C32" s="145">
        <v>4.2491813158326064E-2</v>
      </c>
      <c r="D32" s="416">
        <v>8.8324451960815065E-3</v>
      </c>
      <c r="E32" s="145">
        <v>4.9764367169028212E-2</v>
      </c>
      <c r="F32" s="1297">
        <v>4.4000000000000004E-2</v>
      </c>
      <c r="G32" s="145">
        <v>0.03</v>
      </c>
      <c r="H32" s="416">
        <v>4.7E-2</v>
      </c>
      <c r="I32" s="145">
        <v>5.5E-2</v>
      </c>
      <c r="J32" s="299"/>
      <c r="K32" s="416">
        <v>-4.0000000000000001E-3</v>
      </c>
    </row>
    <row r="33" spans="1:11" ht="18" customHeight="1" thickBot="1">
      <c r="A33" s="554">
        <v>2002</v>
      </c>
      <c r="B33" s="586">
        <v>9.0485506785250358E-2</v>
      </c>
      <c r="C33" s="145">
        <v>8.5617370013942429E-2</v>
      </c>
      <c r="D33" s="416">
        <v>0.12763871228942492</v>
      </c>
      <c r="E33" s="145">
        <v>9.1378491427520858E-2</v>
      </c>
      <c r="F33" s="1297">
        <v>3.9E-2</v>
      </c>
      <c r="G33" s="145">
        <v>4.0000000000000001E-3</v>
      </c>
      <c r="H33" s="416">
        <v>4.4000000000000004E-2</v>
      </c>
      <c r="I33" s="145">
        <v>0.06</v>
      </c>
      <c r="J33" s="299"/>
      <c r="K33" s="1298">
        <v>-5.0000000000000001E-3</v>
      </c>
    </row>
    <row r="34" spans="1:11" ht="18" customHeight="1" thickBot="1">
      <c r="A34" s="554">
        <v>2003</v>
      </c>
      <c r="B34" s="586">
        <v>9.1271921978299142E-2</v>
      </c>
      <c r="C34" s="145">
        <v>8.3630255522752606E-2</v>
      </c>
      <c r="D34" s="416">
        <v>0.13713423391078017</v>
      </c>
      <c r="E34" s="145">
        <v>8.8191938903005695E-2</v>
      </c>
      <c r="F34" s="1297">
        <v>8.492201039861369E-3</v>
      </c>
      <c r="G34" s="145">
        <v>1.9462465245597693E-2</v>
      </c>
      <c r="H34" s="416">
        <v>3.4042553191488967E-3</v>
      </c>
      <c r="I34" s="145">
        <v>6.7057837384743024E-3</v>
      </c>
      <c r="J34" s="299"/>
      <c r="K34" s="1298">
        <v>-5.0000000000000001E-3</v>
      </c>
    </row>
    <row r="35" spans="1:11" ht="18" customHeight="1" thickBot="1">
      <c r="A35" s="1273">
        <v>2004</v>
      </c>
      <c r="B35" s="586">
        <v>7.0308608781491921E-2</v>
      </c>
      <c r="C35" s="145">
        <v>6.4099553037502144E-2</v>
      </c>
      <c r="D35" s="416">
        <v>9.9881105667954051E-2</v>
      </c>
      <c r="E35" s="145">
        <v>4.7372698773109123E-2</v>
      </c>
      <c r="F35" s="1297">
        <v>1.3060663344217405E-2</v>
      </c>
      <c r="G35" s="145">
        <v>0.03</v>
      </c>
      <c r="H35" s="416">
        <v>5.9372349448685302E-3</v>
      </c>
      <c r="I35" s="145">
        <v>9.1590341382181695E-3</v>
      </c>
      <c r="J35" s="1299"/>
      <c r="K35" s="1298">
        <v>-4.0000000000000001E-3</v>
      </c>
    </row>
    <row r="36" spans="1:11" ht="18" customHeight="1" thickBot="1">
      <c r="A36" s="1273">
        <v>2005</v>
      </c>
      <c r="B36" s="586">
        <v>1.8670777167897112E-2</v>
      </c>
      <c r="C36" s="145">
        <v>1.9029056323154769E-2</v>
      </c>
      <c r="D36" s="416">
        <v>2.9832202272288999E-2</v>
      </c>
      <c r="E36" s="145">
        <v>-1.773726673646614E-3</v>
      </c>
      <c r="F36" s="1297">
        <v>8.5665818490245904E-3</v>
      </c>
      <c r="G36" s="145">
        <v>7.9435127978817466E-3</v>
      </c>
      <c r="H36" s="416">
        <v>6.7453625632378778E-3</v>
      </c>
      <c r="I36" s="145">
        <v>1.2376237623762387E-2</v>
      </c>
      <c r="J36" s="299"/>
      <c r="K36" s="1298">
        <v>-2E-3</v>
      </c>
    </row>
    <row r="37" spans="1:11" ht="18" customHeight="1" thickBot="1">
      <c r="A37" s="1273">
        <v>2006</v>
      </c>
      <c r="B37" s="586">
        <v>3.8295836717208154E-2</v>
      </c>
      <c r="C37" s="145">
        <v>3.9686638831593068E-2</v>
      </c>
      <c r="D37" s="416">
        <v>4.4181569525866937E-2</v>
      </c>
      <c r="E37" s="145">
        <v>2.5962167298034355E-2</v>
      </c>
      <c r="F37" s="1297">
        <v>2.9349928517366175E-2</v>
      </c>
      <c r="G37" s="145">
        <v>-7.0052539404553693E-3</v>
      </c>
      <c r="H37" s="416">
        <v>3.6850921273031689E-2</v>
      </c>
      <c r="I37" s="145">
        <v>4.7269763651181629E-2</v>
      </c>
      <c r="J37" s="1299"/>
      <c r="K37" s="1298">
        <v>-3.0000000000000001E-3</v>
      </c>
    </row>
    <row r="38" spans="1:11" s="148" customFormat="1" ht="21" customHeight="1" thickBot="1">
      <c r="A38" s="1278">
        <v>2007</v>
      </c>
      <c r="B38" s="1104">
        <v>1.1387219675381033E-2</v>
      </c>
      <c r="C38" s="315">
        <v>9.0477579316117218E-3</v>
      </c>
      <c r="D38" s="1102">
        <v>5.6352245330395512E-3</v>
      </c>
      <c r="E38" s="315">
        <v>-5.7730470864159056E-4</v>
      </c>
      <c r="F38" s="1300">
        <v>4.9019607843137081E-3</v>
      </c>
      <c r="G38" s="315">
        <v>-8.8183421516763172E-4</v>
      </c>
      <c r="H38" s="1102">
        <v>8.0775444264944429E-3</v>
      </c>
      <c r="I38" s="315">
        <v>2.3346303501945442E-3</v>
      </c>
      <c r="J38" s="1301"/>
      <c r="K38" s="1302">
        <v>0</v>
      </c>
    </row>
    <row r="39" spans="1:11" s="419" customFormat="1" ht="21" customHeight="1" thickBot="1">
      <c r="A39" s="1283" t="s">
        <v>2167</v>
      </c>
      <c r="B39" s="1303">
        <v>-9.8403325495145522E-3</v>
      </c>
      <c r="C39" s="986" t="s">
        <v>59</v>
      </c>
      <c r="D39" s="571" t="s">
        <v>59</v>
      </c>
      <c r="E39" s="986" t="s">
        <v>59</v>
      </c>
      <c r="F39" s="1304">
        <v>1.1382113821138296E-2</v>
      </c>
      <c r="G39" s="986">
        <v>9.7087378640776656E-3</v>
      </c>
      <c r="H39" s="363">
        <v>2.4038461538460343E-3</v>
      </c>
      <c r="I39" s="406">
        <v>2.4844720496894235E-2</v>
      </c>
      <c r="J39" s="1305"/>
      <c r="K39" s="363">
        <v>0</v>
      </c>
    </row>
    <row r="40" spans="1:11" ht="17.25" customHeight="1">
      <c r="A40" s="1128" t="s">
        <v>2171</v>
      </c>
      <c r="B40" s="1129"/>
      <c r="C40" s="1129"/>
      <c r="D40" s="1129"/>
      <c r="E40" s="1129"/>
      <c r="F40" s="1129"/>
      <c r="G40" s="1129"/>
    </row>
    <row r="41" spans="1:11" ht="12" customHeight="1">
      <c r="A41" s="1087"/>
      <c r="B41" s="1122"/>
      <c r="C41" s="1122"/>
      <c r="D41" s="1122"/>
      <c r="E41" s="1122"/>
      <c r="F41" s="1122"/>
      <c r="G41" s="1122"/>
    </row>
    <row r="42" spans="1:11" ht="14.25" customHeight="1">
      <c r="A42" s="1087" t="s">
        <v>2161</v>
      </c>
      <c r="B42" s="1122"/>
      <c r="C42" s="1122"/>
      <c r="D42" s="1122"/>
      <c r="E42" s="1122"/>
      <c r="F42" s="1122"/>
      <c r="G42" s="1122"/>
    </row>
    <row r="43" spans="1:11" ht="15" customHeight="1">
      <c r="A43" s="1306" t="s">
        <v>2162</v>
      </c>
      <c r="B43"/>
      <c r="C43"/>
      <c r="D43"/>
      <c r="E43"/>
      <c r="F43"/>
      <c r="G43"/>
      <c r="I43" s="300"/>
    </row>
    <row r="44" spans="1:11" ht="15.75" customHeight="1">
      <c r="A44" s="4" t="s">
        <v>2168</v>
      </c>
      <c r="B44" s="1123"/>
      <c r="C44" s="1123"/>
      <c r="D44" s="1123"/>
      <c r="E44" s="1123"/>
      <c r="F44" s="1123"/>
      <c r="G44" s="1123"/>
      <c r="I44" s="946"/>
    </row>
    <row r="45" spans="1:11" ht="15.75" customHeight="1">
      <c r="A45" s="4" t="s">
        <v>2169</v>
      </c>
      <c r="B45" s="1123"/>
      <c r="C45" s="1123"/>
      <c r="D45" s="1123"/>
      <c r="E45" s="1123"/>
      <c r="F45" s="1123"/>
      <c r="G45" s="1123"/>
      <c r="I45" s="946"/>
    </row>
    <row r="46" spans="1:11" ht="15" customHeight="1">
      <c r="A46" s="1087" t="s">
        <v>2163</v>
      </c>
      <c r="B46" s="1123"/>
      <c r="C46" s="1123"/>
      <c r="D46" s="1123"/>
      <c r="E46" s="1123"/>
      <c r="F46" s="1123"/>
      <c r="G46" s="1123"/>
    </row>
    <row r="47" spans="1:11" ht="15" customHeight="1">
      <c r="A47" s="1087" t="s">
        <v>2170</v>
      </c>
      <c r="B47" s="1123"/>
      <c r="C47" s="1123"/>
      <c r="D47" s="1123"/>
      <c r="E47" s="1123"/>
      <c r="F47" s="1123"/>
      <c r="G47" s="1123"/>
    </row>
    <row r="48" spans="1:11" ht="15.75" customHeight="1">
      <c r="A48" s="4"/>
      <c r="B48" s="1123"/>
      <c r="C48" s="1123"/>
      <c r="D48" s="1123"/>
      <c r="E48" s="1123"/>
      <c r="F48" s="1123"/>
      <c r="G48" s="1123"/>
      <c r="I48" s="300"/>
    </row>
    <row r="49" spans="1:7" ht="15" customHeight="1">
      <c r="A49" s="1087"/>
      <c r="B49" s="1123"/>
      <c r="C49" s="1123"/>
      <c r="D49" s="1123"/>
      <c r="E49" s="1123"/>
      <c r="F49" s="1123"/>
      <c r="G49" s="1123"/>
    </row>
    <row r="50" spans="1:7" ht="16.5" customHeight="1">
      <c r="A50" s="4" t="s">
        <v>634</v>
      </c>
      <c r="B50" s="1123"/>
      <c r="C50" s="1123"/>
      <c r="D50" s="1123"/>
      <c r="E50" s="1123"/>
      <c r="F50" s="1123"/>
      <c r="G50" s="1123"/>
    </row>
    <row r="51" spans="1:7" ht="31" customHeight="1">
      <c r="A51" s="4"/>
      <c r="B51" s="1123"/>
      <c r="C51" s="1123"/>
      <c r="D51" s="1123"/>
      <c r="E51" s="1123"/>
      <c r="F51" s="1123"/>
      <c r="G51" s="1123"/>
    </row>
    <row r="52" spans="1:7" ht="31" customHeight="1">
      <c r="A52" s="4"/>
      <c r="B52" s="1123"/>
      <c r="C52" s="1123"/>
      <c r="D52" s="1123"/>
      <c r="E52" s="1123"/>
      <c r="F52" s="1123"/>
      <c r="G52" s="1123"/>
    </row>
    <row r="53" spans="1:7">
      <c r="A53" s="4"/>
      <c r="B53" s="1123"/>
      <c r="C53" s="1123"/>
      <c r="D53" s="1123"/>
      <c r="E53" s="1123"/>
      <c r="F53" s="1123"/>
      <c r="G53" s="1123"/>
    </row>
    <row r="54" spans="1:7">
      <c r="A54" s="4"/>
      <c r="B54" s="1123"/>
      <c r="C54" s="1123"/>
      <c r="D54" s="1123"/>
      <c r="E54" s="1123"/>
      <c r="F54" s="1123"/>
      <c r="G54" s="1123"/>
    </row>
    <row r="55" spans="1:7">
      <c r="A55" s="4"/>
      <c r="B55" s="1123"/>
      <c r="C55" s="1123"/>
      <c r="D55" s="1123"/>
      <c r="E55" s="1123"/>
      <c r="F55" s="1123"/>
      <c r="G55" s="1123"/>
    </row>
    <row r="56" spans="1:7">
      <c r="A56" s="4"/>
      <c r="B56" s="1123"/>
      <c r="C56" s="1123"/>
      <c r="D56" s="1123"/>
      <c r="E56" s="1123"/>
      <c r="F56" s="1123"/>
      <c r="G56" s="1123"/>
    </row>
    <row r="57" spans="1:7">
      <c r="A57" s="4"/>
      <c r="B57" s="1123"/>
      <c r="C57" s="1123"/>
      <c r="D57" s="1123"/>
      <c r="E57" s="1123"/>
      <c r="F57" s="1123"/>
      <c r="G57" s="1123"/>
    </row>
    <row r="58" spans="1:7">
      <c r="A58" s="4"/>
      <c r="B58" s="1123"/>
      <c r="C58" s="1123"/>
      <c r="D58" s="1123"/>
      <c r="E58" s="1123"/>
      <c r="F58" s="1123"/>
      <c r="G58" s="1123"/>
    </row>
    <row r="59" spans="1:7">
      <c r="A59" s="4"/>
      <c r="B59" s="1123"/>
      <c r="C59" s="1123"/>
      <c r="D59" s="1123"/>
      <c r="E59" s="1123"/>
      <c r="F59" s="1123"/>
      <c r="G59" s="1123"/>
    </row>
    <row r="60" spans="1:7">
      <c r="A60" s="4"/>
      <c r="B60" s="1123"/>
      <c r="C60" s="1123"/>
      <c r="D60" s="1123"/>
      <c r="E60" s="1123"/>
      <c r="F60" s="1123"/>
      <c r="G60" s="1123"/>
    </row>
    <row r="61" spans="1:7">
      <c r="A61" s="4"/>
      <c r="B61" s="1123"/>
      <c r="C61" s="1123"/>
      <c r="D61" s="1123"/>
      <c r="E61" s="1123"/>
      <c r="F61" s="1123"/>
      <c r="G61" s="1123"/>
    </row>
    <row r="62" spans="1:7">
      <c r="A62" s="4"/>
      <c r="B62" s="1123"/>
      <c r="C62" s="1123"/>
      <c r="D62" s="1123"/>
      <c r="E62" s="1123"/>
      <c r="F62" s="1123"/>
      <c r="G62" s="1123"/>
    </row>
    <row r="63" spans="1:7">
      <c r="A63" s="4"/>
      <c r="B63" s="1123"/>
      <c r="C63" s="1123"/>
      <c r="D63" s="1123"/>
      <c r="E63" s="1123"/>
      <c r="F63" s="1123"/>
      <c r="G63" s="1123"/>
    </row>
    <row r="64" spans="1:7">
      <c r="A64" s="4"/>
      <c r="B64" s="1123"/>
      <c r="C64" s="1123"/>
      <c r="D64" s="1123"/>
      <c r="E64" s="1123"/>
      <c r="F64" s="1123"/>
      <c r="G64" s="1123"/>
    </row>
    <row r="65" spans="1:7">
      <c r="A65" s="4"/>
      <c r="B65" s="1123"/>
      <c r="C65" s="1123"/>
      <c r="D65" s="1123"/>
      <c r="E65" s="1123"/>
      <c r="F65" s="1123"/>
      <c r="G65" s="1123"/>
    </row>
  </sheetData>
  <mergeCells count="1">
    <mergeCell ref="A2:H2"/>
  </mergeCells>
  <phoneticPr fontId="0" type="noConversion"/>
  <pageMargins left="0.46" right="0.44" top="0.67" bottom="0.68" header="0.41" footer="0.33"/>
  <pageSetup paperSize="9" scale="70" orientation="portrait" horizontalDpi="4294967292" verticalDpi="4294967292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066A-4256-8F45-B30C-52B7470C8836}">
  <sheetPr>
    <pageSetUpPr fitToPage="1"/>
  </sheetPr>
  <dimension ref="A1:O34"/>
  <sheetViews>
    <sheetView zoomScale="75" workbookViewId="0">
      <selection activeCell="A19" sqref="A19"/>
    </sheetView>
  </sheetViews>
  <sheetFormatPr baseColWidth="10" defaultColWidth="11.3984375" defaultRowHeight="13"/>
  <cols>
    <col min="1" max="1" width="17.19921875" style="2" customWidth="1"/>
    <col min="2" max="2" width="13.3984375" style="156" customWidth="1"/>
    <col min="3" max="3" width="13" style="156" customWidth="1"/>
    <col min="4" max="4" width="14.796875" style="156" customWidth="1"/>
    <col min="5" max="5" width="13.19921875" style="156" customWidth="1"/>
    <col min="6" max="6" width="15" style="156" customWidth="1"/>
    <col min="7" max="7" width="12.796875" style="156" customWidth="1"/>
    <col min="8" max="8" width="13.19921875" style="156" customWidth="1"/>
    <col min="9" max="10" width="13" style="156" customWidth="1"/>
    <col min="11" max="11" width="13.19921875" style="156" customWidth="1"/>
    <col min="12" max="12" width="12.796875" style="2" customWidth="1"/>
    <col min="13" max="13" width="14" style="2" customWidth="1"/>
    <col min="14" max="16384" width="11.3984375" style="2"/>
  </cols>
  <sheetData>
    <row r="1" spans="1:15" s="1" customFormat="1" ht="14" customHeight="1">
      <c r="A1" s="381"/>
      <c r="B1" s="1117"/>
      <c r="C1" s="1117"/>
      <c r="D1" s="1117"/>
      <c r="E1" s="1117"/>
      <c r="F1" s="1117"/>
      <c r="G1" s="1117"/>
      <c r="H1" s="1117"/>
      <c r="I1" s="1117"/>
      <c r="J1" s="1117"/>
      <c r="K1" s="1117"/>
    </row>
    <row r="2" spans="1:15" s="1" customFormat="1" ht="27" customHeight="1">
      <c r="A2" s="1150" t="s">
        <v>922</v>
      </c>
      <c r="B2" s="355"/>
      <c r="C2" s="355"/>
      <c r="D2" s="355"/>
      <c r="E2" s="355"/>
      <c r="F2" s="355"/>
      <c r="G2" s="355"/>
      <c r="H2" s="355"/>
      <c r="I2" s="355"/>
      <c r="J2" s="355"/>
      <c r="K2" s="321"/>
      <c r="M2" s="321"/>
    </row>
    <row r="3" spans="1:15" ht="27" customHeight="1">
      <c r="A3" s="110" t="s">
        <v>533</v>
      </c>
      <c r="B3" s="111" t="s">
        <v>923</v>
      </c>
      <c r="C3" s="112" t="s">
        <v>545</v>
      </c>
      <c r="D3" s="111" t="s">
        <v>924</v>
      </c>
      <c r="E3" s="112" t="s">
        <v>545</v>
      </c>
      <c r="F3" s="111" t="s">
        <v>925</v>
      </c>
      <c r="G3" s="112" t="s">
        <v>545</v>
      </c>
      <c r="H3" s="111" t="s">
        <v>926</v>
      </c>
      <c r="I3" s="112" t="s">
        <v>545</v>
      </c>
      <c r="J3" s="111" t="s">
        <v>686</v>
      </c>
      <c r="K3" s="112" t="s">
        <v>545</v>
      </c>
      <c r="L3" s="111" t="s">
        <v>927</v>
      </c>
      <c r="M3" s="112" t="s">
        <v>545</v>
      </c>
    </row>
    <row r="4" spans="1:15" ht="15" customHeight="1">
      <c r="A4" s="308"/>
      <c r="B4" s="391" t="s">
        <v>928</v>
      </c>
      <c r="C4" s="928" t="s">
        <v>51</v>
      </c>
      <c r="D4" s="391" t="s">
        <v>929</v>
      </c>
      <c r="E4" s="928" t="s">
        <v>51</v>
      </c>
      <c r="F4" s="391" t="s">
        <v>930</v>
      </c>
      <c r="G4" s="928" t="s">
        <v>51</v>
      </c>
      <c r="H4" s="391" t="s">
        <v>1488</v>
      </c>
      <c r="I4" s="928" t="s">
        <v>51</v>
      </c>
      <c r="J4" s="391" t="s">
        <v>700</v>
      </c>
      <c r="K4" s="928" t="s">
        <v>51</v>
      </c>
      <c r="L4" s="114" t="s">
        <v>347</v>
      </c>
      <c r="M4" s="928" t="s">
        <v>51</v>
      </c>
    </row>
    <row r="5" spans="1:15" ht="17.25" customHeight="1">
      <c r="A5" s="308"/>
      <c r="B5" s="391" t="s">
        <v>931</v>
      </c>
      <c r="C5" s="928" t="s">
        <v>1806</v>
      </c>
      <c r="D5" s="391" t="s">
        <v>348</v>
      </c>
      <c r="E5" s="928" t="s">
        <v>1806</v>
      </c>
      <c r="F5" s="391" t="s">
        <v>932</v>
      </c>
      <c r="G5" s="928" t="s">
        <v>1806</v>
      </c>
      <c r="H5" s="391"/>
      <c r="I5" s="928" t="s">
        <v>1806</v>
      </c>
      <c r="J5" s="391" t="s">
        <v>1212</v>
      </c>
      <c r="K5" s="928" t="s">
        <v>1806</v>
      </c>
      <c r="L5" s="114" t="s">
        <v>933</v>
      </c>
      <c r="M5" s="928" t="s">
        <v>1806</v>
      </c>
    </row>
    <row r="6" spans="1:15" ht="24.75" customHeight="1">
      <c r="A6" s="505"/>
      <c r="B6" s="120" t="s">
        <v>349</v>
      </c>
      <c r="C6" s="119"/>
      <c r="D6" s="120"/>
      <c r="E6" s="119"/>
      <c r="F6" s="120" t="s">
        <v>350</v>
      </c>
      <c r="G6" s="119"/>
      <c r="H6" s="120" t="s">
        <v>351</v>
      </c>
      <c r="I6" s="119"/>
      <c r="J6" s="120" t="s">
        <v>352</v>
      </c>
      <c r="K6" s="119"/>
      <c r="L6" s="120"/>
      <c r="M6" s="119"/>
      <c r="O6" s="321"/>
    </row>
    <row r="7" spans="1:15" ht="3" customHeight="1" thickBot="1">
      <c r="A7" s="553">
        <v>1996</v>
      </c>
      <c r="B7" s="819">
        <v>100</v>
      </c>
      <c r="C7" s="143" t="s">
        <v>407</v>
      </c>
      <c r="D7" s="819">
        <v>100</v>
      </c>
      <c r="E7" s="143" t="s">
        <v>407</v>
      </c>
      <c r="F7" s="819">
        <v>100</v>
      </c>
      <c r="G7" s="143" t="s">
        <v>407</v>
      </c>
      <c r="H7" s="819">
        <v>100</v>
      </c>
      <c r="I7" s="143" t="s">
        <v>407</v>
      </c>
      <c r="J7" s="819">
        <v>100</v>
      </c>
      <c r="K7" s="143" t="s">
        <v>407</v>
      </c>
      <c r="L7" s="819">
        <v>100</v>
      </c>
      <c r="M7" s="143" t="s">
        <v>407</v>
      </c>
    </row>
    <row r="8" spans="1:15" ht="18" customHeight="1" thickBot="1">
      <c r="A8" s="554">
        <v>1997</v>
      </c>
      <c r="B8" s="820">
        <v>105.39794339791686</v>
      </c>
      <c r="C8" s="145">
        <v>5.3979433979168601E-2</v>
      </c>
      <c r="D8" s="820">
        <v>101.86202823875851</v>
      </c>
      <c r="E8" s="145">
        <v>1.8620282387585174E-2</v>
      </c>
      <c r="F8" s="820">
        <v>107.8243544179355</v>
      </c>
      <c r="G8" s="145">
        <v>7.8243544179354974E-2</v>
      </c>
      <c r="H8" s="820">
        <v>108.11940689335901</v>
      </c>
      <c r="I8" s="145">
        <v>8.1194068933590158E-2</v>
      </c>
      <c r="J8" s="820">
        <v>105.86780210602365</v>
      </c>
      <c r="K8" s="145">
        <v>5.8678021060236452E-2</v>
      </c>
      <c r="L8" s="820">
        <v>100.47120418848168</v>
      </c>
      <c r="M8" s="145">
        <v>4.7120418848167755E-3</v>
      </c>
      <c r="N8" s="321"/>
    </row>
    <row r="9" spans="1:15" ht="18" customHeight="1" thickBot="1">
      <c r="A9" s="554">
        <v>1998</v>
      </c>
      <c r="B9" s="820">
        <v>112.34514562910323</v>
      </c>
      <c r="C9" s="145">
        <v>6.5914020778926163E-2</v>
      </c>
      <c r="D9" s="820">
        <v>105.86830875441009</v>
      </c>
      <c r="E9" s="145">
        <v>3.9330460868706618E-2</v>
      </c>
      <c r="F9" s="820">
        <v>115.36251956603556</v>
      </c>
      <c r="G9" s="145">
        <v>6.9911525914466033E-2</v>
      </c>
      <c r="H9" s="820">
        <v>113.95377021303325</v>
      </c>
      <c r="I9" s="145">
        <v>5.3962220912188608E-2</v>
      </c>
      <c r="J9" s="820">
        <v>124.70421988413921</v>
      </c>
      <c r="K9" s="145">
        <v>0.17792395235759617</v>
      </c>
      <c r="L9" s="820">
        <v>101.15183246073298</v>
      </c>
      <c r="M9" s="145">
        <v>6.774361646690874E-3</v>
      </c>
    </row>
    <row r="10" spans="1:15" ht="18" customHeight="1" thickBot="1">
      <c r="A10" s="554">
        <v>1999</v>
      </c>
      <c r="B10" s="820">
        <v>116.73767747746584</v>
      </c>
      <c r="C10" s="145">
        <v>3.9098546036551829E-2</v>
      </c>
      <c r="D10" s="820">
        <v>108.76544952296268</v>
      </c>
      <c r="E10" s="145">
        <v>2.7365514785669065E-2</v>
      </c>
      <c r="F10" s="820">
        <v>118.23129090839484</v>
      </c>
      <c r="G10" s="145">
        <v>2.4867447010960442E-2</v>
      </c>
      <c r="H10" s="820">
        <v>116.48898292114663</v>
      </c>
      <c r="I10" s="145">
        <v>2.2247729964299356E-2</v>
      </c>
      <c r="J10" s="820">
        <v>129.78488562275899</v>
      </c>
      <c r="K10" s="145">
        <v>4.0741730659476838E-2</v>
      </c>
      <c r="L10" s="820">
        <v>101.46596858638743</v>
      </c>
      <c r="M10" s="145">
        <v>3.1055900621119736E-3</v>
      </c>
    </row>
    <row r="11" spans="1:15" ht="18" customHeight="1" thickBot="1">
      <c r="A11" s="554">
        <v>2000</v>
      </c>
      <c r="B11" s="820">
        <v>123.67905954399367</v>
      </c>
      <c r="C11" s="145">
        <v>5.9461368570295159E-2</v>
      </c>
      <c r="D11" s="820">
        <v>112.70035278561646</v>
      </c>
      <c r="E11" s="145">
        <v>3.6177878912025507E-2</v>
      </c>
      <c r="F11" s="820">
        <v>122.25148214575734</v>
      </c>
      <c r="G11" s="145">
        <v>3.4002768695787333E-2</v>
      </c>
      <c r="H11" s="820">
        <v>120.22317736531187</v>
      </c>
      <c r="I11" s="145">
        <v>3.2056202659894284E-2</v>
      </c>
      <c r="J11" s="820">
        <v>135.7015791217149</v>
      </c>
      <c r="K11" s="145">
        <v>4.5588463329649498E-2</v>
      </c>
      <c r="L11" s="820">
        <v>102.77486910994764</v>
      </c>
      <c r="M11" s="145">
        <v>1.2899896800825594E-2</v>
      </c>
    </row>
    <row r="12" spans="1:15" ht="18" customHeight="1" thickBot="1">
      <c r="A12" s="554">
        <v>2001</v>
      </c>
      <c r="B12" s="820">
        <v>130.2910910770666</v>
      </c>
      <c r="C12" s="145">
        <v>5.3461204810673513E-2</v>
      </c>
      <c r="D12" s="820">
        <v>119.03449432568512</v>
      </c>
      <c r="E12" s="145">
        <v>5.6203386977126346E-2</v>
      </c>
      <c r="F12" s="820">
        <v>126.81505316810784</v>
      </c>
      <c r="G12" s="145">
        <v>3.7329371736446237E-2</v>
      </c>
      <c r="H12" s="820">
        <v>124.57722094978531</v>
      </c>
      <c r="I12" s="145">
        <v>3.6216340974279726E-2</v>
      </c>
      <c r="J12" s="820">
        <v>141.65456872934899</v>
      </c>
      <c r="K12" s="145">
        <v>4.3868241225805349E-2</v>
      </c>
      <c r="L12" s="820">
        <v>105.28795811518326</v>
      </c>
      <c r="M12" s="145">
        <v>2.4452368823229875E-2</v>
      </c>
    </row>
    <row r="13" spans="1:15" ht="18" customHeight="1" thickBot="1">
      <c r="A13" s="554">
        <v>2002</v>
      </c>
      <c r="B13" s="820">
        <v>135.12284583994762</v>
      </c>
      <c r="C13" s="145">
        <v>3.7084306554951318E-2</v>
      </c>
      <c r="D13" s="820">
        <v>122.30444994955147</v>
      </c>
      <c r="E13" s="145">
        <v>2.7470655816116407E-2</v>
      </c>
      <c r="F13" s="820">
        <v>137.28928000877301</v>
      </c>
      <c r="G13" s="145">
        <v>8.2594507347486523E-2</v>
      </c>
      <c r="H13" s="820">
        <v>135.84965392132474</v>
      </c>
      <c r="I13" s="145">
        <v>9.0485506785250358E-2</v>
      </c>
      <c r="J13" s="820">
        <v>146.83573016358903</v>
      </c>
      <c r="K13" s="145">
        <v>3.6576027732218019E-2</v>
      </c>
      <c r="L13" s="820">
        <v>107.17277486910994</v>
      </c>
      <c r="M13" s="145">
        <v>1.7901541521630815E-2</v>
      </c>
    </row>
    <row r="14" spans="1:15" ht="18" customHeight="1" thickBot="1">
      <c r="A14" s="554">
        <v>2003</v>
      </c>
      <c r="B14" s="820">
        <v>141.13594015958546</v>
      </c>
      <c r="C14" s="145">
        <v>4.4500944916156637E-2</v>
      </c>
      <c r="D14" s="820">
        <v>126.16400951454192</v>
      </c>
      <c r="E14" s="145">
        <v>3.1556983957512941E-2</v>
      </c>
      <c r="F14" s="820">
        <v>148.64710880687124</v>
      </c>
      <c r="G14" s="145">
        <v>8.2729174465569821E-2</v>
      </c>
      <c r="H14" s="820">
        <v>148.24891293481085</v>
      </c>
      <c r="I14" s="145">
        <v>9.1271921978299142E-2</v>
      </c>
      <c r="J14" s="820">
        <v>151.28762572832832</v>
      </c>
      <c r="K14" s="145">
        <v>3.0318884645988087E-2</v>
      </c>
      <c r="L14" s="820">
        <v>108.6910994764398</v>
      </c>
      <c r="M14" s="145">
        <v>1.4167073766487626E-2</v>
      </c>
    </row>
    <row r="15" spans="1:15" ht="18" customHeight="1" thickBot="1">
      <c r="A15" s="554">
        <v>2004</v>
      </c>
      <c r="B15" s="820">
        <v>150.48255750594851</v>
      </c>
      <c r="C15" s="145">
        <v>6.6224218549822522E-2</v>
      </c>
      <c r="D15" s="820">
        <v>129.76680025721751</v>
      </c>
      <c r="E15" s="145">
        <v>2.8556406510371168E-2</v>
      </c>
      <c r="F15" s="820">
        <v>159.53922129347404</v>
      </c>
      <c r="G15" s="145">
        <v>7.3274970324207933E-2</v>
      </c>
      <c r="H15" s="820">
        <v>158.6720877566259</v>
      </c>
      <c r="I15" s="145">
        <v>7.0308608781491699E-2</v>
      </c>
      <c r="J15" s="820">
        <v>165.28935819309285</v>
      </c>
      <c r="K15" s="145">
        <v>9.2550414466202602E-2</v>
      </c>
      <c r="L15" s="820">
        <v>109.68586387434556</v>
      </c>
      <c r="M15" s="145">
        <v>9.1522157996146714E-3</v>
      </c>
    </row>
    <row r="16" spans="1:15" ht="18" customHeight="1" thickBot="1">
      <c r="A16" s="554">
        <v>2005</v>
      </c>
      <c r="B16" s="820">
        <v>158.85411997758723</v>
      </c>
      <c r="C16" s="145">
        <v>5.5631447327759487E-2</v>
      </c>
      <c r="D16" s="820">
        <v>131.56863292998989</v>
      </c>
      <c r="E16" s="145">
        <v>1.3885159140865522E-2</v>
      </c>
      <c r="F16" s="820">
        <v>163.19650081000955</v>
      </c>
      <c r="G16" s="145">
        <v>2.2924015090984406E-2</v>
      </c>
      <c r="H16" s="820">
        <v>161.63461894989487</v>
      </c>
      <c r="I16" s="145">
        <v>1.8670777167897112E-2</v>
      </c>
      <c r="J16" s="820">
        <v>173.55365358411964</v>
      </c>
      <c r="K16" s="145">
        <v>4.9998956262945482E-2</v>
      </c>
      <c r="L16" s="820">
        <v>110.73298429319371</v>
      </c>
      <c r="M16" s="145">
        <v>9.5465393794746944E-3</v>
      </c>
    </row>
    <row r="17" spans="1:13" ht="18" customHeight="1" thickBot="1">
      <c r="A17" s="554">
        <v>2006</v>
      </c>
      <c r="B17" s="820">
        <v>159.92892738162934</v>
      </c>
      <c r="C17" s="145">
        <v>6.7660026960192354E-3</v>
      </c>
      <c r="D17" s="820">
        <v>132.42007975142448</v>
      </c>
      <c r="E17" s="145">
        <v>6.4715031423003833E-3</v>
      </c>
      <c r="F17" s="820">
        <v>168.77599451425854</v>
      </c>
      <c r="G17" s="145">
        <v>3.4188807214344141E-2</v>
      </c>
      <c r="H17" s="820">
        <v>167.82455192504821</v>
      </c>
      <c r="I17" s="145">
        <v>3.8295836717208154E-2</v>
      </c>
      <c r="J17" s="820">
        <v>175.08520169816336</v>
      </c>
      <c r="K17" s="145">
        <v>8.8246376979981278E-3</v>
      </c>
      <c r="L17" s="820">
        <v>112.04188481675392</v>
      </c>
      <c r="M17" s="145">
        <v>1.1820330969267268E-2</v>
      </c>
    </row>
    <row r="18" spans="1:13" s="148" customFormat="1" ht="30" customHeight="1" thickBot="1">
      <c r="A18" s="556">
        <v>2007</v>
      </c>
      <c r="B18" s="872">
        <v>166.19096335942064</v>
      </c>
      <c r="C18" s="588">
        <v>3.915511771581226E-2</v>
      </c>
      <c r="D18" s="1247">
        <v>136.66398475500421</v>
      </c>
      <c r="E18" s="1107">
        <v>3.2048802655505693E-2</v>
      </c>
      <c r="F18" s="872">
        <v>171.12819099456249</v>
      </c>
      <c r="G18" s="588">
        <v>1.3936795259738455E-2</v>
      </c>
      <c r="H18" s="872">
        <v>169.73560696474115</v>
      </c>
      <c r="I18" s="588">
        <v>1.1387219675381255E-2</v>
      </c>
      <c r="J18" s="872">
        <v>180.36269580313146</v>
      </c>
      <c r="K18" s="588">
        <v>3.014243381954218E-2</v>
      </c>
      <c r="L18" s="1248">
        <v>113.87434554973821</v>
      </c>
      <c r="M18" s="1097">
        <v>1.6355140186915751E-2</v>
      </c>
    </row>
    <row r="19" spans="1:13" ht="20" customHeight="1">
      <c r="A19" s="1085" t="s">
        <v>1623</v>
      </c>
      <c r="B19" s="1086"/>
      <c r="C19" s="1086"/>
      <c r="D19" s="1086"/>
      <c r="E19" s="1086"/>
      <c r="F19" s="1086"/>
      <c r="G19" s="1086"/>
      <c r="H19" s="1086"/>
      <c r="I19" s="1086"/>
      <c r="J19" s="1086"/>
      <c r="K19" s="1086"/>
    </row>
    <row r="20" spans="1:13" ht="12.75" customHeight="1">
      <c r="A20" s="1131"/>
      <c r="B20" s="1132"/>
      <c r="C20" s="1132"/>
      <c r="D20" s="1132"/>
      <c r="E20" s="1132"/>
      <c r="F20" s="1132"/>
      <c r="G20" s="1132"/>
      <c r="H20" s="1132"/>
      <c r="I20" s="1132"/>
      <c r="J20" s="1132"/>
      <c r="K20" s="1132"/>
    </row>
    <row r="21" spans="1:13" ht="12" customHeight="1">
      <c r="A21" s="1131" t="s">
        <v>934</v>
      </c>
      <c r="B21" s="1132"/>
      <c r="C21" s="1132"/>
      <c r="D21" s="1132"/>
      <c r="E21" s="1132"/>
      <c r="F21" s="1132"/>
      <c r="G21" s="1132"/>
      <c r="H21" s="1132"/>
      <c r="I21" s="1132"/>
      <c r="J21" s="1132"/>
      <c r="K21" s="1132"/>
    </row>
    <row r="22" spans="1:13" ht="12" customHeight="1">
      <c r="A22" s="1131" t="s">
        <v>353</v>
      </c>
      <c r="B22" s="1132"/>
      <c r="C22" s="1132"/>
      <c r="D22" s="1132"/>
      <c r="E22" s="1132"/>
      <c r="F22" s="1132"/>
      <c r="G22" s="1132"/>
      <c r="H22" s="1132"/>
      <c r="I22" s="1132"/>
      <c r="J22" s="1132"/>
      <c r="K22" s="1132"/>
    </row>
    <row r="23" spans="1:13" ht="12" customHeight="1">
      <c r="A23" s="1131" t="s">
        <v>935</v>
      </c>
      <c r="B23" s="1132"/>
      <c r="C23" s="1132"/>
      <c r="D23" s="1132"/>
      <c r="E23" s="1132"/>
      <c r="F23" s="1132"/>
      <c r="G23" s="1132"/>
      <c r="H23" s="1132"/>
      <c r="I23" s="1132"/>
      <c r="J23" s="1132"/>
      <c r="K23" s="1132"/>
    </row>
    <row r="24" spans="1:13" ht="12" customHeight="1">
      <c r="A24" s="1131" t="s">
        <v>936</v>
      </c>
      <c r="B24" s="1132"/>
      <c r="C24" s="1132"/>
      <c r="D24" s="1132"/>
      <c r="E24" s="1132"/>
      <c r="F24" s="1132"/>
      <c r="G24" s="1132"/>
      <c r="H24" s="1132"/>
      <c r="I24" s="1132"/>
      <c r="J24" s="1132"/>
      <c r="K24" s="1132"/>
    </row>
    <row r="25" spans="1:13" ht="12" customHeight="1">
      <c r="A25" s="1131" t="s">
        <v>937</v>
      </c>
      <c r="B25" s="1132"/>
      <c r="C25" s="1132"/>
      <c r="D25" s="1132"/>
      <c r="E25" s="1132"/>
      <c r="F25" s="1132"/>
      <c r="G25" s="1132"/>
      <c r="H25" s="1132"/>
      <c r="I25" s="1132"/>
      <c r="J25" s="1132"/>
      <c r="K25" s="1132"/>
    </row>
    <row r="26" spans="1:13" ht="12" customHeight="1">
      <c r="A26" s="1131" t="s">
        <v>346</v>
      </c>
      <c r="B26" s="1125"/>
      <c r="C26" s="1125"/>
      <c r="D26" s="1125"/>
      <c r="E26" s="1125"/>
      <c r="F26" s="1125"/>
      <c r="G26" s="1125"/>
      <c r="H26" s="1125"/>
      <c r="I26" s="1125"/>
      <c r="J26" s="1125"/>
      <c r="K26" s="1125"/>
    </row>
    <row r="27" spans="1:13" ht="15.75" customHeight="1">
      <c r="A27" s="1131"/>
      <c r="B27" s="1125"/>
      <c r="C27" s="1125"/>
      <c r="D27" s="1125"/>
      <c r="E27" s="1125"/>
      <c r="F27" s="1125"/>
      <c r="G27" s="1125"/>
      <c r="H27" s="1125"/>
      <c r="I27" s="1125"/>
      <c r="J27" s="1125"/>
      <c r="K27" s="1125"/>
    </row>
    <row r="28" spans="1:13" ht="15.75" customHeight="1">
      <c r="A28" s="348"/>
      <c r="B28" s="1125"/>
      <c r="C28" s="1125"/>
      <c r="D28" s="1125"/>
      <c r="E28" s="1125"/>
      <c r="F28" s="1125"/>
      <c r="G28" s="1125"/>
      <c r="H28" s="1125"/>
      <c r="I28" s="1125"/>
      <c r="J28" s="1125"/>
      <c r="K28" s="1125"/>
      <c r="M28" s="157"/>
    </row>
    <row r="29" spans="1:13" ht="15.75" customHeight="1">
      <c r="A29" s="300" t="s">
        <v>634</v>
      </c>
      <c r="B29" s="1125"/>
      <c r="C29" s="1125"/>
      <c r="D29" s="1125"/>
      <c r="E29" s="1125"/>
      <c r="F29" s="1125"/>
      <c r="G29" s="1125"/>
      <c r="H29" s="1125"/>
      <c r="I29" s="1125"/>
      <c r="J29" s="1125"/>
      <c r="K29" s="1125"/>
    </row>
    <row r="30" spans="1:13" ht="31" customHeight="1">
      <c r="A30" s="348"/>
      <c r="B30" s="1125"/>
      <c r="C30" s="1125"/>
      <c r="D30" s="1125"/>
      <c r="E30" s="1125"/>
      <c r="F30" s="1125"/>
      <c r="G30" s="1125"/>
      <c r="H30" s="1125"/>
      <c r="I30" s="1125"/>
      <c r="J30" s="1125"/>
      <c r="K30" s="1125"/>
    </row>
    <row r="31" spans="1:13" ht="31" customHeight="1">
      <c r="A31" s="348"/>
      <c r="B31" s="1125"/>
      <c r="C31" s="1125"/>
      <c r="D31" s="1125"/>
      <c r="E31" s="1125"/>
      <c r="F31" s="1125"/>
      <c r="G31" s="1125"/>
      <c r="H31" s="1125"/>
      <c r="I31" s="1125"/>
      <c r="J31" s="1125"/>
      <c r="K31" s="1125"/>
    </row>
    <row r="32" spans="1:13" ht="31" customHeight="1">
      <c r="A32" s="348"/>
      <c r="B32" s="1125"/>
      <c r="C32" s="1125"/>
      <c r="D32" s="1125"/>
      <c r="E32" s="1125"/>
      <c r="F32" s="1125"/>
      <c r="G32" s="1125"/>
      <c r="H32" s="1125"/>
      <c r="I32" s="1125"/>
      <c r="J32" s="1125"/>
      <c r="K32" s="1125"/>
    </row>
    <row r="33" spans="1:11" ht="31" customHeight="1">
      <c r="A33" s="348"/>
      <c r="B33" s="1125"/>
      <c r="C33" s="1125"/>
      <c r="D33" s="1125"/>
      <c r="E33" s="1125"/>
      <c r="F33" s="1125"/>
      <c r="G33" s="1125"/>
      <c r="H33" s="1125"/>
      <c r="I33" s="1125"/>
      <c r="J33" s="1125"/>
      <c r="K33" s="1125"/>
    </row>
    <row r="34" spans="1:11" ht="31" customHeight="1">
      <c r="A34" s="348"/>
      <c r="B34" s="1125"/>
      <c r="C34" s="1125"/>
      <c r="D34" s="1125"/>
      <c r="E34" s="1125"/>
      <c r="F34" s="1125"/>
      <c r="G34" s="1125"/>
      <c r="H34" s="1125"/>
      <c r="I34" s="1125"/>
      <c r="J34" s="1125"/>
      <c r="K34" s="1125"/>
    </row>
  </sheetData>
  <phoneticPr fontId="0" type="noConversion"/>
  <pageMargins left="0.56000000000000005" right="0.6" top="0.9" bottom="0.49" header="0.47" footer="0.4921259845"/>
  <pageSetup paperSize="9" scale="76" orientation="landscape"/>
  <headerFooter alignWithMargins="0"/>
  <rowBreaks count="1" manualBreakCount="1">
    <brk id="25" max="16383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998D-5278-BF4B-9B86-8CAD38A58F69}">
  <sheetPr>
    <pageSetUpPr fitToPage="1"/>
  </sheetPr>
  <dimension ref="A1:J83"/>
  <sheetViews>
    <sheetView topLeftCell="A62" zoomScale="75" workbookViewId="0">
      <selection activeCell="A25" sqref="A25"/>
    </sheetView>
  </sheetViews>
  <sheetFormatPr baseColWidth="10" defaultColWidth="11.3984375" defaultRowHeight="13"/>
  <cols>
    <col min="1" max="1" width="23.796875" style="2" customWidth="1"/>
    <col min="2" max="3" width="15.796875" style="2" customWidth="1"/>
    <col min="4" max="6" width="14.19921875" style="2" customWidth="1"/>
    <col min="7" max="7" width="1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" customHeight="1">
      <c r="A2" s="1800" t="s">
        <v>915</v>
      </c>
      <c r="B2" s="1804"/>
      <c r="C2" s="1804"/>
      <c r="D2" s="1804"/>
      <c r="E2" s="1804"/>
      <c r="F2" s="109"/>
      <c r="G2" s="109"/>
    </row>
    <row r="3" spans="1:10" ht="24" customHeight="1">
      <c r="A3" s="519" t="s">
        <v>916</v>
      </c>
      <c r="B3" s="111" t="s">
        <v>832</v>
      </c>
      <c r="C3" s="112" t="s">
        <v>833</v>
      </c>
      <c r="D3" s="111" t="s">
        <v>834</v>
      </c>
      <c r="E3" s="112" t="s">
        <v>835</v>
      </c>
      <c r="F3" s="111" t="s">
        <v>629</v>
      </c>
      <c r="G3" s="167" t="s">
        <v>1801</v>
      </c>
    </row>
    <row r="4" spans="1:10" ht="15" customHeight="1">
      <c r="A4" s="308"/>
      <c r="B4" s="114" t="s">
        <v>836</v>
      </c>
      <c r="C4" s="115" t="s">
        <v>837</v>
      </c>
      <c r="D4" s="114" t="s">
        <v>838</v>
      </c>
      <c r="E4" s="279" t="s">
        <v>839</v>
      </c>
      <c r="F4" s="114"/>
      <c r="G4" s="113" t="s">
        <v>51</v>
      </c>
    </row>
    <row r="5" spans="1:10" ht="15" customHeight="1">
      <c r="A5" s="308"/>
      <c r="B5" s="114" t="s">
        <v>840</v>
      </c>
      <c r="C5" s="115" t="s">
        <v>841</v>
      </c>
      <c r="D5" s="114"/>
      <c r="E5" s="279" t="s">
        <v>842</v>
      </c>
      <c r="F5" s="114"/>
      <c r="G5" s="113" t="s">
        <v>1806</v>
      </c>
    </row>
    <row r="6" spans="1:10" ht="24" customHeight="1">
      <c r="A6" s="505" t="s">
        <v>517</v>
      </c>
      <c r="B6" s="120"/>
      <c r="C6" s="119"/>
      <c r="D6" s="120"/>
      <c r="E6" s="282" t="s">
        <v>843</v>
      </c>
      <c r="F6" s="120"/>
      <c r="G6" s="281"/>
    </row>
    <row r="7" spans="1:10" ht="2.25" customHeight="1" thickBot="1">
      <c r="A7" s="310">
        <v>1996</v>
      </c>
      <c r="B7" s="142">
        <v>1753.1648672625149</v>
      </c>
      <c r="C7" s="291">
        <v>1842.1623355260151</v>
      </c>
      <c r="D7" s="142">
        <v>1515.4959144221264</v>
      </c>
      <c r="E7" s="291">
        <v>1176.4588298743031</v>
      </c>
      <c r="F7" s="142">
        <v>1771.0161788756484</v>
      </c>
      <c r="G7" s="680" t="s">
        <v>59</v>
      </c>
    </row>
    <row r="8" spans="1:10" ht="20" customHeight="1" thickBot="1">
      <c r="A8" s="312">
        <v>1997</v>
      </c>
      <c r="B8" s="144">
        <v>1811.5958116334416</v>
      </c>
      <c r="C8" s="297">
        <v>2130.0081643172375</v>
      </c>
      <c r="D8" s="144">
        <v>1576.8168903289518</v>
      </c>
      <c r="E8" s="297">
        <v>1389.6088488110106</v>
      </c>
      <c r="F8" s="144">
        <v>1909.5867615098578</v>
      </c>
      <c r="G8" s="667">
        <v>7.8243544179354974E-2</v>
      </c>
      <c r="H8" s="9"/>
      <c r="I8" s="9"/>
      <c r="J8" s="9"/>
    </row>
    <row r="9" spans="1:10" ht="20" customHeight="1" thickBot="1">
      <c r="A9" s="312">
        <v>1998</v>
      </c>
      <c r="B9" s="144">
        <v>1918.0694163570959</v>
      </c>
      <c r="C9" s="297">
        <v>2297.6573623558743</v>
      </c>
      <c r="D9" s="144">
        <v>1557.6743377537739</v>
      </c>
      <c r="E9" s="297">
        <v>1666.142713790621</v>
      </c>
      <c r="F9" s="144">
        <v>2043.088885873075</v>
      </c>
      <c r="G9" s="667">
        <v>6.9911525914465811E-2</v>
      </c>
    </row>
    <row r="10" spans="1:10" ht="20" customHeight="1" thickBot="1">
      <c r="A10" s="312">
        <v>1999</v>
      </c>
      <c r="B10" s="144">
        <v>1950.8999883727415</v>
      </c>
      <c r="C10" s="297">
        <v>2374.4763783142644</v>
      </c>
      <c r="D10" s="144">
        <v>1570.8419091195699</v>
      </c>
      <c r="E10" s="297">
        <v>1752.9616538234313</v>
      </c>
      <c r="F10" s="144">
        <v>2093.8952904812063</v>
      </c>
      <c r="G10" s="667">
        <v>2.4867447010960664E-2</v>
      </c>
    </row>
    <row r="11" spans="1:10" ht="20" customHeight="1" thickBot="1">
      <c r="A11" s="312">
        <v>2000</v>
      </c>
      <c r="B11" s="144">
        <v>2027.0193294058211</v>
      </c>
      <c r="C11" s="297">
        <v>2433.7171249231678</v>
      </c>
      <c r="D11" s="144">
        <v>1662.9240904226378</v>
      </c>
      <c r="E11" s="297">
        <v>1828.3919207533229</v>
      </c>
      <c r="F11" s="144">
        <v>2165.0935277166373</v>
      </c>
      <c r="G11" s="667">
        <v>3.4002768695787333E-2</v>
      </c>
    </row>
    <row r="12" spans="1:10" ht="20" customHeight="1" thickBot="1">
      <c r="A12" s="312">
        <v>2001</v>
      </c>
      <c r="B12" s="144">
        <v>2122.8464393209329</v>
      </c>
      <c r="C12" s="297">
        <v>2484.2689833767849</v>
      </c>
      <c r="D12" s="144">
        <v>1731.3120166424887</v>
      </c>
      <c r="E12" s="297">
        <v>1922.2028434326885</v>
      </c>
      <c r="F12" s="144">
        <v>2245.9151088569452</v>
      </c>
      <c r="G12" s="667">
        <v>3.7329371736446237E-2</v>
      </c>
    </row>
    <row r="13" spans="1:10" ht="20" customHeight="1" thickBot="1">
      <c r="A13" s="312">
        <v>2002</v>
      </c>
      <c r="B13" s="144">
        <v>2285.7395632640332</v>
      </c>
      <c r="C13" s="297">
        <v>2654.9017890161094</v>
      </c>
      <c r="D13" s="144">
        <v>1950.7839810299843</v>
      </c>
      <c r="E13" s="297">
        <v>2240.2987240624661</v>
      </c>
      <c r="F13" s="144">
        <v>2431.415360817261</v>
      </c>
      <c r="G13" s="667">
        <v>8.2594507347486523E-2</v>
      </c>
    </row>
    <row r="14" spans="1:10" ht="20" customHeight="1" thickBot="1">
      <c r="A14" s="312">
        <v>2003</v>
      </c>
      <c r="B14" s="144">
        <v>2510.8199696536694</v>
      </c>
      <c r="C14" s="297">
        <v>2859.9015075571601</v>
      </c>
      <c r="D14" s="144">
        <v>2124.4793305026888</v>
      </c>
      <c r="E14" s="297">
        <v>2210.374964555655</v>
      </c>
      <c r="F14" s="144">
        <v>2632.5643464005784</v>
      </c>
      <c r="G14" s="667">
        <v>8.2729174465569821E-2</v>
      </c>
    </row>
    <row r="15" spans="1:10" ht="20" customHeight="1" thickBot="1">
      <c r="A15" s="312">
        <v>2004</v>
      </c>
      <c r="B15" s="144">
        <v>2690.5459375499613</v>
      </c>
      <c r="C15" s="297">
        <v>3090.7636553345851</v>
      </c>
      <c r="D15" s="144">
        <v>2246.9396743730986</v>
      </c>
      <c r="E15" s="297">
        <v>2415.1482194113514</v>
      </c>
      <c r="F15" s="144">
        <v>2825.4654207596486</v>
      </c>
      <c r="G15" s="667">
        <v>7.3274970324207933E-2</v>
      </c>
    </row>
    <row r="16" spans="1:10" ht="20" customHeight="1" thickBot="1">
      <c r="A16" s="312">
        <v>2005</v>
      </c>
      <c r="B16" s="144">
        <v>2840.2952473424793</v>
      </c>
      <c r="C16" s="297">
        <v>3103.8126743937628</v>
      </c>
      <c r="D16" s="144">
        <v>2376.2836440132501</v>
      </c>
      <c r="E16" s="297">
        <v>2400.5917441113538</v>
      </c>
      <c r="F16" s="144">
        <v>2890.2364327041978</v>
      </c>
      <c r="G16" s="667">
        <v>2.2924015090984629E-2</v>
      </c>
    </row>
    <row r="17" spans="1:7" ht="20" customHeight="1" thickBot="1">
      <c r="A17" s="312">
        <v>2006</v>
      </c>
      <c r="B17" s="144">
        <v>3011.1782609964857</v>
      </c>
      <c r="C17" s="297">
        <v>3242.7971622539844</v>
      </c>
      <c r="D17" s="144">
        <v>2532.6355623862773</v>
      </c>
      <c r="E17" s="297">
        <v>2415.428916702369</v>
      </c>
      <c r="F17" s="144">
        <v>2989.0501689057955</v>
      </c>
      <c r="G17" s="667">
        <v>3.4188807214344141E-2</v>
      </c>
    </row>
    <row r="18" spans="1:7" ht="23.25" customHeight="1" thickBot="1">
      <c r="A18" s="396">
        <v>2007</v>
      </c>
      <c r="B18" s="338">
        <v>3123.9745528614731</v>
      </c>
      <c r="C18" s="339">
        <v>3317.638542693885</v>
      </c>
      <c r="D18" s="338">
        <v>2650.6385932147032</v>
      </c>
      <c r="E18" s="339">
        <v>2470.5095950288969</v>
      </c>
      <c r="F18" s="338">
        <v>3030.7079491309219</v>
      </c>
      <c r="G18" s="936">
        <v>1.3936795259738233E-2</v>
      </c>
    </row>
    <row r="19" spans="1:7" ht="20" customHeight="1">
      <c r="A19" s="133" t="s">
        <v>1256</v>
      </c>
      <c r="B19" s="133"/>
      <c r="C19" s="133"/>
      <c r="D19" s="133"/>
      <c r="E19" s="133"/>
      <c r="F19" s="133"/>
      <c r="G19" s="675"/>
    </row>
    <row r="20" spans="1:7">
      <c r="G20" s="676"/>
    </row>
    <row r="21" spans="1:7">
      <c r="A21" s="2" t="s">
        <v>917</v>
      </c>
      <c r="G21" s="676"/>
    </row>
    <row r="22" spans="1:7">
      <c r="G22" s="676"/>
    </row>
    <row r="23" spans="1:7">
      <c r="G23" s="676"/>
    </row>
    <row r="24" spans="1:7" ht="16">
      <c r="A24" s="946" t="s">
        <v>918</v>
      </c>
      <c r="G24" s="676"/>
    </row>
    <row r="25" spans="1:7">
      <c r="G25" s="676"/>
    </row>
    <row r="26" spans="1:7" ht="18" customHeight="1">
      <c r="A26" s="519" t="s">
        <v>1798</v>
      </c>
      <c r="B26" s="111" t="s">
        <v>832</v>
      </c>
      <c r="C26" s="112" t="s">
        <v>833</v>
      </c>
      <c r="D26" s="111" t="s">
        <v>834</v>
      </c>
      <c r="E26" s="112" t="s">
        <v>835</v>
      </c>
      <c r="F26" s="111" t="s">
        <v>629</v>
      </c>
      <c r="G26" s="167" t="s">
        <v>1801</v>
      </c>
    </row>
    <row r="27" spans="1:7" ht="18" customHeight="1">
      <c r="A27" s="620" t="s">
        <v>1803</v>
      </c>
      <c r="B27" s="114" t="s">
        <v>836</v>
      </c>
      <c r="C27" s="115" t="s">
        <v>837</v>
      </c>
      <c r="D27" s="114" t="s">
        <v>838</v>
      </c>
      <c r="E27" s="279" t="s">
        <v>839</v>
      </c>
      <c r="F27" s="114"/>
      <c r="G27" s="113" t="s">
        <v>51</v>
      </c>
    </row>
    <row r="28" spans="1:7" ht="18" customHeight="1">
      <c r="A28" s="308"/>
      <c r="B28" s="114" t="s">
        <v>840</v>
      </c>
      <c r="C28" s="115" t="s">
        <v>841</v>
      </c>
      <c r="D28" s="114"/>
      <c r="E28" s="279" t="s">
        <v>842</v>
      </c>
      <c r="F28" s="114"/>
      <c r="G28" s="113" t="s">
        <v>1806</v>
      </c>
    </row>
    <row r="29" spans="1:7" ht="18" customHeight="1">
      <c r="A29" s="309" t="s">
        <v>533</v>
      </c>
      <c r="B29" s="120"/>
      <c r="C29" s="119"/>
      <c r="D29" s="120"/>
      <c r="E29" s="282" t="s">
        <v>843</v>
      </c>
      <c r="F29" s="120"/>
      <c r="G29" s="117"/>
    </row>
    <row r="30" spans="1:7" ht="2.25" customHeight="1" thickBot="1">
      <c r="A30" s="310">
        <v>1996</v>
      </c>
      <c r="B30" s="142" t="s">
        <v>59</v>
      </c>
      <c r="C30" s="291" t="s">
        <v>59</v>
      </c>
      <c r="D30" s="142" t="s">
        <v>59</v>
      </c>
      <c r="E30" s="291" t="s">
        <v>59</v>
      </c>
      <c r="F30" s="142" t="s">
        <v>59</v>
      </c>
      <c r="G30" s="680" t="s">
        <v>59</v>
      </c>
    </row>
    <row r="31" spans="1:7" ht="18" customHeight="1" thickBot="1">
      <c r="A31" s="312">
        <v>1997</v>
      </c>
      <c r="B31" s="144">
        <v>631.72</v>
      </c>
      <c r="C31" s="291">
        <v>698.99</v>
      </c>
      <c r="D31" s="144" t="s">
        <v>59</v>
      </c>
      <c r="E31" s="297">
        <v>503.02</v>
      </c>
      <c r="F31" s="144">
        <v>635</v>
      </c>
      <c r="G31" s="667" t="s">
        <v>59</v>
      </c>
    </row>
    <row r="32" spans="1:7" ht="18" customHeight="1" thickBot="1">
      <c r="A32" s="312">
        <v>1998</v>
      </c>
      <c r="B32" s="144">
        <v>651.27</v>
      </c>
      <c r="C32" s="291">
        <v>760.79</v>
      </c>
      <c r="D32" s="144">
        <v>518.76</v>
      </c>
      <c r="E32" s="297">
        <v>519.47</v>
      </c>
      <c r="F32" s="144">
        <v>656.52</v>
      </c>
      <c r="G32" s="667">
        <v>3.388976377952746E-2</v>
      </c>
    </row>
    <row r="33" spans="1:7" ht="18" customHeight="1" thickBot="1">
      <c r="A33" s="312">
        <v>1999</v>
      </c>
      <c r="B33" s="144">
        <v>668.89</v>
      </c>
      <c r="C33" s="291">
        <v>764.58</v>
      </c>
      <c r="D33" s="144">
        <v>567.98</v>
      </c>
      <c r="E33" s="297">
        <v>545.73</v>
      </c>
      <c r="F33" s="144">
        <v>671.71</v>
      </c>
      <c r="G33" s="667">
        <v>2.3137147383171852E-2</v>
      </c>
    </row>
    <row r="34" spans="1:7" ht="18" customHeight="1" thickBot="1">
      <c r="A34" s="312">
        <v>2000</v>
      </c>
      <c r="B34" s="144">
        <v>692.8</v>
      </c>
      <c r="C34" s="291">
        <v>780.96</v>
      </c>
      <c r="D34" s="144">
        <v>589.41</v>
      </c>
      <c r="E34" s="297">
        <v>563.48</v>
      </c>
      <c r="F34" s="144">
        <v>693.68</v>
      </c>
      <c r="G34" s="667">
        <v>3.2707567253725589E-2</v>
      </c>
    </row>
    <row r="35" spans="1:7" ht="18" customHeight="1" thickBot="1">
      <c r="A35" s="312">
        <v>2001</v>
      </c>
      <c r="B35" s="144">
        <v>731.18</v>
      </c>
      <c r="C35" s="291">
        <v>792.38</v>
      </c>
      <c r="D35" s="144">
        <v>620.72</v>
      </c>
      <c r="E35" s="297">
        <v>597.34</v>
      </c>
      <c r="F35" s="144">
        <v>727.82</v>
      </c>
      <c r="G35" s="667">
        <v>4.9215776727020932E-2</v>
      </c>
    </row>
    <row r="36" spans="1:7" ht="18" customHeight="1" thickBot="1">
      <c r="A36" s="312">
        <v>2002</v>
      </c>
      <c r="B36" s="144">
        <v>795.44</v>
      </c>
      <c r="C36" s="291">
        <v>824.21</v>
      </c>
      <c r="D36" s="144">
        <v>685.48</v>
      </c>
      <c r="E36" s="297">
        <v>655.45</v>
      </c>
      <c r="F36" s="144">
        <v>787.47</v>
      </c>
      <c r="G36" s="667">
        <v>8.1957077299332326E-2</v>
      </c>
    </row>
    <row r="37" spans="1:7" ht="18" customHeight="1" thickBot="1">
      <c r="A37" s="312">
        <v>2003</v>
      </c>
      <c r="B37" s="144">
        <v>867.36</v>
      </c>
      <c r="C37" s="291">
        <v>861.07</v>
      </c>
      <c r="D37" s="144">
        <v>726.44</v>
      </c>
      <c r="E37" s="297">
        <v>697.17</v>
      </c>
      <c r="F37" s="144">
        <v>852.56</v>
      </c>
      <c r="G37" s="667">
        <v>8.2657117096524457E-2</v>
      </c>
    </row>
    <row r="38" spans="1:7" ht="18" customHeight="1" thickBot="1">
      <c r="A38" s="312">
        <v>2004</v>
      </c>
      <c r="B38" s="144">
        <v>910.65</v>
      </c>
      <c r="C38" s="291">
        <v>884.46</v>
      </c>
      <c r="D38" s="144">
        <v>755.42</v>
      </c>
      <c r="E38" s="297">
        <v>740.37</v>
      </c>
      <c r="F38" s="144">
        <v>892.68</v>
      </c>
      <c r="G38" s="667">
        <v>4.7058271558600095E-2</v>
      </c>
    </row>
    <row r="39" spans="1:7" ht="18" customHeight="1" thickBot="1">
      <c r="A39" s="312">
        <v>2005</v>
      </c>
      <c r="B39" s="144">
        <v>919.29</v>
      </c>
      <c r="C39" s="291">
        <v>870.06</v>
      </c>
      <c r="D39" s="144">
        <v>720.97</v>
      </c>
      <c r="E39" s="297">
        <v>765.95</v>
      </c>
      <c r="F39" s="144">
        <v>898.43</v>
      </c>
      <c r="G39" s="667">
        <v>6.4412779495450767E-3</v>
      </c>
    </row>
    <row r="40" spans="1:7" ht="18" customHeight="1" thickBot="1">
      <c r="A40" s="312">
        <v>2006</v>
      </c>
      <c r="B40" s="144">
        <v>953.05</v>
      </c>
      <c r="C40" s="291">
        <v>876.76</v>
      </c>
      <c r="D40" s="144">
        <v>668.13</v>
      </c>
      <c r="E40" s="297">
        <v>775.89</v>
      </c>
      <c r="F40" s="144">
        <v>921.03</v>
      </c>
      <c r="G40" s="667">
        <v>2.5154992598199311E-2</v>
      </c>
    </row>
    <row r="41" spans="1:7" ht="20.25" customHeight="1" thickBot="1">
      <c r="A41" s="947">
        <v>2007</v>
      </c>
      <c r="B41" s="333">
        <v>955.76</v>
      </c>
      <c r="C41" s="362">
        <v>860.59</v>
      </c>
      <c r="D41" s="333">
        <v>726.13</v>
      </c>
      <c r="E41" s="362">
        <v>822.59</v>
      </c>
      <c r="F41" s="333">
        <v>923.76</v>
      </c>
      <c r="G41" s="936">
        <v>2.9640728315036835E-3</v>
      </c>
    </row>
    <row r="42" spans="1:7">
      <c r="A42" s="133"/>
    </row>
    <row r="44" spans="1:7" ht="18" customHeight="1">
      <c r="A44" s="519" t="s">
        <v>1135</v>
      </c>
      <c r="B44" s="111" t="s">
        <v>832</v>
      </c>
      <c r="C44" s="112" t="s">
        <v>833</v>
      </c>
      <c r="D44" s="111" t="s">
        <v>834</v>
      </c>
      <c r="E44" s="112" t="s">
        <v>835</v>
      </c>
      <c r="F44" s="111" t="s">
        <v>629</v>
      </c>
      <c r="G44" s="167" t="s">
        <v>1801</v>
      </c>
    </row>
    <row r="45" spans="1:7" ht="18" customHeight="1">
      <c r="A45" s="620" t="s">
        <v>1804</v>
      </c>
      <c r="B45" s="114" t="s">
        <v>836</v>
      </c>
      <c r="C45" s="115" t="s">
        <v>837</v>
      </c>
      <c r="D45" s="114" t="s">
        <v>838</v>
      </c>
      <c r="E45" s="279" t="s">
        <v>839</v>
      </c>
      <c r="F45" s="114"/>
      <c r="G45" s="113" t="s">
        <v>51</v>
      </c>
    </row>
    <row r="46" spans="1:7" ht="18" customHeight="1">
      <c r="A46" s="308"/>
      <c r="B46" s="114" t="s">
        <v>840</v>
      </c>
      <c r="C46" s="115" t="s">
        <v>841</v>
      </c>
      <c r="D46" s="114"/>
      <c r="E46" s="279" t="s">
        <v>842</v>
      </c>
      <c r="F46" s="114"/>
      <c r="G46" s="113" t="s">
        <v>1806</v>
      </c>
    </row>
    <row r="47" spans="1:7" ht="18" customHeight="1">
      <c r="A47" s="309" t="s">
        <v>533</v>
      </c>
      <c r="B47" s="120"/>
      <c r="C47" s="119"/>
      <c r="D47" s="120"/>
      <c r="E47" s="282" t="s">
        <v>843</v>
      </c>
      <c r="F47" s="120"/>
      <c r="G47" s="117"/>
    </row>
    <row r="48" spans="1:7" ht="2.25" customHeight="1" thickBot="1">
      <c r="A48" s="310">
        <v>1996</v>
      </c>
      <c r="B48" s="142" t="s">
        <v>59</v>
      </c>
      <c r="C48" s="291" t="s">
        <v>59</v>
      </c>
      <c r="D48" s="142" t="s">
        <v>59</v>
      </c>
      <c r="E48" s="291" t="s">
        <v>59</v>
      </c>
      <c r="F48" s="142" t="s">
        <v>59</v>
      </c>
      <c r="G48" s="680" t="s">
        <v>59</v>
      </c>
    </row>
    <row r="49" spans="1:7" ht="18" customHeight="1" thickBot="1">
      <c r="A49" s="312">
        <v>1997</v>
      </c>
      <c r="B49" s="144">
        <v>1651.46</v>
      </c>
      <c r="C49" s="291">
        <v>1656.13</v>
      </c>
      <c r="D49" s="144">
        <v>1165.8699999999999</v>
      </c>
      <c r="E49" s="297">
        <v>1315.82</v>
      </c>
      <c r="F49" s="144">
        <v>1640.15</v>
      </c>
      <c r="G49" s="667" t="s">
        <v>59</v>
      </c>
    </row>
    <row r="50" spans="1:7" ht="18" customHeight="1" thickBot="1">
      <c r="A50" s="312">
        <v>1998</v>
      </c>
      <c r="B50" s="144">
        <v>1811.07</v>
      </c>
      <c r="C50" s="291">
        <v>1791.68</v>
      </c>
      <c r="D50" s="144">
        <v>1254.44</v>
      </c>
      <c r="E50" s="297">
        <v>1519.2</v>
      </c>
      <c r="F50" s="144">
        <v>1784.45</v>
      </c>
      <c r="G50" s="667">
        <v>8.7979757948968285E-2</v>
      </c>
    </row>
    <row r="51" spans="1:7" ht="18" customHeight="1" thickBot="1">
      <c r="A51" s="312">
        <v>1999</v>
      </c>
      <c r="B51" s="144">
        <v>1787.86</v>
      </c>
      <c r="C51" s="291">
        <v>1891.33</v>
      </c>
      <c r="D51" s="144">
        <v>1319.45</v>
      </c>
      <c r="E51" s="297">
        <v>1545.48</v>
      </c>
      <c r="F51" s="144">
        <v>1815.15</v>
      </c>
      <c r="G51" s="667">
        <v>1.7204180559836191E-2</v>
      </c>
    </row>
    <row r="52" spans="1:7" ht="18" customHeight="1" thickBot="1">
      <c r="A52" s="312">
        <v>2000</v>
      </c>
      <c r="B52" s="144">
        <v>1783.47</v>
      </c>
      <c r="C52" s="291">
        <v>1887.28</v>
      </c>
      <c r="D52" s="144">
        <v>1314.66</v>
      </c>
      <c r="E52" s="297">
        <v>1536.83</v>
      </c>
      <c r="F52" s="144">
        <v>1808.28</v>
      </c>
      <c r="G52" s="667">
        <v>-3.784811172630298E-3</v>
      </c>
    </row>
    <row r="53" spans="1:7" ht="18" customHeight="1" thickBot="1">
      <c r="A53" s="312">
        <v>2001</v>
      </c>
      <c r="B53" s="144">
        <v>1864.61</v>
      </c>
      <c r="C53" s="291">
        <v>1850.57</v>
      </c>
      <c r="D53" s="144" t="s">
        <v>59</v>
      </c>
      <c r="E53" s="297">
        <v>1540.62</v>
      </c>
      <c r="F53" s="144">
        <v>1832.96</v>
      </c>
      <c r="G53" s="667">
        <v>1.364832879863731E-2</v>
      </c>
    </row>
    <row r="54" spans="1:7" ht="18" customHeight="1" thickBot="1">
      <c r="A54" s="312">
        <v>2002</v>
      </c>
      <c r="B54" s="144">
        <v>2115.08</v>
      </c>
      <c r="C54" s="291">
        <v>2017.86</v>
      </c>
      <c r="D54" s="144" t="s">
        <v>59</v>
      </c>
      <c r="E54" s="297">
        <v>1744.03</v>
      </c>
      <c r="F54" s="144">
        <v>2041.33</v>
      </c>
      <c r="G54" s="667">
        <v>0.11367951291899425</v>
      </c>
    </row>
    <row r="55" spans="1:7" ht="18" customHeight="1" thickBot="1">
      <c r="A55" s="312">
        <v>2003</v>
      </c>
      <c r="B55" s="144">
        <v>2434.64</v>
      </c>
      <c r="C55" s="291">
        <v>2224.9299999999998</v>
      </c>
      <c r="D55" s="144" t="s">
        <v>59</v>
      </c>
      <c r="E55" s="297">
        <v>1931.59</v>
      </c>
      <c r="F55" s="144">
        <v>2294.29</v>
      </c>
      <c r="G55" s="667">
        <v>0.12391920953496016</v>
      </c>
    </row>
    <row r="56" spans="1:7" ht="18" customHeight="1" thickBot="1">
      <c r="A56" s="312">
        <v>2004</v>
      </c>
      <c r="B56" s="144">
        <v>2653.83</v>
      </c>
      <c r="C56" s="291">
        <v>2463.4499999999998</v>
      </c>
      <c r="D56" s="144" t="s">
        <v>59</v>
      </c>
      <c r="E56" s="297">
        <v>2142.5700000000002</v>
      </c>
      <c r="F56" s="144">
        <v>2519.3000000000002</v>
      </c>
      <c r="G56" s="667">
        <v>9.8073913934158208E-2</v>
      </c>
    </row>
    <row r="57" spans="1:7" ht="18" customHeight="1" thickBot="1">
      <c r="A57" s="312">
        <v>2005</v>
      </c>
      <c r="B57" s="144">
        <v>2805.83</v>
      </c>
      <c r="C57" s="291">
        <v>2488.2800000000002</v>
      </c>
      <c r="D57" s="144">
        <v>2036.54</v>
      </c>
      <c r="E57" s="297">
        <v>2199.46</v>
      </c>
      <c r="F57" s="144">
        <v>2598.67</v>
      </c>
      <c r="G57" s="667">
        <v>3.1504783074663756E-2</v>
      </c>
    </row>
    <row r="58" spans="1:7" ht="18" customHeight="1" thickBot="1">
      <c r="A58" s="312">
        <v>2006</v>
      </c>
      <c r="B58" s="144">
        <v>2991.69</v>
      </c>
      <c r="C58" s="291">
        <v>2569.94</v>
      </c>
      <c r="D58" s="144">
        <v>2225.4899999999998</v>
      </c>
      <c r="E58" s="297">
        <v>2264.35</v>
      </c>
      <c r="F58" s="144">
        <v>2701.55</v>
      </c>
      <c r="G58" s="667">
        <v>3.9589482312105906E-2</v>
      </c>
    </row>
    <row r="59" spans="1:7" ht="21.75" customHeight="1" thickBot="1">
      <c r="A59" s="947">
        <v>2007</v>
      </c>
      <c r="B59" s="333">
        <v>3043.45</v>
      </c>
      <c r="C59" s="362">
        <v>2540.65</v>
      </c>
      <c r="D59" s="333">
        <v>2271.44</v>
      </c>
      <c r="E59" s="362">
        <v>2382.35</v>
      </c>
      <c r="F59" s="333">
        <v>2720.47</v>
      </c>
      <c r="G59" s="936">
        <v>7.0033869445316199E-3</v>
      </c>
    </row>
    <row r="60" spans="1:7">
      <c r="D60" s="4"/>
      <c r="E60" s="4"/>
      <c r="F60" s="4"/>
    </row>
    <row r="61" spans="1:7">
      <c r="D61" s="4"/>
      <c r="E61" s="4"/>
      <c r="F61" s="4"/>
    </row>
    <row r="62" spans="1:7" ht="18.75" customHeight="1">
      <c r="A62" s="519" t="s">
        <v>1973</v>
      </c>
      <c r="B62" s="111" t="s">
        <v>832</v>
      </c>
      <c r="C62" s="112" t="s">
        <v>833</v>
      </c>
      <c r="D62" s="111" t="s">
        <v>834</v>
      </c>
      <c r="E62" s="112" t="s">
        <v>835</v>
      </c>
      <c r="F62" s="111" t="s">
        <v>629</v>
      </c>
      <c r="G62" s="167" t="s">
        <v>1801</v>
      </c>
    </row>
    <row r="63" spans="1:7" ht="18.75" customHeight="1">
      <c r="A63" s="620" t="s">
        <v>1974</v>
      </c>
      <c r="B63" s="114" t="s">
        <v>836</v>
      </c>
      <c r="C63" s="115" t="s">
        <v>837</v>
      </c>
      <c r="D63" s="114" t="s">
        <v>838</v>
      </c>
      <c r="E63" s="279" t="s">
        <v>839</v>
      </c>
      <c r="F63" s="114"/>
      <c r="G63" s="113" t="s">
        <v>51</v>
      </c>
    </row>
    <row r="64" spans="1:7" ht="18.75" customHeight="1">
      <c r="A64" s="308"/>
      <c r="B64" s="114" t="s">
        <v>840</v>
      </c>
      <c r="C64" s="115" t="s">
        <v>841</v>
      </c>
      <c r="D64" s="114"/>
      <c r="E64" s="279" t="s">
        <v>842</v>
      </c>
      <c r="F64" s="114"/>
      <c r="G64" s="113" t="s">
        <v>1806</v>
      </c>
    </row>
    <row r="65" spans="1:7" ht="18.75" customHeight="1">
      <c r="A65" s="309" t="s">
        <v>533</v>
      </c>
      <c r="B65" s="120"/>
      <c r="C65" s="119"/>
      <c r="D65" s="120"/>
      <c r="E65" s="282" t="s">
        <v>843</v>
      </c>
      <c r="F65" s="120"/>
      <c r="G65" s="117"/>
    </row>
    <row r="66" spans="1:7" ht="1.5" customHeight="1" thickBot="1">
      <c r="A66" s="310">
        <v>1996</v>
      </c>
      <c r="B66" s="142" t="s">
        <v>59</v>
      </c>
      <c r="C66" s="291" t="s">
        <v>59</v>
      </c>
      <c r="D66" s="142" t="s">
        <v>59</v>
      </c>
      <c r="E66" s="291" t="s">
        <v>59</v>
      </c>
      <c r="F66" s="142" t="s">
        <v>59</v>
      </c>
      <c r="G66" s="680" t="s">
        <v>59</v>
      </c>
    </row>
    <row r="67" spans="1:7" ht="18.75" customHeight="1" thickBot="1">
      <c r="A67" s="312">
        <v>1997</v>
      </c>
      <c r="B67" s="144">
        <v>2436.63</v>
      </c>
      <c r="C67" s="291">
        <v>2292.0500000000002</v>
      </c>
      <c r="D67" s="144">
        <v>1646.6</v>
      </c>
      <c r="E67" s="297">
        <v>1872.69</v>
      </c>
      <c r="F67" s="144">
        <v>2340.06</v>
      </c>
      <c r="G67" s="667" t="s">
        <v>59</v>
      </c>
    </row>
    <row r="68" spans="1:7" ht="18.75" customHeight="1" thickBot="1">
      <c r="A68" s="312">
        <v>1998</v>
      </c>
      <c r="B68" s="144">
        <v>2590.79</v>
      </c>
      <c r="C68" s="291">
        <v>2501.2399999999998</v>
      </c>
      <c r="D68" s="144">
        <v>1655.82</v>
      </c>
      <c r="E68" s="297">
        <v>2060.8200000000002</v>
      </c>
      <c r="F68" s="144">
        <v>2512.02</v>
      </c>
      <c r="G68" s="667">
        <v>7.3485295248839844E-2</v>
      </c>
    </row>
    <row r="69" spans="1:7" ht="18.75" customHeight="1" thickBot="1">
      <c r="A69" s="312">
        <v>1999</v>
      </c>
      <c r="B69" s="144">
        <v>2664.42</v>
      </c>
      <c r="C69" s="291">
        <v>2559.23</v>
      </c>
      <c r="D69" s="144">
        <v>1701.12</v>
      </c>
      <c r="E69" s="297">
        <v>2138.92</v>
      </c>
      <c r="F69" s="144">
        <v>2575.1999999999998</v>
      </c>
      <c r="G69" s="667">
        <v>2.5151073637948773E-2</v>
      </c>
    </row>
    <row r="70" spans="1:7" ht="18.75" customHeight="1" thickBot="1">
      <c r="A70" s="312">
        <v>2000</v>
      </c>
      <c r="B70" s="144">
        <v>2783.82</v>
      </c>
      <c r="C70" s="291">
        <v>2623.77</v>
      </c>
      <c r="D70" s="144">
        <v>1709.08</v>
      </c>
      <c r="E70" s="297">
        <v>2213.5300000000002</v>
      </c>
      <c r="F70" s="144">
        <v>2662.32</v>
      </c>
      <c r="G70" s="667">
        <v>3.3830382106244228E-2</v>
      </c>
    </row>
    <row r="71" spans="1:7" ht="18.75" customHeight="1" thickBot="1">
      <c r="A71" s="312">
        <v>2001</v>
      </c>
      <c r="B71" s="144">
        <v>2936.16</v>
      </c>
      <c r="C71" s="291">
        <v>2709.13</v>
      </c>
      <c r="D71" s="144">
        <v>1806.6</v>
      </c>
      <c r="E71" s="297">
        <v>2304.65</v>
      </c>
      <c r="F71" s="144">
        <v>2775.24</v>
      </c>
      <c r="G71" s="667">
        <v>4.2414135040115264E-2</v>
      </c>
    </row>
    <row r="72" spans="1:7" ht="18.75" customHeight="1" thickBot="1">
      <c r="A72" s="312">
        <v>2002</v>
      </c>
      <c r="B72" s="144">
        <v>3187.69</v>
      </c>
      <c r="C72" s="291">
        <v>2897.84</v>
      </c>
      <c r="D72" s="144">
        <v>2029.69</v>
      </c>
      <c r="E72" s="297">
        <v>2498.9299999999998</v>
      </c>
      <c r="F72" s="144">
        <v>2988.54</v>
      </c>
      <c r="G72" s="667">
        <v>7.6858217667661322E-2</v>
      </c>
    </row>
    <row r="73" spans="1:7" ht="18.75" customHeight="1" thickBot="1">
      <c r="A73" s="312">
        <v>2003</v>
      </c>
      <c r="B73" s="144">
        <v>3484.97</v>
      </c>
      <c r="C73" s="291">
        <v>3082.04</v>
      </c>
      <c r="D73" s="144">
        <v>2182.84</v>
      </c>
      <c r="E73" s="297">
        <v>2655.45</v>
      </c>
      <c r="F73" s="144">
        <v>3212.78</v>
      </c>
      <c r="G73" s="667">
        <v>7.5033293849170679E-2</v>
      </c>
    </row>
    <row r="74" spans="1:7" ht="18.75" customHeight="1" thickBot="1">
      <c r="A74" s="312">
        <v>2004</v>
      </c>
      <c r="B74" s="144">
        <v>3676.51</v>
      </c>
      <c r="C74" s="291">
        <v>3318.93</v>
      </c>
      <c r="D74" s="144">
        <v>2323.6</v>
      </c>
      <c r="E74" s="297">
        <v>2890.14</v>
      </c>
      <c r="F74" s="144">
        <v>3430.62</v>
      </c>
      <c r="G74" s="667">
        <v>6.7804206948499424E-2</v>
      </c>
    </row>
    <row r="75" spans="1:7" ht="18.75" customHeight="1" thickBot="1">
      <c r="A75" s="312">
        <v>2005</v>
      </c>
      <c r="B75" s="144">
        <v>3831.71</v>
      </c>
      <c r="C75" s="291">
        <v>3326.67</v>
      </c>
      <c r="D75" s="144">
        <v>2442.3000000000002</v>
      </c>
      <c r="E75" s="297">
        <v>2960.35</v>
      </c>
      <c r="F75" s="144">
        <v>3506.02</v>
      </c>
      <c r="G75" s="667">
        <v>2.1978534492307578E-2</v>
      </c>
    </row>
    <row r="76" spans="1:7" ht="18.75" customHeight="1" thickBot="1">
      <c r="A76" s="312">
        <v>2006</v>
      </c>
      <c r="B76" s="144">
        <v>4026.19</v>
      </c>
      <c r="C76" s="291">
        <v>3441.57</v>
      </c>
      <c r="D76" s="144">
        <v>2594.42</v>
      </c>
      <c r="E76" s="297">
        <v>3060.8</v>
      </c>
      <c r="F76" s="144">
        <v>3630.2</v>
      </c>
      <c r="G76" s="667">
        <v>3.5419079183803825E-2</v>
      </c>
    </row>
    <row r="77" spans="1:7" ht="21.75" customHeight="1" thickBot="1">
      <c r="A77" s="947">
        <v>2007</v>
      </c>
      <c r="B77" s="333">
        <v>4081.8</v>
      </c>
      <c r="C77" s="362">
        <v>3471.99</v>
      </c>
      <c r="D77" s="333">
        <v>2711.27</v>
      </c>
      <c r="E77" s="362">
        <v>3202.52</v>
      </c>
      <c r="F77" s="333">
        <v>3670.56</v>
      </c>
      <c r="G77" s="936">
        <v>1.1117844746845851E-2</v>
      </c>
    </row>
    <row r="78" spans="1:7" ht="15" customHeight="1">
      <c r="A78" s="380" t="s">
        <v>1069</v>
      </c>
    </row>
    <row r="80" spans="1:7">
      <c r="A80" s="789" t="str">
        <f>A21</f>
        <v>Quelle: T 3.12 + 2.02</v>
      </c>
    </row>
    <row r="83" spans="1:1">
      <c r="A83" s="2" t="s">
        <v>634</v>
      </c>
    </row>
  </sheetData>
  <mergeCells count="1">
    <mergeCell ref="A2:E2"/>
  </mergeCells>
  <phoneticPr fontId="0" type="noConversion"/>
  <pageMargins left="0.56000000000000005" right="0.54" top="0.5" bottom="0.49" header="0.36" footer="0.4921259845"/>
  <pageSetup paperSize="9" scale="55" orientation="portrait" horizontalDpi="1200" verticalDpi="120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3658-47C8-F14C-9FBE-54DFB14F80C5}">
  <sheetPr>
    <pageSetUpPr fitToPage="1"/>
  </sheetPr>
  <dimension ref="A1:I42"/>
  <sheetViews>
    <sheetView zoomScale="75" workbookViewId="0">
      <selection activeCell="A3" sqref="A3"/>
    </sheetView>
  </sheetViews>
  <sheetFormatPr baseColWidth="10" defaultColWidth="11.3984375" defaultRowHeight="13"/>
  <cols>
    <col min="1" max="1" width="14.19921875" style="2" customWidth="1"/>
    <col min="2" max="2" width="12.3984375" style="156" customWidth="1"/>
    <col min="3" max="3" width="13" style="156" customWidth="1"/>
    <col min="4" max="4" width="11.796875" style="156" customWidth="1"/>
    <col min="5" max="5" width="13.19921875" style="156" customWidth="1"/>
    <col min="6" max="6" width="13" style="156" customWidth="1"/>
    <col min="7" max="7" width="12.796875" style="156" customWidth="1"/>
    <col min="8" max="8" width="12.3984375" style="156" customWidth="1"/>
    <col min="9" max="9" width="14.19921875" style="156" customWidth="1"/>
    <col min="10" max="10" width="8.3984375" style="2" customWidth="1"/>
    <col min="11" max="16384" width="11.3984375" style="2"/>
  </cols>
  <sheetData>
    <row r="1" spans="1:9" s="1" customFormat="1" ht="14" customHeight="1">
      <c r="A1" s="381"/>
      <c r="B1" s="1117"/>
      <c r="C1" s="1117"/>
      <c r="D1" s="1117"/>
      <c r="E1" s="1117"/>
      <c r="F1" s="1117"/>
      <c r="G1" s="1117"/>
      <c r="H1" s="1117"/>
      <c r="I1" s="1117"/>
    </row>
    <row r="2" spans="1:9" s="1" customFormat="1" ht="33.75" customHeight="1">
      <c r="A2" s="1806" t="s">
        <v>1731</v>
      </c>
      <c r="B2" s="1804"/>
      <c r="C2" s="1804"/>
      <c r="D2" s="1804"/>
      <c r="E2" s="1804"/>
      <c r="F2" s="1804"/>
      <c r="G2" s="1804"/>
      <c r="H2" s="1804"/>
      <c r="I2" s="321"/>
    </row>
    <row r="3" spans="1:9" ht="20" customHeight="1">
      <c r="A3" s="110" t="s">
        <v>533</v>
      </c>
      <c r="B3" s="385" t="s">
        <v>1739</v>
      </c>
      <c r="C3" s="112"/>
      <c r="D3" s="111"/>
      <c r="E3" s="112"/>
      <c r="F3" s="1139" t="s">
        <v>1740</v>
      </c>
      <c r="G3" s="112"/>
      <c r="H3" s="111"/>
      <c r="I3" s="112"/>
    </row>
    <row r="4" spans="1:9" ht="20" customHeight="1">
      <c r="A4" s="308"/>
      <c r="B4" s="1140" t="s">
        <v>1741</v>
      </c>
      <c r="C4" s="536"/>
      <c r="D4" s="535"/>
      <c r="E4" s="115" t="s">
        <v>629</v>
      </c>
      <c r="F4" s="1141" t="s">
        <v>1742</v>
      </c>
      <c r="G4" s="536"/>
      <c r="H4" s="535"/>
      <c r="I4" s="115" t="s">
        <v>629</v>
      </c>
    </row>
    <row r="5" spans="1:9" ht="15" customHeight="1">
      <c r="A5" s="308"/>
      <c r="B5" s="114" t="s">
        <v>1020</v>
      </c>
      <c r="C5" s="115" t="s">
        <v>1021</v>
      </c>
      <c r="D5" s="114" t="s">
        <v>629</v>
      </c>
      <c r="E5" s="115" t="s">
        <v>1732</v>
      </c>
      <c r="F5" s="1142" t="s">
        <v>1020</v>
      </c>
      <c r="G5" s="115" t="s">
        <v>1021</v>
      </c>
      <c r="H5" s="114" t="s">
        <v>629</v>
      </c>
      <c r="I5" s="115" t="s">
        <v>1732</v>
      </c>
    </row>
    <row r="6" spans="1:9" ht="15" customHeight="1">
      <c r="A6" s="308"/>
      <c r="B6" s="391" t="s">
        <v>1733</v>
      </c>
      <c r="C6" s="928" t="s">
        <v>1733</v>
      </c>
      <c r="D6" s="114"/>
      <c r="E6" s="115" t="s">
        <v>2047</v>
      </c>
      <c r="F6" s="1142" t="s">
        <v>1733</v>
      </c>
      <c r="G6" s="115" t="s">
        <v>1733</v>
      </c>
      <c r="H6" s="114"/>
      <c r="I6" s="115" t="s">
        <v>2047</v>
      </c>
    </row>
    <row r="7" spans="1:9" ht="15" customHeight="1">
      <c r="A7" s="308"/>
      <c r="B7" s="391" t="s">
        <v>1091</v>
      </c>
      <c r="C7" s="928" t="s">
        <v>1091</v>
      </c>
      <c r="D7" s="114"/>
      <c r="E7" s="115" t="s">
        <v>2050</v>
      </c>
      <c r="F7" s="1142" t="s">
        <v>1091</v>
      </c>
      <c r="G7" s="115" t="s">
        <v>1091</v>
      </c>
      <c r="H7" s="114"/>
      <c r="I7" s="115" t="s">
        <v>2050</v>
      </c>
    </row>
    <row r="8" spans="1:9" ht="20" customHeight="1">
      <c r="A8" s="505"/>
      <c r="B8" s="120"/>
      <c r="C8" s="119"/>
      <c r="D8" s="120"/>
      <c r="E8" s="119"/>
      <c r="F8" s="1143"/>
      <c r="G8" s="119"/>
      <c r="H8" s="120"/>
      <c r="I8" s="119"/>
    </row>
    <row r="9" spans="1:9" ht="1.5" customHeight="1" thickBot="1">
      <c r="A9" s="1144">
        <v>1985</v>
      </c>
      <c r="B9" s="1145" t="s">
        <v>59</v>
      </c>
      <c r="C9" s="980" t="s">
        <v>59</v>
      </c>
      <c r="D9" s="1145" t="s">
        <v>59</v>
      </c>
      <c r="E9" s="980">
        <v>948.43799999999999</v>
      </c>
      <c r="F9" s="1146" t="s">
        <v>59</v>
      </c>
      <c r="G9" s="980" t="s">
        <v>59</v>
      </c>
      <c r="H9" s="1145" t="s">
        <v>59</v>
      </c>
      <c r="I9" s="980">
        <v>631.95600000000002</v>
      </c>
    </row>
    <row r="10" spans="1:9" ht="20" hidden="1" customHeight="1" thickBot="1">
      <c r="A10" s="554">
        <v>1986</v>
      </c>
      <c r="B10" s="820" t="s">
        <v>59</v>
      </c>
      <c r="C10" s="821" t="s">
        <v>59</v>
      </c>
      <c r="D10" s="820" t="s">
        <v>59</v>
      </c>
      <c r="E10" s="821">
        <v>1033.73</v>
      </c>
      <c r="F10" s="1147" t="s">
        <v>59</v>
      </c>
      <c r="G10" s="821" t="s">
        <v>59</v>
      </c>
      <c r="H10" s="820" t="s">
        <v>59</v>
      </c>
      <c r="I10" s="821">
        <v>701.48400000000004</v>
      </c>
    </row>
    <row r="11" spans="1:9" ht="20" hidden="1" customHeight="1" thickBot="1">
      <c r="A11" s="554">
        <v>1987</v>
      </c>
      <c r="B11" s="820" t="s">
        <v>59</v>
      </c>
      <c r="C11" s="821" t="s">
        <v>59</v>
      </c>
      <c r="D11" s="820" t="s">
        <v>59</v>
      </c>
      <c r="E11" s="821">
        <v>1100.9369999999999</v>
      </c>
      <c r="F11" s="1147" t="s">
        <v>59</v>
      </c>
      <c r="G11" s="821" t="s">
        <v>59</v>
      </c>
      <c r="H11" s="820" t="s">
        <v>59</v>
      </c>
      <c r="I11" s="821">
        <v>778.54499999999996</v>
      </c>
    </row>
    <row r="12" spans="1:9" ht="20" hidden="1" customHeight="1" thickBot="1">
      <c r="A12" s="554">
        <v>1988</v>
      </c>
      <c r="B12" s="820" t="s">
        <v>59</v>
      </c>
      <c r="C12" s="821" t="s">
        <v>59</v>
      </c>
      <c r="D12" s="820" t="s">
        <v>59</v>
      </c>
      <c r="E12" s="821">
        <v>1177.078</v>
      </c>
      <c r="F12" s="1147" t="s">
        <v>59</v>
      </c>
      <c r="G12" s="821" t="s">
        <v>59</v>
      </c>
      <c r="H12" s="820" t="s">
        <v>59</v>
      </c>
      <c r="I12" s="821">
        <v>873.36699999999996</v>
      </c>
    </row>
    <row r="13" spans="1:9" ht="20" hidden="1" customHeight="1" thickBot="1">
      <c r="A13" s="554">
        <v>1989</v>
      </c>
      <c r="B13" s="820" t="s">
        <v>59</v>
      </c>
      <c r="C13" s="821" t="s">
        <v>59</v>
      </c>
      <c r="D13" s="820" t="s">
        <v>59</v>
      </c>
      <c r="E13" s="821">
        <v>1287.019</v>
      </c>
      <c r="F13" s="1147" t="s">
        <v>59</v>
      </c>
      <c r="G13" s="821" t="s">
        <v>59</v>
      </c>
      <c r="H13" s="820" t="s">
        <v>59</v>
      </c>
      <c r="I13" s="821">
        <v>948.92100000000005</v>
      </c>
    </row>
    <row r="14" spans="1:9" ht="20" hidden="1" customHeight="1" thickBot="1">
      <c r="A14" s="554">
        <v>1990</v>
      </c>
      <c r="B14" s="820" t="s">
        <v>59</v>
      </c>
      <c r="C14" s="821" t="s">
        <v>59</v>
      </c>
      <c r="D14" s="820" t="s">
        <v>59</v>
      </c>
      <c r="E14" s="821">
        <v>1420.8050000000001</v>
      </c>
      <c r="F14" s="1147" t="s">
        <v>59</v>
      </c>
      <c r="G14" s="821" t="s">
        <v>59</v>
      </c>
      <c r="H14" s="820" t="s">
        <v>59</v>
      </c>
      <c r="I14" s="821">
        <v>1086.6199999999999</v>
      </c>
    </row>
    <row r="15" spans="1:9" ht="20" hidden="1" customHeight="1" thickBot="1">
      <c r="A15" s="554">
        <v>1991</v>
      </c>
      <c r="B15" s="820" t="s">
        <v>59</v>
      </c>
      <c r="C15" s="821" t="s">
        <v>59</v>
      </c>
      <c r="D15" s="820">
        <v>763.6</v>
      </c>
      <c r="E15" s="821">
        <v>1543.597</v>
      </c>
      <c r="F15" s="1147" t="s">
        <v>59</v>
      </c>
      <c r="G15" s="821" t="s">
        <v>59</v>
      </c>
      <c r="H15" s="820">
        <v>608.6</v>
      </c>
      <c r="I15" s="821">
        <v>1257.979</v>
      </c>
    </row>
    <row r="16" spans="1:9" ht="19.5" hidden="1" customHeight="1" thickBot="1">
      <c r="A16" s="554">
        <v>1992</v>
      </c>
      <c r="B16" s="820" t="s">
        <v>59</v>
      </c>
      <c r="C16" s="821" t="s">
        <v>59</v>
      </c>
      <c r="D16" s="1133">
        <v>751.1</v>
      </c>
      <c r="E16" s="821">
        <v>1648.1410000000001</v>
      </c>
      <c r="F16" s="1147" t="s">
        <v>59</v>
      </c>
      <c r="G16" s="821" t="s">
        <v>59</v>
      </c>
      <c r="H16" s="1133">
        <v>631.1</v>
      </c>
      <c r="I16" s="821">
        <v>1414.9949999999999</v>
      </c>
    </row>
    <row r="17" spans="1:9" ht="19.5" hidden="1" customHeight="1" thickBot="1">
      <c r="A17" s="554">
        <v>1993</v>
      </c>
      <c r="B17" s="820" t="s">
        <v>59</v>
      </c>
      <c r="C17" s="821" t="s">
        <v>59</v>
      </c>
      <c r="D17" s="1133">
        <v>734.9</v>
      </c>
      <c r="E17" s="821">
        <v>1667.729</v>
      </c>
      <c r="F17" s="1147" t="s">
        <v>59</v>
      </c>
      <c r="G17" s="821" t="s">
        <v>59</v>
      </c>
      <c r="H17" s="1133">
        <v>626</v>
      </c>
      <c r="I17" s="821">
        <v>1459.6659999999999</v>
      </c>
    </row>
    <row r="18" spans="1:9" ht="19.5" hidden="1" customHeight="1" thickBot="1">
      <c r="A18" s="554">
        <v>1994</v>
      </c>
      <c r="B18" s="820" t="s">
        <v>59</v>
      </c>
      <c r="C18" s="821" t="s">
        <v>59</v>
      </c>
      <c r="D18" s="1133">
        <v>690</v>
      </c>
      <c r="E18" s="821">
        <v>1621.08</v>
      </c>
      <c r="F18" s="1147" t="s">
        <v>59</v>
      </c>
      <c r="G18" s="821" t="s">
        <v>59</v>
      </c>
      <c r="H18" s="1133">
        <v>613.1</v>
      </c>
      <c r="I18" s="821">
        <v>1489.1569999999999</v>
      </c>
    </row>
    <row r="19" spans="1:9" ht="19.5" hidden="1" customHeight="1" thickBot="1">
      <c r="A19" s="554">
        <v>1995</v>
      </c>
      <c r="B19" s="820" t="s">
        <v>59</v>
      </c>
      <c r="C19" s="821" t="s">
        <v>59</v>
      </c>
      <c r="D19" s="1133">
        <v>651.4</v>
      </c>
      <c r="E19" s="821">
        <v>1586.424</v>
      </c>
      <c r="F19" s="1147" t="s">
        <v>59</v>
      </c>
      <c r="G19" s="821" t="s">
        <v>59</v>
      </c>
      <c r="H19" s="1133">
        <v>587.29999999999995</v>
      </c>
      <c r="I19" s="821">
        <v>1488.664</v>
      </c>
    </row>
    <row r="20" spans="1:9" ht="0.75" customHeight="1" thickBot="1">
      <c r="A20" s="554">
        <v>1996</v>
      </c>
      <c r="B20" s="820" t="s">
        <v>59</v>
      </c>
      <c r="C20" s="821" t="s">
        <v>59</v>
      </c>
      <c r="D20" s="1133">
        <v>640.4</v>
      </c>
      <c r="E20" s="821">
        <v>1618.7</v>
      </c>
      <c r="F20" s="1147" t="s">
        <v>59</v>
      </c>
      <c r="G20" s="821" t="s">
        <v>59</v>
      </c>
      <c r="H20" s="1133">
        <v>512.70000000000005</v>
      </c>
      <c r="I20" s="821">
        <v>1358.8</v>
      </c>
    </row>
    <row r="21" spans="1:9" ht="20" customHeight="1" thickBot="1">
      <c r="A21" s="554">
        <v>1997</v>
      </c>
      <c r="B21" s="820">
        <v>513.53</v>
      </c>
      <c r="C21" s="821">
        <v>88.28</v>
      </c>
      <c r="D21" s="820">
        <v>601.80999999999995</v>
      </c>
      <c r="E21" s="821">
        <v>1921.75</v>
      </c>
      <c r="F21" s="1147">
        <v>395.33</v>
      </c>
      <c r="G21" s="821">
        <v>80.59</v>
      </c>
      <c r="H21" s="820">
        <v>475.92</v>
      </c>
      <c r="I21" s="821">
        <v>1558.71</v>
      </c>
    </row>
    <row r="22" spans="1:9" ht="20" customHeight="1" thickBot="1">
      <c r="A22" s="554">
        <v>1998</v>
      </c>
      <c r="B22" s="820">
        <v>544.61</v>
      </c>
      <c r="C22" s="821">
        <v>93.2</v>
      </c>
      <c r="D22" s="820">
        <v>637.80999999999995</v>
      </c>
      <c r="E22" s="821">
        <v>2066.17</v>
      </c>
      <c r="F22" s="1147">
        <v>381.42</v>
      </c>
      <c r="G22" s="821">
        <v>78.63</v>
      </c>
      <c r="H22" s="820">
        <v>460.05</v>
      </c>
      <c r="I22" s="821">
        <v>1597.15</v>
      </c>
    </row>
    <row r="23" spans="1:9" ht="20" customHeight="1" thickBot="1">
      <c r="A23" s="554">
        <v>1999</v>
      </c>
      <c r="B23" s="820">
        <v>841.09</v>
      </c>
      <c r="C23" s="821">
        <v>257.10000000000002</v>
      </c>
      <c r="D23" s="820">
        <v>1098.19</v>
      </c>
      <c r="E23" s="821">
        <v>2435.96</v>
      </c>
      <c r="F23" s="1147">
        <v>558.61</v>
      </c>
      <c r="G23" s="821">
        <v>205.28</v>
      </c>
      <c r="H23" s="820">
        <v>763.89</v>
      </c>
      <c r="I23" s="821">
        <v>1841.41</v>
      </c>
    </row>
    <row r="24" spans="1:9" ht="20" customHeight="1" thickBot="1">
      <c r="A24" s="554">
        <v>2000</v>
      </c>
      <c r="B24" s="820">
        <v>1843.16</v>
      </c>
      <c r="C24" s="821">
        <v>399.77</v>
      </c>
      <c r="D24" s="820">
        <v>2242.9299999999998</v>
      </c>
      <c r="E24" s="821">
        <v>3879.09</v>
      </c>
      <c r="F24" s="1147">
        <v>1257.46</v>
      </c>
      <c r="G24" s="821">
        <v>326.3</v>
      </c>
      <c r="H24" s="820">
        <v>1583.76</v>
      </c>
      <c r="I24" s="821">
        <v>2917.88</v>
      </c>
    </row>
    <row r="25" spans="1:9" ht="20" customHeight="1" thickBot="1">
      <c r="A25" s="554">
        <v>2001</v>
      </c>
      <c r="B25" s="820">
        <v>2676.62</v>
      </c>
      <c r="C25" s="821">
        <v>513.83000000000004</v>
      </c>
      <c r="D25" s="820">
        <v>3190.45</v>
      </c>
      <c r="E25" s="821">
        <v>5041.2299999999996</v>
      </c>
      <c r="F25" s="1147">
        <v>1941.54</v>
      </c>
      <c r="G25" s="821">
        <v>411.76</v>
      </c>
      <c r="H25" s="820">
        <v>2353.3000000000002</v>
      </c>
      <c r="I25" s="821">
        <v>3948.45</v>
      </c>
    </row>
    <row r="26" spans="1:9" ht="20" customHeight="1" thickBot="1">
      <c r="A26" s="554">
        <v>2002</v>
      </c>
      <c r="B26" s="820">
        <v>2798.3878989999998</v>
      </c>
      <c r="C26" s="821">
        <v>633.98667199999954</v>
      </c>
      <c r="D26" s="820">
        <v>3432.3745709999994</v>
      </c>
      <c r="E26" s="821">
        <v>5378.3268339999995</v>
      </c>
      <c r="F26" s="1147">
        <v>1909.542256</v>
      </c>
      <c r="G26" s="821">
        <v>485.91948999999977</v>
      </c>
      <c r="H26" s="820">
        <v>2395.4617459999999</v>
      </c>
      <c r="I26" s="821">
        <v>4096.4477649999999</v>
      </c>
    </row>
    <row r="27" spans="1:9" ht="20" customHeight="1" thickBot="1">
      <c r="A27" s="554">
        <v>2003</v>
      </c>
      <c r="B27" s="820">
        <v>2790.9018799999994</v>
      </c>
      <c r="C27" s="821">
        <v>615.2966899999999</v>
      </c>
      <c r="D27" s="820">
        <v>3406.1985699999996</v>
      </c>
      <c r="E27" s="821">
        <v>5465.9839059999995</v>
      </c>
      <c r="F27" s="1147">
        <v>1892.170619</v>
      </c>
      <c r="G27" s="821">
        <v>468.26997800000004</v>
      </c>
      <c r="H27" s="820">
        <v>2360.4405969999998</v>
      </c>
      <c r="I27" s="821">
        <v>4182.1949699999996</v>
      </c>
    </row>
    <row r="28" spans="1:9" ht="20" customHeight="1" thickBot="1">
      <c r="A28" s="554">
        <v>2004</v>
      </c>
      <c r="B28" s="820">
        <v>3283.3419159999994</v>
      </c>
      <c r="C28" s="821">
        <v>738.67842599999994</v>
      </c>
      <c r="D28" s="820">
        <v>4022.0203419999989</v>
      </c>
      <c r="E28" s="821">
        <v>6221.528084999999</v>
      </c>
      <c r="F28" s="1147">
        <v>2205.5112090000002</v>
      </c>
      <c r="G28" s="821">
        <v>549.46329500000024</v>
      </c>
      <c r="H28" s="820">
        <v>2754.9745040000003</v>
      </c>
      <c r="I28" s="821">
        <v>4484.0208080000002</v>
      </c>
    </row>
    <row r="29" spans="1:9" ht="20" customHeight="1" thickBot="1">
      <c r="A29" s="554">
        <v>2005</v>
      </c>
      <c r="B29" s="820">
        <v>3264.4965889999999</v>
      </c>
      <c r="C29" s="821">
        <v>760.80693199999951</v>
      </c>
      <c r="D29" s="820">
        <v>4025.3035210000007</v>
      </c>
      <c r="E29" s="821">
        <v>6170.3164760000009</v>
      </c>
      <c r="F29" s="1147">
        <v>2229.0179430000003</v>
      </c>
      <c r="G29" s="821">
        <v>583.71884400000022</v>
      </c>
      <c r="H29" s="820">
        <v>2812.7367870000003</v>
      </c>
      <c r="I29" s="821">
        <v>4360.2722080000003</v>
      </c>
    </row>
    <row r="30" spans="1:9" ht="20" customHeight="1" thickBot="1">
      <c r="A30" s="554">
        <v>2006</v>
      </c>
      <c r="B30" s="820">
        <v>3413.72939</v>
      </c>
      <c r="C30" s="821">
        <v>785.33334699999978</v>
      </c>
      <c r="D30" s="820">
        <v>4199.0627370000002</v>
      </c>
      <c r="E30" s="821">
        <v>6351.4960959999999</v>
      </c>
      <c r="F30" s="1147">
        <v>2298.0293460000003</v>
      </c>
      <c r="G30" s="821">
        <v>593.03030600000011</v>
      </c>
      <c r="H30" s="820">
        <v>2891.0596519999999</v>
      </c>
      <c r="I30" s="821">
        <v>4362.9127799999997</v>
      </c>
    </row>
    <row r="31" spans="1:9" ht="26.25" customHeight="1" thickBot="1">
      <c r="A31" s="556">
        <v>2007</v>
      </c>
      <c r="B31" s="872">
        <v>3389.8870509999997</v>
      </c>
      <c r="C31" s="873">
        <v>817.18129399999998</v>
      </c>
      <c r="D31" s="872">
        <v>4207.0683449999997</v>
      </c>
      <c r="E31" s="873">
        <v>6359.2342559999997</v>
      </c>
      <c r="F31" s="1148">
        <v>2405.0871870000005</v>
      </c>
      <c r="G31" s="873">
        <v>632.69054400000005</v>
      </c>
      <c r="H31" s="872">
        <v>3037.7777310000001</v>
      </c>
      <c r="I31" s="873">
        <v>4451.3914629999999</v>
      </c>
    </row>
    <row r="32" spans="1:9" ht="16.5" customHeight="1">
      <c r="A32" s="1085" t="s">
        <v>948</v>
      </c>
      <c r="B32" s="1086"/>
      <c r="C32" s="1086"/>
      <c r="D32" s="1086"/>
      <c r="E32" s="1086"/>
      <c r="F32" s="1086"/>
      <c r="G32" s="1086"/>
      <c r="H32" s="1086"/>
      <c r="I32" s="1086"/>
    </row>
    <row r="33" spans="1:9" ht="10.5" customHeight="1">
      <c r="A33" s="1131"/>
      <c r="B33" s="1132"/>
      <c r="C33" s="1132"/>
      <c r="D33" s="1132"/>
      <c r="E33" s="1132"/>
      <c r="F33" s="1132"/>
      <c r="G33" s="1132"/>
      <c r="H33" s="1132"/>
      <c r="I33" s="1132"/>
    </row>
    <row r="34" spans="1:9" ht="14.25" customHeight="1">
      <c r="A34" s="348" t="s">
        <v>1734</v>
      </c>
      <c r="B34" s="1132"/>
      <c r="C34" s="1132"/>
      <c r="D34" s="1132"/>
      <c r="E34" s="1132"/>
      <c r="F34" s="1132"/>
      <c r="G34" s="1132"/>
      <c r="H34" s="1132"/>
      <c r="I34" s="1132"/>
    </row>
    <row r="35" spans="1:9" ht="0.75" customHeight="1">
      <c r="A35" s="1149" t="s">
        <v>1735</v>
      </c>
      <c r="B35" s="1132"/>
      <c r="C35" s="1132"/>
      <c r="D35" s="1132"/>
      <c r="E35" s="1132"/>
      <c r="F35" s="1132"/>
      <c r="G35" s="1132"/>
      <c r="H35" s="1132"/>
      <c r="I35" s="1132"/>
    </row>
    <row r="36" spans="1:9" ht="12" customHeight="1">
      <c r="A36" s="348" t="s">
        <v>1736</v>
      </c>
      <c r="B36" s="1132"/>
      <c r="C36" s="1132"/>
      <c r="D36" s="1132"/>
      <c r="E36" s="1132"/>
      <c r="F36" s="1132"/>
      <c r="G36" s="1132"/>
      <c r="H36" s="1132"/>
      <c r="I36" s="1132"/>
    </row>
    <row r="37" spans="1:9" ht="12" customHeight="1">
      <c r="A37" s="348" t="s">
        <v>1737</v>
      </c>
      <c r="B37" s="1132"/>
      <c r="C37" s="1132"/>
      <c r="D37" s="1132"/>
      <c r="E37" s="1132"/>
      <c r="F37" s="1132"/>
      <c r="G37" s="1132"/>
      <c r="H37" s="1132"/>
      <c r="I37" s="1132"/>
    </row>
    <row r="38" spans="1:9" ht="12" customHeight="1">
      <c r="A38" s="348"/>
      <c r="B38" s="1132"/>
      <c r="C38" s="1132"/>
      <c r="D38" s="1132"/>
      <c r="E38" s="1132"/>
      <c r="F38" s="1132"/>
      <c r="G38" s="1132"/>
      <c r="H38" s="1132"/>
      <c r="I38" s="1132"/>
    </row>
    <row r="39" spans="1:9">
      <c r="A39" s="1131" t="s">
        <v>1738</v>
      </c>
      <c r="B39" s="1125"/>
      <c r="C39" s="1125"/>
      <c r="D39" s="1125"/>
      <c r="E39" s="1125"/>
      <c r="F39" s="1125"/>
      <c r="G39" s="1125"/>
      <c r="H39" s="1125"/>
      <c r="I39" s="1125"/>
    </row>
    <row r="42" spans="1:9">
      <c r="A42" s="2" t="s">
        <v>634</v>
      </c>
    </row>
  </sheetData>
  <mergeCells count="1">
    <mergeCell ref="A2:H2"/>
  </mergeCells>
  <phoneticPr fontId="0" type="noConversion"/>
  <pageMargins left="0.48" right="0.54" top="0.93" bottom="0.49" header="0.5" footer="0.4921259845"/>
  <pageSetup paperSize="9" scale="75" orientation="portrait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2E11-62A3-9546-B743-CD713C9F237F}">
  <sheetPr>
    <pageSetUpPr fitToPage="1"/>
  </sheetPr>
  <dimension ref="A1:L37"/>
  <sheetViews>
    <sheetView topLeftCell="A16" zoomScale="75" workbookViewId="0">
      <selection activeCell="G28" sqref="G28"/>
    </sheetView>
  </sheetViews>
  <sheetFormatPr baseColWidth="10" defaultColWidth="11.3984375" defaultRowHeight="13"/>
  <cols>
    <col min="1" max="1" width="10" style="2" customWidth="1"/>
    <col min="2" max="2" width="13.796875" style="156" customWidth="1"/>
    <col min="3" max="3" width="13.3984375" style="156" customWidth="1"/>
    <col min="4" max="4" width="12.59765625" style="156" customWidth="1"/>
    <col min="5" max="5" width="13.19921875" style="156" customWidth="1"/>
    <col min="6" max="6" width="11.796875" style="156" customWidth="1"/>
    <col min="7" max="7" width="14.59765625" style="156" customWidth="1"/>
    <col min="8" max="8" width="13.3984375" style="156" customWidth="1"/>
    <col min="9" max="9" width="12.3984375" style="156" customWidth="1"/>
    <col min="10" max="10" width="13.796875" style="156" customWidth="1"/>
    <col min="11" max="11" width="12.19921875" style="156" customWidth="1"/>
    <col min="12" max="16384" width="11.3984375" style="2"/>
  </cols>
  <sheetData>
    <row r="1" spans="1:12" s="1" customFormat="1" ht="14" customHeight="1">
      <c r="A1" s="381"/>
      <c r="B1" s="1117"/>
      <c r="C1" s="1117"/>
      <c r="D1" s="1117"/>
      <c r="E1" s="1117"/>
      <c r="F1" s="1117"/>
      <c r="G1" s="1117"/>
      <c r="H1" s="1117"/>
      <c r="I1" s="1117"/>
      <c r="J1" s="1117"/>
      <c r="K1" s="1117"/>
    </row>
    <row r="2" spans="1:12" s="1" customFormat="1" ht="27" customHeight="1">
      <c r="A2" s="1150" t="s">
        <v>1743</v>
      </c>
      <c r="B2" s="1151"/>
      <c r="C2" s="1151"/>
      <c r="D2" s="1151"/>
      <c r="E2" s="1151"/>
      <c r="F2" s="1151"/>
      <c r="G2" s="1151"/>
      <c r="H2" s="1151"/>
      <c r="I2" s="1151"/>
      <c r="J2" s="1151"/>
      <c r="K2" s="550"/>
    </row>
    <row r="3" spans="1:12" ht="20" customHeight="1">
      <c r="A3" s="308" t="s">
        <v>533</v>
      </c>
      <c r="B3" s="1152" t="s">
        <v>1488</v>
      </c>
      <c r="C3" s="115"/>
      <c r="D3" s="114"/>
      <c r="E3" s="308"/>
      <c r="F3" s="1152" t="s">
        <v>1753</v>
      </c>
      <c r="G3" s="1153" t="s">
        <v>535</v>
      </c>
      <c r="H3" s="653"/>
      <c r="I3" s="308"/>
      <c r="J3" s="116"/>
      <c r="K3" s="1154" t="s">
        <v>552</v>
      </c>
    </row>
    <row r="4" spans="1:12" ht="32.25" customHeight="1">
      <c r="A4" s="308"/>
      <c r="B4" s="1140" t="s">
        <v>1744</v>
      </c>
      <c r="C4" s="1155"/>
      <c r="D4" s="1156" t="s">
        <v>1753</v>
      </c>
      <c r="E4" s="1157" t="s">
        <v>1745</v>
      </c>
      <c r="F4" s="653"/>
      <c r="G4" s="1158" t="s">
        <v>1744</v>
      </c>
      <c r="H4" s="1140"/>
      <c r="I4" s="1155" t="s">
        <v>552</v>
      </c>
      <c r="J4" s="1160" t="s">
        <v>1745</v>
      </c>
      <c r="K4" s="113"/>
    </row>
    <row r="5" spans="1:12" ht="15" customHeight="1">
      <c r="A5" s="308"/>
      <c r="B5" s="114" t="s">
        <v>1746</v>
      </c>
      <c r="C5" s="115" t="s">
        <v>838</v>
      </c>
      <c r="D5" s="114"/>
      <c r="E5" s="115" t="s">
        <v>838</v>
      </c>
      <c r="F5" s="114"/>
      <c r="G5" s="1161" t="s">
        <v>1746</v>
      </c>
      <c r="H5" s="114" t="s">
        <v>838</v>
      </c>
      <c r="I5" s="115"/>
      <c r="J5" s="114" t="s">
        <v>838</v>
      </c>
      <c r="K5" s="115"/>
    </row>
    <row r="6" spans="1:12" ht="15" customHeight="1">
      <c r="A6" s="308"/>
      <c r="B6" s="391" t="s">
        <v>838</v>
      </c>
      <c r="C6" s="928" t="s">
        <v>1754</v>
      </c>
      <c r="D6" s="391"/>
      <c r="E6" s="928" t="s">
        <v>1755</v>
      </c>
      <c r="F6" s="114"/>
      <c r="G6" s="1162" t="s">
        <v>838</v>
      </c>
      <c r="H6" s="114" t="s">
        <v>1754</v>
      </c>
      <c r="I6" s="115"/>
      <c r="J6" s="114" t="s">
        <v>1755</v>
      </c>
      <c r="K6" s="115"/>
    </row>
    <row r="7" spans="1:12" ht="15" customHeight="1">
      <c r="A7" s="308"/>
      <c r="B7" s="391" t="s">
        <v>1756</v>
      </c>
      <c r="C7" s="928"/>
      <c r="D7" s="391"/>
      <c r="E7" s="928"/>
      <c r="F7" s="391"/>
      <c r="G7" s="1162" t="s">
        <v>1756</v>
      </c>
      <c r="H7" s="114"/>
      <c r="I7" s="115"/>
      <c r="J7" s="114"/>
      <c r="K7" s="115"/>
    </row>
    <row r="8" spans="1:12" ht="20" customHeight="1">
      <c r="A8" s="505"/>
      <c r="B8" s="120"/>
      <c r="C8" s="119"/>
      <c r="D8" s="120"/>
      <c r="E8" s="119"/>
      <c r="F8" s="120"/>
      <c r="G8" s="1163"/>
      <c r="H8" s="120"/>
      <c r="I8" s="119"/>
      <c r="J8" s="120"/>
      <c r="K8" s="119"/>
    </row>
    <row r="9" spans="1:12" ht="1.5" customHeight="1" thickBot="1">
      <c r="A9" s="553">
        <v>1991</v>
      </c>
      <c r="B9" s="1164">
        <v>996.2</v>
      </c>
      <c r="C9" s="1165" t="s">
        <v>59</v>
      </c>
      <c r="D9" s="1164">
        <v>996.2</v>
      </c>
      <c r="E9" s="1165">
        <v>780</v>
      </c>
      <c r="F9" s="1164">
        <v>1776.2</v>
      </c>
      <c r="G9" s="1166">
        <v>885.4</v>
      </c>
      <c r="H9" s="1164" t="s">
        <v>59</v>
      </c>
      <c r="I9" s="1165">
        <v>885.4</v>
      </c>
      <c r="J9" s="819">
        <v>649.4</v>
      </c>
      <c r="K9" s="311">
        <v>1534.8</v>
      </c>
    </row>
    <row r="10" spans="1:12" ht="20" hidden="1" customHeight="1" thickBot="1">
      <c r="A10" s="554">
        <v>1992</v>
      </c>
      <c r="B10" s="978">
        <v>1003.8</v>
      </c>
      <c r="C10" s="1165" t="s">
        <v>59</v>
      </c>
      <c r="D10" s="1164">
        <v>1003.8</v>
      </c>
      <c r="E10" s="1167">
        <v>897</v>
      </c>
      <c r="F10" s="1168">
        <v>1900.8</v>
      </c>
      <c r="G10" s="1169">
        <v>923.2</v>
      </c>
      <c r="H10" s="1164" t="s">
        <v>59</v>
      </c>
      <c r="I10" s="1165">
        <v>923.2</v>
      </c>
      <c r="J10" s="1133">
        <v>783.9</v>
      </c>
      <c r="K10" s="1170">
        <v>1707.1</v>
      </c>
    </row>
    <row r="11" spans="1:12" ht="20" hidden="1" customHeight="1" thickBot="1">
      <c r="A11" s="554">
        <v>1993</v>
      </c>
      <c r="B11" s="978">
        <v>1026.2</v>
      </c>
      <c r="C11" s="1165" t="s">
        <v>59</v>
      </c>
      <c r="D11" s="1164">
        <v>1026.2</v>
      </c>
      <c r="E11" s="1167">
        <v>932.8</v>
      </c>
      <c r="F11" s="1168">
        <v>1959</v>
      </c>
      <c r="G11" s="1169">
        <v>928.41399999999999</v>
      </c>
      <c r="H11" s="1164" t="s">
        <v>59</v>
      </c>
      <c r="I11" s="1165">
        <v>928.41399999999999</v>
      </c>
      <c r="J11" s="1133">
        <v>833.7</v>
      </c>
      <c r="K11" s="1170">
        <v>1762.114</v>
      </c>
    </row>
    <row r="12" spans="1:12" ht="20" hidden="1" customHeight="1" thickBot="1">
      <c r="A12" s="554">
        <v>1994</v>
      </c>
      <c r="B12" s="978">
        <v>1052.2</v>
      </c>
      <c r="C12" s="1165" t="s">
        <v>59</v>
      </c>
      <c r="D12" s="1164">
        <v>1052.2</v>
      </c>
      <c r="E12" s="1167">
        <v>931.1</v>
      </c>
      <c r="F12" s="1168">
        <v>1983.3</v>
      </c>
      <c r="G12" s="1169">
        <v>983.23500000000001</v>
      </c>
      <c r="H12" s="1164" t="s">
        <v>59</v>
      </c>
      <c r="I12" s="1165">
        <v>983.23500000000001</v>
      </c>
      <c r="J12" s="1133">
        <v>876.1</v>
      </c>
      <c r="K12" s="1170">
        <v>1859.335</v>
      </c>
    </row>
    <row r="13" spans="1:12" ht="19.5" hidden="1" customHeight="1" thickBot="1">
      <c r="A13" s="554">
        <v>1995</v>
      </c>
      <c r="B13" s="978">
        <v>1073.0999999999999</v>
      </c>
      <c r="C13" s="1165" t="s">
        <v>59</v>
      </c>
      <c r="D13" s="1164">
        <v>1073.0999999999999</v>
      </c>
      <c r="E13" s="1167">
        <v>935</v>
      </c>
      <c r="F13" s="1168">
        <v>2008.1</v>
      </c>
      <c r="G13" s="1169">
        <v>1017.388</v>
      </c>
      <c r="H13" s="1164" t="s">
        <v>59</v>
      </c>
      <c r="I13" s="1165">
        <v>1017.388</v>
      </c>
      <c r="J13" s="1133">
        <v>901.4</v>
      </c>
      <c r="K13" s="1170">
        <v>1918.788</v>
      </c>
    </row>
    <row r="14" spans="1:12" ht="0.75" customHeight="1" thickBot="1">
      <c r="A14" s="554">
        <v>1996</v>
      </c>
      <c r="B14" s="978">
        <v>832</v>
      </c>
      <c r="C14" s="1167">
        <v>180.9</v>
      </c>
      <c r="D14" s="1168">
        <v>1012.9</v>
      </c>
      <c r="E14" s="1167">
        <v>978.3</v>
      </c>
      <c r="F14" s="1168">
        <v>1991.2</v>
      </c>
      <c r="G14" s="1169">
        <v>872.50191104999999</v>
      </c>
      <c r="H14" s="1171">
        <v>116.7</v>
      </c>
      <c r="I14" s="1172">
        <v>989.20191105000004</v>
      </c>
      <c r="J14" s="1133">
        <v>846.1</v>
      </c>
      <c r="K14" s="1170">
        <v>1835.3019110499999</v>
      </c>
      <c r="L14"/>
    </row>
    <row r="15" spans="1:12" ht="20" customHeight="1" thickBot="1">
      <c r="A15" s="554">
        <v>1997</v>
      </c>
      <c r="B15" s="978">
        <v>558.9</v>
      </c>
      <c r="C15" s="821">
        <v>393.8</v>
      </c>
      <c r="D15" s="1164">
        <v>952.7</v>
      </c>
      <c r="E15" s="821">
        <v>1319.9</v>
      </c>
      <c r="F15" s="1164">
        <v>2272.6</v>
      </c>
      <c r="G15" s="1169">
        <v>621.52611999999999</v>
      </c>
      <c r="H15" s="820">
        <v>335.7</v>
      </c>
      <c r="I15" s="1165">
        <v>957.22612000000004</v>
      </c>
      <c r="J15" s="820">
        <v>1082.8</v>
      </c>
      <c r="K15" s="311">
        <v>2040.02612</v>
      </c>
      <c r="L15"/>
    </row>
    <row r="16" spans="1:12" ht="20" customHeight="1" thickBot="1">
      <c r="A16" s="554">
        <v>1998</v>
      </c>
      <c r="B16" s="978">
        <v>509.6</v>
      </c>
      <c r="C16" s="821">
        <v>508.1</v>
      </c>
      <c r="D16" s="1164">
        <v>1017.7</v>
      </c>
      <c r="E16" s="821">
        <v>1428.4</v>
      </c>
      <c r="F16" s="1164">
        <v>2446.1</v>
      </c>
      <c r="G16" s="1169">
        <v>456.36259100000001</v>
      </c>
      <c r="H16" s="820">
        <v>453.7</v>
      </c>
      <c r="I16" s="1165">
        <v>910.062591</v>
      </c>
      <c r="J16" s="820">
        <v>1137.0999999999999</v>
      </c>
      <c r="K16" s="311">
        <v>2047.1625909999998</v>
      </c>
      <c r="L16"/>
    </row>
    <row r="17" spans="1:12" ht="20" customHeight="1" thickBot="1">
      <c r="A17" s="554">
        <v>1999</v>
      </c>
      <c r="B17" s="978">
        <v>462.9</v>
      </c>
      <c r="C17" s="821">
        <v>442.7</v>
      </c>
      <c r="D17" s="1164">
        <v>905.6</v>
      </c>
      <c r="E17" s="821">
        <v>1337.8</v>
      </c>
      <c r="F17" s="1164">
        <v>2243.4</v>
      </c>
      <c r="G17" s="1169">
        <v>412.14915300000001</v>
      </c>
      <c r="H17" s="820">
        <v>385.2</v>
      </c>
      <c r="I17" s="1165">
        <v>797.349153</v>
      </c>
      <c r="J17" s="820">
        <v>1077.5</v>
      </c>
      <c r="K17" s="311">
        <v>1874.8491530000001</v>
      </c>
      <c r="L17"/>
    </row>
    <row r="18" spans="1:12" ht="20" customHeight="1" thickBot="1">
      <c r="A18" s="554">
        <v>2000</v>
      </c>
      <c r="B18" s="978">
        <v>438.9</v>
      </c>
      <c r="C18" s="821">
        <v>339.7</v>
      </c>
      <c r="D18" s="1164">
        <v>778.6</v>
      </c>
      <c r="E18" s="821">
        <v>1636.2</v>
      </c>
      <c r="F18" s="1164">
        <v>2414.8000000000002</v>
      </c>
      <c r="G18" s="1169">
        <v>381.63992000000002</v>
      </c>
      <c r="H18" s="820">
        <v>299.2</v>
      </c>
      <c r="I18" s="1165">
        <v>680.83992000000001</v>
      </c>
      <c r="J18" s="820">
        <v>1334.1</v>
      </c>
      <c r="K18" s="311">
        <v>2014.9399199999998</v>
      </c>
      <c r="L18"/>
    </row>
    <row r="19" spans="1:12" ht="20" customHeight="1" thickBot="1">
      <c r="A19" s="554">
        <v>2001</v>
      </c>
      <c r="B19" s="978">
        <v>398.65</v>
      </c>
      <c r="C19" s="821">
        <v>248.38</v>
      </c>
      <c r="D19" s="1164">
        <v>647.03</v>
      </c>
      <c r="E19" s="821">
        <v>1850.78</v>
      </c>
      <c r="F19" s="1164">
        <v>2497.81</v>
      </c>
      <c r="G19" s="1169">
        <v>351.97137099999998</v>
      </c>
      <c r="H19" s="820">
        <v>201.85</v>
      </c>
      <c r="I19" s="1165">
        <v>553.821371</v>
      </c>
      <c r="J19" s="820">
        <v>1595.15</v>
      </c>
      <c r="K19" s="311">
        <v>2148.9713710000001</v>
      </c>
      <c r="L19"/>
    </row>
    <row r="20" spans="1:12" ht="20" customHeight="1" thickBot="1">
      <c r="A20" s="554">
        <v>2002</v>
      </c>
      <c r="B20" s="978">
        <v>370.90300000000002</v>
      </c>
      <c r="C20" s="821">
        <v>248.779527</v>
      </c>
      <c r="D20" s="1164">
        <v>619.68252700000005</v>
      </c>
      <c r="E20" s="821">
        <v>1945.9522629999999</v>
      </c>
      <c r="F20" s="1164">
        <v>2565.6347900000001</v>
      </c>
      <c r="G20" s="1169">
        <v>329.149</v>
      </c>
      <c r="H20" s="820">
        <v>227.06825000000001</v>
      </c>
      <c r="I20" s="1165">
        <v>556.21725000000004</v>
      </c>
      <c r="J20" s="820">
        <v>1700.9860189999999</v>
      </c>
      <c r="K20" s="311">
        <v>2257.2032690000001</v>
      </c>
      <c r="L20"/>
    </row>
    <row r="21" spans="1:12" ht="20" customHeight="1" thickBot="1">
      <c r="A21" s="554">
        <v>2003</v>
      </c>
      <c r="B21" s="978">
        <v>354.08080662000003</v>
      </c>
      <c r="C21" s="821">
        <v>295.50233600000001</v>
      </c>
      <c r="D21" s="1164">
        <v>649.58314261999999</v>
      </c>
      <c r="E21" s="821">
        <v>2059.7853359999999</v>
      </c>
      <c r="F21" s="1164">
        <v>2709.3684786200001</v>
      </c>
      <c r="G21" s="1169">
        <v>309.91303072000005</v>
      </c>
      <c r="H21" s="820">
        <v>266.92607400000003</v>
      </c>
      <c r="I21" s="1165">
        <v>576.83910472000002</v>
      </c>
      <c r="J21" s="820">
        <v>1821.754373</v>
      </c>
      <c r="K21" s="311">
        <v>2398.59347772</v>
      </c>
      <c r="L21"/>
    </row>
    <row r="22" spans="1:12" ht="20" customHeight="1" thickBot="1">
      <c r="A22" s="554">
        <v>2004</v>
      </c>
      <c r="B22" s="978">
        <v>354.05374882999996</v>
      </c>
      <c r="C22" s="821">
        <v>465.97641131</v>
      </c>
      <c r="D22" s="1164">
        <v>820.03016013999991</v>
      </c>
      <c r="E22" s="821">
        <v>2199.5077430000001</v>
      </c>
      <c r="F22" s="1164">
        <v>3019.5379031399998</v>
      </c>
      <c r="G22" s="1169">
        <v>277.93515424999998</v>
      </c>
      <c r="H22" s="820">
        <v>341.37247587999997</v>
      </c>
      <c r="I22" s="1165">
        <v>619.30763013000001</v>
      </c>
      <c r="J22" s="820">
        <v>1729.046304</v>
      </c>
      <c r="K22" s="311">
        <v>2348.3539341300002</v>
      </c>
      <c r="L22"/>
    </row>
    <row r="23" spans="1:12" ht="20" customHeight="1" thickBot="1">
      <c r="A23" s="554">
        <v>2005</v>
      </c>
      <c r="B23" s="978">
        <v>340.05814830000003</v>
      </c>
      <c r="C23" s="821">
        <v>497.83377424000003</v>
      </c>
      <c r="D23" s="1164">
        <v>837.89192254</v>
      </c>
      <c r="E23" s="821">
        <v>2145.0129550000001</v>
      </c>
      <c r="F23" s="1164">
        <v>2982.9048775400001</v>
      </c>
      <c r="G23" s="1169">
        <v>251.06148209</v>
      </c>
      <c r="H23" s="820">
        <v>268.00454783000004</v>
      </c>
      <c r="I23" s="1165">
        <v>519.06602992000001</v>
      </c>
      <c r="J23" s="820">
        <v>1547.535421</v>
      </c>
      <c r="K23" s="311">
        <v>2066.6014509199999</v>
      </c>
      <c r="L23"/>
    </row>
    <row r="24" spans="1:12" ht="20" customHeight="1" thickBot="1">
      <c r="A24" s="554">
        <v>2006</v>
      </c>
      <c r="B24" s="978">
        <v>315.75842189999997</v>
      </c>
      <c r="C24" s="821">
        <v>549.01423610000006</v>
      </c>
      <c r="D24" s="1164">
        <v>864.77265800000009</v>
      </c>
      <c r="E24" s="821">
        <v>2152.4333590000001</v>
      </c>
      <c r="F24" s="1164">
        <v>3017.2060170000004</v>
      </c>
      <c r="G24" s="1169">
        <v>220.62135384000001</v>
      </c>
      <c r="H24" s="820">
        <v>347.81852166000004</v>
      </c>
      <c r="I24" s="1165">
        <v>568.43987550000008</v>
      </c>
      <c r="J24" s="820">
        <v>1471.853128</v>
      </c>
      <c r="K24" s="311">
        <v>2040.2930034999999</v>
      </c>
      <c r="L24"/>
    </row>
    <row r="25" spans="1:12" s="285" customFormat="1" ht="27.75" customHeight="1" thickBot="1">
      <c r="A25" s="556">
        <v>2007</v>
      </c>
      <c r="B25" s="1173">
        <v>299.25460810000004</v>
      </c>
      <c r="C25" s="873">
        <v>544.40750937999996</v>
      </c>
      <c r="D25" s="1174">
        <v>843.66211748000001</v>
      </c>
      <c r="E25" s="873">
        <v>2152.1659110000001</v>
      </c>
      <c r="F25" s="1174">
        <v>2995.8280284800003</v>
      </c>
      <c r="G25" s="1175">
        <v>207.71949052000002</v>
      </c>
      <c r="H25" s="872">
        <v>361.81478957000002</v>
      </c>
      <c r="I25" s="1176">
        <v>569.53428009000004</v>
      </c>
      <c r="J25" s="872">
        <v>1413.613732</v>
      </c>
      <c r="K25" s="1177">
        <v>1983.1480120900001</v>
      </c>
      <c r="L25" s="1178"/>
    </row>
    <row r="26" spans="1:12" ht="20" customHeight="1">
      <c r="A26" s="1085" t="s">
        <v>948</v>
      </c>
      <c r="B26" s="1086"/>
      <c r="C26" s="1086"/>
      <c r="D26" s="1086"/>
      <c r="E26" s="1086"/>
      <c r="F26" s="1086"/>
      <c r="G26" s="1086"/>
      <c r="H26" s="1086"/>
      <c r="I26" s="1086"/>
      <c r="J26" s="1086"/>
      <c r="K26" s="1086"/>
    </row>
    <row r="27" spans="1:12" ht="13.5" customHeight="1">
      <c r="A27" s="1131"/>
      <c r="B27" s="1132"/>
      <c r="C27" s="1132"/>
      <c r="D27" s="1132"/>
      <c r="E27" s="1132"/>
      <c r="F27" s="1132"/>
      <c r="G27" s="1132"/>
      <c r="H27" s="1132"/>
      <c r="I27" s="1132"/>
      <c r="J27" s="1132"/>
      <c r="K27" s="1132"/>
    </row>
    <row r="28" spans="1:12">
      <c r="A28" s="348" t="s">
        <v>1747</v>
      </c>
      <c r="B28" s="1125"/>
      <c r="C28" s="1125"/>
      <c r="D28" s="1125"/>
      <c r="E28" s="1125"/>
      <c r="F28" s="1125"/>
      <c r="G28" s="1125"/>
      <c r="H28" s="1125"/>
      <c r="I28" s="1125"/>
      <c r="J28" s="1125"/>
      <c r="K28" s="1125"/>
    </row>
    <row r="29" spans="1:12">
      <c r="A29" s="348" t="s">
        <v>1748</v>
      </c>
      <c r="B29" s="1125"/>
      <c r="C29" s="1125"/>
      <c r="D29" s="1125"/>
      <c r="E29" s="1125"/>
      <c r="F29" s="1125"/>
      <c r="G29" s="1125"/>
      <c r="H29" s="1125"/>
      <c r="I29" s="1125"/>
      <c r="J29" s="1125"/>
      <c r="K29" s="1125"/>
    </row>
    <row r="30" spans="1:12">
      <c r="A30" s="348" t="s">
        <v>1749</v>
      </c>
      <c r="B30" s="1125"/>
      <c r="C30" s="1125"/>
      <c r="D30" s="1125"/>
      <c r="E30" s="1125"/>
      <c r="F30" s="1125"/>
      <c r="G30" s="1125"/>
      <c r="H30" s="1125"/>
      <c r="I30" s="1125"/>
      <c r="J30" s="1125"/>
      <c r="K30" s="1125"/>
    </row>
    <row r="31" spans="1:12">
      <c r="A31" s="348" t="s">
        <v>1757</v>
      </c>
      <c r="B31" s="1125"/>
      <c r="C31" s="1125"/>
      <c r="D31" s="1125"/>
      <c r="E31" s="1125"/>
      <c r="F31" s="1125"/>
      <c r="G31" s="1125"/>
      <c r="H31" s="1125"/>
      <c r="I31" s="1125"/>
      <c r="J31" s="1125"/>
      <c r="K31" s="1125"/>
    </row>
    <row r="32" spans="1:12">
      <c r="A32" s="2" t="s">
        <v>1750</v>
      </c>
    </row>
    <row r="33" spans="1:11">
      <c r="A33" s="348" t="s">
        <v>1751</v>
      </c>
      <c r="B33" s="1125"/>
      <c r="C33" s="1125"/>
      <c r="D33" s="1125"/>
      <c r="E33" s="1125"/>
      <c r="F33" s="1125"/>
      <c r="G33" s="1125"/>
      <c r="H33" s="1125"/>
      <c r="I33" s="1125"/>
      <c r="J33" s="1125"/>
      <c r="K33" s="1125"/>
    </row>
    <row r="34" spans="1:11">
      <c r="A34" s="1131" t="s">
        <v>1758</v>
      </c>
      <c r="B34" s="1125"/>
      <c r="C34" s="1125"/>
      <c r="D34" s="1125"/>
      <c r="E34" s="1125"/>
      <c r="F34" s="1125"/>
      <c r="G34" s="1125"/>
      <c r="H34" s="1125"/>
      <c r="I34" s="1125"/>
      <c r="J34" s="1125"/>
      <c r="K34" s="1125"/>
    </row>
    <row r="35" spans="1:11">
      <c r="A35" s="1179" t="s">
        <v>1752</v>
      </c>
      <c r="B35" s="1125"/>
      <c r="C35" s="1125"/>
      <c r="D35" s="1125"/>
      <c r="E35" s="1125"/>
      <c r="F35" s="1125"/>
      <c r="G35" s="1125"/>
      <c r="H35" s="1125"/>
      <c r="I35" s="1125"/>
      <c r="J35" s="1125"/>
      <c r="K35" s="1125"/>
    </row>
    <row r="37" spans="1:11">
      <c r="A37" s="2" t="s">
        <v>634</v>
      </c>
    </row>
  </sheetData>
  <phoneticPr fontId="0" type="noConversion"/>
  <pageMargins left="0.48" right="0.44" top="0.72" bottom="0.49" header="0.45" footer="0.4921259845"/>
  <pageSetup paperSize="9" scale="67" orientation="portrait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838A-41FD-8D4C-8440-AF588EE45358}">
  <sheetPr>
    <pageSetUpPr fitToPage="1"/>
  </sheetPr>
  <dimension ref="A1:L35"/>
  <sheetViews>
    <sheetView zoomScale="75" workbookViewId="0">
      <selection activeCell="F33" sqref="F33"/>
    </sheetView>
  </sheetViews>
  <sheetFormatPr baseColWidth="10" defaultColWidth="11.3984375" defaultRowHeight="13"/>
  <cols>
    <col min="1" max="1" width="10" style="2" customWidth="1"/>
    <col min="2" max="2" width="13.19921875" style="156" customWidth="1"/>
    <col min="3" max="3" width="13.3984375" style="156" customWidth="1"/>
    <col min="4" max="4" width="15" style="156" customWidth="1"/>
    <col min="5" max="5" width="13" style="156" customWidth="1"/>
    <col min="6" max="7" width="13.59765625" style="156" customWidth="1"/>
    <col min="8" max="8" width="14.796875" style="156" customWidth="1"/>
    <col min="9" max="9" width="13.59765625" style="156" customWidth="1"/>
    <col min="10" max="16384" width="11.3984375" style="2"/>
  </cols>
  <sheetData>
    <row r="1" spans="1:12" s="1" customFormat="1" ht="14" customHeight="1">
      <c r="A1" s="381"/>
      <c r="B1" s="1117"/>
      <c r="C1" s="1117"/>
      <c r="D1" s="1117"/>
      <c r="E1" s="1117"/>
      <c r="F1" s="1117"/>
      <c r="G1" s="1117"/>
      <c r="H1" s="1117"/>
      <c r="I1" s="1117"/>
    </row>
    <row r="2" spans="1:12" s="1" customFormat="1" ht="27" customHeight="1">
      <c r="A2" s="1150" t="s">
        <v>942</v>
      </c>
      <c r="B2" s="1151"/>
      <c r="C2" s="1151"/>
      <c r="D2" s="1151"/>
      <c r="E2" s="1151"/>
      <c r="F2" s="1151"/>
      <c r="G2" s="1151"/>
      <c r="H2" s="1151"/>
      <c r="I2" s="550"/>
    </row>
    <row r="3" spans="1:12" ht="20" customHeight="1">
      <c r="A3" s="308" t="s">
        <v>533</v>
      </c>
      <c r="B3" s="1152" t="s">
        <v>1488</v>
      </c>
      <c r="C3" s="115"/>
      <c r="D3" s="114"/>
      <c r="E3" s="350" t="s">
        <v>629</v>
      </c>
      <c r="F3" s="1180" t="s">
        <v>535</v>
      </c>
      <c r="G3" s="308"/>
      <c r="H3" s="653"/>
      <c r="I3" s="350" t="s">
        <v>629</v>
      </c>
    </row>
    <row r="4" spans="1:12" ht="33" customHeight="1">
      <c r="A4" s="308"/>
      <c r="B4" s="1140" t="s">
        <v>1744</v>
      </c>
      <c r="C4" s="1155"/>
      <c r="D4" s="1160" t="s">
        <v>943</v>
      </c>
      <c r="E4" s="1157"/>
      <c r="F4" s="1141" t="s">
        <v>1744</v>
      </c>
      <c r="G4" s="1181"/>
      <c r="H4" s="1160" t="s">
        <v>943</v>
      </c>
      <c r="I4" s="1157"/>
    </row>
    <row r="5" spans="1:12" ht="15" customHeight="1">
      <c r="A5" s="308"/>
      <c r="B5" s="1182" t="s">
        <v>1759</v>
      </c>
      <c r="C5" s="928" t="s">
        <v>1086</v>
      </c>
      <c r="D5" s="391" t="s">
        <v>838</v>
      </c>
      <c r="E5" s="115"/>
      <c r="F5" s="1183" t="s">
        <v>1759</v>
      </c>
      <c r="G5" s="928" t="s">
        <v>1086</v>
      </c>
      <c r="H5" s="391" t="s">
        <v>838</v>
      </c>
      <c r="I5" s="115"/>
    </row>
    <row r="6" spans="1:12" ht="17.25" customHeight="1">
      <c r="A6" s="308"/>
      <c r="B6" s="1182" t="s">
        <v>944</v>
      </c>
      <c r="C6" s="928" t="s">
        <v>945</v>
      </c>
      <c r="D6" s="391" t="s">
        <v>1090</v>
      </c>
      <c r="E6" s="115"/>
      <c r="F6" s="1183" t="s">
        <v>944</v>
      </c>
      <c r="G6" s="928" t="s">
        <v>945</v>
      </c>
      <c r="H6" s="391" t="s">
        <v>1090</v>
      </c>
      <c r="I6" s="115"/>
    </row>
    <row r="7" spans="1:12" ht="16.5" customHeight="1">
      <c r="A7" s="505"/>
      <c r="B7" s="120"/>
      <c r="C7" s="119"/>
      <c r="D7" s="120"/>
      <c r="E7" s="119"/>
      <c r="F7" s="1143"/>
      <c r="G7" s="119"/>
      <c r="H7" s="120"/>
      <c r="I7" s="119"/>
    </row>
    <row r="8" spans="1:12" ht="1.5" customHeight="1" thickBot="1">
      <c r="A8" s="553">
        <v>1991</v>
      </c>
      <c r="B8" s="1164">
        <v>7381.6</v>
      </c>
      <c r="C8" s="1165">
        <v>2030</v>
      </c>
      <c r="D8" s="1164">
        <v>763.6</v>
      </c>
      <c r="E8" s="311">
        <v>10175.200000000001</v>
      </c>
      <c r="F8" s="1184">
        <v>8411.9</v>
      </c>
      <c r="G8" s="1165">
        <v>1717.6</v>
      </c>
      <c r="H8" s="1164">
        <v>608.6</v>
      </c>
      <c r="I8" s="311">
        <v>10738.1</v>
      </c>
    </row>
    <row r="9" spans="1:12" ht="20" hidden="1" customHeight="1" thickBot="1">
      <c r="A9" s="554">
        <v>1992</v>
      </c>
      <c r="B9" s="978">
        <v>8071.6</v>
      </c>
      <c r="C9" s="1167">
        <v>2234.5</v>
      </c>
      <c r="D9" s="1171">
        <v>751.05194456734102</v>
      </c>
      <c r="E9" s="1170">
        <v>11057.151944567342</v>
      </c>
      <c r="F9" s="1185">
        <v>9374.4</v>
      </c>
      <c r="G9" s="1167">
        <v>1832.3</v>
      </c>
      <c r="H9" s="1171">
        <v>631.14866850607859</v>
      </c>
      <c r="I9" s="1170">
        <v>11837.848668506078</v>
      </c>
    </row>
    <row r="10" spans="1:12" ht="20" hidden="1" customHeight="1" thickBot="1">
      <c r="A10" s="554">
        <v>1993</v>
      </c>
      <c r="B10" s="978">
        <v>8959</v>
      </c>
      <c r="C10" s="1167">
        <v>3326.3</v>
      </c>
      <c r="D10" s="1171">
        <v>734.92479192401356</v>
      </c>
      <c r="E10" s="1170">
        <v>13020.224791924013</v>
      </c>
      <c r="F10" s="1185">
        <v>9747.2000000000007</v>
      </c>
      <c r="G10" s="1167">
        <v>2431.9</v>
      </c>
      <c r="H10" s="1171">
        <v>626.00138979065252</v>
      </c>
      <c r="I10" s="1170">
        <v>12805.101389790652</v>
      </c>
    </row>
    <row r="11" spans="1:12" ht="20" hidden="1" customHeight="1" thickBot="1">
      <c r="A11" s="554">
        <v>1994</v>
      </c>
      <c r="B11" s="978">
        <v>8986.1</v>
      </c>
      <c r="C11" s="1167">
        <v>4076.6</v>
      </c>
      <c r="D11" s="1171">
        <v>690.03021854426788</v>
      </c>
      <c r="E11" s="1170">
        <v>13752.730218544268</v>
      </c>
      <c r="F11" s="1185">
        <v>9548.9</v>
      </c>
      <c r="G11" s="1167">
        <v>3331.5</v>
      </c>
      <c r="H11" s="1171">
        <v>613.0603501903413</v>
      </c>
      <c r="I11" s="1170">
        <v>13493.46035019034</v>
      </c>
    </row>
    <row r="12" spans="1:12" ht="19.5" hidden="1" customHeight="1" thickBot="1">
      <c r="A12" s="554">
        <v>1995</v>
      </c>
      <c r="B12" s="978">
        <v>9125.7999999999993</v>
      </c>
      <c r="C12" s="1167">
        <v>4249.7</v>
      </c>
      <c r="D12" s="1171">
        <v>651.42256806953048</v>
      </c>
      <c r="E12" s="1170">
        <v>14026.922568069531</v>
      </c>
      <c r="F12" s="1185">
        <v>10017.200000000001</v>
      </c>
      <c r="G12" s="1167">
        <v>3664.1</v>
      </c>
      <c r="H12" s="1171">
        <v>587.27080996548773</v>
      </c>
      <c r="I12" s="1170">
        <v>14268.570809965489</v>
      </c>
    </row>
    <row r="13" spans="1:12" ht="0.75" customHeight="1" thickBot="1">
      <c r="A13" s="554">
        <v>1996</v>
      </c>
      <c r="B13" s="978">
        <v>11035.2</v>
      </c>
      <c r="C13" s="1167">
        <v>4337.5</v>
      </c>
      <c r="D13" s="1171">
        <v>640.36315374410731</v>
      </c>
      <c r="E13" s="1170">
        <v>16013.063153744108</v>
      </c>
      <c r="F13" s="1185">
        <v>10780.5</v>
      </c>
      <c r="G13" s="1167">
        <v>3809.6285714248806</v>
      </c>
      <c r="H13" s="1171">
        <v>512.67578326995283</v>
      </c>
      <c r="I13" s="1170">
        <v>15102.804354694834</v>
      </c>
      <c r="K13"/>
      <c r="L13"/>
    </row>
    <row r="14" spans="1:12" ht="20" customHeight="1" thickBot="1">
      <c r="A14" s="554">
        <v>1997</v>
      </c>
      <c r="B14" s="820">
        <v>11924.8</v>
      </c>
      <c r="C14" s="821">
        <v>4410.6000000000004</v>
      </c>
      <c r="D14" s="820">
        <v>601.9</v>
      </c>
      <c r="E14" s="311">
        <v>16937.3</v>
      </c>
      <c r="F14" s="1147">
        <v>11360.5</v>
      </c>
      <c r="G14" s="821">
        <v>3288.3</v>
      </c>
      <c r="H14" s="820">
        <v>475.9</v>
      </c>
      <c r="I14" s="311">
        <v>15124.7</v>
      </c>
      <c r="K14"/>
      <c r="L14"/>
    </row>
    <row r="15" spans="1:12" ht="20" customHeight="1" thickBot="1">
      <c r="A15" s="554">
        <v>1998</v>
      </c>
      <c r="B15" s="820">
        <v>12604.2</v>
      </c>
      <c r="C15" s="821">
        <v>4453.3</v>
      </c>
      <c r="D15" s="820">
        <v>637.79999999999995</v>
      </c>
      <c r="E15" s="311">
        <v>17695.3</v>
      </c>
      <c r="F15" s="1147">
        <v>11926.9</v>
      </c>
      <c r="G15" s="821">
        <v>3299.5</v>
      </c>
      <c r="H15" s="820">
        <v>460.1</v>
      </c>
      <c r="I15" s="311">
        <v>15686.5</v>
      </c>
      <c r="K15"/>
      <c r="L15"/>
    </row>
    <row r="16" spans="1:12" ht="20" customHeight="1" thickBot="1">
      <c r="A16" s="554">
        <v>1999</v>
      </c>
      <c r="B16" s="820">
        <v>12949.5</v>
      </c>
      <c r="C16" s="821">
        <v>3766.7</v>
      </c>
      <c r="D16" s="820">
        <v>1098.2</v>
      </c>
      <c r="E16" s="311">
        <v>17814.400000000001</v>
      </c>
      <c r="F16" s="1147">
        <v>12430.6</v>
      </c>
      <c r="G16" s="821">
        <v>2787.1</v>
      </c>
      <c r="H16" s="820">
        <v>763.9</v>
      </c>
      <c r="I16" s="311">
        <v>15981.6</v>
      </c>
      <c r="K16"/>
      <c r="L16"/>
    </row>
    <row r="17" spans="1:12" ht="20" customHeight="1" thickBot="1">
      <c r="A17" s="554">
        <v>2000</v>
      </c>
      <c r="B17" s="820">
        <v>13346.7</v>
      </c>
      <c r="C17" s="821">
        <v>2917.4</v>
      </c>
      <c r="D17" s="820">
        <v>2242.9</v>
      </c>
      <c r="E17" s="311">
        <v>18507</v>
      </c>
      <c r="F17" s="1147">
        <v>13190.3</v>
      </c>
      <c r="G17" s="821">
        <v>2199.1</v>
      </c>
      <c r="H17" s="820">
        <v>1583.8</v>
      </c>
      <c r="I17" s="311">
        <v>16973.2</v>
      </c>
      <c r="K17"/>
      <c r="L17"/>
    </row>
    <row r="18" spans="1:12" ht="20" customHeight="1" thickBot="1">
      <c r="A18" s="554">
        <v>2001</v>
      </c>
      <c r="B18" s="820">
        <v>13954.7</v>
      </c>
      <c r="C18" s="821">
        <v>1986.99</v>
      </c>
      <c r="D18" s="820">
        <v>3190.46</v>
      </c>
      <c r="E18" s="311">
        <v>19132.150000000001</v>
      </c>
      <c r="F18" s="1147">
        <v>13986.27</v>
      </c>
      <c r="G18" s="821">
        <v>1576.7</v>
      </c>
      <c r="H18" s="820">
        <v>2353.3000000000002</v>
      </c>
      <c r="I18" s="311">
        <v>17916.27</v>
      </c>
      <c r="K18"/>
      <c r="L18"/>
    </row>
    <row r="19" spans="1:12" ht="20" customHeight="1" thickBot="1">
      <c r="A19" s="554">
        <v>2002</v>
      </c>
      <c r="B19" s="820">
        <v>15296.16</v>
      </c>
      <c r="C19" s="821">
        <v>1958.4404729999999</v>
      </c>
      <c r="D19" s="820">
        <v>3432.3745709999994</v>
      </c>
      <c r="E19" s="311">
        <v>20686.975043999999</v>
      </c>
      <c r="F19" s="1147">
        <v>14592.75</v>
      </c>
      <c r="G19" s="821">
        <v>1422.34175</v>
      </c>
      <c r="H19" s="820">
        <v>2395.4617459999999</v>
      </c>
      <c r="I19" s="311">
        <v>18410.553496</v>
      </c>
      <c r="K19"/>
      <c r="L19"/>
    </row>
    <row r="20" spans="1:12" ht="20" customHeight="1" thickBot="1">
      <c r="A20" s="554">
        <v>2003</v>
      </c>
      <c r="B20" s="820">
        <v>16759.707467</v>
      </c>
      <c r="C20" s="821">
        <v>1882.6076640000001</v>
      </c>
      <c r="D20" s="820">
        <v>3406.1985699999996</v>
      </c>
      <c r="E20" s="311">
        <v>22048.513701</v>
      </c>
      <c r="F20" s="1147">
        <v>15335.619704000001</v>
      </c>
      <c r="G20" s="821">
        <v>1354.5729260000001</v>
      </c>
      <c r="H20" s="820">
        <v>2360.4405969999998</v>
      </c>
      <c r="I20" s="311">
        <v>19050.633227000002</v>
      </c>
      <c r="K20"/>
      <c r="L20"/>
    </row>
    <row r="21" spans="1:12" ht="20" customHeight="1" thickBot="1">
      <c r="A21" s="554">
        <v>2004</v>
      </c>
      <c r="B21" s="820">
        <v>17979.586842000001</v>
      </c>
      <c r="C21" s="821">
        <v>1358.7895999899999</v>
      </c>
      <c r="D21" s="820">
        <v>4022.0203419999989</v>
      </c>
      <c r="E21" s="311">
        <v>23360.39678399</v>
      </c>
      <c r="F21" s="1147">
        <v>16307.508545000001</v>
      </c>
      <c r="G21" s="821">
        <v>1040.45917962</v>
      </c>
      <c r="H21" s="820">
        <v>2754.9745040000003</v>
      </c>
      <c r="I21" s="311">
        <v>20102.942228620002</v>
      </c>
      <c r="K21"/>
      <c r="L21"/>
    </row>
    <row r="22" spans="1:12" ht="20" customHeight="1" thickBot="1">
      <c r="A22" s="554">
        <v>2005</v>
      </c>
      <c r="B22" s="820">
        <v>18442.676721830001</v>
      </c>
      <c r="C22" s="821">
        <v>1397.6693543900001</v>
      </c>
      <c r="D22" s="820">
        <v>4025.3035210000007</v>
      </c>
      <c r="E22" s="311">
        <v>23865.649597220003</v>
      </c>
      <c r="F22" s="1147">
        <v>17352.720037080002</v>
      </c>
      <c r="G22" s="821">
        <v>1144.4166189</v>
      </c>
      <c r="H22" s="820">
        <v>2812.7367870000003</v>
      </c>
      <c r="I22" s="311">
        <v>21309.873442980002</v>
      </c>
      <c r="K22"/>
      <c r="L22"/>
    </row>
    <row r="23" spans="1:12" ht="20" customHeight="1" thickBot="1">
      <c r="A23" s="554">
        <v>2006</v>
      </c>
      <c r="B23" s="820">
        <v>19234.85838514</v>
      </c>
      <c r="C23" s="821">
        <v>1384.0624223099999</v>
      </c>
      <c r="D23" s="820">
        <v>4199.0627370000002</v>
      </c>
      <c r="E23" s="311">
        <v>24817.983544449999</v>
      </c>
      <c r="F23" s="1147">
        <v>17563.915602790003</v>
      </c>
      <c r="G23" s="821">
        <v>1083.2765844199998</v>
      </c>
      <c r="H23" s="820">
        <v>2891.0596519999999</v>
      </c>
      <c r="I23" s="311">
        <v>21538.251839210003</v>
      </c>
      <c r="K23"/>
      <c r="L23"/>
    </row>
    <row r="24" spans="1:12" ht="24.75" customHeight="1" thickBot="1">
      <c r="A24" s="556">
        <v>2007</v>
      </c>
      <c r="B24" s="872">
        <v>19629.610287169999</v>
      </c>
      <c r="C24" s="873">
        <v>1410.6232075</v>
      </c>
      <c r="D24" s="872">
        <v>4207.0683449999997</v>
      </c>
      <c r="E24" s="873">
        <v>25247.301839669999</v>
      </c>
      <c r="F24" s="1148">
        <v>18423.621994609999</v>
      </c>
      <c r="G24" s="873">
        <v>1170.1273056000002</v>
      </c>
      <c r="H24" s="872">
        <v>3037.7777310000001</v>
      </c>
      <c r="I24" s="873">
        <v>22631.527031209996</v>
      </c>
      <c r="K24"/>
      <c r="L24"/>
    </row>
    <row r="25" spans="1:12" ht="17.25" customHeight="1">
      <c r="A25" s="1085" t="s">
        <v>948</v>
      </c>
      <c r="B25" s="1086"/>
      <c r="C25" s="1086"/>
      <c r="D25" s="1086"/>
      <c r="E25" s="1086"/>
      <c r="F25" s="1086"/>
      <c r="G25" s="1086"/>
      <c r="H25" s="1086"/>
      <c r="I25" s="1086"/>
    </row>
    <row r="26" spans="1:12" ht="13.5" customHeight="1">
      <c r="A26" s="1131"/>
      <c r="B26" s="1132"/>
      <c r="C26" s="1132"/>
      <c r="D26" s="1132"/>
      <c r="E26" s="1132"/>
      <c r="F26" s="1132"/>
      <c r="G26" s="1132"/>
      <c r="H26" s="1132"/>
      <c r="I26" s="1132"/>
    </row>
    <row r="27" spans="1:12">
      <c r="A27" s="348" t="s">
        <v>946</v>
      </c>
      <c r="B27" s="1125"/>
      <c r="C27" s="1125"/>
      <c r="D27" s="1125"/>
      <c r="E27" s="1125"/>
      <c r="F27" s="1125"/>
      <c r="G27" s="1125"/>
      <c r="H27" s="1125"/>
      <c r="I27" s="1125"/>
    </row>
    <row r="28" spans="1:12">
      <c r="A28" s="348" t="s">
        <v>1760</v>
      </c>
      <c r="B28" s="1125"/>
      <c r="C28" s="1125"/>
      <c r="D28" s="1125"/>
      <c r="E28" s="1125"/>
      <c r="F28" s="1125"/>
      <c r="G28" s="1125"/>
      <c r="H28" s="1125"/>
      <c r="I28" s="1125"/>
    </row>
    <row r="29" spans="1:12">
      <c r="A29" s="348" t="s">
        <v>947</v>
      </c>
      <c r="B29" s="1125"/>
      <c r="C29" s="1125"/>
      <c r="D29" s="1125"/>
      <c r="E29" s="1125"/>
      <c r="F29" s="1125"/>
      <c r="G29" s="1125"/>
      <c r="H29" s="1125"/>
      <c r="I29" s="1125"/>
    </row>
    <row r="30" spans="1:12">
      <c r="A30" s="348" t="s">
        <v>1761</v>
      </c>
    </row>
    <row r="31" spans="1:12">
      <c r="A31" s="348" t="s">
        <v>940</v>
      </c>
    </row>
    <row r="32" spans="1:12">
      <c r="A32" s="348" t="s">
        <v>941</v>
      </c>
    </row>
    <row r="35" spans="1:1">
      <c r="A35" s="2" t="s">
        <v>634</v>
      </c>
    </row>
  </sheetData>
  <phoneticPr fontId="0" type="noConversion"/>
  <pageMargins left="0.6" right="0.55000000000000004" top="0.95" bottom="0.49" header="0.45" footer="0.4921259845"/>
  <pageSetup paperSize="9" scale="70" orientation="portrait" horizontalDpi="1200" verticalDpi="120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47F3-9220-B24E-BA75-D9C33B9E6462}">
  <sheetPr>
    <pageSetUpPr fitToPage="1"/>
  </sheetPr>
  <dimension ref="A1:M89"/>
  <sheetViews>
    <sheetView zoomScale="75" workbookViewId="0">
      <selection activeCell="N2" sqref="N2"/>
    </sheetView>
  </sheetViews>
  <sheetFormatPr baseColWidth="10" defaultColWidth="11.3984375" defaultRowHeight="13"/>
  <cols>
    <col min="1" max="1" width="27.19921875" style="2" customWidth="1"/>
    <col min="2" max="2" width="0.59765625" style="2" customWidth="1"/>
    <col min="3" max="12" width="9.19921875" style="2" customWidth="1"/>
    <col min="13" max="13" width="9.796875" style="2" customWidth="1"/>
    <col min="14" max="16384" width="11.3984375" style="2"/>
  </cols>
  <sheetData>
    <row r="1" spans="1:13" s="1" customFormat="1" ht="13.5" customHeight="1">
      <c r="A1" s="381"/>
      <c r="B1" s="381"/>
      <c r="C1" s="381"/>
      <c r="D1" s="381"/>
      <c r="E1" s="381"/>
      <c r="F1" s="381"/>
    </row>
    <row r="2" spans="1:13" s="1" customFormat="1" ht="30.75" customHeight="1">
      <c r="A2" s="1806" t="s">
        <v>1283</v>
      </c>
      <c r="B2" s="1804"/>
      <c r="C2" s="1804"/>
      <c r="D2" s="1804"/>
      <c r="E2" s="1804"/>
      <c r="F2" s="1804"/>
      <c r="G2" s="1804"/>
      <c r="H2" s="1804"/>
      <c r="I2" s="321"/>
      <c r="J2" s="321"/>
      <c r="K2" s="321"/>
    </row>
    <row r="3" spans="1:13" ht="78" customHeight="1">
      <c r="A3" s="1206" t="s">
        <v>1284</v>
      </c>
      <c r="B3" s="1207">
        <v>1996</v>
      </c>
      <c r="C3" s="1159">
        <v>1997</v>
      </c>
      <c r="D3" s="1207">
        <v>1998</v>
      </c>
      <c r="E3" s="1159">
        <v>1999</v>
      </c>
      <c r="F3" s="1207">
        <v>2000</v>
      </c>
      <c r="G3" s="1159">
        <v>2001</v>
      </c>
      <c r="H3" s="1207">
        <v>2002</v>
      </c>
      <c r="I3" s="1159">
        <v>2003</v>
      </c>
      <c r="J3" s="1207">
        <v>2004</v>
      </c>
      <c r="K3" s="1159">
        <v>2005</v>
      </c>
      <c r="L3" s="1207">
        <v>2006</v>
      </c>
      <c r="M3" s="1159">
        <v>2007</v>
      </c>
    </row>
    <row r="4" spans="1:13" ht="30" customHeight="1" thickBot="1">
      <c r="A4" s="1144" t="s">
        <v>1285</v>
      </c>
      <c r="B4" s="358">
        <v>7.5999999999999998E-2</v>
      </c>
      <c r="C4" s="555">
        <v>7.5999999999999998E-2</v>
      </c>
      <c r="D4" s="358">
        <v>7.8E-2</v>
      </c>
      <c r="E4" s="555">
        <v>0.08</v>
      </c>
      <c r="F4" s="358">
        <v>8.3000000000000004E-2</v>
      </c>
      <c r="G4" s="555">
        <v>8.4000000000000005E-2</v>
      </c>
      <c r="H4" s="358">
        <v>8.5999999999999993E-2</v>
      </c>
      <c r="I4" s="555">
        <v>8.5999999999999993E-2</v>
      </c>
      <c r="J4" s="358">
        <v>8.8000000000000009E-2</v>
      </c>
      <c r="K4" s="555">
        <v>8.8000000000000009E-2</v>
      </c>
      <c r="L4" s="358">
        <v>8.6999999999999994E-2</v>
      </c>
      <c r="M4" s="555" t="s">
        <v>59</v>
      </c>
    </row>
    <row r="5" spans="1:13" ht="18" customHeight="1" thickBot="1">
      <c r="A5" s="554" t="s">
        <v>1286</v>
      </c>
      <c r="B5" s="416">
        <v>8.4000000000000005E-2</v>
      </c>
      <c r="C5" s="145">
        <v>8.3000000000000004E-2</v>
      </c>
      <c r="D5" s="416">
        <v>8.4000000000000005E-2</v>
      </c>
      <c r="E5" s="145">
        <v>8.5999999999999993E-2</v>
      </c>
      <c r="F5" s="416">
        <v>8.5999999999999993E-2</v>
      </c>
      <c r="G5" s="145">
        <v>8.6999999999999994E-2</v>
      </c>
      <c r="H5" s="416">
        <v>0.09</v>
      </c>
      <c r="I5" s="145">
        <v>0.105</v>
      </c>
      <c r="J5" s="416">
        <v>0.107</v>
      </c>
      <c r="K5" s="145">
        <v>0.106</v>
      </c>
      <c r="L5" s="416">
        <v>0.10300000000000001</v>
      </c>
      <c r="M5" s="145" t="s">
        <v>59</v>
      </c>
    </row>
    <row r="6" spans="1:13" ht="18" customHeight="1" thickBot="1">
      <c r="A6" s="554" t="s">
        <v>1287</v>
      </c>
      <c r="B6" s="416">
        <v>8.199999999999999E-2</v>
      </c>
      <c r="C6" s="145">
        <v>8.199999999999999E-2</v>
      </c>
      <c r="D6" s="416">
        <v>8.3000000000000004E-2</v>
      </c>
      <c r="E6" s="145">
        <v>8.5000000000000006E-2</v>
      </c>
      <c r="F6" s="416">
        <v>8.3000000000000004E-2</v>
      </c>
      <c r="G6" s="145">
        <v>8.5999999999999993E-2</v>
      </c>
      <c r="H6" s="416">
        <v>8.8000000000000009E-2</v>
      </c>
      <c r="I6" s="145" t="s">
        <v>59</v>
      </c>
      <c r="J6" s="416" t="s">
        <v>59</v>
      </c>
      <c r="K6" s="145" t="s">
        <v>59</v>
      </c>
      <c r="L6" s="416" t="s">
        <v>59</v>
      </c>
      <c r="M6" s="145" t="s">
        <v>59</v>
      </c>
    </row>
    <row r="7" spans="1:13" ht="18" customHeight="1" thickBot="1">
      <c r="A7" s="554" t="s">
        <v>1288</v>
      </c>
      <c r="B7" s="416">
        <v>0.10400000000000001</v>
      </c>
      <c r="C7" s="145">
        <v>0.10199999999999999</v>
      </c>
      <c r="D7" s="416">
        <v>0.10199999999999999</v>
      </c>
      <c r="E7" s="145">
        <v>0.10300000000000001</v>
      </c>
      <c r="F7" s="416">
        <v>0.10300000000000001</v>
      </c>
      <c r="G7" s="145">
        <v>0.10400000000000001</v>
      </c>
      <c r="H7" s="416">
        <v>0.106</v>
      </c>
      <c r="I7" s="145">
        <v>0.10800000000000001</v>
      </c>
      <c r="J7" s="416">
        <v>0.106</v>
      </c>
      <c r="K7" s="145">
        <v>0.107</v>
      </c>
      <c r="L7" s="416">
        <v>0.106</v>
      </c>
      <c r="M7" s="145" t="s">
        <v>59</v>
      </c>
    </row>
    <row r="8" spans="1:13" ht="18" customHeight="1" thickBot="1">
      <c r="A8" s="554" t="s">
        <v>1289</v>
      </c>
      <c r="B8" s="416">
        <v>7.8E-2</v>
      </c>
      <c r="C8" s="145">
        <v>7.400000000000001E-2</v>
      </c>
      <c r="D8" s="416">
        <v>7.2000000000000008E-2</v>
      </c>
      <c r="E8" s="145">
        <v>7.2000000000000008E-2</v>
      </c>
      <c r="F8" s="416">
        <v>7.0000000000000007E-2</v>
      </c>
      <c r="G8" s="145">
        <v>7.2000000000000008E-2</v>
      </c>
      <c r="H8" s="416">
        <v>7.5999999999999998E-2</v>
      </c>
      <c r="I8" s="145">
        <v>0.08</v>
      </c>
      <c r="J8" s="416">
        <v>8.1000000000000003E-2</v>
      </c>
      <c r="K8" s="145">
        <v>8.3000000000000004E-2</v>
      </c>
      <c r="L8" s="416">
        <v>8.199999999999999E-2</v>
      </c>
      <c r="M8" s="145" t="s">
        <v>59</v>
      </c>
    </row>
    <row r="9" spans="1:13" ht="18" customHeight="1" thickBot="1">
      <c r="A9" s="554" t="s">
        <v>1290</v>
      </c>
      <c r="B9" s="416">
        <v>0.10400000000000001</v>
      </c>
      <c r="C9" s="145">
        <v>0.10199999999999999</v>
      </c>
      <c r="D9" s="416">
        <v>0.10099999999999999</v>
      </c>
      <c r="E9" s="145">
        <v>0.10099999999999999</v>
      </c>
      <c r="F9" s="416">
        <v>0.10099999999999999</v>
      </c>
      <c r="G9" s="145">
        <v>0.10199999999999999</v>
      </c>
      <c r="H9" s="416">
        <v>0.105</v>
      </c>
      <c r="I9" s="145">
        <v>0.109</v>
      </c>
      <c r="J9" s="416">
        <v>0.11</v>
      </c>
      <c r="K9" s="145">
        <v>0.111</v>
      </c>
      <c r="L9" s="416">
        <v>0.11</v>
      </c>
      <c r="M9" s="145" t="s">
        <v>59</v>
      </c>
    </row>
    <row r="10" spans="1:13" ht="18" customHeight="1" thickBot="1">
      <c r="A10" s="554" t="s">
        <v>1291</v>
      </c>
      <c r="B10" s="416">
        <v>7.0000000000000007E-2</v>
      </c>
      <c r="C10" s="145">
        <v>6.8000000000000005E-2</v>
      </c>
      <c r="D10" s="416">
        <v>6.8000000000000005E-2</v>
      </c>
      <c r="E10" s="145">
        <v>7.0999999999999994E-2</v>
      </c>
      <c r="F10" s="416">
        <v>7.2000000000000008E-2</v>
      </c>
      <c r="G10" s="145">
        <v>7.4999999999999997E-2</v>
      </c>
      <c r="H10" s="416">
        <v>7.5999999999999998E-2</v>
      </c>
      <c r="I10" s="145">
        <v>7.6999999999999999E-2</v>
      </c>
      <c r="J10" s="416">
        <v>0.08</v>
      </c>
      <c r="K10" s="145">
        <v>8.199999999999999E-2</v>
      </c>
      <c r="L10" s="416">
        <v>8.4000000000000005E-2</v>
      </c>
      <c r="M10" s="145" t="s">
        <v>59</v>
      </c>
    </row>
    <row r="11" spans="1:13" ht="18" customHeight="1" thickBot="1">
      <c r="A11" s="554" t="s">
        <v>1292</v>
      </c>
      <c r="B11" s="416">
        <v>7.400000000000001E-2</v>
      </c>
      <c r="C11" s="145">
        <v>7.6999999999999999E-2</v>
      </c>
      <c r="D11" s="416">
        <v>7.6999999999999999E-2</v>
      </c>
      <c r="E11" s="145">
        <v>7.8E-2</v>
      </c>
      <c r="F11" s="416">
        <v>8.1000000000000003E-2</v>
      </c>
      <c r="G11" s="145">
        <v>8.199999999999999E-2</v>
      </c>
      <c r="H11" s="416">
        <v>8.3000000000000004E-2</v>
      </c>
      <c r="I11" s="145">
        <v>8.3000000000000004E-2</v>
      </c>
      <c r="J11" s="416">
        <v>8.6999999999999994E-2</v>
      </c>
      <c r="K11" s="145">
        <v>8.900000000000001E-2</v>
      </c>
      <c r="L11" s="416">
        <v>0.09</v>
      </c>
      <c r="M11" s="145">
        <v>8.6999999999999994E-2</v>
      </c>
    </row>
    <row r="12" spans="1:13" ht="18" customHeight="1" thickBot="1">
      <c r="A12" s="554" t="s">
        <v>1293</v>
      </c>
      <c r="B12" s="416">
        <v>7.0000000000000007E-2</v>
      </c>
      <c r="C12" s="145">
        <v>7.0000000000000007E-2</v>
      </c>
      <c r="D12" s="416">
        <v>7.2999999999999995E-2</v>
      </c>
      <c r="E12" s="145">
        <v>7.4999999999999997E-2</v>
      </c>
      <c r="F12" s="416">
        <v>7.6999999999999999E-2</v>
      </c>
      <c r="G12" s="145">
        <v>7.9000000000000001E-2</v>
      </c>
      <c r="H12" s="416">
        <v>0.08</v>
      </c>
      <c r="I12" s="145">
        <v>8.1000000000000003E-2</v>
      </c>
      <c r="J12" s="416">
        <v>0.08</v>
      </c>
      <c r="K12" s="145">
        <v>8.199999999999999E-2</v>
      </c>
      <c r="L12" s="416">
        <v>8.1000000000000003E-2</v>
      </c>
      <c r="M12" s="145" t="s">
        <v>59</v>
      </c>
    </row>
    <row r="13" spans="1:13" ht="18" customHeight="1" thickBot="1">
      <c r="A13" s="554" t="s">
        <v>1294</v>
      </c>
      <c r="B13" s="416">
        <v>8.199999999999999E-2</v>
      </c>
      <c r="C13" s="145">
        <v>7.9000000000000001E-2</v>
      </c>
      <c r="D13" s="416">
        <v>8.1000000000000003E-2</v>
      </c>
      <c r="E13" s="145">
        <v>8.1000000000000003E-2</v>
      </c>
      <c r="F13" s="416">
        <v>0.08</v>
      </c>
      <c r="G13" s="145">
        <v>8.3000000000000004E-2</v>
      </c>
      <c r="H13" s="416">
        <v>8.900000000000001E-2</v>
      </c>
      <c r="I13" s="145">
        <v>9.4E-2</v>
      </c>
      <c r="J13" s="416">
        <v>9.5000000000000001E-2</v>
      </c>
      <c r="K13" s="145" t="s">
        <v>59</v>
      </c>
      <c r="L13" s="416" t="s">
        <v>59</v>
      </c>
      <c r="M13" s="145" t="s">
        <v>59</v>
      </c>
    </row>
    <row r="14" spans="1:13" ht="18" customHeight="1" thickBot="1">
      <c r="A14" s="554" t="s">
        <v>1295</v>
      </c>
      <c r="B14" s="416">
        <v>7.8E-2</v>
      </c>
      <c r="C14" s="145">
        <v>8.4000000000000005E-2</v>
      </c>
      <c r="D14" s="416">
        <v>9.3000000000000013E-2</v>
      </c>
      <c r="E14" s="145">
        <v>9.3000000000000013E-2</v>
      </c>
      <c r="F14" s="416">
        <v>8.4000000000000005E-2</v>
      </c>
      <c r="G14" s="145">
        <v>8.8000000000000009E-2</v>
      </c>
      <c r="H14" s="416">
        <v>9.8000000000000004E-2</v>
      </c>
      <c r="I14" s="145">
        <v>0.1</v>
      </c>
      <c r="J14" s="416">
        <v>9.6999999999999989E-2</v>
      </c>
      <c r="K14" s="145">
        <v>9.0999999999999998E-2</v>
      </c>
      <c r="L14" s="416">
        <v>8.6999999999999994E-2</v>
      </c>
      <c r="M14" s="145" t="s">
        <v>59</v>
      </c>
    </row>
    <row r="15" spans="1:13" ht="18" customHeight="1" thickBot="1">
      <c r="A15" s="554" t="s">
        <v>1296</v>
      </c>
      <c r="B15" s="416">
        <v>9.6999999999999989E-2</v>
      </c>
      <c r="C15" s="145">
        <v>9.8000000000000004E-2</v>
      </c>
      <c r="D15" s="416">
        <v>0.1</v>
      </c>
      <c r="E15" s="145">
        <v>0.10099999999999999</v>
      </c>
      <c r="F15" s="416">
        <v>9.9000000000000005E-2</v>
      </c>
      <c r="G15" s="145">
        <v>0.1</v>
      </c>
      <c r="H15" s="416">
        <v>0.10099999999999999</v>
      </c>
      <c r="I15" s="145">
        <v>0.10199999999999999</v>
      </c>
      <c r="J15" s="416">
        <v>0.10300000000000001</v>
      </c>
      <c r="K15" s="145">
        <v>0.10300000000000001</v>
      </c>
      <c r="L15" s="416">
        <v>0.10099999999999999</v>
      </c>
      <c r="M15" s="145" t="s">
        <v>59</v>
      </c>
    </row>
    <row r="16" spans="1:13" ht="18" customHeight="1" thickBot="1">
      <c r="A16" s="554" t="s">
        <v>1297</v>
      </c>
      <c r="B16" s="416">
        <v>8.199999999999999E-2</v>
      </c>
      <c r="C16" s="145">
        <v>8.1000000000000003E-2</v>
      </c>
      <c r="D16" s="416">
        <v>8.199999999999999E-2</v>
      </c>
      <c r="E16" s="145">
        <v>8.3000000000000004E-2</v>
      </c>
      <c r="F16" s="416">
        <v>8.199999999999999E-2</v>
      </c>
      <c r="G16" s="145">
        <v>0.09</v>
      </c>
      <c r="H16" s="416">
        <v>9.3000000000000013E-2</v>
      </c>
      <c r="I16" s="145">
        <v>9.4E-2</v>
      </c>
      <c r="J16" s="416">
        <v>9.1999999999999998E-2</v>
      </c>
      <c r="K16" s="145">
        <v>9.1999999999999998E-2</v>
      </c>
      <c r="L16" s="416">
        <v>9.1999999999999998E-2</v>
      </c>
      <c r="M16" s="145" t="s">
        <v>59</v>
      </c>
    </row>
    <row r="17" spans="1:13" ht="18" customHeight="1" thickBot="1">
      <c r="A17" s="554" t="s">
        <v>1298</v>
      </c>
      <c r="B17" s="416">
        <v>7.4999999999999997E-2</v>
      </c>
      <c r="C17" s="145">
        <v>7.2999999999999995E-2</v>
      </c>
      <c r="D17" s="416">
        <v>7.2999999999999995E-2</v>
      </c>
      <c r="E17" s="145">
        <v>7.2999999999999995E-2</v>
      </c>
      <c r="F17" s="416">
        <v>7.2000000000000008E-2</v>
      </c>
      <c r="G17" s="145">
        <v>7.2000000000000008E-2</v>
      </c>
      <c r="H17" s="416">
        <v>7.2999999999999995E-2</v>
      </c>
      <c r="I17" s="145">
        <v>8.1000000000000003E-2</v>
      </c>
      <c r="J17" s="416">
        <v>8.199999999999999E-2</v>
      </c>
      <c r="K17" s="145">
        <v>8.3000000000000004E-2</v>
      </c>
      <c r="L17" s="416">
        <v>8.4000000000000005E-2</v>
      </c>
      <c r="M17" s="145" t="s">
        <v>59</v>
      </c>
    </row>
    <row r="18" spans="1:13" ht="18" customHeight="1" thickBot="1">
      <c r="A18" s="554" t="s">
        <v>1299</v>
      </c>
      <c r="B18" s="416">
        <v>0.13200000000000001</v>
      </c>
      <c r="C18" s="145">
        <v>0.13100000000000001</v>
      </c>
      <c r="D18" s="416">
        <v>0.13</v>
      </c>
      <c r="E18" s="145">
        <v>0.13100000000000001</v>
      </c>
      <c r="F18" s="416">
        <v>0.13200000000000001</v>
      </c>
      <c r="G18" s="145">
        <v>0.13900000000000001</v>
      </c>
      <c r="H18" s="416">
        <v>0.14699999999999999</v>
      </c>
      <c r="I18" s="145">
        <v>0.151</v>
      </c>
      <c r="J18" s="416">
        <v>0.152</v>
      </c>
      <c r="K18" s="145">
        <v>0.152</v>
      </c>
      <c r="L18" s="416">
        <v>0.153</v>
      </c>
      <c r="M18" s="145" t="s">
        <v>59</v>
      </c>
    </row>
    <row r="19" spans="1:13" s="285" customFormat="1" ht="30" customHeight="1" thickBot="1">
      <c r="A19" s="1249" t="s">
        <v>993</v>
      </c>
      <c r="B19" s="574">
        <v>0.10099999999999999</v>
      </c>
      <c r="C19" s="1097">
        <v>0.10099999999999999</v>
      </c>
      <c r="D19" s="574">
        <v>0.10199999999999999</v>
      </c>
      <c r="E19" s="1097">
        <v>0.10300000000000001</v>
      </c>
      <c r="F19" s="574">
        <v>0.10300000000000001</v>
      </c>
      <c r="G19" s="1097">
        <v>0.107</v>
      </c>
      <c r="H19" s="574">
        <v>0.11</v>
      </c>
      <c r="I19" s="1097">
        <v>0.114</v>
      </c>
      <c r="J19" s="574">
        <v>0.114</v>
      </c>
      <c r="K19" s="1097">
        <v>0.114</v>
      </c>
      <c r="L19" s="574">
        <v>0.113</v>
      </c>
      <c r="M19" s="1097" t="s">
        <v>59</v>
      </c>
    </row>
    <row r="20" spans="1:13" ht="20" customHeight="1">
      <c r="A20" s="1250" t="s">
        <v>1300</v>
      </c>
      <c r="B20" s="300"/>
      <c r="C20" s="300"/>
      <c r="D20" s="300"/>
      <c r="E20" s="300"/>
      <c r="F20" s="300"/>
      <c r="G20" s="300"/>
    </row>
    <row r="21" spans="1:13" ht="11.25" customHeight="1">
      <c r="A21" s="1250"/>
      <c r="B21" s="300"/>
      <c r="C21" s="300"/>
      <c r="D21" s="300"/>
      <c r="E21" s="300"/>
      <c r="F21" s="300"/>
      <c r="G21" s="300"/>
    </row>
    <row r="22" spans="1:13" ht="15.75" customHeight="1">
      <c r="A22" s="1250" t="s">
        <v>1301</v>
      </c>
      <c r="B22" s="300"/>
      <c r="C22" s="300"/>
      <c r="D22" s="300"/>
      <c r="E22" s="300"/>
      <c r="F22" s="300"/>
      <c r="G22" s="300"/>
    </row>
    <row r="23" spans="1:13" ht="18.75" customHeight="1">
      <c r="A23" s="488" t="s">
        <v>1302</v>
      </c>
      <c r="B23" s="300"/>
      <c r="C23" s="300"/>
      <c r="D23" s="300"/>
      <c r="E23" s="300"/>
      <c r="F23" s="300"/>
      <c r="G23" s="300"/>
    </row>
    <row r="24" spans="1:13" ht="14.25" customHeight="1">
      <c r="A24" s="1251"/>
      <c r="B24" s="300"/>
      <c r="C24" s="300"/>
      <c r="D24" s="300"/>
      <c r="E24" s="300"/>
      <c r="F24" s="300"/>
      <c r="G24" s="300"/>
    </row>
    <row r="25" spans="1:13" ht="14.25" customHeight="1">
      <c r="A25" s="946"/>
      <c r="B25" s="300"/>
      <c r="C25" s="300"/>
      <c r="D25" s="300"/>
      <c r="E25" s="300"/>
      <c r="F25" s="300"/>
      <c r="G25" s="300"/>
    </row>
    <row r="26" spans="1:13" ht="18.75" customHeight="1">
      <c r="A26" s="488" t="s">
        <v>634</v>
      </c>
      <c r="B26" s="300"/>
      <c r="C26" s="300"/>
      <c r="D26" s="300"/>
      <c r="E26" s="300"/>
      <c r="F26" s="300"/>
      <c r="G26" s="300"/>
    </row>
    <row r="27" spans="1:13" ht="31" customHeight="1">
      <c r="A27" s="300"/>
      <c r="B27" s="300"/>
      <c r="C27" s="300"/>
      <c r="D27" s="300"/>
      <c r="E27" s="300"/>
      <c r="F27" s="300"/>
      <c r="G27" s="300"/>
      <c r="K27" s="1"/>
    </row>
    <row r="28" spans="1:13" ht="31" customHeight="1">
      <c r="A28" s="300"/>
      <c r="B28" s="300"/>
      <c r="C28" s="300"/>
      <c r="D28" s="300"/>
      <c r="E28" s="300"/>
      <c r="F28" s="300"/>
      <c r="G28" s="300"/>
    </row>
    <row r="29" spans="1:13" ht="31" customHeight="1">
      <c r="A29" s="300"/>
      <c r="B29" s="300"/>
      <c r="C29" s="300"/>
      <c r="D29" s="300"/>
      <c r="E29" s="300"/>
      <c r="F29" s="300"/>
      <c r="G29" s="300"/>
    </row>
    <row r="30" spans="1:13" ht="31" customHeight="1">
      <c r="A30" s="300"/>
      <c r="B30" s="300"/>
      <c r="C30" s="300"/>
      <c r="D30" s="300"/>
      <c r="E30" s="300"/>
      <c r="F30" s="300"/>
      <c r="G30" s="300"/>
    </row>
    <row r="31" spans="1:13" ht="31" customHeight="1">
      <c r="A31" s="300"/>
      <c r="B31" s="300"/>
      <c r="C31" s="300"/>
      <c r="D31" s="300"/>
      <c r="E31" s="300"/>
      <c r="F31" s="300"/>
      <c r="G31" s="300"/>
    </row>
    <row r="32" spans="1:13" ht="31" customHeight="1">
      <c r="A32" s="300"/>
      <c r="B32" s="300"/>
      <c r="C32" s="300"/>
      <c r="D32" s="300"/>
      <c r="E32" s="300"/>
      <c r="F32" s="300"/>
      <c r="G32" s="300"/>
    </row>
    <row r="33" spans="1:7" ht="31" customHeight="1">
      <c r="A33" s="300"/>
      <c r="B33" s="300"/>
      <c r="C33" s="300"/>
      <c r="D33" s="300"/>
      <c r="E33" s="300"/>
      <c r="F33" s="300"/>
      <c r="G33" s="300"/>
    </row>
    <row r="34" spans="1:7">
      <c r="A34" s="300"/>
      <c r="B34" s="300"/>
      <c r="C34" s="300"/>
      <c r="D34" s="300"/>
      <c r="E34" s="300"/>
      <c r="F34" s="300"/>
      <c r="G34" s="300"/>
    </row>
    <row r="35" spans="1:7">
      <c r="A35" s="300"/>
      <c r="B35" s="300"/>
      <c r="C35" s="300"/>
      <c r="D35" s="300"/>
      <c r="E35" s="300"/>
      <c r="F35" s="300"/>
      <c r="G35" s="300"/>
    </row>
    <row r="36" spans="1:7">
      <c r="A36" s="300"/>
      <c r="B36" s="300"/>
      <c r="C36" s="300"/>
      <c r="D36" s="300"/>
      <c r="E36" s="300"/>
      <c r="F36" s="300"/>
      <c r="G36" s="300"/>
    </row>
    <row r="37" spans="1:7">
      <c r="A37" s="300"/>
      <c r="B37" s="300"/>
      <c r="C37" s="300"/>
      <c r="D37" s="300"/>
      <c r="E37" s="300"/>
      <c r="F37" s="300"/>
      <c r="G37" s="300"/>
    </row>
    <row r="38" spans="1:7">
      <c r="A38" s="300"/>
      <c r="B38" s="300"/>
      <c r="C38" s="300"/>
      <c r="D38" s="300"/>
      <c r="E38" s="300"/>
      <c r="F38" s="300"/>
      <c r="G38" s="300"/>
    </row>
    <row r="39" spans="1:7">
      <c r="A39" s="300"/>
      <c r="B39" s="300"/>
      <c r="C39" s="300"/>
      <c r="D39" s="300"/>
      <c r="E39" s="300"/>
      <c r="F39" s="300"/>
      <c r="G39" s="300"/>
    </row>
    <row r="40" spans="1:7">
      <c r="A40" s="300"/>
      <c r="B40" s="300"/>
      <c r="C40" s="300"/>
      <c r="D40" s="300"/>
      <c r="E40" s="300"/>
      <c r="F40" s="300"/>
      <c r="G40" s="300"/>
    </row>
    <row r="41" spans="1:7">
      <c r="A41" s="300"/>
      <c r="B41" s="300"/>
      <c r="C41" s="300"/>
      <c r="D41" s="300"/>
      <c r="E41" s="300"/>
      <c r="F41" s="300"/>
      <c r="G41" s="300"/>
    </row>
    <row r="42" spans="1:7">
      <c r="A42" s="300"/>
      <c r="B42" s="300"/>
      <c r="C42" s="300"/>
      <c r="D42" s="300"/>
      <c r="E42" s="300"/>
      <c r="F42" s="300"/>
      <c r="G42" s="300"/>
    </row>
    <row r="43" spans="1:7">
      <c r="A43" s="300"/>
      <c r="B43" s="300"/>
      <c r="C43" s="300"/>
      <c r="D43" s="300"/>
      <c r="E43" s="300"/>
      <c r="F43" s="300"/>
      <c r="G43" s="300"/>
    </row>
    <row r="44" spans="1:7">
      <c r="A44" s="300"/>
      <c r="B44" s="300"/>
      <c r="C44" s="300"/>
      <c r="D44" s="300"/>
      <c r="E44" s="300"/>
      <c r="F44" s="300"/>
      <c r="G44" s="300"/>
    </row>
    <row r="45" spans="1:7">
      <c r="A45" s="300"/>
      <c r="B45" s="300"/>
      <c r="C45" s="300"/>
      <c r="D45" s="300"/>
      <c r="E45" s="300"/>
      <c r="F45" s="300"/>
      <c r="G45" s="300"/>
    </row>
    <row r="46" spans="1:7">
      <c r="A46" s="300"/>
      <c r="B46" s="300"/>
      <c r="C46" s="300"/>
      <c r="D46" s="300"/>
      <c r="E46" s="300"/>
      <c r="F46" s="300"/>
      <c r="G46" s="300"/>
    </row>
    <row r="47" spans="1:7">
      <c r="A47" s="300"/>
      <c r="B47" s="300"/>
      <c r="C47" s="300"/>
      <c r="D47" s="300"/>
      <c r="E47" s="300"/>
      <c r="F47" s="300"/>
      <c r="G47" s="300"/>
    </row>
    <row r="48" spans="1:7">
      <c r="A48" s="300"/>
      <c r="B48" s="300"/>
      <c r="C48" s="300"/>
      <c r="D48" s="300"/>
      <c r="E48" s="300"/>
      <c r="F48" s="300"/>
      <c r="G48" s="300"/>
    </row>
    <row r="49" spans="1:7">
      <c r="A49" s="300"/>
      <c r="B49" s="300"/>
      <c r="C49" s="300"/>
      <c r="D49" s="300"/>
      <c r="E49" s="300"/>
      <c r="F49" s="300"/>
      <c r="G49" s="300"/>
    </row>
    <row r="50" spans="1:7">
      <c r="A50" s="300"/>
      <c r="B50" s="300"/>
      <c r="C50" s="300"/>
      <c r="D50" s="300"/>
      <c r="E50" s="300"/>
      <c r="F50" s="300"/>
      <c r="G50" s="300"/>
    </row>
    <row r="51" spans="1:7">
      <c r="A51" s="300"/>
      <c r="B51" s="300"/>
      <c r="C51" s="300"/>
      <c r="D51" s="300"/>
      <c r="E51" s="300"/>
      <c r="F51" s="300"/>
      <c r="G51" s="300"/>
    </row>
    <row r="52" spans="1:7">
      <c r="A52" s="300"/>
      <c r="B52" s="300"/>
      <c r="C52" s="300"/>
      <c r="D52" s="300"/>
      <c r="E52" s="300"/>
      <c r="F52" s="300"/>
      <c r="G52" s="300"/>
    </row>
    <row r="53" spans="1:7">
      <c r="A53" s="300"/>
      <c r="B53" s="300"/>
      <c r="C53" s="300"/>
      <c r="D53" s="300"/>
      <c r="E53" s="300"/>
      <c r="F53" s="300"/>
      <c r="G53" s="300"/>
    </row>
    <row r="54" spans="1:7">
      <c r="A54" s="300"/>
      <c r="B54" s="300"/>
      <c r="C54" s="300"/>
      <c r="D54" s="300"/>
      <c r="E54" s="300"/>
      <c r="F54" s="300"/>
      <c r="G54" s="300"/>
    </row>
    <row r="55" spans="1:7">
      <c r="A55" s="300"/>
      <c r="B55" s="300"/>
      <c r="C55" s="300"/>
      <c r="D55" s="300"/>
      <c r="E55" s="300"/>
      <c r="F55" s="300"/>
      <c r="G55" s="300"/>
    </row>
    <row r="56" spans="1:7">
      <c r="A56" s="300"/>
      <c r="B56" s="300"/>
      <c r="C56" s="300"/>
      <c r="D56" s="300"/>
      <c r="E56" s="300"/>
      <c r="F56" s="300"/>
      <c r="G56" s="300"/>
    </row>
    <row r="57" spans="1:7">
      <c r="A57" s="300"/>
      <c r="B57" s="300"/>
      <c r="C57" s="300"/>
      <c r="D57" s="300"/>
      <c r="E57" s="300"/>
      <c r="F57" s="300"/>
      <c r="G57" s="300"/>
    </row>
    <row r="58" spans="1:7">
      <c r="A58" s="300"/>
      <c r="B58" s="300"/>
      <c r="C58" s="300"/>
      <c r="D58" s="300"/>
      <c r="E58" s="300"/>
      <c r="F58" s="300"/>
      <c r="G58" s="300"/>
    </row>
    <row r="59" spans="1:7">
      <c r="A59" s="300"/>
      <c r="B59" s="300"/>
      <c r="C59" s="300"/>
      <c r="D59" s="300"/>
      <c r="E59" s="300"/>
      <c r="F59" s="300"/>
      <c r="G59" s="300"/>
    </row>
    <row r="60" spans="1:7">
      <c r="A60" s="300"/>
      <c r="B60" s="300"/>
      <c r="C60" s="300"/>
      <c r="D60" s="300"/>
      <c r="E60" s="300"/>
      <c r="F60" s="300"/>
      <c r="G60" s="300"/>
    </row>
    <row r="61" spans="1:7">
      <c r="A61" s="300"/>
      <c r="B61" s="300"/>
      <c r="C61" s="300"/>
      <c r="D61" s="300"/>
      <c r="E61" s="300"/>
      <c r="F61" s="300"/>
      <c r="G61" s="300"/>
    </row>
    <row r="62" spans="1:7">
      <c r="A62" s="300"/>
      <c r="B62" s="300"/>
      <c r="C62" s="300"/>
      <c r="D62" s="300"/>
      <c r="E62" s="300"/>
      <c r="F62" s="300"/>
      <c r="G62" s="300"/>
    </row>
    <row r="63" spans="1:7">
      <c r="A63" s="300"/>
      <c r="B63" s="300"/>
      <c r="C63" s="300"/>
      <c r="D63" s="300"/>
      <c r="E63" s="300"/>
      <c r="F63" s="300"/>
      <c r="G63" s="300"/>
    </row>
    <row r="64" spans="1:7">
      <c r="A64" s="300"/>
      <c r="B64" s="300"/>
      <c r="C64" s="300"/>
      <c r="D64" s="300"/>
      <c r="E64" s="300"/>
      <c r="F64" s="300"/>
      <c r="G64" s="300"/>
    </row>
    <row r="65" spans="1:7">
      <c r="A65" s="300"/>
      <c r="B65" s="300"/>
      <c r="C65" s="300"/>
      <c r="D65" s="300"/>
      <c r="E65" s="300"/>
      <c r="F65" s="300"/>
      <c r="G65" s="300"/>
    </row>
    <row r="66" spans="1:7">
      <c r="A66" s="300"/>
      <c r="B66" s="300"/>
      <c r="C66" s="300"/>
      <c r="D66" s="300"/>
      <c r="E66" s="300"/>
      <c r="F66" s="300"/>
      <c r="G66" s="300"/>
    </row>
    <row r="67" spans="1:7">
      <c r="A67" s="300"/>
      <c r="B67" s="300"/>
      <c r="C67" s="300"/>
      <c r="D67" s="300"/>
      <c r="E67" s="300"/>
      <c r="F67" s="300"/>
      <c r="G67" s="300"/>
    </row>
    <row r="68" spans="1:7">
      <c r="A68" s="300"/>
      <c r="B68" s="300"/>
      <c r="C68" s="300"/>
      <c r="D68" s="300"/>
      <c r="E68" s="300"/>
      <c r="F68" s="300"/>
      <c r="G68" s="300"/>
    </row>
    <row r="69" spans="1:7">
      <c r="A69" s="300"/>
      <c r="B69" s="300"/>
      <c r="C69" s="300"/>
      <c r="D69" s="300"/>
      <c r="E69" s="300"/>
      <c r="F69" s="300"/>
      <c r="G69" s="300"/>
    </row>
    <row r="70" spans="1:7">
      <c r="A70" s="300"/>
      <c r="B70" s="300"/>
      <c r="C70" s="300"/>
      <c r="D70" s="300"/>
      <c r="E70" s="300"/>
      <c r="F70" s="300"/>
      <c r="G70" s="300"/>
    </row>
    <row r="71" spans="1:7">
      <c r="A71" s="300"/>
      <c r="B71" s="300"/>
      <c r="C71" s="300"/>
      <c r="D71" s="300"/>
      <c r="E71" s="300"/>
      <c r="F71" s="300"/>
      <c r="G71" s="300"/>
    </row>
    <row r="72" spans="1:7">
      <c r="A72" s="300"/>
      <c r="B72" s="300"/>
      <c r="C72" s="300"/>
      <c r="D72" s="300"/>
      <c r="E72" s="300"/>
      <c r="F72" s="300"/>
      <c r="G72" s="300"/>
    </row>
    <row r="73" spans="1:7">
      <c r="A73" s="300"/>
      <c r="B73" s="300"/>
      <c r="C73" s="300"/>
      <c r="D73" s="300"/>
      <c r="E73" s="300"/>
      <c r="F73" s="300"/>
      <c r="G73" s="300"/>
    </row>
    <row r="74" spans="1:7">
      <c r="A74" s="300"/>
      <c r="B74" s="300"/>
      <c r="C74" s="300"/>
      <c r="D74" s="300"/>
      <c r="E74" s="300"/>
      <c r="F74" s="300"/>
      <c r="G74" s="300"/>
    </row>
    <row r="75" spans="1:7">
      <c r="A75" s="300"/>
      <c r="B75" s="300"/>
      <c r="C75" s="300"/>
      <c r="D75" s="300"/>
      <c r="E75" s="300"/>
      <c r="F75" s="300"/>
      <c r="G75" s="300"/>
    </row>
    <row r="76" spans="1:7">
      <c r="A76" s="300"/>
      <c r="B76" s="300"/>
      <c r="C76" s="300"/>
      <c r="D76" s="300"/>
      <c r="E76" s="300"/>
      <c r="F76" s="300"/>
      <c r="G76" s="300"/>
    </row>
    <row r="77" spans="1:7">
      <c r="A77" s="300"/>
      <c r="B77" s="300"/>
      <c r="C77" s="300"/>
      <c r="D77" s="300"/>
      <c r="E77" s="300"/>
      <c r="F77" s="300"/>
      <c r="G77" s="300"/>
    </row>
    <row r="78" spans="1:7">
      <c r="A78" s="300"/>
      <c r="B78" s="300"/>
      <c r="C78" s="300"/>
      <c r="D78" s="300"/>
      <c r="E78" s="300"/>
      <c r="F78" s="300"/>
      <c r="G78" s="300"/>
    </row>
    <row r="79" spans="1:7">
      <c r="A79" s="300"/>
      <c r="B79" s="300"/>
      <c r="C79" s="300"/>
      <c r="D79" s="300"/>
      <c r="E79" s="300"/>
      <c r="F79" s="300"/>
      <c r="G79" s="300"/>
    </row>
    <row r="80" spans="1:7">
      <c r="A80" s="300"/>
      <c r="B80" s="300"/>
      <c r="C80" s="300"/>
      <c r="D80" s="300"/>
      <c r="E80" s="300"/>
      <c r="F80" s="300"/>
      <c r="G80" s="300"/>
    </row>
    <row r="81" spans="1:7">
      <c r="A81" s="300"/>
      <c r="B81" s="300"/>
      <c r="C81" s="300"/>
      <c r="D81" s="300"/>
      <c r="E81" s="300"/>
      <c r="F81" s="300"/>
      <c r="G81" s="300"/>
    </row>
    <row r="82" spans="1:7">
      <c r="A82" s="300"/>
      <c r="B82" s="300"/>
      <c r="C82" s="300"/>
      <c r="D82" s="300"/>
      <c r="E82" s="300"/>
      <c r="F82" s="300"/>
      <c r="G82" s="300"/>
    </row>
    <row r="83" spans="1:7">
      <c r="A83" s="300"/>
      <c r="B83" s="300"/>
      <c r="C83" s="300"/>
      <c r="D83" s="300"/>
      <c r="E83" s="300"/>
      <c r="F83" s="300"/>
      <c r="G83" s="300"/>
    </row>
    <row r="84" spans="1:7">
      <c r="A84" s="300"/>
      <c r="B84" s="300"/>
      <c r="C84" s="300"/>
      <c r="D84" s="300"/>
      <c r="E84" s="300"/>
      <c r="F84" s="300"/>
      <c r="G84" s="300"/>
    </row>
    <row r="85" spans="1:7">
      <c r="A85" s="300"/>
      <c r="B85" s="300"/>
      <c r="C85" s="300"/>
      <c r="D85" s="300"/>
      <c r="E85" s="300"/>
      <c r="F85" s="300"/>
      <c r="G85" s="300"/>
    </row>
    <row r="86" spans="1:7">
      <c r="A86" s="300"/>
      <c r="B86" s="300"/>
      <c r="C86" s="300"/>
      <c r="D86" s="300"/>
      <c r="E86" s="300"/>
      <c r="F86" s="300"/>
      <c r="G86" s="300"/>
    </row>
    <row r="87" spans="1:7">
      <c r="A87" s="300"/>
      <c r="B87" s="300"/>
      <c r="C87" s="300"/>
      <c r="D87" s="300"/>
      <c r="E87" s="300"/>
      <c r="F87" s="300"/>
      <c r="G87" s="300"/>
    </row>
    <row r="88" spans="1:7">
      <c r="A88" s="300"/>
      <c r="B88" s="300"/>
      <c r="C88" s="300"/>
      <c r="D88" s="300"/>
      <c r="E88" s="300"/>
      <c r="F88" s="300"/>
      <c r="G88" s="300"/>
    </row>
    <row r="89" spans="1:7">
      <c r="A89" s="300"/>
      <c r="B89" s="300"/>
      <c r="C89" s="300"/>
      <c r="D89" s="300"/>
      <c r="E89" s="300"/>
      <c r="F89" s="300"/>
      <c r="G89" s="300"/>
    </row>
  </sheetData>
  <mergeCells count="1">
    <mergeCell ref="A2:H2"/>
  </mergeCells>
  <phoneticPr fontId="0" type="noConversion"/>
  <pageMargins left="0.49" right="0.51" top="0.9" bottom="0.49" header="0.47" footer="0.4921259845"/>
  <pageSetup paperSize="9" scale="72" orientation="portrait" horizontalDpi="1200" verticalDpi="1200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E889-FD00-D243-BE62-C96019FC58C2}">
  <sheetPr>
    <pageSetUpPr fitToPage="1"/>
  </sheetPr>
  <dimension ref="A1:M106"/>
  <sheetViews>
    <sheetView zoomScale="75" workbookViewId="0">
      <selection activeCell="G1" sqref="G1"/>
    </sheetView>
  </sheetViews>
  <sheetFormatPr baseColWidth="10" defaultColWidth="11.3984375" defaultRowHeight="13"/>
  <cols>
    <col min="1" max="1" width="30.59765625" style="2" customWidth="1"/>
    <col min="2" max="2" width="0.3984375" style="2" customWidth="1"/>
    <col min="3" max="10" width="9.59765625" style="2" customWidth="1"/>
    <col min="11" max="13" width="9.3984375" style="2" customWidth="1"/>
    <col min="14" max="16384" width="11.3984375" style="2"/>
  </cols>
  <sheetData>
    <row r="1" spans="1:13" s="1" customFormat="1" ht="13.5" customHeight="1">
      <c r="A1" s="381"/>
      <c r="B1" s="381"/>
      <c r="C1" s="381"/>
      <c r="D1" s="381"/>
      <c r="E1" s="381"/>
    </row>
    <row r="2" spans="1:13" s="1" customFormat="1" ht="36" customHeight="1">
      <c r="A2" s="1806" t="s">
        <v>1324</v>
      </c>
      <c r="B2" s="1804"/>
      <c r="C2" s="1804"/>
      <c r="D2" s="1804"/>
      <c r="E2" s="1804"/>
      <c r="F2" s="1804"/>
      <c r="G2" s="1804"/>
      <c r="H2" s="321"/>
      <c r="I2" s="321"/>
    </row>
    <row r="3" spans="1:13" ht="78" customHeight="1">
      <c r="A3" s="1252" t="s">
        <v>1284</v>
      </c>
      <c r="B3" s="1159">
        <v>1996</v>
      </c>
      <c r="C3" s="1207">
        <v>1997</v>
      </c>
      <c r="D3" s="1159">
        <v>1998</v>
      </c>
      <c r="E3" s="1207">
        <v>1999</v>
      </c>
      <c r="F3" s="1159">
        <v>2000</v>
      </c>
      <c r="G3" s="1207">
        <v>2001</v>
      </c>
      <c r="H3" s="1159">
        <v>2002</v>
      </c>
      <c r="I3" s="1207">
        <v>2003</v>
      </c>
      <c r="J3" s="1159">
        <v>2004</v>
      </c>
      <c r="K3" s="1207">
        <v>2005</v>
      </c>
      <c r="L3" s="1159">
        <v>2006</v>
      </c>
      <c r="M3" s="1207">
        <v>2007</v>
      </c>
    </row>
    <row r="4" spans="1:13" ht="30" customHeight="1" thickBot="1">
      <c r="A4" s="1253" t="s">
        <v>1325</v>
      </c>
      <c r="B4" s="555" t="s">
        <v>59</v>
      </c>
      <c r="C4" s="358" t="s">
        <v>59</v>
      </c>
      <c r="D4" s="555" t="s">
        <v>59</v>
      </c>
      <c r="E4" s="358" t="s">
        <v>59</v>
      </c>
      <c r="F4" s="555">
        <v>7.2000000000000008E-2</v>
      </c>
      <c r="G4" s="358">
        <v>7.2999999999999995E-2</v>
      </c>
      <c r="H4" s="555">
        <v>7.400000000000001E-2</v>
      </c>
      <c r="I4" s="358">
        <v>7.5999999999999998E-2</v>
      </c>
      <c r="J4" s="555">
        <v>7.5999999999999998E-2</v>
      </c>
      <c r="K4" s="358">
        <v>7.5999999999999998E-2</v>
      </c>
      <c r="L4" s="555">
        <v>7.6999999999999999E-2</v>
      </c>
      <c r="M4" s="358" t="s">
        <v>59</v>
      </c>
    </row>
    <row r="5" spans="1:13" ht="18" customHeight="1" thickBot="1">
      <c r="A5" s="1254" t="s">
        <v>1326</v>
      </c>
      <c r="B5" s="145">
        <v>7.400000000000001E-2</v>
      </c>
      <c r="C5" s="416">
        <v>7.2000000000000008E-2</v>
      </c>
      <c r="D5" s="145">
        <v>7.0999999999999994E-2</v>
      </c>
      <c r="E5" s="416">
        <v>7.2000000000000008E-2</v>
      </c>
      <c r="F5" s="145">
        <v>7.2000000000000008E-2</v>
      </c>
      <c r="G5" s="416">
        <v>7.2999999999999995E-2</v>
      </c>
      <c r="H5" s="145">
        <v>7.4999999999999997E-2</v>
      </c>
      <c r="I5" s="416">
        <v>7.5999999999999998E-2</v>
      </c>
      <c r="J5" s="145">
        <v>7.5999999999999998E-2</v>
      </c>
      <c r="K5" s="416">
        <v>7.6999999999999999E-2</v>
      </c>
      <c r="L5" s="145">
        <v>7.6999999999999999E-2</v>
      </c>
      <c r="M5" s="416" t="s">
        <v>59</v>
      </c>
    </row>
    <row r="6" spans="1:13" ht="18" customHeight="1" thickBot="1">
      <c r="A6" s="1254" t="s">
        <v>1303</v>
      </c>
      <c r="B6" s="145">
        <v>6.5000000000000002E-2</v>
      </c>
      <c r="C6" s="416">
        <v>6.0999999999999999E-2</v>
      </c>
      <c r="D6" s="145">
        <v>6.0999999999999999E-2</v>
      </c>
      <c r="E6" s="416">
        <v>6.2E-2</v>
      </c>
      <c r="F6" s="145">
        <v>0.06</v>
      </c>
      <c r="G6" s="416">
        <v>6.2E-2</v>
      </c>
      <c r="H6" s="145">
        <v>6.3E-2</v>
      </c>
      <c r="I6" s="416">
        <v>7.400000000000001E-2</v>
      </c>
      <c r="J6" s="145">
        <v>7.6999999999999999E-2</v>
      </c>
      <c r="K6" s="416">
        <v>7.6999999999999999E-2</v>
      </c>
      <c r="L6" s="145">
        <v>7.400000000000001E-2</v>
      </c>
      <c r="M6" s="416" t="s">
        <v>59</v>
      </c>
    </row>
    <row r="7" spans="1:13" ht="18" customHeight="1" thickBot="1">
      <c r="A7" s="1254" t="s">
        <v>1287</v>
      </c>
      <c r="B7" s="145">
        <v>5.4000000000000006E-2</v>
      </c>
      <c r="C7" s="416">
        <v>5.2999999999999999E-2</v>
      </c>
      <c r="D7" s="145">
        <v>5.5999999999999994E-2</v>
      </c>
      <c r="E7" s="416">
        <v>5.7000000000000002E-2</v>
      </c>
      <c r="F7" s="145">
        <v>5.7000000000000002E-2</v>
      </c>
      <c r="G7" s="416">
        <v>5.7999999999999996E-2</v>
      </c>
      <c r="H7" s="145">
        <v>0.06</v>
      </c>
      <c r="I7" s="416">
        <v>6.0999999999999999E-2</v>
      </c>
      <c r="J7" s="145">
        <v>6.0999999999999999E-2</v>
      </c>
      <c r="K7" s="416">
        <v>6.0999999999999999E-2</v>
      </c>
      <c r="L7" s="145">
        <v>6.0999999999999999E-2</v>
      </c>
      <c r="M7" s="416" t="s">
        <v>59</v>
      </c>
    </row>
    <row r="8" spans="1:13" ht="18" customHeight="1" thickBot="1">
      <c r="A8" s="1254" t="s">
        <v>1288</v>
      </c>
      <c r="B8" s="145">
        <v>8.5000000000000006E-2</v>
      </c>
      <c r="C8" s="416">
        <v>8.199999999999999E-2</v>
      </c>
      <c r="D8" s="145">
        <v>8.1000000000000003E-2</v>
      </c>
      <c r="E8" s="416">
        <v>8.3000000000000004E-2</v>
      </c>
      <c r="F8" s="145">
        <v>8.3000000000000004E-2</v>
      </c>
      <c r="G8" s="416">
        <v>8.4000000000000005E-2</v>
      </c>
      <c r="H8" s="145">
        <v>8.4000000000000005E-2</v>
      </c>
      <c r="I8" s="416">
        <v>8.5000000000000006E-2</v>
      </c>
      <c r="J8" s="145">
        <v>8.1000000000000003E-2</v>
      </c>
      <c r="K8" s="416">
        <v>8.1000000000000003E-2</v>
      </c>
      <c r="L8" s="145">
        <v>0.08</v>
      </c>
      <c r="M8" s="416" t="s">
        <v>59</v>
      </c>
    </row>
    <row r="9" spans="1:13" ht="18" customHeight="1" thickBot="1">
      <c r="A9" s="1254" t="s">
        <v>1304</v>
      </c>
      <c r="B9" s="145">
        <v>4.9000000000000002E-2</v>
      </c>
      <c r="C9" s="416">
        <v>5.0999999999999997E-2</v>
      </c>
      <c r="D9" s="145">
        <v>5.0999999999999997E-2</v>
      </c>
      <c r="E9" s="416">
        <v>5.4000000000000006E-2</v>
      </c>
      <c r="F9" s="145">
        <v>0.06</v>
      </c>
      <c r="G9" s="416">
        <v>6.0999999999999999E-2</v>
      </c>
      <c r="H9" s="145">
        <v>6.0999999999999999E-2</v>
      </c>
      <c r="I9" s="416">
        <v>6.0999999999999999E-2</v>
      </c>
      <c r="J9" s="145">
        <v>6.0999999999999999E-2</v>
      </c>
      <c r="K9" s="416">
        <v>6.6000000000000003E-2</v>
      </c>
      <c r="L9" s="145">
        <v>6.8000000000000005E-2</v>
      </c>
      <c r="M9" s="416" t="s">
        <v>59</v>
      </c>
    </row>
    <row r="10" spans="1:13" ht="18" customHeight="1" thickBot="1">
      <c r="A10" s="1254" t="s">
        <v>1298</v>
      </c>
      <c r="B10" s="145">
        <v>0.06</v>
      </c>
      <c r="C10" s="416">
        <v>5.7999999999999996E-2</v>
      </c>
      <c r="D10" s="145">
        <v>5.7000000000000002E-2</v>
      </c>
      <c r="E10" s="416">
        <v>5.7000000000000002E-2</v>
      </c>
      <c r="F10" s="145">
        <v>5.7999999999999996E-2</v>
      </c>
      <c r="G10" s="416">
        <v>5.7999999999999996E-2</v>
      </c>
      <c r="H10" s="145">
        <v>0.06</v>
      </c>
      <c r="I10" s="416">
        <v>6.2E-2</v>
      </c>
      <c r="J10" s="145">
        <v>6.3E-2</v>
      </c>
      <c r="K10" s="416">
        <v>6.3E-2</v>
      </c>
      <c r="L10" s="145">
        <v>6.4000000000000001E-2</v>
      </c>
      <c r="M10" s="416" t="s">
        <v>59</v>
      </c>
    </row>
    <row r="11" spans="1:13" ht="18" customHeight="1" thickBot="1">
      <c r="A11" s="1254" t="s">
        <v>1290</v>
      </c>
      <c r="B11" s="145">
        <v>8.199999999999999E-2</v>
      </c>
      <c r="C11" s="416">
        <v>8.1000000000000003E-2</v>
      </c>
      <c r="D11" s="145">
        <v>8.1000000000000003E-2</v>
      </c>
      <c r="E11" s="416">
        <v>0.08</v>
      </c>
      <c r="F11" s="145">
        <v>0.08</v>
      </c>
      <c r="G11" s="416">
        <v>8.1000000000000003E-2</v>
      </c>
      <c r="H11" s="145">
        <v>8.4000000000000005E-2</v>
      </c>
      <c r="I11" s="416">
        <v>8.5999999999999993E-2</v>
      </c>
      <c r="J11" s="145">
        <v>8.8000000000000009E-2</v>
      </c>
      <c r="K11" s="416">
        <v>8.8000000000000009E-2</v>
      </c>
      <c r="L11" s="145">
        <v>8.6999999999999994E-2</v>
      </c>
      <c r="M11" s="416" t="s">
        <v>59</v>
      </c>
    </row>
    <row r="12" spans="1:13" ht="18" customHeight="1" thickBot="1">
      <c r="A12" s="1254" t="s">
        <v>1305</v>
      </c>
      <c r="B12" s="145">
        <v>5.9000000000000004E-2</v>
      </c>
      <c r="C12" s="416">
        <v>5.7999999999999996E-2</v>
      </c>
      <c r="D12" s="145">
        <v>5.5E-2</v>
      </c>
      <c r="E12" s="416">
        <v>5.5999999999999994E-2</v>
      </c>
      <c r="F12" s="145">
        <v>5.5E-2</v>
      </c>
      <c r="G12" s="416">
        <v>6.0999999999999999E-2</v>
      </c>
      <c r="H12" s="145">
        <v>6.4000000000000001E-2</v>
      </c>
      <c r="I12" s="416">
        <v>6.6000000000000003E-2</v>
      </c>
      <c r="J12" s="145">
        <v>6.8000000000000005E-2</v>
      </c>
      <c r="K12" s="416">
        <v>6.9000000000000006E-2</v>
      </c>
      <c r="L12" s="145">
        <v>7.0000000000000007E-2</v>
      </c>
      <c r="M12" s="416" t="s">
        <v>59</v>
      </c>
    </row>
    <row r="13" spans="1:13" ht="18" customHeight="1" thickBot="1">
      <c r="A13" s="1254" t="s">
        <v>1292</v>
      </c>
      <c r="B13" s="145">
        <v>5.4000000000000006E-2</v>
      </c>
      <c r="C13" s="416">
        <v>5.5999999999999994E-2</v>
      </c>
      <c r="D13" s="145">
        <v>5.5999999999999994E-2</v>
      </c>
      <c r="E13" s="416">
        <v>5.5999999999999994E-2</v>
      </c>
      <c r="F13" s="145">
        <v>0.06</v>
      </c>
      <c r="G13" s="416">
        <v>6.3E-2</v>
      </c>
      <c r="H13" s="145">
        <v>6.2E-2</v>
      </c>
      <c r="I13" s="416">
        <v>6.2E-2</v>
      </c>
      <c r="J13" s="145">
        <v>6.5000000000000002E-2</v>
      </c>
      <c r="K13" s="416">
        <v>6.8000000000000005E-2</v>
      </c>
      <c r="L13" s="145">
        <v>6.9000000000000006E-2</v>
      </c>
      <c r="M13" s="416" t="s">
        <v>59</v>
      </c>
    </row>
    <row r="14" spans="1:13" ht="18" customHeight="1" thickBot="1">
      <c r="A14" s="1254" t="s">
        <v>1306</v>
      </c>
      <c r="B14" s="145">
        <v>5.2999999999999999E-2</v>
      </c>
      <c r="C14" s="416">
        <v>5.2999999999999999E-2</v>
      </c>
      <c r="D14" s="145">
        <v>5.0999999999999997E-2</v>
      </c>
      <c r="E14" s="416">
        <v>5.0999999999999997E-2</v>
      </c>
      <c r="F14" s="145">
        <v>4.8000000000000001E-2</v>
      </c>
      <c r="G14" s="416">
        <v>5.2000000000000005E-2</v>
      </c>
      <c r="H14" s="145">
        <v>5.4000000000000006E-2</v>
      </c>
      <c r="I14" s="416">
        <v>5.4000000000000006E-2</v>
      </c>
      <c r="J14" s="145">
        <v>5.5E-2</v>
      </c>
      <c r="K14" s="416">
        <v>5.5E-2</v>
      </c>
      <c r="L14" s="145">
        <v>5.0999999999999997E-2</v>
      </c>
      <c r="M14" s="416" t="s">
        <v>59</v>
      </c>
    </row>
    <row r="15" spans="1:13" ht="18" customHeight="1" thickBot="1">
      <c r="A15" s="1254" t="s">
        <v>1294</v>
      </c>
      <c r="B15" s="145">
        <v>7.6999999999999999E-2</v>
      </c>
      <c r="C15" s="416">
        <v>7.400000000000001E-2</v>
      </c>
      <c r="D15" s="145">
        <v>7.2999999999999995E-2</v>
      </c>
      <c r="E15" s="416">
        <v>7.400000000000001E-2</v>
      </c>
      <c r="F15" s="145">
        <v>7.2999999999999995E-2</v>
      </c>
      <c r="G15" s="416">
        <v>7.4999999999999997E-2</v>
      </c>
      <c r="H15" s="145">
        <v>7.9000000000000001E-2</v>
      </c>
      <c r="I15" s="416">
        <v>8.199999999999999E-2</v>
      </c>
      <c r="J15" s="145">
        <v>8.1000000000000003E-2</v>
      </c>
      <c r="K15" s="416">
        <v>0.08</v>
      </c>
      <c r="L15" s="145">
        <v>8.6999999999999994E-2</v>
      </c>
      <c r="M15" s="416" t="s">
        <v>59</v>
      </c>
    </row>
    <row r="16" spans="1:13" ht="18" customHeight="1" thickBot="1">
      <c r="A16" s="1254" t="s">
        <v>1296</v>
      </c>
      <c r="B16" s="145">
        <v>7.0000000000000007E-2</v>
      </c>
      <c r="C16" s="416">
        <v>7.0999999999999994E-2</v>
      </c>
      <c r="D16" s="145">
        <v>7.2000000000000008E-2</v>
      </c>
      <c r="E16" s="416">
        <v>7.400000000000001E-2</v>
      </c>
      <c r="F16" s="145">
        <v>7.0999999999999994E-2</v>
      </c>
      <c r="G16" s="416">
        <v>7.2000000000000008E-2</v>
      </c>
      <c r="H16" s="145">
        <v>7.2000000000000008E-2</v>
      </c>
      <c r="I16" s="416">
        <v>7.2000000000000008E-2</v>
      </c>
      <c r="J16" s="145">
        <v>7.2000000000000008E-2</v>
      </c>
      <c r="K16" s="416">
        <v>7.0999999999999994E-2</v>
      </c>
      <c r="L16" s="145">
        <v>7.0999999999999994E-2</v>
      </c>
      <c r="M16" s="416" t="s">
        <v>59</v>
      </c>
    </row>
    <row r="17" spans="1:13" ht="18" customHeight="1" thickBot="1">
      <c r="A17" s="1254" t="s">
        <v>1307</v>
      </c>
      <c r="B17" s="145">
        <v>5.7000000000000002E-2</v>
      </c>
      <c r="C17" s="416">
        <v>5.7000000000000002E-2</v>
      </c>
      <c r="D17" s="145">
        <v>5.9000000000000004E-2</v>
      </c>
      <c r="E17" s="416">
        <v>6.0999999999999999E-2</v>
      </c>
      <c r="F17" s="145">
        <v>6.2E-2</v>
      </c>
      <c r="G17" s="416">
        <v>6.3E-2</v>
      </c>
      <c r="H17" s="145">
        <v>6.7000000000000004E-2</v>
      </c>
      <c r="I17" s="416">
        <v>6.4000000000000001E-2</v>
      </c>
      <c r="J17" s="145">
        <v>7.0000000000000007E-2</v>
      </c>
      <c r="K17" s="416">
        <v>7.0999999999999994E-2</v>
      </c>
      <c r="L17" s="145">
        <v>6.9000000000000006E-2</v>
      </c>
      <c r="M17" s="416" t="s">
        <v>59</v>
      </c>
    </row>
    <row r="18" spans="1:13" ht="18" customHeight="1" thickBot="1">
      <c r="A18" s="1254" t="s">
        <v>1289</v>
      </c>
      <c r="B18" s="145">
        <v>6.5000000000000002E-2</v>
      </c>
      <c r="C18" s="416">
        <v>6.2E-2</v>
      </c>
      <c r="D18" s="145">
        <v>5.9000000000000004E-2</v>
      </c>
      <c r="E18" s="416">
        <v>5.9000000000000004E-2</v>
      </c>
      <c r="F18" s="145">
        <v>5.7999999999999996E-2</v>
      </c>
      <c r="G18" s="416">
        <v>5.9000000000000004E-2</v>
      </c>
      <c r="H18" s="145">
        <v>6.2E-2</v>
      </c>
      <c r="I18" s="416">
        <v>6.4000000000000001E-2</v>
      </c>
      <c r="J18" s="145">
        <v>6.6000000000000003E-2</v>
      </c>
      <c r="K18" s="416">
        <v>6.7000000000000004E-2</v>
      </c>
      <c r="L18" s="145">
        <v>6.6000000000000003E-2</v>
      </c>
      <c r="M18" s="416" t="s">
        <v>59</v>
      </c>
    </row>
    <row r="19" spans="1:13" ht="18" customHeight="1" thickBot="1">
      <c r="A19" s="1254" t="s">
        <v>1297</v>
      </c>
      <c r="B19" s="145">
        <v>7.2000000000000008E-2</v>
      </c>
      <c r="C19" s="416">
        <v>7.2999999999999995E-2</v>
      </c>
      <c r="D19" s="145">
        <v>7.4999999999999997E-2</v>
      </c>
      <c r="E19" s="416">
        <v>7.6999999999999999E-2</v>
      </c>
      <c r="F19" s="145">
        <v>0.08</v>
      </c>
      <c r="G19" s="416">
        <v>8.4000000000000005E-2</v>
      </c>
      <c r="H19" s="145">
        <v>8.6999999999999994E-2</v>
      </c>
      <c r="I19" s="416">
        <v>8.8000000000000009E-2</v>
      </c>
      <c r="J19" s="145">
        <v>8.3000000000000004E-2</v>
      </c>
      <c r="K19" s="416">
        <v>0.08</v>
      </c>
      <c r="L19" s="145">
        <v>7.8E-2</v>
      </c>
      <c r="M19" s="416" t="s">
        <v>59</v>
      </c>
    </row>
    <row r="20" spans="1:13" ht="18" customHeight="1" thickBot="1">
      <c r="A20" s="1254" t="s">
        <v>1308</v>
      </c>
      <c r="B20" s="145">
        <v>6.3E-2</v>
      </c>
      <c r="C20" s="416">
        <v>6.2E-2</v>
      </c>
      <c r="D20" s="145">
        <v>6.4000000000000001E-2</v>
      </c>
      <c r="E20" s="416">
        <v>6.3E-2</v>
      </c>
      <c r="F20" s="145">
        <v>6.5000000000000002E-2</v>
      </c>
      <c r="G20" s="416">
        <v>7.0999999999999994E-2</v>
      </c>
      <c r="H20" s="145">
        <v>7.0999999999999994E-2</v>
      </c>
      <c r="I20" s="416">
        <v>7.5999999999999998E-2</v>
      </c>
      <c r="J20" s="145">
        <v>7.8E-2</v>
      </c>
      <c r="K20" s="416">
        <v>0.08</v>
      </c>
      <c r="L20" s="145">
        <v>8.199999999999999E-2</v>
      </c>
      <c r="M20" s="416" t="s">
        <v>59</v>
      </c>
    </row>
    <row r="21" spans="1:13" ht="18" customHeight="1" thickBot="1">
      <c r="A21" s="1254" t="s">
        <v>1309</v>
      </c>
      <c r="B21" s="145">
        <v>6.9000000000000006E-2</v>
      </c>
      <c r="C21" s="416">
        <v>6.8000000000000005E-2</v>
      </c>
      <c r="D21" s="145">
        <v>6.8000000000000005E-2</v>
      </c>
      <c r="E21" s="416">
        <v>7.400000000000001E-2</v>
      </c>
      <c r="F21" s="145">
        <v>7.400000000000001E-2</v>
      </c>
      <c r="G21" s="416">
        <v>7.400000000000001E-2</v>
      </c>
      <c r="H21" s="145">
        <v>7.8E-2</v>
      </c>
      <c r="I21" s="416">
        <v>8.199999999999999E-2</v>
      </c>
      <c r="J21" s="145">
        <v>7.8E-2</v>
      </c>
      <c r="K21" s="416">
        <v>7.400000000000001E-2</v>
      </c>
      <c r="L21" s="145">
        <v>7.2999999999999995E-2</v>
      </c>
      <c r="M21" s="416" t="s">
        <v>59</v>
      </c>
    </row>
    <row r="22" spans="1:13" ht="18" customHeight="1" thickBot="1">
      <c r="A22" s="1254" t="s">
        <v>1295</v>
      </c>
      <c r="B22" s="145">
        <v>7.5999999999999998E-2</v>
      </c>
      <c r="C22" s="416">
        <v>7.6999999999999999E-2</v>
      </c>
      <c r="D22" s="145">
        <v>8.5999999999999993E-2</v>
      </c>
      <c r="E22" s="416">
        <v>8.5999999999999993E-2</v>
      </c>
      <c r="F22" s="145">
        <v>8.199999999999999E-2</v>
      </c>
      <c r="G22" s="416">
        <v>8.5999999999999993E-2</v>
      </c>
      <c r="H22" s="145">
        <v>8.6999999999999994E-2</v>
      </c>
      <c r="I22" s="416">
        <v>9.1999999999999998E-2</v>
      </c>
      <c r="J22" s="145">
        <v>8.4000000000000005E-2</v>
      </c>
      <c r="K22" s="416">
        <v>7.4999999999999997E-2</v>
      </c>
      <c r="L22" s="145">
        <v>7.2000000000000008E-2</v>
      </c>
      <c r="M22" s="416" t="s">
        <v>59</v>
      </c>
    </row>
    <row r="23" spans="1:13" s="285" customFormat="1" ht="30" customHeight="1" thickBot="1">
      <c r="A23" s="1255" t="s">
        <v>1205</v>
      </c>
      <c r="B23" s="1097">
        <v>5.9000000000000004E-2</v>
      </c>
      <c r="C23" s="574">
        <v>5.9000000000000004E-2</v>
      </c>
      <c r="D23" s="1097">
        <v>6.2E-2</v>
      </c>
      <c r="E23" s="574">
        <v>6.0999999999999999E-2</v>
      </c>
      <c r="F23" s="1097">
        <v>6.2E-2</v>
      </c>
      <c r="G23" s="574">
        <v>6.5000000000000002E-2</v>
      </c>
      <c r="H23" s="1097">
        <v>6.9000000000000006E-2</v>
      </c>
      <c r="I23" s="574">
        <v>7.0000000000000007E-2</v>
      </c>
      <c r="J23" s="1097">
        <v>7.0999999999999994E-2</v>
      </c>
      <c r="K23" s="574">
        <v>7.2000000000000008E-2</v>
      </c>
      <c r="L23" s="1097">
        <v>6.9000000000000006E-2</v>
      </c>
      <c r="M23" s="574" t="s">
        <v>59</v>
      </c>
    </row>
    <row r="24" spans="1:13" ht="20" customHeight="1">
      <c r="A24" s="1250" t="s">
        <v>1300</v>
      </c>
      <c r="B24" s="300"/>
      <c r="C24" s="300"/>
      <c r="D24" s="300"/>
      <c r="E24" s="300"/>
      <c r="F24" s="300"/>
    </row>
    <row r="25" spans="1:13" ht="15" customHeight="1">
      <c r="A25" s="1250"/>
      <c r="B25" s="300"/>
      <c r="C25" s="300"/>
      <c r="D25" s="300"/>
      <c r="E25" s="300"/>
      <c r="F25" s="300"/>
    </row>
    <row r="26" spans="1:13" s="300" customFormat="1" ht="13.5" customHeight="1">
      <c r="A26" s="1250" t="s">
        <v>1310</v>
      </c>
    </row>
    <row r="27" spans="1:13" s="300" customFormat="1" ht="13.5" customHeight="1">
      <c r="A27" s="1250" t="s">
        <v>1311</v>
      </c>
    </row>
    <row r="28" spans="1:13" s="300" customFormat="1" ht="13.5" customHeight="1">
      <c r="A28" s="1250" t="s">
        <v>1312</v>
      </c>
    </row>
    <row r="29" spans="1:13" s="300" customFormat="1" ht="13.5" customHeight="1">
      <c r="A29" s="1250" t="s">
        <v>1313</v>
      </c>
    </row>
    <row r="30" spans="1:13" s="300" customFormat="1" ht="13.5" customHeight="1">
      <c r="A30" s="1250" t="s">
        <v>1314</v>
      </c>
    </row>
    <row r="31" spans="1:13" ht="13.5" customHeight="1">
      <c r="A31" s="1256" t="s">
        <v>1315</v>
      </c>
      <c r="B31" s="380"/>
      <c r="C31" s="380"/>
      <c r="D31" s="380"/>
      <c r="E31" s="380"/>
    </row>
    <row r="32" spans="1:13" ht="13.5" customHeight="1">
      <c r="A32" s="1256" t="s">
        <v>1316</v>
      </c>
      <c r="B32" s="380"/>
      <c r="C32" s="380"/>
      <c r="D32" s="380"/>
      <c r="E32" s="380"/>
    </row>
    <row r="33" spans="1:10" ht="13.5" customHeight="1">
      <c r="A33" s="1256" t="s">
        <v>1317</v>
      </c>
      <c r="B33" s="380"/>
      <c r="C33" s="380"/>
      <c r="D33" s="380"/>
      <c r="E33" s="380"/>
    </row>
    <row r="34" spans="1:10" ht="13.5" customHeight="1">
      <c r="A34" s="1256" t="s">
        <v>1318</v>
      </c>
      <c r="B34" s="380"/>
      <c r="C34" s="380"/>
      <c r="D34" s="380"/>
      <c r="E34" s="380"/>
    </row>
    <row r="35" spans="1:10" ht="13.5" customHeight="1">
      <c r="A35" s="1256" t="s">
        <v>1319</v>
      </c>
      <c r="B35" s="380"/>
      <c r="C35" s="380"/>
      <c r="D35" s="380"/>
      <c r="E35" s="380"/>
    </row>
    <row r="36" spans="1:10" ht="13.5" customHeight="1">
      <c r="A36" s="1256" t="s">
        <v>1320</v>
      </c>
      <c r="B36" s="380"/>
      <c r="C36" s="380"/>
      <c r="D36" s="380"/>
      <c r="E36" s="380"/>
    </row>
    <row r="37" spans="1:10" ht="13.5" customHeight="1">
      <c r="A37" s="1256"/>
      <c r="B37" s="380"/>
      <c r="C37" s="380"/>
      <c r="D37" s="380"/>
      <c r="E37" s="380"/>
    </row>
    <row r="38" spans="1:10" ht="12.75" customHeight="1">
      <c r="A38" s="1250" t="s">
        <v>1321</v>
      </c>
      <c r="B38" s="300"/>
      <c r="C38" s="300"/>
      <c r="D38" s="300"/>
      <c r="E38" s="300"/>
      <c r="F38" s="300"/>
    </row>
    <row r="39" spans="1:10" ht="12.75" customHeight="1">
      <c r="A39" s="1257" t="s">
        <v>1322</v>
      </c>
      <c r="B39" s="300"/>
      <c r="C39" s="300"/>
      <c r="D39" s="300"/>
      <c r="E39" s="300"/>
      <c r="F39" s="300"/>
    </row>
    <row r="40" spans="1:10" ht="12.75" customHeight="1">
      <c r="A40" s="1257" t="s">
        <v>1323</v>
      </c>
      <c r="B40" s="300"/>
      <c r="C40" s="300"/>
      <c r="D40" s="300"/>
      <c r="E40" s="300"/>
      <c r="F40" s="300"/>
    </row>
    <row r="41" spans="1:10" ht="12.75" customHeight="1">
      <c r="A41" s="1257"/>
      <c r="B41" s="300"/>
      <c r="C41" s="300"/>
      <c r="D41" s="300"/>
      <c r="E41" s="300"/>
      <c r="F41" s="300"/>
    </row>
    <row r="42" spans="1:10" ht="17.25" customHeight="1">
      <c r="A42" s="946"/>
      <c r="B42" s="300"/>
      <c r="C42" s="300"/>
      <c r="D42" s="300"/>
      <c r="E42" s="300"/>
      <c r="F42" s="300"/>
    </row>
    <row r="43" spans="1:10" ht="18.75" customHeight="1">
      <c r="A43" s="488" t="s">
        <v>634</v>
      </c>
      <c r="B43" s="300"/>
      <c r="C43" s="300"/>
      <c r="D43" s="300"/>
      <c r="E43" s="300"/>
      <c r="F43" s="300"/>
    </row>
    <row r="44" spans="1:10" ht="31" customHeight="1">
      <c r="A44" s="300"/>
      <c r="B44" s="300"/>
      <c r="C44" s="300"/>
      <c r="D44" s="300"/>
      <c r="E44" s="300"/>
      <c r="F44" s="300"/>
      <c r="J44" s="1"/>
    </row>
    <row r="45" spans="1:10" ht="31" customHeight="1">
      <c r="A45" s="300"/>
      <c r="B45" s="300"/>
      <c r="C45" s="300"/>
      <c r="D45" s="300"/>
      <c r="E45" s="300"/>
      <c r="F45" s="300"/>
    </row>
    <row r="46" spans="1:10" ht="31" customHeight="1">
      <c r="A46" s="300"/>
      <c r="B46" s="300"/>
      <c r="C46" s="300"/>
      <c r="D46" s="300"/>
      <c r="E46" s="300"/>
      <c r="F46" s="300"/>
    </row>
    <row r="47" spans="1:10" ht="31" customHeight="1">
      <c r="A47" s="300"/>
      <c r="B47" s="300"/>
      <c r="C47" s="300"/>
      <c r="D47" s="300"/>
      <c r="E47" s="300"/>
      <c r="F47" s="300"/>
    </row>
    <row r="48" spans="1:10" ht="31" customHeight="1">
      <c r="A48" s="300"/>
      <c r="B48" s="300"/>
      <c r="C48" s="300"/>
      <c r="D48" s="300"/>
      <c r="E48" s="300"/>
      <c r="F48" s="300"/>
    </row>
    <row r="49" spans="1:6" ht="31" customHeight="1">
      <c r="A49" s="300"/>
      <c r="B49" s="300"/>
      <c r="C49" s="300"/>
      <c r="D49" s="300"/>
      <c r="E49" s="300"/>
      <c r="F49" s="300"/>
    </row>
    <row r="50" spans="1:6" ht="31" customHeight="1">
      <c r="A50" s="300"/>
      <c r="B50" s="300"/>
      <c r="C50" s="300"/>
      <c r="D50" s="300"/>
      <c r="E50" s="300"/>
      <c r="F50" s="300"/>
    </row>
    <row r="51" spans="1:6">
      <c r="A51" s="300"/>
      <c r="B51" s="300"/>
      <c r="C51" s="300"/>
      <c r="D51" s="300"/>
      <c r="E51" s="300"/>
      <c r="F51" s="300"/>
    </row>
    <row r="52" spans="1:6">
      <c r="A52" s="300"/>
      <c r="B52" s="300"/>
      <c r="C52" s="300"/>
      <c r="D52" s="300"/>
      <c r="E52" s="300"/>
      <c r="F52" s="300"/>
    </row>
    <row r="53" spans="1:6">
      <c r="A53" s="300"/>
      <c r="B53" s="300"/>
      <c r="C53" s="300"/>
      <c r="D53" s="300"/>
      <c r="E53" s="300"/>
      <c r="F53" s="300"/>
    </row>
    <row r="54" spans="1:6">
      <c r="A54" s="300"/>
      <c r="B54" s="300"/>
      <c r="C54" s="300"/>
      <c r="D54" s="300"/>
      <c r="E54" s="300"/>
      <c r="F54" s="300"/>
    </row>
    <row r="55" spans="1:6">
      <c r="A55" s="300"/>
      <c r="B55" s="300"/>
      <c r="C55" s="300"/>
      <c r="D55" s="300"/>
      <c r="E55" s="300"/>
      <c r="F55" s="300"/>
    </row>
    <row r="56" spans="1:6">
      <c r="A56" s="300"/>
      <c r="B56" s="300"/>
      <c r="C56" s="300"/>
      <c r="D56" s="300"/>
      <c r="E56" s="300"/>
      <c r="F56" s="300"/>
    </row>
    <row r="57" spans="1:6">
      <c r="A57" s="300"/>
      <c r="B57" s="300"/>
      <c r="C57" s="300"/>
      <c r="D57" s="300"/>
      <c r="E57" s="300"/>
      <c r="F57" s="300"/>
    </row>
    <row r="58" spans="1:6">
      <c r="A58" s="300"/>
      <c r="B58" s="300"/>
      <c r="C58" s="300"/>
      <c r="D58" s="300"/>
      <c r="E58" s="300"/>
      <c r="F58" s="300"/>
    </row>
    <row r="59" spans="1:6">
      <c r="A59" s="300"/>
      <c r="B59" s="300"/>
      <c r="C59" s="300"/>
      <c r="D59" s="300"/>
      <c r="E59" s="300"/>
      <c r="F59" s="300"/>
    </row>
    <row r="60" spans="1:6">
      <c r="A60" s="300"/>
      <c r="B60" s="300"/>
      <c r="C60" s="300"/>
      <c r="D60" s="300"/>
      <c r="E60" s="300"/>
      <c r="F60" s="300"/>
    </row>
    <row r="61" spans="1:6">
      <c r="A61" s="300"/>
      <c r="B61" s="300"/>
      <c r="C61" s="300"/>
      <c r="D61" s="300"/>
      <c r="E61" s="300"/>
      <c r="F61" s="300"/>
    </row>
    <row r="62" spans="1:6">
      <c r="A62" s="300"/>
      <c r="B62" s="300"/>
      <c r="C62" s="300"/>
      <c r="D62" s="300"/>
      <c r="E62" s="300"/>
      <c r="F62" s="300"/>
    </row>
    <row r="63" spans="1:6">
      <c r="A63" s="300"/>
      <c r="B63" s="300"/>
      <c r="C63" s="300"/>
      <c r="D63" s="300"/>
      <c r="E63" s="300"/>
      <c r="F63" s="300"/>
    </row>
    <row r="64" spans="1:6">
      <c r="A64" s="300"/>
      <c r="B64" s="300"/>
      <c r="C64" s="300"/>
      <c r="D64" s="300"/>
      <c r="E64" s="300"/>
      <c r="F64" s="300"/>
    </row>
    <row r="65" spans="1:6">
      <c r="A65" s="300"/>
      <c r="B65" s="300"/>
      <c r="C65" s="300"/>
      <c r="D65" s="300"/>
      <c r="E65" s="300"/>
      <c r="F65" s="300"/>
    </row>
    <row r="66" spans="1:6">
      <c r="A66" s="300"/>
      <c r="B66" s="300"/>
      <c r="C66" s="300"/>
      <c r="D66" s="300"/>
      <c r="E66" s="300"/>
      <c r="F66" s="300"/>
    </row>
    <row r="67" spans="1:6">
      <c r="A67" s="300"/>
      <c r="B67" s="300"/>
      <c r="C67" s="300"/>
      <c r="D67" s="300"/>
      <c r="E67" s="300"/>
      <c r="F67" s="300"/>
    </row>
    <row r="68" spans="1:6">
      <c r="A68" s="300"/>
      <c r="B68" s="300"/>
      <c r="C68" s="300"/>
      <c r="D68" s="300"/>
      <c r="E68" s="300"/>
      <c r="F68" s="300"/>
    </row>
    <row r="69" spans="1:6">
      <c r="A69" s="300"/>
      <c r="B69" s="300"/>
      <c r="C69" s="300"/>
      <c r="D69" s="300"/>
      <c r="E69" s="300"/>
      <c r="F69" s="300"/>
    </row>
    <row r="70" spans="1:6">
      <c r="A70" s="300"/>
      <c r="B70" s="300"/>
      <c r="C70" s="300"/>
      <c r="D70" s="300"/>
      <c r="E70" s="300"/>
      <c r="F70" s="300"/>
    </row>
    <row r="71" spans="1:6">
      <c r="A71" s="300"/>
      <c r="B71" s="300"/>
      <c r="C71" s="300"/>
      <c r="D71" s="300"/>
      <c r="E71" s="300"/>
      <c r="F71" s="300"/>
    </row>
    <row r="72" spans="1:6">
      <c r="A72" s="300"/>
      <c r="B72" s="300"/>
      <c r="C72" s="300"/>
      <c r="D72" s="300"/>
      <c r="E72" s="300"/>
      <c r="F72" s="300"/>
    </row>
    <row r="73" spans="1:6">
      <c r="A73" s="300"/>
      <c r="B73" s="300"/>
      <c r="C73" s="300"/>
      <c r="D73" s="300"/>
      <c r="E73" s="300"/>
      <c r="F73" s="300"/>
    </row>
    <row r="74" spans="1:6">
      <c r="A74" s="300"/>
      <c r="B74" s="300"/>
      <c r="C74" s="300"/>
      <c r="D74" s="300"/>
      <c r="E74" s="300"/>
      <c r="F74" s="300"/>
    </row>
    <row r="75" spans="1:6">
      <c r="A75" s="300"/>
      <c r="B75" s="300"/>
      <c r="C75" s="300"/>
      <c r="D75" s="300"/>
      <c r="E75" s="300"/>
      <c r="F75" s="300"/>
    </row>
    <row r="76" spans="1:6">
      <c r="A76" s="300"/>
      <c r="B76" s="300"/>
      <c r="C76" s="300"/>
      <c r="D76" s="300"/>
      <c r="E76" s="300"/>
      <c r="F76" s="300"/>
    </row>
    <row r="77" spans="1:6">
      <c r="A77" s="300"/>
      <c r="B77" s="300"/>
      <c r="C77" s="300"/>
      <c r="D77" s="300"/>
      <c r="E77" s="300"/>
      <c r="F77" s="300"/>
    </row>
    <row r="78" spans="1:6">
      <c r="A78" s="300"/>
      <c r="B78" s="300"/>
      <c r="C78" s="300"/>
      <c r="D78" s="300"/>
      <c r="E78" s="300"/>
      <c r="F78" s="300"/>
    </row>
    <row r="79" spans="1:6">
      <c r="A79" s="300"/>
      <c r="B79" s="300"/>
      <c r="C79" s="300"/>
      <c r="D79" s="300"/>
      <c r="E79" s="300"/>
      <c r="F79" s="300"/>
    </row>
    <row r="80" spans="1:6">
      <c r="A80" s="300"/>
      <c r="B80" s="300"/>
      <c r="C80" s="300"/>
      <c r="D80" s="300"/>
      <c r="E80" s="300"/>
      <c r="F80" s="300"/>
    </row>
    <row r="81" spans="1:6">
      <c r="A81" s="300"/>
      <c r="B81" s="300"/>
      <c r="C81" s="300"/>
      <c r="D81" s="300"/>
      <c r="E81" s="300"/>
      <c r="F81" s="300"/>
    </row>
    <row r="82" spans="1:6">
      <c r="A82" s="300"/>
      <c r="B82" s="300"/>
      <c r="C82" s="300"/>
      <c r="D82" s="300"/>
      <c r="E82" s="300"/>
      <c r="F82" s="300"/>
    </row>
    <row r="83" spans="1:6">
      <c r="A83" s="300"/>
      <c r="B83" s="300"/>
      <c r="C83" s="300"/>
      <c r="D83" s="300"/>
      <c r="E83" s="300"/>
      <c r="F83" s="300"/>
    </row>
    <row r="84" spans="1:6">
      <c r="A84" s="300"/>
      <c r="B84" s="300"/>
      <c r="C84" s="300"/>
      <c r="D84" s="300"/>
      <c r="E84" s="300"/>
      <c r="F84" s="300"/>
    </row>
    <row r="85" spans="1:6">
      <c r="A85" s="300"/>
      <c r="B85" s="300"/>
      <c r="C85" s="300"/>
      <c r="D85" s="300"/>
      <c r="E85" s="300"/>
      <c r="F85" s="300"/>
    </row>
    <row r="86" spans="1:6">
      <c r="A86" s="300"/>
      <c r="B86" s="300"/>
      <c r="C86" s="300"/>
      <c r="D86" s="300"/>
      <c r="E86" s="300"/>
      <c r="F86" s="300"/>
    </row>
    <row r="87" spans="1:6">
      <c r="A87" s="300"/>
      <c r="B87" s="300"/>
      <c r="C87" s="300"/>
      <c r="D87" s="300"/>
      <c r="E87" s="300"/>
      <c r="F87" s="300"/>
    </row>
    <row r="88" spans="1:6">
      <c r="A88" s="300"/>
      <c r="B88" s="300"/>
      <c r="C88" s="300"/>
      <c r="D88" s="300"/>
      <c r="E88" s="300"/>
      <c r="F88" s="300"/>
    </row>
    <row r="89" spans="1:6">
      <c r="A89" s="300"/>
      <c r="B89" s="300"/>
      <c r="C89" s="300"/>
      <c r="D89" s="300"/>
      <c r="E89" s="300"/>
      <c r="F89" s="300"/>
    </row>
    <row r="90" spans="1:6">
      <c r="A90" s="300"/>
      <c r="B90" s="300"/>
      <c r="C90" s="300"/>
      <c r="D90" s="300"/>
      <c r="E90" s="300"/>
      <c r="F90" s="300"/>
    </row>
    <row r="91" spans="1:6">
      <c r="A91" s="300"/>
      <c r="B91" s="300"/>
      <c r="C91" s="300"/>
      <c r="D91" s="300"/>
      <c r="E91" s="300"/>
      <c r="F91" s="300"/>
    </row>
    <row r="92" spans="1:6">
      <c r="A92" s="300"/>
      <c r="B92" s="300"/>
      <c r="C92" s="300"/>
      <c r="D92" s="300"/>
      <c r="E92" s="300"/>
      <c r="F92" s="300"/>
    </row>
    <row r="93" spans="1:6">
      <c r="A93" s="300"/>
      <c r="B93" s="300"/>
      <c r="C93" s="300"/>
      <c r="D93" s="300"/>
      <c r="E93" s="300"/>
      <c r="F93" s="300"/>
    </row>
    <row r="94" spans="1:6">
      <c r="A94" s="300"/>
      <c r="B94" s="300"/>
      <c r="C94" s="300"/>
      <c r="D94" s="300"/>
      <c r="E94" s="300"/>
      <c r="F94" s="300"/>
    </row>
    <row r="95" spans="1:6">
      <c r="A95" s="300"/>
      <c r="B95" s="300"/>
      <c r="C95" s="300"/>
      <c r="D95" s="300"/>
      <c r="E95" s="300"/>
      <c r="F95" s="300"/>
    </row>
    <row r="96" spans="1:6">
      <c r="A96" s="300"/>
      <c r="B96" s="300"/>
      <c r="C96" s="300"/>
      <c r="D96" s="300"/>
      <c r="E96" s="300"/>
      <c r="F96" s="300"/>
    </row>
    <row r="97" spans="1:6">
      <c r="A97" s="300"/>
      <c r="B97" s="300"/>
      <c r="C97" s="300"/>
      <c r="D97" s="300"/>
      <c r="E97" s="300"/>
      <c r="F97" s="300"/>
    </row>
    <row r="98" spans="1:6">
      <c r="A98" s="300"/>
      <c r="B98" s="300"/>
      <c r="C98" s="300"/>
      <c r="D98" s="300"/>
      <c r="E98" s="300"/>
      <c r="F98" s="300"/>
    </row>
    <row r="99" spans="1:6">
      <c r="A99" s="300"/>
      <c r="B99" s="300"/>
      <c r="C99" s="300"/>
      <c r="D99" s="300"/>
      <c r="E99" s="300"/>
      <c r="F99" s="300"/>
    </row>
    <row r="100" spans="1:6">
      <c r="A100" s="300"/>
      <c r="B100" s="300"/>
      <c r="C100" s="300"/>
      <c r="D100" s="300"/>
      <c r="E100" s="300"/>
      <c r="F100" s="300"/>
    </row>
    <row r="101" spans="1:6">
      <c r="A101" s="300"/>
      <c r="B101" s="300"/>
      <c r="C101" s="300"/>
      <c r="D101" s="300"/>
      <c r="E101" s="300"/>
      <c r="F101" s="300"/>
    </row>
    <row r="102" spans="1:6">
      <c r="A102" s="300"/>
      <c r="B102" s="300"/>
      <c r="C102" s="300"/>
      <c r="D102" s="300"/>
      <c r="E102" s="300"/>
      <c r="F102" s="300"/>
    </row>
    <row r="103" spans="1:6">
      <c r="A103" s="300"/>
      <c r="B103" s="300"/>
      <c r="C103" s="300"/>
      <c r="D103" s="300"/>
      <c r="E103" s="300"/>
      <c r="F103" s="300"/>
    </row>
    <row r="104" spans="1:6">
      <c r="A104" s="300"/>
      <c r="B104" s="300"/>
      <c r="C104" s="300"/>
      <c r="D104" s="300"/>
      <c r="E104" s="300"/>
      <c r="F104" s="300"/>
    </row>
    <row r="105" spans="1:6">
      <c r="A105" s="300"/>
      <c r="B105" s="300"/>
      <c r="C105" s="300"/>
      <c r="D105" s="300"/>
      <c r="E105" s="300"/>
      <c r="F105" s="300"/>
    </row>
    <row r="106" spans="1:6">
      <c r="A106" s="300"/>
      <c r="B106" s="300"/>
      <c r="C106" s="300"/>
      <c r="D106" s="300"/>
      <c r="E106" s="300"/>
      <c r="F106" s="300"/>
    </row>
  </sheetData>
  <mergeCells count="1">
    <mergeCell ref="A2:G2"/>
  </mergeCells>
  <phoneticPr fontId="0" type="noConversion"/>
  <pageMargins left="0.49" right="0.51" top="0.77" bottom="0.49" header="0.47" footer="0.4921259845"/>
  <pageSetup paperSize="9" scale="69" orientation="portrait" horizontalDpi="1200" verticalDpi="120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A987-E6D9-AA44-AEAC-EB5BEDD8578F}">
  <sheetPr>
    <pageSetUpPr fitToPage="1"/>
  </sheetPr>
  <dimension ref="A1:G35"/>
  <sheetViews>
    <sheetView zoomScale="75" workbookViewId="0">
      <selection activeCell="I5" sqref="I5"/>
    </sheetView>
  </sheetViews>
  <sheetFormatPr baseColWidth="10" defaultColWidth="10.796875" defaultRowHeight="13"/>
  <cols>
    <col min="1" max="1" width="35.796875" style="2" customWidth="1"/>
    <col min="2" max="3" width="12.796875" style="8" customWidth="1"/>
    <col min="4" max="4" width="14.19921875" style="8" customWidth="1"/>
    <col min="5" max="5" width="12.796875" style="8" customWidth="1"/>
    <col min="6" max="6" width="14.19921875" style="8" customWidth="1"/>
    <col min="7" max="7" width="12.796875" style="2" customWidth="1"/>
    <col min="8" max="16384" width="10.796875" style="2"/>
  </cols>
  <sheetData>
    <row r="1" spans="1:7" ht="14" customHeight="1">
      <c r="A1" s="490"/>
    </row>
    <row r="2" spans="1:7" ht="28" customHeight="1">
      <c r="A2" s="56" t="s">
        <v>949</v>
      </c>
      <c r="G2" s="321">
        <v>2007</v>
      </c>
    </row>
    <row r="3" spans="1:7" s="95" customFormat="1" ht="25" customHeight="1">
      <c r="A3" s="1186" t="s">
        <v>950</v>
      </c>
      <c r="B3" s="139" t="s">
        <v>891</v>
      </c>
      <c r="C3" s="276" t="s">
        <v>892</v>
      </c>
      <c r="D3" s="139" t="s">
        <v>1800</v>
      </c>
      <c r="E3" s="112" t="s">
        <v>1925</v>
      </c>
      <c r="F3" s="385" t="s">
        <v>629</v>
      </c>
      <c r="G3" s="112" t="s">
        <v>1801</v>
      </c>
    </row>
    <row r="4" spans="1:7" s="95" customFormat="1" ht="15" customHeight="1">
      <c r="A4" s="1187"/>
      <c r="B4" s="140"/>
      <c r="C4" s="279"/>
      <c r="D4" s="140"/>
      <c r="E4" s="279"/>
      <c r="F4" s="114"/>
      <c r="G4" s="115" t="s">
        <v>1802</v>
      </c>
    </row>
    <row r="5" spans="1:7" s="95" customFormat="1" ht="15" customHeight="1">
      <c r="A5" s="1187"/>
      <c r="B5" s="140"/>
      <c r="C5" s="279"/>
      <c r="D5" s="140"/>
      <c r="E5" s="279"/>
      <c r="F5" s="114"/>
      <c r="G5" s="115" t="s">
        <v>1806</v>
      </c>
    </row>
    <row r="6" spans="1:7" s="95" customFormat="1" ht="24" customHeight="1">
      <c r="A6" s="1188"/>
      <c r="B6" s="1189"/>
      <c r="C6" s="1190"/>
      <c r="D6" s="1189"/>
      <c r="E6" s="1190"/>
      <c r="F6" s="535"/>
      <c r="G6" s="119"/>
    </row>
    <row r="7" spans="1:7" ht="30" customHeight="1" thickBot="1">
      <c r="A7" s="1191" t="s">
        <v>1926</v>
      </c>
      <c r="B7" s="326">
        <v>2922195.75</v>
      </c>
      <c r="C7" s="327">
        <v>3104949.1</v>
      </c>
      <c r="D7" s="326">
        <v>6027144.8499999996</v>
      </c>
      <c r="E7" s="327">
        <v>1510442.56</v>
      </c>
      <c r="F7" s="508">
        <v>7537587.3799999999</v>
      </c>
      <c r="G7" s="325">
        <v>7.9108053070518561E-3</v>
      </c>
    </row>
    <row r="8" spans="1:7" ht="24" customHeight="1" thickBot="1">
      <c r="A8" s="1192" t="s">
        <v>1927</v>
      </c>
      <c r="B8" s="144">
        <v>2094755</v>
      </c>
      <c r="C8" s="297">
        <v>2671769</v>
      </c>
      <c r="D8" s="144">
        <v>4766524</v>
      </c>
      <c r="E8" s="297">
        <v>1404426</v>
      </c>
      <c r="F8" s="314">
        <v>6170950</v>
      </c>
      <c r="G8" s="325">
        <v>5.0775476300027279E-3</v>
      </c>
    </row>
    <row r="9" spans="1:7" ht="20" customHeight="1" thickBot="1">
      <c r="A9" s="1192" t="s">
        <v>1908</v>
      </c>
      <c r="B9" s="820">
        <v>71.680000000000007</v>
      </c>
      <c r="C9" s="821">
        <v>86.05</v>
      </c>
      <c r="D9" s="820">
        <v>79.084278188535663</v>
      </c>
      <c r="E9" s="821">
        <v>92.98</v>
      </c>
      <c r="F9" s="935">
        <v>81.87</v>
      </c>
      <c r="G9" s="325">
        <v>-2.8014616321557829E-3</v>
      </c>
    </row>
    <row r="10" spans="1:7" ht="24" customHeight="1" thickBot="1">
      <c r="A10" s="1192" t="s">
        <v>1928</v>
      </c>
      <c r="B10" s="144">
        <v>494846</v>
      </c>
      <c r="C10" s="297">
        <v>654343</v>
      </c>
      <c r="D10" s="144">
        <v>1149189</v>
      </c>
      <c r="E10" s="297">
        <v>83253</v>
      </c>
      <c r="F10" s="314">
        <v>1232442</v>
      </c>
      <c r="G10" s="325">
        <v>7.3618408042978117E-2</v>
      </c>
    </row>
    <row r="11" spans="1:7" ht="20" customHeight="1" thickBot="1">
      <c r="A11" s="1192" t="s">
        <v>1029</v>
      </c>
      <c r="B11" s="144" t="s">
        <v>59</v>
      </c>
      <c r="C11" s="297">
        <v>92376</v>
      </c>
      <c r="D11" s="144">
        <v>92376</v>
      </c>
      <c r="E11" s="297">
        <v>532</v>
      </c>
      <c r="F11" s="314">
        <v>92908</v>
      </c>
      <c r="G11" s="325">
        <v>8.1683975224700792E-2</v>
      </c>
    </row>
    <row r="12" spans="1:7" ht="20" customHeight="1" thickBot="1">
      <c r="A12" s="1193" t="s">
        <v>1909</v>
      </c>
      <c r="B12" s="820">
        <v>16.93</v>
      </c>
      <c r="C12" s="821">
        <v>21.07</v>
      </c>
      <c r="D12" s="820">
        <v>19.066888694403954</v>
      </c>
      <c r="E12" s="821">
        <v>5.51</v>
      </c>
      <c r="F12" s="935">
        <v>16.350000000000001</v>
      </c>
      <c r="G12" s="325">
        <v>6.8627450980392204E-2</v>
      </c>
    </row>
    <row r="13" spans="1:7" ht="24" customHeight="1" thickBot="1">
      <c r="A13" s="1192" t="s">
        <v>1929</v>
      </c>
      <c r="B13" s="144">
        <v>4843968</v>
      </c>
      <c r="C13" s="297">
        <v>6309583</v>
      </c>
      <c r="D13" s="144">
        <v>11153551</v>
      </c>
      <c r="E13" s="297">
        <v>552455</v>
      </c>
      <c r="F13" s="314">
        <v>11706006</v>
      </c>
      <c r="G13" s="325">
        <v>5.935622558791933E-2</v>
      </c>
    </row>
    <row r="14" spans="1:7" ht="20" customHeight="1" thickBot="1">
      <c r="A14" s="1192" t="s">
        <v>1029</v>
      </c>
      <c r="B14" s="940" t="s">
        <v>59</v>
      </c>
      <c r="C14" s="297">
        <v>529360</v>
      </c>
      <c r="D14" s="144">
        <v>529360</v>
      </c>
      <c r="E14" s="297">
        <v>4159</v>
      </c>
      <c r="F14" s="314">
        <v>533519</v>
      </c>
      <c r="G14" s="325">
        <v>8.2421372546632746E-2</v>
      </c>
    </row>
    <row r="15" spans="1:7" ht="20" customHeight="1" thickBot="1">
      <c r="A15" s="1192" t="s">
        <v>1910</v>
      </c>
      <c r="B15" s="820">
        <v>165.76</v>
      </c>
      <c r="C15" s="821">
        <v>203.21</v>
      </c>
      <c r="D15" s="820">
        <v>185.05530027206831</v>
      </c>
      <c r="E15" s="821">
        <v>36.58</v>
      </c>
      <c r="F15" s="935">
        <v>155.30000000000001</v>
      </c>
      <c r="G15" s="325">
        <v>5.0744248985115016E-2</v>
      </c>
    </row>
    <row r="16" spans="1:7" ht="30" customHeight="1" thickBot="1">
      <c r="A16" s="1194" t="s">
        <v>1911</v>
      </c>
      <c r="B16" s="1195">
        <v>9.7899999999999991</v>
      </c>
      <c r="C16" s="1196">
        <v>9.64</v>
      </c>
      <c r="D16" s="1195">
        <v>9.7055845470153308</v>
      </c>
      <c r="E16" s="1196">
        <v>6.64</v>
      </c>
      <c r="F16" s="872">
        <v>9.5</v>
      </c>
      <c r="G16" s="582">
        <v>-1.041666666666663E-2</v>
      </c>
    </row>
    <row r="17" spans="1:7" ht="20" customHeight="1">
      <c r="A17" s="133" t="s">
        <v>1256</v>
      </c>
      <c r="B17" s="287"/>
      <c r="C17" s="287"/>
      <c r="D17" s="287"/>
      <c r="E17" s="287"/>
      <c r="F17" s="287"/>
      <c r="G17" s="133"/>
    </row>
    <row r="18" spans="1:7" ht="13.5" customHeight="1">
      <c r="A18" s="3"/>
      <c r="B18" s="288"/>
      <c r="C18" s="288"/>
      <c r="D18" s="288"/>
      <c r="E18" s="288"/>
      <c r="F18" s="288"/>
      <c r="G18" s="3"/>
    </row>
    <row r="19" spans="1:7" ht="13.5" customHeight="1">
      <c r="A19" s="3" t="s">
        <v>1912</v>
      </c>
      <c r="B19" s="288"/>
      <c r="C19" s="288"/>
      <c r="D19" s="288"/>
      <c r="E19" s="288"/>
      <c r="F19" s="288"/>
      <c r="G19" s="3"/>
    </row>
    <row r="20" spans="1:7" ht="12.75" customHeight="1">
      <c r="A20" s="3" t="s">
        <v>1913</v>
      </c>
      <c r="B20" s="288"/>
      <c r="C20" s="288"/>
      <c r="D20" s="288"/>
      <c r="E20" s="288"/>
      <c r="F20" s="288"/>
      <c r="G20" s="3"/>
    </row>
    <row r="21" spans="1:7" ht="12.75" customHeight="1">
      <c r="A21" s="3" t="s">
        <v>1914</v>
      </c>
      <c r="B21" s="288"/>
      <c r="C21" s="288"/>
      <c r="D21" s="288"/>
      <c r="E21" s="288"/>
      <c r="F21" s="288"/>
      <c r="G21" s="3"/>
    </row>
    <row r="22" spans="1:7" ht="12.75" customHeight="1">
      <c r="A22" s="1197" t="s">
        <v>1915</v>
      </c>
    </row>
    <row r="23" spans="1:7" ht="12.75" customHeight="1">
      <c r="A23" s="1197" t="s">
        <v>1916</v>
      </c>
    </row>
    <row r="24" spans="1:7" ht="12.75" customHeight="1">
      <c r="A24" s="1197" t="s">
        <v>1917</v>
      </c>
    </row>
    <row r="25" spans="1:7" ht="12.75" customHeight="1">
      <c r="A25" s="1197" t="s">
        <v>1918</v>
      </c>
    </row>
    <row r="26" spans="1:7" ht="12.75" customHeight="1">
      <c r="A26" s="1197" t="s">
        <v>1919</v>
      </c>
    </row>
    <row r="27" spans="1:7" ht="12.75" customHeight="1">
      <c r="A27" s="1197" t="s">
        <v>1920</v>
      </c>
    </row>
    <row r="28" spans="1:7" ht="12.75" customHeight="1">
      <c r="A28" s="1197" t="s">
        <v>1921</v>
      </c>
    </row>
    <row r="29" spans="1:7" ht="12.75" customHeight="1">
      <c r="A29" s="1197" t="s">
        <v>1922</v>
      </c>
    </row>
    <row r="30" spans="1:7" ht="12.75" customHeight="1">
      <c r="A30" s="1197" t="s">
        <v>1923</v>
      </c>
    </row>
    <row r="32" spans="1:7">
      <c r="A32" s="2" t="s">
        <v>1924</v>
      </c>
    </row>
    <row r="35" spans="1:1">
      <c r="A35" s="300" t="s">
        <v>634</v>
      </c>
    </row>
  </sheetData>
  <phoneticPr fontId="0" type="noConversion"/>
  <pageMargins left="0.57999999999999996" right="0.65" top="0.85" bottom="0.47244094488188981" header="0.49" footer="0.51181102362204722"/>
  <pageSetup paperSize="9" scale="79" orientation="portrait" horizontalDpi="1200" verticalDpi="120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B02E-BA8B-E84A-8C2D-06D59CA1046F}">
  <sheetPr>
    <pageSetUpPr fitToPage="1"/>
  </sheetPr>
  <dimension ref="A1:K31"/>
  <sheetViews>
    <sheetView zoomScale="75" workbookViewId="0">
      <selection activeCell="A3" sqref="A3"/>
    </sheetView>
  </sheetViews>
  <sheetFormatPr baseColWidth="10" defaultColWidth="11.3984375" defaultRowHeight="13"/>
  <cols>
    <col min="1" max="1" width="20.796875" style="2" customWidth="1"/>
    <col min="2" max="7" width="14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56" t="s">
        <v>1930</v>
      </c>
      <c r="G2" s="321"/>
    </row>
    <row r="3" spans="1:11" ht="24" customHeight="1">
      <c r="A3" s="110" t="s">
        <v>533</v>
      </c>
      <c r="B3" s="111" t="s">
        <v>1939</v>
      </c>
      <c r="C3" s="112" t="s">
        <v>1801</v>
      </c>
      <c r="D3" s="111" t="s">
        <v>1931</v>
      </c>
      <c r="E3" s="112" t="s">
        <v>1801</v>
      </c>
      <c r="F3" s="111" t="s">
        <v>1940</v>
      </c>
      <c r="G3" s="112" t="s">
        <v>1801</v>
      </c>
    </row>
    <row r="4" spans="1:11" ht="15" customHeight="1">
      <c r="A4" s="308"/>
      <c r="B4" s="114"/>
      <c r="C4" s="115" t="s">
        <v>1802</v>
      </c>
      <c r="D4" s="114" t="s">
        <v>1941</v>
      </c>
      <c r="E4" s="115" t="s">
        <v>1802</v>
      </c>
      <c r="F4" s="114"/>
      <c r="G4" s="115" t="s">
        <v>1802</v>
      </c>
    </row>
    <row r="5" spans="1:11" ht="15" customHeight="1">
      <c r="A5" s="308"/>
      <c r="B5" s="114"/>
      <c r="C5" s="115" t="s">
        <v>1806</v>
      </c>
      <c r="D5" s="114"/>
      <c r="E5" s="115" t="s">
        <v>1806</v>
      </c>
      <c r="F5" s="114"/>
      <c r="G5" s="115" t="s">
        <v>1806</v>
      </c>
    </row>
    <row r="6" spans="1:11" ht="24" customHeight="1">
      <c r="A6" s="309"/>
      <c r="B6" s="120"/>
      <c r="C6" s="119"/>
      <c r="D6" s="120"/>
      <c r="E6" s="119"/>
      <c r="F6" s="120"/>
      <c r="G6" s="119"/>
    </row>
    <row r="7" spans="1:11" ht="2.25" customHeight="1" thickBot="1">
      <c r="A7" s="310">
        <v>1996</v>
      </c>
      <c r="B7" s="142">
        <v>5599991</v>
      </c>
      <c r="C7" s="143">
        <v>-1.7950663164953688E-2</v>
      </c>
      <c r="D7" s="142">
        <v>1117084</v>
      </c>
      <c r="E7" s="143">
        <v>-7.0395014962435803E-2</v>
      </c>
      <c r="F7" s="142">
        <v>18812841</v>
      </c>
      <c r="G7" s="143">
        <v>-0.15548674078736344</v>
      </c>
    </row>
    <row r="8" spans="1:11" ht="20" customHeight="1" thickBot="1">
      <c r="A8" s="312">
        <v>1997</v>
      </c>
      <c r="B8" s="144">
        <v>5669325</v>
      </c>
      <c r="C8" s="145">
        <v>1.2381091326753918E-2</v>
      </c>
      <c r="D8" s="144">
        <v>1150122</v>
      </c>
      <c r="E8" s="145">
        <v>2.9575215471710273E-2</v>
      </c>
      <c r="F8" s="144">
        <v>18987651</v>
      </c>
      <c r="G8" s="145">
        <v>9.2920574835028899E-3</v>
      </c>
      <c r="I8" s="9"/>
      <c r="J8" s="9"/>
      <c r="K8" s="9"/>
    </row>
    <row r="9" spans="1:11" ht="20" customHeight="1" thickBot="1">
      <c r="A9" s="312">
        <v>1998</v>
      </c>
      <c r="B9" s="144">
        <v>5768621</v>
      </c>
      <c r="C9" s="145">
        <v>1.7514607118131346E-2</v>
      </c>
      <c r="D9" s="144">
        <v>1154759</v>
      </c>
      <c r="E9" s="145">
        <v>4.0317461973599323E-3</v>
      </c>
      <c r="F9" s="144">
        <v>17067058</v>
      </c>
      <c r="G9" s="145">
        <v>-0.10114958401120813</v>
      </c>
    </row>
    <row r="10" spans="1:11" ht="20" customHeight="1" thickBot="1">
      <c r="A10" s="312">
        <v>1999</v>
      </c>
      <c r="B10" s="144">
        <v>5833167</v>
      </c>
      <c r="C10" s="145">
        <v>1.1189155952523141E-2</v>
      </c>
      <c r="D10" s="144">
        <v>1096033</v>
      </c>
      <c r="E10" s="145">
        <v>-5.085563308014919E-2</v>
      </c>
      <c r="F10" s="144">
        <v>12747160</v>
      </c>
      <c r="G10" s="145">
        <v>-0.25311321963047173</v>
      </c>
    </row>
    <row r="11" spans="1:11" ht="19.5" customHeight="1" thickBot="1">
      <c r="A11" s="312">
        <v>2000</v>
      </c>
      <c r="B11" s="144">
        <v>5947035</v>
      </c>
      <c r="C11" s="145">
        <v>1.9520785192674923E-2</v>
      </c>
      <c r="D11" s="144">
        <v>1097932</v>
      </c>
      <c r="E11" s="145">
        <v>1.7326120655126261E-3</v>
      </c>
      <c r="F11" s="144">
        <v>12447351</v>
      </c>
      <c r="G11" s="145">
        <v>-2.3519670263807781E-2</v>
      </c>
    </row>
    <row r="12" spans="1:11" ht="19.5" customHeight="1" thickBot="1">
      <c r="A12" s="312">
        <v>2001</v>
      </c>
      <c r="B12" s="144">
        <v>6043905</v>
      </c>
      <c r="C12" s="145">
        <v>1.6288789287434831E-2</v>
      </c>
      <c r="D12" s="144">
        <v>1193315</v>
      </c>
      <c r="E12" s="145">
        <v>8.6875143451507014E-2</v>
      </c>
      <c r="F12" s="144">
        <v>12514126</v>
      </c>
      <c r="G12" s="145">
        <v>5.3645952460085683E-3</v>
      </c>
    </row>
    <row r="13" spans="1:11" ht="19.5" customHeight="1" thickBot="1">
      <c r="A13" s="312">
        <v>2002</v>
      </c>
      <c r="B13" s="144">
        <v>6170788</v>
      </c>
      <c r="C13" s="145">
        <v>2.0993546390950885E-2</v>
      </c>
      <c r="D13" s="144">
        <v>1207239</v>
      </c>
      <c r="E13" s="145">
        <v>1.1668335686721444E-2</v>
      </c>
      <c r="F13" s="144">
        <v>12391461</v>
      </c>
      <c r="G13" s="145">
        <v>-9.8021228170469109E-3</v>
      </c>
    </row>
    <row r="14" spans="1:11" ht="19.5" customHeight="1" thickBot="1">
      <c r="A14" s="312">
        <v>2003</v>
      </c>
      <c r="B14" s="144">
        <v>6105077</v>
      </c>
      <c r="C14" s="145">
        <v>-1.0648721038544834E-2</v>
      </c>
      <c r="D14" s="144">
        <v>1148028</v>
      </c>
      <c r="E14" s="145">
        <v>-4.904662622728391E-2</v>
      </c>
      <c r="F14" s="144">
        <v>11395671</v>
      </c>
      <c r="G14" s="145">
        <v>-8.0360984067980368E-2</v>
      </c>
    </row>
    <row r="15" spans="1:11" ht="19.5" customHeight="1" thickBot="1">
      <c r="A15" s="312">
        <v>2004</v>
      </c>
      <c r="B15" s="144">
        <v>6076231</v>
      </c>
      <c r="C15" s="145">
        <v>-4.7249199313948043E-3</v>
      </c>
      <c r="D15" s="144">
        <v>1196146</v>
      </c>
      <c r="E15" s="145">
        <v>4.191361186312529E-2</v>
      </c>
      <c r="F15" s="144">
        <v>11754955</v>
      </c>
      <c r="G15" s="145">
        <v>3.1528112736845422E-2</v>
      </c>
    </row>
    <row r="16" spans="1:11" ht="19.5" customHeight="1" thickBot="1">
      <c r="A16" s="312">
        <v>2005</v>
      </c>
      <c r="B16" s="144">
        <v>6104057</v>
      </c>
      <c r="C16" s="145">
        <v>4.5794835647294807E-3</v>
      </c>
      <c r="D16" s="144">
        <v>1219455</v>
      </c>
      <c r="E16" s="145">
        <v>1.948675161727742E-2</v>
      </c>
      <c r="F16" s="144">
        <v>11492862</v>
      </c>
      <c r="G16" s="145">
        <v>-2.2296384801132829E-2</v>
      </c>
    </row>
    <row r="17" spans="1:7" ht="19.5" customHeight="1" thickBot="1">
      <c r="A17" s="312">
        <v>2006</v>
      </c>
      <c r="B17" s="144">
        <v>6139775</v>
      </c>
      <c r="C17" s="145">
        <v>5.8515180968985447E-3</v>
      </c>
      <c r="D17" s="144">
        <v>1147933</v>
      </c>
      <c r="E17" s="145">
        <v>-5.86507907220849E-2</v>
      </c>
      <c r="F17" s="144">
        <v>11050113</v>
      </c>
      <c r="G17" s="145">
        <v>-3.8523824613921231E-2</v>
      </c>
    </row>
    <row r="18" spans="1:7" ht="30" customHeight="1" thickBot="1">
      <c r="A18" s="396">
        <v>2007</v>
      </c>
      <c r="B18" s="338">
        <v>6170950</v>
      </c>
      <c r="C18" s="147">
        <v>5.0775476300026767E-3</v>
      </c>
      <c r="D18" s="338">
        <v>1232442</v>
      </c>
      <c r="E18" s="147">
        <v>7.3618408042978034E-2</v>
      </c>
      <c r="F18" s="338">
        <v>11706006</v>
      </c>
      <c r="G18" s="147">
        <v>5.935622558791942E-2</v>
      </c>
    </row>
    <row r="19" spans="1:7" ht="19.5" customHeight="1">
      <c r="A19" s="133" t="s">
        <v>1256</v>
      </c>
      <c r="B19" s="133"/>
      <c r="C19" s="133"/>
      <c r="D19" s="133"/>
      <c r="E19" s="133"/>
      <c r="F19" s="133"/>
      <c r="G19" s="133"/>
    </row>
    <row r="20" spans="1:7" ht="12.75" customHeight="1">
      <c r="A20" s="3"/>
      <c r="B20" s="3"/>
      <c r="C20" s="3"/>
      <c r="D20" s="3"/>
      <c r="E20" s="3"/>
      <c r="F20" s="3"/>
      <c r="G20" s="3"/>
    </row>
    <row r="21" spans="1:7" ht="12.75" customHeight="1">
      <c r="A21" s="3" t="s">
        <v>1932</v>
      </c>
      <c r="B21" s="3"/>
      <c r="C21" s="3"/>
      <c r="D21" s="3"/>
      <c r="E21" s="3"/>
      <c r="F21" s="3"/>
      <c r="G21" s="3"/>
    </row>
    <row r="22" spans="1:7" ht="12.75" customHeight="1">
      <c r="A22" s="3" t="s">
        <v>1933</v>
      </c>
      <c r="B22" s="3"/>
      <c r="C22" s="3"/>
      <c r="D22" s="3"/>
      <c r="E22" s="3"/>
      <c r="F22" s="3"/>
      <c r="G22" s="3"/>
    </row>
    <row r="23" spans="1:7" ht="12.75" customHeight="1">
      <c r="A23" s="2" t="s">
        <v>1934</v>
      </c>
    </row>
    <row r="24" spans="1:7" ht="12.75" customHeight="1">
      <c r="A24" s="2" t="s">
        <v>1935</v>
      </c>
    </row>
    <row r="25" spans="1:7" ht="12.75" customHeight="1">
      <c r="A25" s="2" t="s">
        <v>1936</v>
      </c>
    </row>
    <row r="26" spans="1:7" ht="12.75" customHeight="1">
      <c r="A26" s="2" t="s">
        <v>1937</v>
      </c>
    </row>
    <row r="28" spans="1:7">
      <c r="A28" s="2" t="s">
        <v>1938</v>
      </c>
    </row>
    <row r="31" spans="1:7">
      <c r="A31" s="2" t="s">
        <v>634</v>
      </c>
    </row>
  </sheetData>
  <phoneticPr fontId="0" type="noConversion"/>
  <pageMargins left="0.53" right="0.47" top="0.92" bottom="0.49" header="0.54" footer="0.4921259845"/>
  <pageSetup paperSize="9" scale="88" orientation="portrait" horizontalDpi="4294967292" verticalDpi="4294967292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BD15-4B5A-E74A-B17F-93062BD8E2BA}">
  <dimension ref="A1:B18"/>
  <sheetViews>
    <sheetView workbookViewId="0">
      <selection activeCell="B3" sqref="B3:B5"/>
    </sheetView>
  </sheetViews>
  <sheetFormatPr baseColWidth="10" defaultColWidth="11.3984375" defaultRowHeight="13"/>
  <cols>
    <col min="1" max="1" width="5.59765625" style="180" customWidth="1"/>
    <col min="2" max="16384" width="11.3984375" style="180"/>
  </cols>
  <sheetData>
    <row r="1" spans="1:2" ht="16">
      <c r="A1" s="179" t="s">
        <v>49</v>
      </c>
    </row>
    <row r="2" spans="1:2" ht="16">
      <c r="A2" s="179"/>
    </row>
    <row r="3" spans="1:2" s="183" customFormat="1">
      <c r="A3" s="181" t="s">
        <v>62</v>
      </c>
      <c r="B3" s="182" t="s">
        <v>1647</v>
      </c>
    </row>
    <row r="4" spans="1:2" s="183" customFormat="1">
      <c r="A4" s="181" t="s">
        <v>63</v>
      </c>
      <c r="B4" s="182" t="s">
        <v>1648</v>
      </c>
    </row>
    <row r="5" spans="1:2">
      <c r="A5" s="181" t="s">
        <v>64</v>
      </c>
      <c r="B5" s="182" t="s">
        <v>50</v>
      </c>
    </row>
    <row r="6" spans="1:2" s="183" customFormat="1">
      <c r="A6" s="182"/>
      <c r="B6" s="182"/>
    </row>
    <row r="7" spans="1:2" s="183" customFormat="1">
      <c r="A7" s="182"/>
      <c r="B7" s="182"/>
    </row>
    <row r="8" spans="1:2" s="183" customFormat="1">
      <c r="A8" s="182"/>
      <c r="B8" s="182"/>
    </row>
    <row r="9" spans="1:2" s="183" customFormat="1">
      <c r="A9" s="182"/>
      <c r="B9" s="182"/>
    </row>
    <row r="10" spans="1:2" s="183" customFormat="1">
      <c r="A10" s="182"/>
      <c r="B10" s="182"/>
    </row>
    <row r="11" spans="1:2" s="183" customFormat="1">
      <c r="A11" s="182"/>
      <c r="B11" s="182"/>
    </row>
    <row r="12" spans="1:2" s="183" customFormat="1">
      <c r="A12" s="182"/>
      <c r="B12" s="182"/>
    </row>
    <row r="13" spans="1:2">
      <c r="A13" s="184"/>
      <c r="B13" s="185"/>
    </row>
    <row r="14" spans="1:2">
      <c r="A14" s="184"/>
      <c r="B14" s="185"/>
    </row>
    <row r="15" spans="1:2">
      <c r="A15" s="182"/>
      <c r="B15" s="182"/>
    </row>
    <row r="18" spans="1:1">
      <c r="A18" s="186" t="s">
        <v>634</v>
      </c>
    </row>
  </sheetData>
  <phoneticPr fontId="30" type="noConversion"/>
  <pageMargins left="0.46" right="0.35" top="0.88" bottom="0.984251969" header="0.4921259845" footer="0.4921259845"/>
  <pageSetup paperSize="9" orientation="portrait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F9F9-94B6-5C40-8412-BB3B58DF688E}">
  <dimension ref="A1:K27"/>
  <sheetViews>
    <sheetView topLeftCell="A5" zoomScale="75" workbookViewId="0">
      <selection activeCell="J14" sqref="J14"/>
    </sheetView>
  </sheetViews>
  <sheetFormatPr baseColWidth="10" defaultColWidth="11.3984375" defaultRowHeight="13"/>
  <cols>
    <col min="1" max="1" width="21.796875" style="2" customWidth="1"/>
    <col min="2" max="7" width="12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56" t="s">
        <v>399</v>
      </c>
      <c r="G2" s="275">
        <v>2007</v>
      </c>
    </row>
    <row r="3" spans="1:11" ht="24" customHeight="1">
      <c r="A3" s="110" t="s">
        <v>2276</v>
      </c>
      <c r="B3" s="111" t="s">
        <v>400</v>
      </c>
      <c r="C3" s="112" t="s">
        <v>401</v>
      </c>
      <c r="D3" s="111" t="s">
        <v>400</v>
      </c>
      <c r="E3" s="112" t="s">
        <v>401</v>
      </c>
      <c r="F3" s="111" t="s">
        <v>629</v>
      </c>
      <c r="G3" s="112" t="s">
        <v>1801</v>
      </c>
    </row>
    <row r="4" spans="1:11" ht="15" customHeight="1">
      <c r="A4" s="308" t="s">
        <v>2277</v>
      </c>
      <c r="B4" s="114" t="s">
        <v>405</v>
      </c>
      <c r="C4" s="115" t="s">
        <v>402</v>
      </c>
      <c r="D4" s="114" t="s">
        <v>406</v>
      </c>
      <c r="E4" s="115" t="s">
        <v>402</v>
      </c>
      <c r="F4" s="114"/>
      <c r="G4" s="115" t="s">
        <v>1802</v>
      </c>
    </row>
    <row r="5" spans="1:11" ht="15" customHeight="1">
      <c r="A5" s="308" t="s">
        <v>2281</v>
      </c>
      <c r="B5" s="114"/>
      <c r="C5" s="115"/>
      <c r="D5" s="114"/>
      <c r="E5" s="115"/>
      <c r="F5" s="114"/>
      <c r="G5" s="115" t="s">
        <v>1806</v>
      </c>
    </row>
    <row r="6" spans="1:11" ht="14.25" customHeight="1">
      <c r="A6" s="309"/>
      <c r="B6" s="120"/>
      <c r="C6" s="119"/>
      <c r="D6" s="120"/>
      <c r="E6" s="119"/>
      <c r="F6" s="120"/>
      <c r="G6" s="119"/>
    </row>
    <row r="7" spans="1:11" ht="3" customHeight="1" thickBot="1">
      <c r="A7" s="310">
        <v>1996</v>
      </c>
      <c r="B7" s="172">
        <v>82</v>
      </c>
      <c r="C7" s="143">
        <v>0.56551724137931036</v>
      </c>
      <c r="D7" s="142">
        <v>63</v>
      </c>
      <c r="E7" s="143">
        <v>0.43448275862068964</v>
      </c>
      <c r="F7" s="142">
        <v>145</v>
      </c>
      <c r="G7" s="143">
        <v>-0.12650602409638553</v>
      </c>
      <c r="I7" s="9"/>
      <c r="J7" s="9"/>
      <c r="K7" s="9"/>
    </row>
    <row r="8" spans="1:11" ht="20" customHeight="1" thickBot="1">
      <c r="A8" s="312">
        <v>1997</v>
      </c>
      <c r="B8" s="174">
        <v>60</v>
      </c>
      <c r="C8" s="145">
        <v>0.46511627906976744</v>
      </c>
      <c r="D8" s="144">
        <v>69</v>
      </c>
      <c r="E8" s="145">
        <v>0.53488372093023251</v>
      </c>
      <c r="F8" s="144">
        <v>129</v>
      </c>
      <c r="G8" s="145">
        <v>-0.1103448275862069</v>
      </c>
    </row>
    <row r="9" spans="1:11" ht="20" customHeight="1" thickBot="1">
      <c r="A9" s="312">
        <v>1998</v>
      </c>
      <c r="B9" s="174">
        <v>62</v>
      </c>
      <c r="C9" s="145">
        <v>0.52542372881355937</v>
      </c>
      <c r="D9" s="144">
        <v>56</v>
      </c>
      <c r="E9" s="145">
        <v>0.47457627118644069</v>
      </c>
      <c r="F9" s="144">
        <v>118</v>
      </c>
      <c r="G9" s="145">
        <v>-8.5271317829457363E-2</v>
      </c>
    </row>
    <row r="10" spans="1:11" ht="20" customHeight="1" thickBot="1">
      <c r="A10" s="312">
        <v>1999</v>
      </c>
      <c r="B10" s="174">
        <v>59</v>
      </c>
      <c r="C10" s="145">
        <v>0.54128440366972475</v>
      </c>
      <c r="D10" s="144">
        <v>50</v>
      </c>
      <c r="E10" s="145">
        <v>0.45871559633027525</v>
      </c>
      <c r="F10" s="144">
        <v>109</v>
      </c>
      <c r="G10" s="145">
        <v>-7.6271186440677971E-2</v>
      </c>
    </row>
    <row r="11" spans="1:11" ht="19.5" customHeight="1" thickBot="1">
      <c r="A11" s="312">
        <v>2000</v>
      </c>
      <c r="B11" s="174">
        <v>59</v>
      </c>
      <c r="C11" s="145">
        <v>0.58415841584158412</v>
      </c>
      <c r="D11" s="144">
        <v>42</v>
      </c>
      <c r="E11" s="145">
        <v>0.41584158415841582</v>
      </c>
      <c r="F11" s="144">
        <v>101</v>
      </c>
      <c r="G11" s="145">
        <v>-7.3394495412844041E-2</v>
      </c>
    </row>
    <row r="12" spans="1:11" ht="20" customHeight="1" thickBot="1">
      <c r="A12" s="312">
        <v>2001</v>
      </c>
      <c r="B12" s="174">
        <v>64</v>
      </c>
      <c r="C12" s="145">
        <v>0.64646464646464652</v>
      </c>
      <c r="D12" s="144">
        <v>35</v>
      </c>
      <c r="E12" s="145">
        <v>0.35353535353535354</v>
      </c>
      <c r="F12" s="144">
        <v>99</v>
      </c>
      <c r="G12" s="145">
        <v>-1.9801980198019802E-2</v>
      </c>
    </row>
    <row r="13" spans="1:11" ht="20" customHeight="1" thickBot="1">
      <c r="A13" s="312">
        <v>2002</v>
      </c>
      <c r="B13" s="174">
        <v>68</v>
      </c>
      <c r="C13" s="145">
        <v>0.73118279569892475</v>
      </c>
      <c r="D13" s="144">
        <v>25</v>
      </c>
      <c r="E13" s="145">
        <v>0.26881720430107525</v>
      </c>
      <c r="F13" s="144">
        <v>93</v>
      </c>
      <c r="G13" s="145">
        <v>-6.0606060606060608E-2</v>
      </c>
    </row>
    <row r="14" spans="1:11" ht="20" customHeight="1" thickBot="1">
      <c r="A14" s="312">
        <v>2003</v>
      </c>
      <c r="B14" s="174">
        <v>70</v>
      </c>
      <c r="C14" s="145">
        <v>0.75268817204301075</v>
      </c>
      <c r="D14" s="144">
        <v>23</v>
      </c>
      <c r="E14" s="145">
        <v>0.24731182795698925</v>
      </c>
      <c r="F14" s="144">
        <v>93</v>
      </c>
      <c r="G14" s="145">
        <v>0</v>
      </c>
    </row>
    <row r="15" spans="1:11" ht="20" customHeight="1" thickBot="1">
      <c r="A15" s="312">
        <v>2004</v>
      </c>
      <c r="B15" s="174">
        <v>72</v>
      </c>
      <c r="C15" s="145">
        <v>0.77419354838709675</v>
      </c>
      <c r="D15" s="144">
        <v>21</v>
      </c>
      <c r="E15" s="145">
        <v>0.22580645161290322</v>
      </c>
      <c r="F15" s="144">
        <v>93</v>
      </c>
      <c r="G15" s="145">
        <v>0</v>
      </c>
    </row>
    <row r="16" spans="1:11" ht="20" customHeight="1" thickBot="1">
      <c r="A16" s="312">
        <v>2005</v>
      </c>
      <c r="B16" s="174">
        <v>65</v>
      </c>
      <c r="C16" s="145">
        <v>0.76470588235294112</v>
      </c>
      <c r="D16" s="144">
        <v>20</v>
      </c>
      <c r="E16" s="145">
        <v>0.23529411764705882</v>
      </c>
      <c r="F16" s="144">
        <v>85</v>
      </c>
      <c r="G16" s="145">
        <v>-8.6021505376344093E-2</v>
      </c>
    </row>
    <row r="17" spans="1:7" ht="20" customHeight="1" thickBot="1">
      <c r="A17" s="312">
        <v>2006</v>
      </c>
      <c r="B17" s="174">
        <v>66</v>
      </c>
      <c r="C17" s="145">
        <v>0.75862068965517238</v>
      </c>
      <c r="D17" s="144">
        <v>21</v>
      </c>
      <c r="E17" s="145">
        <v>0.2413793103448276</v>
      </c>
      <c r="F17" s="144">
        <v>87</v>
      </c>
      <c r="G17" s="145">
        <v>2.3529411764705882E-2</v>
      </c>
    </row>
    <row r="18" spans="1:7" ht="21" customHeight="1" thickBot="1">
      <c r="A18" s="313">
        <v>2007</v>
      </c>
      <c r="B18" s="316">
        <v>66</v>
      </c>
      <c r="C18" s="315">
        <v>0.75862068965517238</v>
      </c>
      <c r="D18" s="314">
        <v>21</v>
      </c>
      <c r="E18" s="315">
        <v>0.2413793103448276</v>
      </c>
      <c r="F18" s="314">
        <v>87</v>
      </c>
      <c r="G18" s="315">
        <v>0</v>
      </c>
    </row>
    <row r="19" spans="1:7">
      <c r="A19" s="133" t="s">
        <v>1709</v>
      </c>
      <c r="B19" s="133"/>
      <c r="C19" s="133"/>
      <c r="D19" s="133"/>
      <c r="E19" s="133"/>
      <c r="F19" s="133"/>
      <c r="G19" s="13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 t="s">
        <v>1833</v>
      </c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2" t="s">
        <v>403</v>
      </c>
    </row>
    <row r="24" spans="1:7">
      <c r="A24" s="2" t="s">
        <v>404</v>
      </c>
    </row>
    <row r="27" spans="1:7">
      <c r="A27" s="3" t="s">
        <v>634</v>
      </c>
    </row>
  </sheetData>
  <phoneticPr fontId="0" type="noConversion"/>
  <pageMargins left="0.56000000000000005" right="0.56999999999999995" top="0.81" bottom="0.49" header="0.47" footer="0.4921259845"/>
  <pageSetup paperSize="9" scale="80" orientation="portrait" horizontalDpi="1200" verticalDpi="120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C50E-B9DF-684B-B865-E3F48F8A5A1D}">
  <dimension ref="A1:K28"/>
  <sheetViews>
    <sheetView zoomScale="75" workbookViewId="0">
      <selection activeCell="A3" sqref="A3"/>
    </sheetView>
  </sheetViews>
  <sheetFormatPr baseColWidth="10" defaultColWidth="11.3984375" defaultRowHeight="13"/>
  <cols>
    <col min="1" max="1" width="21.796875" style="2" customWidth="1"/>
    <col min="2" max="2" width="15.19921875" style="2" customWidth="1"/>
    <col min="3" max="4" width="12.796875" style="2" customWidth="1"/>
    <col min="5" max="5" width="13" style="2" customWidth="1"/>
    <col min="6" max="6" width="15.19921875" style="2" customWidth="1"/>
    <col min="7" max="7" width="13" style="2" customWidth="1"/>
    <col min="8" max="16384" width="11.3984375" style="2"/>
  </cols>
  <sheetData>
    <row r="1" spans="1:11" s="1" customFormat="1" ht="14" customHeight="1"/>
    <row r="2" spans="1:11" s="1" customFormat="1" ht="39" customHeight="1">
      <c r="A2" s="1800" t="s">
        <v>398</v>
      </c>
      <c r="B2" s="1804"/>
      <c r="C2" s="1804"/>
      <c r="D2" s="1804"/>
      <c r="E2" s="1804"/>
      <c r="F2" s="1804"/>
      <c r="G2" s="275">
        <v>2007</v>
      </c>
    </row>
    <row r="3" spans="1:11" ht="24" customHeight="1">
      <c r="A3" s="110" t="s">
        <v>2276</v>
      </c>
      <c r="B3" s="303" t="s">
        <v>2289</v>
      </c>
      <c r="C3" s="304"/>
      <c r="D3" s="305"/>
      <c r="E3" s="304"/>
      <c r="F3" s="306" t="s">
        <v>2290</v>
      </c>
      <c r="G3" s="307"/>
    </row>
    <row r="4" spans="1:11" ht="15" customHeight="1">
      <c r="A4" s="308" t="s">
        <v>2277</v>
      </c>
      <c r="B4" s="114" t="s">
        <v>2278</v>
      </c>
      <c r="C4" s="115" t="s">
        <v>1801</v>
      </c>
      <c r="D4" s="114" t="s">
        <v>2279</v>
      </c>
      <c r="E4" s="115" t="s">
        <v>1801</v>
      </c>
      <c r="F4" s="114" t="s">
        <v>2280</v>
      </c>
      <c r="G4" s="115" t="s">
        <v>1801</v>
      </c>
    </row>
    <row r="5" spans="1:11" ht="15" customHeight="1">
      <c r="A5" s="308" t="s">
        <v>2281</v>
      </c>
      <c r="B5" s="114" t="s">
        <v>2282</v>
      </c>
      <c r="C5" s="115" t="s">
        <v>1802</v>
      </c>
      <c r="D5" s="114" t="s">
        <v>2283</v>
      </c>
      <c r="E5" s="115" t="s">
        <v>1802</v>
      </c>
      <c r="F5" s="114" t="s">
        <v>2284</v>
      </c>
      <c r="G5" s="115" t="s">
        <v>1802</v>
      </c>
    </row>
    <row r="6" spans="1:11" ht="24" customHeight="1">
      <c r="A6" s="309"/>
      <c r="B6" s="120"/>
      <c r="C6" s="119" t="s">
        <v>1806</v>
      </c>
      <c r="D6" s="120"/>
      <c r="E6" s="119" t="s">
        <v>2285</v>
      </c>
      <c r="F6" s="120"/>
      <c r="G6" s="119" t="s">
        <v>2285</v>
      </c>
    </row>
    <row r="7" spans="1:11" ht="2.25" customHeight="1" thickBot="1">
      <c r="A7" s="310">
        <v>1996</v>
      </c>
      <c r="B7" s="142">
        <v>913.21658500000001</v>
      </c>
      <c r="C7" s="143">
        <v>0.93069045454545452</v>
      </c>
      <c r="D7" s="142">
        <v>2674.048675</v>
      </c>
      <c r="E7" s="311" t="s">
        <v>407</v>
      </c>
      <c r="F7" s="142">
        <v>530</v>
      </c>
      <c r="G7" s="143">
        <v>0.4887640449438202</v>
      </c>
      <c r="I7" s="9"/>
      <c r="J7" s="9"/>
      <c r="K7" s="9"/>
    </row>
    <row r="8" spans="1:11" ht="20" customHeight="1" thickBot="1">
      <c r="A8" s="312">
        <v>1997</v>
      </c>
      <c r="B8" s="144">
        <v>951.20448216581099</v>
      </c>
      <c r="C8" s="145">
        <v>4.1597905458332182E-2</v>
      </c>
      <c r="D8" s="144">
        <v>2894.7924399622598</v>
      </c>
      <c r="E8" s="145">
        <v>8.2550391481658339E-2</v>
      </c>
      <c r="F8" s="144">
        <v>532</v>
      </c>
      <c r="G8" s="145">
        <v>3.7735849056603774E-3</v>
      </c>
    </row>
    <row r="9" spans="1:11" ht="20" customHeight="1" thickBot="1">
      <c r="A9" s="312">
        <v>1998</v>
      </c>
      <c r="B9" s="144">
        <v>1005.42211</v>
      </c>
      <c r="C9" s="145">
        <v>5.6998919633704945E-2</v>
      </c>
      <c r="D9" s="144">
        <v>3172.9022279999999</v>
      </c>
      <c r="E9" s="145">
        <v>9.6072445194504488E-2</v>
      </c>
      <c r="F9" s="144">
        <v>609.28660000000002</v>
      </c>
      <c r="G9" s="145">
        <v>0.14527556390977447</v>
      </c>
    </row>
    <row r="10" spans="1:11" ht="20" customHeight="1" thickBot="1">
      <c r="A10" s="312">
        <v>1999</v>
      </c>
      <c r="B10" s="144">
        <v>1043.283537</v>
      </c>
      <c r="C10" s="145">
        <v>3.7657245273828376E-2</v>
      </c>
      <c r="D10" s="144">
        <v>3340.3853559999998</v>
      </c>
      <c r="E10" s="145">
        <v>5.2785467677512014E-2</v>
      </c>
      <c r="F10" s="144">
        <v>659.60795700000006</v>
      </c>
      <c r="G10" s="145">
        <v>8.2590618273896119E-2</v>
      </c>
    </row>
    <row r="11" spans="1:11" ht="20.25" customHeight="1" thickBot="1">
      <c r="A11" s="312">
        <v>2000</v>
      </c>
      <c r="B11" s="144">
        <v>1090.4996369999999</v>
      </c>
      <c r="C11" s="145">
        <v>4.5257207964549594E-2</v>
      </c>
      <c r="D11" s="144">
        <v>3554.1311930000002</v>
      </c>
      <c r="E11" s="145">
        <v>6.3988376854805129E-2</v>
      </c>
      <c r="F11" s="144">
        <v>732.09943699999997</v>
      </c>
      <c r="G11" s="145">
        <v>0.10990085736640061</v>
      </c>
    </row>
    <row r="12" spans="1:11" ht="20" customHeight="1" thickBot="1">
      <c r="A12" s="312">
        <v>2001</v>
      </c>
      <c r="B12" s="144">
        <v>1148.4065562125586</v>
      </c>
      <c r="C12" s="145">
        <v>5.3101273258432738E-2</v>
      </c>
      <c r="D12" s="144">
        <v>3804.1073437743612</v>
      </c>
      <c r="E12" s="145">
        <v>7.0333968331472624E-2</v>
      </c>
      <c r="F12" s="144">
        <v>844.73803099999998</v>
      </c>
      <c r="G12" s="145">
        <v>0.15385696028065654</v>
      </c>
    </row>
    <row r="13" spans="1:11" ht="20" customHeight="1" thickBot="1">
      <c r="A13" s="312">
        <v>2002</v>
      </c>
      <c r="B13" s="144">
        <v>1176.9857406315903</v>
      </c>
      <c r="C13" s="145">
        <v>2.4885946761994921E-2</v>
      </c>
      <c r="D13" s="144">
        <v>3992.1493332093432</v>
      </c>
      <c r="E13" s="145">
        <v>4.9431304756087785E-2</v>
      </c>
      <c r="F13" s="144">
        <v>928.34341900000004</v>
      </c>
      <c r="G13" s="145">
        <v>9.8971971110414073E-2</v>
      </c>
    </row>
    <row r="14" spans="1:11" ht="20" customHeight="1" thickBot="1">
      <c r="A14" s="312">
        <v>2003</v>
      </c>
      <c r="B14" s="144">
        <v>1165.5985248499421</v>
      </c>
      <c r="C14" s="145">
        <v>-9.6748969749944191E-3</v>
      </c>
      <c r="D14" s="144">
        <v>4231.4747261964076</v>
      </c>
      <c r="E14" s="145">
        <v>5.9949008168656705E-2</v>
      </c>
      <c r="F14" s="144">
        <v>1008.669965</v>
      </c>
      <c r="G14" s="145">
        <v>8.652675761576116E-2</v>
      </c>
    </row>
    <row r="15" spans="1:11" ht="20" customHeight="1" thickBot="1">
      <c r="A15" s="312">
        <v>2004</v>
      </c>
      <c r="B15" s="144">
        <v>1233.4256947047143</v>
      </c>
      <c r="C15" s="145">
        <v>5.8190850802169757E-2</v>
      </c>
      <c r="D15" s="144">
        <v>4554.5751523643485</v>
      </c>
      <c r="E15" s="145">
        <v>7.6356458935622609E-2</v>
      </c>
      <c r="F15" s="144">
        <v>1102.909758</v>
      </c>
      <c r="G15" s="145">
        <v>9.3429760248685462E-2</v>
      </c>
    </row>
    <row r="16" spans="1:11" ht="20" customHeight="1" thickBot="1">
      <c r="A16" s="312">
        <v>2005</v>
      </c>
      <c r="B16" s="144">
        <v>1249.2878390447622</v>
      </c>
      <c r="C16" s="145">
        <v>1.286023504143507E-2</v>
      </c>
      <c r="D16" s="144">
        <v>4844.6728040822618</v>
      </c>
      <c r="E16" s="145">
        <v>6.3693679874251119E-2</v>
      </c>
      <c r="F16" s="144">
        <v>1201.552809</v>
      </c>
      <c r="G16" s="145">
        <v>8.9438914004059442E-2</v>
      </c>
    </row>
    <row r="17" spans="1:7" ht="20" customHeight="1" thickBot="1">
      <c r="A17" s="312">
        <v>2006</v>
      </c>
      <c r="B17" s="144">
        <v>1280.5357003449858</v>
      </c>
      <c r="C17" s="145">
        <v>2.5012539403342388E-2</v>
      </c>
      <c r="D17" s="144">
        <v>4994.7882609152675</v>
      </c>
      <c r="E17" s="145">
        <v>3.0985674967876901E-2</v>
      </c>
      <c r="F17" s="144">
        <v>1236.2073047456083</v>
      </c>
      <c r="G17" s="145">
        <v>2.884142543385149E-2</v>
      </c>
    </row>
    <row r="18" spans="1:7" ht="24" customHeight="1" thickBot="1">
      <c r="A18" s="313">
        <v>2007</v>
      </c>
      <c r="B18" s="314">
        <v>1328.2484532036312</v>
      </c>
      <c r="C18" s="315">
        <v>3.7259994270984614E-2</v>
      </c>
      <c r="D18" s="314">
        <v>5286.2111265764588</v>
      </c>
      <c r="E18" s="315">
        <v>5.8345389321426341E-2</v>
      </c>
      <c r="F18" s="314">
        <v>1323.229456</v>
      </c>
      <c r="G18" s="315">
        <v>7.0394464520899647E-2</v>
      </c>
    </row>
    <row r="19" spans="1:7">
      <c r="A19" s="133" t="s">
        <v>1709</v>
      </c>
      <c r="B19" s="133"/>
      <c r="C19" s="133"/>
      <c r="D19" s="133"/>
      <c r="E19" s="133"/>
      <c r="F19" s="133"/>
      <c r="G19" s="13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 t="s">
        <v>1833</v>
      </c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 t="s">
        <v>2286</v>
      </c>
    </row>
    <row r="24" spans="1:7">
      <c r="A24" s="101" t="s">
        <v>2287</v>
      </c>
    </row>
    <row r="25" spans="1:7">
      <c r="A25" s="101" t="s">
        <v>2288</v>
      </c>
    </row>
    <row r="28" spans="1:7">
      <c r="A28" s="3" t="s">
        <v>634</v>
      </c>
    </row>
  </sheetData>
  <mergeCells count="1">
    <mergeCell ref="A2:F2"/>
  </mergeCells>
  <phoneticPr fontId="0" type="noConversion"/>
  <pageMargins left="0.62" right="0.66" top="0.89" bottom="0.49" header="0.53" footer="0.4921259845"/>
  <pageSetup paperSize="9" scale="80" orientation="portrait" horizontalDpi="1200" verticalDpi="120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B211-937B-F141-B243-B4F3623E0EDC}">
  <dimension ref="A1:J34"/>
  <sheetViews>
    <sheetView topLeftCell="A13" zoomScale="75" workbookViewId="0">
      <selection activeCell="A3" sqref="A3"/>
    </sheetView>
  </sheetViews>
  <sheetFormatPr baseColWidth="10" defaultColWidth="11.3984375" defaultRowHeight="13"/>
  <cols>
    <col min="1" max="1" width="14.796875" style="2" customWidth="1"/>
    <col min="2" max="2" width="14.796875" style="155" customWidth="1"/>
    <col min="3" max="3" width="14.3984375" style="156" customWidth="1"/>
    <col min="4" max="4" width="14.796875" style="155" customWidth="1"/>
    <col min="5" max="5" width="14.796875" style="156" customWidth="1"/>
    <col min="6" max="6" width="14.796875" style="155" customWidth="1"/>
    <col min="7" max="7" width="14.796875" style="156" customWidth="1"/>
    <col min="8" max="8" width="7.59765625" style="2" customWidth="1"/>
    <col min="9" max="9" width="6.3984375" style="2" customWidth="1"/>
    <col min="10" max="10" width="8.796875" style="2" customWidth="1"/>
    <col min="11" max="16384" width="11.3984375" style="2"/>
  </cols>
  <sheetData>
    <row r="1" spans="1:10" s="1" customFormat="1" ht="18.75" customHeight="1">
      <c r="A1" s="134"/>
      <c r="B1" s="135"/>
      <c r="C1" s="294"/>
      <c r="D1" s="295"/>
      <c r="E1" s="294"/>
      <c r="F1" s="295"/>
      <c r="G1" s="294"/>
    </row>
    <row r="2" spans="1:10" s="1" customFormat="1" ht="40.5" customHeight="1">
      <c r="A2" s="1807" t="s">
        <v>2275</v>
      </c>
      <c r="B2" s="1804"/>
      <c r="C2" s="1804"/>
      <c r="D2" s="1804"/>
      <c r="E2" s="1804"/>
      <c r="F2" s="1804"/>
      <c r="G2" s="275">
        <v>2007</v>
      </c>
    </row>
    <row r="3" spans="1:10" ht="27" customHeight="1">
      <c r="A3" s="110" t="s">
        <v>868</v>
      </c>
      <c r="B3" s="139" t="s">
        <v>869</v>
      </c>
      <c r="C3" s="112" t="s">
        <v>1801</v>
      </c>
      <c r="D3" s="139" t="s">
        <v>871</v>
      </c>
      <c r="E3" s="112" t="s">
        <v>1801</v>
      </c>
      <c r="F3" s="139" t="s">
        <v>629</v>
      </c>
      <c r="G3" s="112" t="s">
        <v>1801</v>
      </c>
    </row>
    <row r="4" spans="1:10" ht="15" customHeight="1">
      <c r="A4" s="113"/>
      <c r="B4" s="140"/>
      <c r="C4" s="115" t="s">
        <v>51</v>
      </c>
      <c r="D4" s="140"/>
      <c r="E4" s="115" t="s">
        <v>51</v>
      </c>
      <c r="F4" s="140"/>
      <c r="G4" s="115" t="s">
        <v>51</v>
      </c>
    </row>
    <row r="5" spans="1:10" ht="15" customHeight="1">
      <c r="A5" s="113"/>
      <c r="B5" s="140"/>
      <c r="C5" s="115" t="s">
        <v>1806</v>
      </c>
      <c r="D5" s="140"/>
      <c r="E5" s="115" t="s">
        <v>1806</v>
      </c>
      <c r="F5" s="140"/>
      <c r="G5" s="115" t="s">
        <v>1806</v>
      </c>
    </row>
    <row r="6" spans="1:10" ht="23" customHeight="1">
      <c r="A6" s="117"/>
      <c r="B6" s="141"/>
      <c r="C6" s="119"/>
      <c r="D6" s="141"/>
      <c r="E6" s="119"/>
      <c r="F6" s="141"/>
      <c r="G6" s="119"/>
    </row>
    <row r="7" spans="1:10" ht="30" customHeight="1" thickBot="1">
      <c r="A7" s="122" t="s">
        <v>873</v>
      </c>
      <c r="B7" s="142">
        <v>0</v>
      </c>
      <c r="C7" s="143">
        <v>0</v>
      </c>
      <c r="D7" s="142">
        <v>0</v>
      </c>
      <c r="E7" s="143">
        <v>0</v>
      </c>
      <c r="F7" s="142">
        <v>0</v>
      </c>
      <c r="G7" s="143">
        <v>0</v>
      </c>
      <c r="H7" s="296"/>
      <c r="I7" s="296"/>
      <c r="J7" s="296"/>
    </row>
    <row r="8" spans="1:10" ht="20" customHeight="1" thickBot="1">
      <c r="A8" s="127" t="s">
        <v>874</v>
      </c>
      <c r="B8" s="144">
        <v>-185.64013157188865</v>
      </c>
      <c r="C8" s="145">
        <v>-4.9534220839868456E-2</v>
      </c>
      <c r="D8" s="144">
        <v>-144.24687633733004</v>
      </c>
      <c r="E8" s="145">
        <v>-5.4632603320576435E-2</v>
      </c>
      <c r="F8" s="144">
        <v>-164.88629422496237</v>
      </c>
      <c r="G8" s="145">
        <v>-5.0987823087511409E-2</v>
      </c>
      <c r="H8" s="296"/>
      <c r="I8" s="296"/>
      <c r="J8" s="296"/>
    </row>
    <row r="9" spans="1:10" ht="20" customHeight="1" thickBot="1">
      <c r="A9" s="127" t="s">
        <v>875</v>
      </c>
      <c r="B9" s="144">
        <v>-180.024499482202</v>
      </c>
      <c r="C9" s="145">
        <v>-5.2770227479086211E-2</v>
      </c>
      <c r="D9" s="144">
        <v>-99.463006032610423</v>
      </c>
      <c r="E9" s="145">
        <v>-7.6885409017650688E-2</v>
      </c>
      <c r="F9" s="144">
        <v>-139.83522216497514</v>
      </c>
      <c r="G9" s="145">
        <v>-6.1717859877985108E-2</v>
      </c>
      <c r="H9" s="296"/>
      <c r="I9" s="296"/>
      <c r="J9" s="296"/>
    </row>
    <row r="10" spans="1:10" ht="20" customHeight="1" thickBot="1">
      <c r="A10" s="127" t="s">
        <v>876</v>
      </c>
      <c r="B10" s="144">
        <v>-167.92816450948686</v>
      </c>
      <c r="C10" s="145">
        <v>-5.4369184194684346E-2</v>
      </c>
      <c r="D10" s="144">
        <v>-72.823173828931289</v>
      </c>
      <c r="E10" s="145">
        <v>-6.5352695256988003E-2</v>
      </c>
      <c r="F10" s="144">
        <v>-120.29749997406839</v>
      </c>
      <c r="G10" s="145">
        <v>-5.7660478132403964E-2</v>
      </c>
      <c r="H10" s="296"/>
      <c r="I10" s="296"/>
      <c r="J10" s="296"/>
    </row>
    <row r="11" spans="1:10" ht="20" customHeight="1" thickBot="1">
      <c r="A11" s="127" t="s">
        <v>877</v>
      </c>
      <c r="B11" s="144">
        <v>-152.82550556945557</v>
      </c>
      <c r="C11" s="145">
        <v>-5.5404387772667769E-2</v>
      </c>
      <c r="D11" s="144">
        <v>-83.819610994908544</v>
      </c>
      <c r="E11" s="145">
        <v>-4.0476972063922048E-2</v>
      </c>
      <c r="F11" s="144">
        <v>-118.29335226534289</v>
      </c>
      <c r="G11" s="145">
        <v>-4.977925514886801E-2</v>
      </c>
      <c r="H11" s="296"/>
      <c r="I11" s="296"/>
      <c r="J11" s="296"/>
    </row>
    <row r="12" spans="1:10" ht="20" customHeight="1" thickBot="1">
      <c r="A12" s="127" t="s">
        <v>878</v>
      </c>
      <c r="B12" s="144">
        <v>-132.85943082193228</v>
      </c>
      <c r="C12" s="145">
        <v>-5.7464125110225722E-2</v>
      </c>
      <c r="D12" s="144">
        <v>-85.307159747067686</v>
      </c>
      <c r="E12" s="145">
        <v>-4.2034494504651028E-2</v>
      </c>
      <c r="F12" s="144">
        <v>-109.37523134115773</v>
      </c>
      <c r="G12" s="145">
        <v>-5.1583167970595374E-2</v>
      </c>
      <c r="H12" s="296"/>
      <c r="I12" s="296"/>
      <c r="J12" s="296"/>
    </row>
    <row r="13" spans="1:10" ht="20" customHeight="1" thickBot="1">
      <c r="A13" s="127" t="s">
        <v>879</v>
      </c>
      <c r="B13" s="144">
        <v>-105.46311689520695</v>
      </c>
      <c r="C13" s="145">
        <v>-6.7393048749931031E-2</v>
      </c>
      <c r="D13" s="144">
        <v>-62.30254434026574</v>
      </c>
      <c r="E13" s="145">
        <v>-0.10695131853043076</v>
      </c>
      <c r="F13" s="144">
        <v>-84.127019236523765</v>
      </c>
      <c r="G13" s="145">
        <v>-8.0867198427590756E-2</v>
      </c>
      <c r="H13" s="296"/>
      <c r="I13" s="296"/>
      <c r="J13" s="296"/>
    </row>
    <row r="14" spans="1:10" ht="20" customHeight="1" thickBot="1">
      <c r="A14" s="127" t="s">
        <v>880</v>
      </c>
      <c r="B14" s="144">
        <v>-63.368043534462402</v>
      </c>
      <c r="C14" s="145">
        <v>-8.3528404997514516E-2</v>
      </c>
      <c r="D14" s="144">
        <v>-22.021496475986766</v>
      </c>
      <c r="E14" s="145">
        <v>2.9939371223740175E-2</v>
      </c>
      <c r="F14" s="144">
        <v>-42.83896266166996</v>
      </c>
      <c r="G14" s="145">
        <v>-5.349104949226844E-2</v>
      </c>
      <c r="H14" s="296"/>
      <c r="I14" s="296"/>
      <c r="J14" s="296"/>
    </row>
    <row r="15" spans="1:10" ht="20" customHeight="1" thickBot="1">
      <c r="A15" s="127" t="s">
        <v>881</v>
      </c>
      <c r="B15" s="144">
        <v>-6.73237049443091</v>
      </c>
      <c r="C15" s="145">
        <v>-1.8287082514486093</v>
      </c>
      <c r="D15" s="144">
        <v>12.364838193340375</v>
      </c>
      <c r="E15" s="145">
        <v>-0.26603986484172709</v>
      </c>
      <c r="F15" s="144">
        <v>2.8427083291271424</v>
      </c>
      <c r="G15" s="145">
        <v>-0.60847350443365711</v>
      </c>
      <c r="H15" s="296"/>
      <c r="I15" s="296"/>
      <c r="J15" s="296"/>
    </row>
    <row r="16" spans="1:10" ht="20" customHeight="1" thickBot="1">
      <c r="A16" s="127" t="s">
        <v>882</v>
      </c>
      <c r="B16" s="144">
        <v>70.163927990407672</v>
      </c>
      <c r="C16" s="145">
        <v>0.1035024603778921</v>
      </c>
      <c r="D16" s="144">
        <v>70.465084977767503</v>
      </c>
      <c r="E16" s="145">
        <v>3.6734287726298151E-2</v>
      </c>
      <c r="F16" s="144">
        <v>70.316585878880772</v>
      </c>
      <c r="G16" s="145">
        <v>6.8481125817341934E-2</v>
      </c>
      <c r="H16" s="296"/>
      <c r="I16" s="296"/>
      <c r="J16" s="296"/>
    </row>
    <row r="17" spans="1:10" ht="20" customHeight="1" thickBot="1">
      <c r="A17" s="127" t="s">
        <v>883</v>
      </c>
      <c r="B17" s="144">
        <v>152.35318797102821</v>
      </c>
      <c r="C17" s="145">
        <v>4.8556674128741595E-2</v>
      </c>
      <c r="D17" s="144">
        <v>134.45624459623775</v>
      </c>
      <c r="E17" s="145">
        <v>4.3423968130285526E-2</v>
      </c>
      <c r="F17" s="144">
        <v>142.88654915955846</v>
      </c>
      <c r="G17" s="145">
        <v>4.6311110080045549E-2</v>
      </c>
      <c r="H17" s="296"/>
      <c r="I17" s="296"/>
      <c r="J17" s="296"/>
    </row>
    <row r="18" spans="1:10" ht="20" customHeight="1" thickBot="1">
      <c r="A18" s="127" t="s">
        <v>884</v>
      </c>
      <c r="B18" s="144">
        <v>259.60610048076182</v>
      </c>
      <c r="C18" s="145">
        <v>4.4575939861726512E-2</v>
      </c>
      <c r="D18" s="144">
        <v>230.44410524769734</v>
      </c>
      <c r="E18" s="145">
        <v>5.3884771993954958E-2</v>
      </c>
      <c r="F18" s="144">
        <v>243.52930266605412</v>
      </c>
      <c r="G18" s="145">
        <v>4.9679676547447892E-2</v>
      </c>
      <c r="H18" s="296"/>
      <c r="I18" s="296"/>
      <c r="J18" s="296"/>
    </row>
    <row r="19" spans="1:10" ht="20" customHeight="1" thickBot="1">
      <c r="A19" s="127" t="s">
        <v>885</v>
      </c>
      <c r="B19" s="144">
        <v>369.20986743709005</v>
      </c>
      <c r="C19" s="145">
        <v>4.3772557278903397E-2</v>
      </c>
      <c r="D19" s="144">
        <v>344.89552402930059</v>
      </c>
      <c r="E19" s="145">
        <v>4.1645569330247927E-2</v>
      </c>
      <c r="F19" s="144">
        <v>354.91079481055164</v>
      </c>
      <c r="G19" s="145">
        <v>4.2855764621938457E-2</v>
      </c>
      <c r="H19" s="296"/>
      <c r="I19" s="296"/>
      <c r="J19" s="296"/>
    </row>
    <row r="20" spans="1:10" ht="20" customHeight="1" thickBot="1">
      <c r="A20" s="127" t="s">
        <v>886</v>
      </c>
      <c r="B20" s="144">
        <v>480.71690190680187</v>
      </c>
      <c r="C20" s="145">
        <v>4.927774624407668E-2</v>
      </c>
      <c r="D20" s="144">
        <v>513.99788960053138</v>
      </c>
      <c r="E20" s="145">
        <v>3.3053526499768712E-2</v>
      </c>
      <c r="F20" s="144">
        <v>501.79593056373682</v>
      </c>
      <c r="G20" s="145">
        <v>3.853510272512705E-2</v>
      </c>
      <c r="H20" s="296"/>
      <c r="I20" s="296"/>
      <c r="J20" s="296"/>
    </row>
    <row r="21" spans="1:10" ht="20" customHeight="1" thickBot="1">
      <c r="A21" s="127" t="s">
        <v>887</v>
      </c>
      <c r="B21" s="144">
        <v>625.8611335516664</v>
      </c>
      <c r="C21" s="145">
        <v>2.7400544471190103E-2</v>
      </c>
      <c r="D21" s="144">
        <v>764.46349666829292</v>
      </c>
      <c r="E21" s="145">
        <v>2.2262391357666462E-2</v>
      </c>
      <c r="F21" s="144">
        <v>719.5941314029742</v>
      </c>
      <c r="G21" s="145">
        <v>2.3415482327120127E-2</v>
      </c>
      <c r="H21" s="296"/>
      <c r="I21" s="296"/>
      <c r="J21" s="296"/>
    </row>
    <row r="22" spans="1:10" ht="20" customHeight="1" thickBot="1">
      <c r="A22" s="127" t="s">
        <v>888</v>
      </c>
      <c r="B22" s="144">
        <v>885.02165519806181</v>
      </c>
      <c r="C22" s="145">
        <v>2.4629360314494565E-2</v>
      </c>
      <c r="D22" s="144">
        <v>1179.0403057325366</v>
      </c>
      <c r="E22" s="145">
        <v>2.9005038856353599E-2</v>
      </c>
      <c r="F22" s="144">
        <v>1105.1623334867613</v>
      </c>
      <c r="G22" s="145">
        <v>2.6935095396586232E-2</v>
      </c>
      <c r="H22" s="296"/>
      <c r="I22" s="296"/>
      <c r="J22" s="296"/>
    </row>
    <row r="23" spans="1:10" ht="20" customHeight="1">
      <c r="A23" s="133" t="s">
        <v>1709</v>
      </c>
      <c r="B23" s="150"/>
      <c r="C23" s="151"/>
      <c r="D23" s="150"/>
      <c r="E23" s="151"/>
      <c r="F23" s="150"/>
      <c r="G23" s="151"/>
    </row>
    <row r="24" spans="1:10" ht="11.25" customHeight="1">
      <c r="A24" s="3"/>
      <c r="B24" s="152"/>
      <c r="C24" s="153"/>
      <c r="D24" s="152"/>
      <c r="E24" s="153"/>
      <c r="F24" s="152"/>
      <c r="G24" s="153"/>
    </row>
    <row r="25" spans="1:10" ht="15.75" customHeight="1">
      <c r="A25" s="3" t="s">
        <v>1833</v>
      </c>
      <c r="B25" s="152"/>
      <c r="C25" s="153"/>
      <c r="D25" s="152"/>
      <c r="E25" s="153"/>
      <c r="F25" s="152"/>
      <c r="G25" s="153"/>
    </row>
    <row r="26" spans="1:10">
      <c r="A26" s="289"/>
      <c r="B26" s="152"/>
      <c r="C26" s="153"/>
      <c r="D26" s="152"/>
      <c r="E26" s="153"/>
      <c r="F26" s="152"/>
      <c r="G26" s="153"/>
    </row>
    <row r="27" spans="1:10">
      <c r="A27" s="289" t="s">
        <v>2270</v>
      </c>
      <c r="B27" s="152"/>
      <c r="C27" s="153"/>
      <c r="D27" s="152"/>
      <c r="E27" s="153"/>
      <c r="F27" s="152"/>
      <c r="G27" s="153"/>
    </row>
    <row r="28" spans="1:10">
      <c r="A28" s="289" t="s">
        <v>2271</v>
      </c>
      <c r="B28" s="152"/>
      <c r="C28" s="153"/>
      <c r="D28" s="152"/>
      <c r="E28" s="153"/>
      <c r="F28" s="152"/>
      <c r="G28" s="153"/>
    </row>
    <row r="29" spans="1:10">
      <c r="A29" s="289" t="s">
        <v>2272</v>
      </c>
      <c r="B29" s="152"/>
      <c r="C29" s="153"/>
      <c r="D29" s="152"/>
      <c r="E29" s="153"/>
      <c r="F29" s="152"/>
      <c r="G29" s="153"/>
    </row>
    <row r="30" spans="1:10">
      <c r="A30" s="289" t="s">
        <v>2273</v>
      </c>
      <c r="B30" s="152"/>
      <c r="C30" s="153"/>
      <c r="D30" s="152"/>
      <c r="E30" s="153"/>
      <c r="F30" s="152"/>
      <c r="G30" s="153"/>
    </row>
    <row r="31" spans="1:10">
      <c r="A31" s="289" t="s">
        <v>2274</v>
      </c>
      <c r="B31" s="152"/>
      <c r="C31" s="153"/>
      <c r="D31" s="152"/>
      <c r="E31" s="153"/>
      <c r="F31" s="152"/>
      <c r="G31" s="153"/>
    </row>
    <row r="32" spans="1:10">
      <c r="A32" s="289"/>
      <c r="B32" s="152"/>
      <c r="C32" s="153"/>
      <c r="D32" s="152"/>
      <c r="E32" s="153"/>
      <c r="F32" s="152"/>
      <c r="G32" s="153"/>
    </row>
    <row r="33" spans="1:7">
      <c r="A33" s="289"/>
      <c r="B33" s="152"/>
      <c r="C33" s="153"/>
      <c r="D33" s="152"/>
      <c r="E33" s="153"/>
      <c r="F33" s="152"/>
      <c r="G33" s="153"/>
    </row>
    <row r="34" spans="1:7">
      <c r="A34" s="3" t="s">
        <v>634</v>
      </c>
    </row>
  </sheetData>
  <mergeCells count="1">
    <mergeCell ref="A2:F2"/>
  </mergeCells>
  <phoneticPr fontId="0" type="noConversion"/>
  <pageMargins left="0.62" right="0.54" top="0.74" bottom="0.86614173228346458" header="0.4" footer="0.51181102362204722"/>
  <pageSetup paperSize="9" scale="80" orientation="portrait" horizontalDpi="1200" verticalDpi="120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EDA6-6549-664B-8C98-67084FD800A2}">
  <sheetPr>
    <pageSetUpPr fitToPage="1"/>
  </sheetPr>
  <dimension ref="A1:D24"/>
  <sheetViews>
    <sheetView workbookViewId="0">
      <selection activeCell="G21" sqref="G21"/>
    </sheetView>
  </sheetViews>
  <sheetFormatPr baseColWidth="10" defaultColWidth="11.3984375" defaultRowHeight="13"/>
  <cols>
    <col min="1" max="1" width="5.59765625" style="103" customWidth="1"/>
    <col min="2" max="16384" width="11.3984375" style="103"/>
  </cols>
  <sheetData>
    <row r="1" spans="1:4" ht="16">
      <c r="A1" s="102" t="s">
        <v>632</v>
      </c>
    </row>
    <row r="3" spans="1:4">
      <c r="A3" s="104">
        <v>11.01</v>
      </c>
      <c r="B3" s="105" t="s">
        <v>641</v>
      </c>
      <c r="C3" s="271"/>
      <c r="D3" s="271"/>
    </row>
    <row r="4" spans="1:4">
      <c r="A4" s="104">
        <v>11.02</v>
      </c>
      <c r="B4" s="105" t="s">
        <v>642</v>
      </c>
      <c r="C4" s="271"/>
      <c r="D4" s="271"/>
    </row>
    <row r="5" spans="1:4">
      <c r="A5" s="104">
        <v>11.03</v>
      </c>
      <c r="B5" s="105" t="s">
        <v>633</v>
      </c>
      <c r="C5" s="271"/>
      <c r="D5" s="271"/>
    </row>
    <row r="6" spans="1:4">
      <c r="A6" s="104">
        <v>11.04</v>
      </c>
      <c r="B6" s="105" t="s">
        <v>1787</v>
      </c>
      <c r="C6" s="271"/>
      <c r="D6" s="271"/>
    </row>
    <row r="7" spans="1:4">
      <c r="A7" s="104">
        <v>11.05</v>
      </c>
      <c r="B7" s="105" t="s">
        <v>1661</v>
      </c>
      <c r="C7" s="271"/>
      <c r="D7" s="271"/>
    </row>
    <row r="8" spans="1:4">
      <c r="A8" s="104">
        <v>11.06</v>
      </c>
      <c r="B8" s="105" t="s">
        <v>1788</v>
      </c>
      <c r="C8" s="271"/>
      <c r="D8" s="271"/>
    </row>
    <row r="9" spans="1:4">
      <c r="A9" s="104">
        <v>11.07</v>
      </c>
      <c r="B9" s="105" t="s">
        <v>1662</v>
      </c>
      <c r="C9" s="271"/>
      <c r="D9" s="271"/>
    </row>
    <row r="10" spans="1:4">
      <c r="A10" s="104">
        <v>11.08</v>
      </c>
      <c r="B10" s="105" t="s">
        <v>1789</v>
      </c>
      <c r="C10" s="271"/>
      <c r="D10" s="271"/>
    </row>
    <row r="11" spans="1:4">
      <c r="A11" s="104">
        <v>11.09</v>
      </c>
      <c r="B11" s="105" t="s">
        <v>1681</v>
      </c>
      <c r="C11" s="271"/>
      <c r="D11" s="271"/>
    </row>
    <row r="12" spans="1:4">
      <c r="A12" s="104">
        <v>11.1</v>
      </c>
      <c r="B12" s="105" t="s">
        <v>1790</v>
      </c>
      <c r="C12" s="271"/>
      <c r="D12" s="271"/>
    </row>
    <row r="13" spans="1:4">
      <c r="A13" s="104">
        <v>11.11</v>
      </c>
      <c r="B13" s="105" t="s">
        <v>1682</v>
      </c>
      <c r="C13" s="271"/>
      <c r="D13" s="271"/>
    </row>
    <row r="14" spans="1:4">
      <c r="A14" s="104">
        <v>11.12</v>
      </c>
      <c r="B14" s="105" t="s">
        <v>1791</v>
      </c>
      <c r="C14" s="271"/>
      <c r="D14" s="271"/>
    </row>
    <row r="15" spans="1:4">
      <c r="A15" s="104">
        <v>11.13</v>
      </c>
      <c r="B15" s="105" t="s">
        <v>1191</v>
      </c>
      <c r="C15" s="271"/>
      <c r="D15" s="271"/>
    </row>
    <row r="16" spans="1:4">
      <c r="A16" s="104">
        <v>11.14</v>
      </c>
      <c r="B16" s="106" t="s">
        <v>1792</v>
      </c>
      <c r="C16" s="271"/>
      <c r="D16" s="271"/>
    </row>
    <row r="17" spans="1:4">
      <c r="A17" s="104">
        <v>11.15</v>
      </c>
      <c r="B17" s="106" t="s">
        <v>1793</v>
      </c>
      <c r="C17" s="271"/>
      <c r="D17" s="271"/>
    </row>
    <row r="18" spans="1:4">
      <c r="A18" s="104">
        <v>11.16</v>
      </c>
      <c r="B18" s="106" t="s">
        <v>1794</v>
      </c>
      <c r="C18" s="271"/>
      <c r="D18" s="271"/>
    </row>
    <row r="19" spans="1:4">
      <c r="A19" s="104">
        <v>11.17</v>
      </c>
      <c r="B19" s="105" t="s">
        <v>1795</v>
      </c>
      <c r="C19" s="271"/>
      <c r="D19" s="271"/>
    </row>
    <row r="20" spans="1:4">
      <c r="A20" s="104">
        <v>11.18</v>
      </c>
      <c r="B20" s="106" t="s">
        <v>1796</v>
      </c>
      <c r="C20" s="271"/>
      <c r="D20" s="271"/>
    </row>
    <row r="21" spans="1:4">
      <c r="A21" s="104">
        <v>11.19</v>
      </c>
      <c r="B21" s="106" t="s">
        <v>1683</v>
      </c>
      <c r="C21" s="271"/>
      <c r="D21" s="271"/>
    </row>
    <row r="22" spans="1:4">
      <c r="A22" s="104"/>
      <c r="B22" s="107"/>
    </row>
    <row r="24" spans="1:4">
      <c r="A24" s="108" t="s">
        <v>634</v>
      </c>
    </row>
  </sheetData>
  <phoneticPr fontId="30" type="noConversion"/>
  <pageMargins left="0.46" right="0.46" top="0.63" bottom="0.984251969" header="0.38" footer="0.4921259845"/>
  <pageSetup paperSize="9" orientation="portrait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446C-ABD8-334E-9F30-67D6CA22BA5D}">
  <sheetPr>
    <pageSetUpPr fitToPage="1"/>
  </sheetPr>
  <dimension ref="A1:K27"/>
  <sheetViews>
    <sheetView topLeftCell="A6" zoomScale="75" workbookViewId="0">
      <selection activeCell="A3" sqref="A3"/>
    </sheetView>
  </sheetViews>
  <sheetFormatPr baseColWidth="10" defaultColWidth="11.3984375" defaultRowHeight="13"/>
  <cols>
    <col min="1" max="1" width="20.796875" style="2" customWidth="1"/>
    <col min="2" max="5" width="14" style="2" customWidth="1"/>
    <col min="6" max="6" width="14.796875" style="2" customWidth="1"/>
    <col min="7" max="7" width="13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09" t="s">
        <v>1130</v>
      </c>
      <c r="G2" s="354">
        <v>2007</v>
      </c>
    </row>
    <row r="3" spans="1:11" ht="24" customHeight="1">
      <c r="A3" s="110" t="s">
        <v>1254</v>
      </c>
      <c r="B3" s="111" t="s">
        <v>891</v>
      </c>
      <c r="C3" s="112" t="s">
        <v>892</v>
      </c>
      <c r="D3" s="111" t="s">
        <v>1800</v>
      </c>
      <c r="E3" s="112" t="s">
        <v>1798</v>
      </c>
      <c r="F3" s="111" t="s">
        <v>629</v>
      </c>
      <c r="G3" s="112" t="s">
        <v>1801</v>
      </c>
    </row>
    <row r="4" spans="1:11" ht="15" customHeight="1">
      <c r="A4" s="308"/>
      <c r="B4" s="114"/>
      <c r="C4" s="115"/>
      <c r="D4" s="114"/>
      <c r="E4" s="279"/>
      <c r="F4" s="114"/>
      <c r="G4" s="115" t="s">
        <v>1802</v>
      </c>
    </row>
    <row r="5" spans="1:11" ht="15" customHeight="1">
      <c r="A5" s="308"/>
      <c r="B5" s="114"/>
      <c r="C5" s="115"/>
      <c r="D5" s="114"/>
      <c r="E5" s="279"/>
      <c r="F5" s="114"/>
      <c r="G5" s="115" t="s">
        <v>1806</v>
      </c>
    </row>
    <row r="6" spans="1:11" ht="24" customHeight="1">
      <c r="A6" s="309"/>
      <c r="B6" s="120"/>
      <c r="C6" s="119"/>
      <c r="D6" s="120"/>
      <c r="E6" s="282"/>
      <c r="F6" s="120"/>
      <c r="G6" s="119"/>
    </row>
    <row r="7" spans="1:11" ht="1.5" customHeight="1" thickBot="1">
      <c r="A7" s="310">
        <v>1996</v>
      </c>
      <c r="B7" s="142">
        <v>2792349</v>
      </c>
      <c r="C7" s="291">
        <v>2968829</v>
      </c>
      <c r="D7" s="142">
        <v>5761178</v>
      </c>
      <c r="E7" s="291">
        <v>1471489</v>
      </c>
      <c r="F7" s="142">
        <v>7232667</v>
      </c>
      <c r="G7" s="143">
        <v>1.8350297937143788E-2</v>
      </c>
    </row>
    <row r="8" spans="1:11" ht="20" customHeight="1" thickBot="1">
      <c r="A8" s="312">
        <v>1997</v>
      </c>
      <c r="B8" s="144">
        <v>2750986</v>
      </c>
      <c r="C8" s="297">
        <v>2929423</v>
      </c>
      <c r="D8" s="144">
        <v>5680409</v>
      </c>
      <c r="E8" s="297">
        <v>1556062</v>
      </c>
      <c r="F8" s="144">
        <v>7236471</v>
      </c>
      <c r="G8" s="145">
        <v>5.2594706765844463E-4</v>
      </c>
      <c r="I8" s="9"/>
      <c r="J8" s="9"/>
      <c r="K8" s="9"/>
    </row>
    <row r="9" spans="1:11" ht="20" customHeight="1" thickBot="1">
      <c r="A9" s="312">
        <v>1998</v>
      </c>
      <c r="B9" s="144">
        <v>2746839</v>
      </c>
      <c r="C9" s="297">
        <v>2927739</v>
      </c>
      <c r="D9" s="144">
        <v>5674578</v>
      </c>
      <c r="E9" s="297">
        <v>1572038</v>
      </c>
      <c r="F9" s="144">
        <v>7246616</v>
      </c>
      <c r="G9" s="145">
        <v>1.401926436242196E-3</v>
      </c>
    </row>
    <row r="10" spans="1:11" ht="20" customHeight="1" thickBot="1">
      <c r="A10" s="312">
        <v>1999</v>
      </c>
      <c r="B10" s="144">
        <v>2760031</v>
      </c>
      <c r="C10" s="297">
        <v>2940891</v>
      </c>
      <c r="D10" s="144">
        <v>5700922</v>
      </c>
      <c r="E10" s="297">
        <v>1569600</v>
      </c>
      <c r="F10" s="144">
        <v>7270522</v>
      </c>
      <c r="G10" s="145">
        <v>3.298919109278041E-3</v>
      </c>
    </row>
    <row r="11" spans="1:11" ht="20" customHeight="1" thickBot="1">
      <c r="A11" s="312">
        <v>2000</v>
      </c>
      <c r="B11" s="144">
        <v>2758998</v>
      </c>
      <c r="C11" s="297">
        <v>2947662</v>
      </c>
      <c r="D11" s="144">
        <v>5706660</v>
      </c>
      <c r="E11" s="297">
        <v>1558453</v>
      </c>
      <c r="F11" s="144">
        <v>7265113</v>
      </c>
      <c r="G11" s="145">
        <v>-7.4396308820742166E-4</v>
      </c>
    </row>
    <row r="12" spans="1:11" ht="20" customHeight="1" thickBot="1">
      <c r="A12" s="312">
        <v>2001</v>
      </c>
      <c r="B12" s="144">
        <v>2778660</v>
      </c>
      <c r="C12" s="297">
        <v>2968477</v>
      </c>
      <c r="D12" s="144">
        <v>5747137</v>
      </c>
      <c r="E12" s="297">
        <v>1553913</v>
      </c>
      <c r="F12" s="144">
        <v>7301050</v>
      </c>
      <c r="G12" s="145">
        <v>4.9465163170896312E-3</v>
      </c>
    </row>
    <row r="13" spans="1:11" ht="20" customHeight="1" thickBot="1">
      <c r="A13" s="312">
        <v>2002</v>
      </c>
      <c r="B13" s="144">
        <v>2803463</v>
      </c>
      <c r="C13" s="297">
        <v>2992002</v>
      </c>
      <c r="D13" s="144">
        <v>5795465</v>
      </c>
      <c r="E13" s="297">
        <v>1549167</v>
      </c>
      <c r="F13" s="144">
        <v>7344632</v>
      </c>
      <c r="G13" s="145">
        <v>5.9692783914642418E-3</v>
      </c>
    </row>
    <row r="14" spans="1:11" ht="20" customHeight="1" thickBot="1">
      <c r="A14" s="312">
        <v>2003</v>
      </c>
      <c r="B14" s="144">
        <v>2880411</v>
      </c>
      <c r="C14" s="297">
        <v>2950352</v>
      </c>
      <c r="D14" s="144">
        <v>5830763</v>
      </c>
      <c r="E14" s="297">
        <v>1541742</v>
      </c>
      <c r="F14" s="144">
        <v>7372505</v>
      </c>
      <c r="G14" s="145">
        <v>3.7950165508632699E-3</v>
      </c>
    </row>
    <row r="15" spans="1:11" ht="20" customHeight="1" thickBot="1">
      <c r="A15" s="312">
        <v>2004</v>
      </c>
      <c r="B15" s="144">
        <v>2832331</v>
      </c>
      <c r="C15" s="297">
        <v>3021580</v>
      </c>
      <c r="D15" s="144">
        <v>5853911</v>
      </c>
      <c r="E15" s="297">
        <v>1529663</v>
      </c>
      <c r="F15" s="144">
        <v>7383574</v>
      </c>
      <c r="G15" s="145">
        <v>1.5013892835610148E-3</v>
      </c>
    </row>
    <row r="16" spans="1:11" ht="20" customHeight="1" thickBot="1">
      <c r="A16" s="312">
        <v>2005</v>
      </c>
      <c r="B16" s="144">
        <v>2861206</v>
      </c>
      <c r="C16" s="297">
        <v>3049366</v>
      </c>
      <c r="D16" s="144">
        <v>5910572</v>
      </c>
      <c r="E16" s="297">
        <v>1525293</v>
      </c>
      <c r="F16" s="144">
        <v>7435865</v>
      </c>
      <c r="G16" s="145">
        <v>7.0820716363104719E-3</v>
      </c>
    </row>
    <row r="17" spans="1:7" ht="20" customHeight="1" thickBot="1">
      <c r="A17" s="312">
        <v>2006</v>
      </c>
      <c r="B17" s="144">
        <v>2886537</v>
      </c>
      <c r="C17" s="297">
        <v>3073653</v>
      </c>
      <c r="D17" s="144">
        <v>5960190</v>
      </c>
      <c r="E17" s="297">
        <v>1518236</v>
      </c>
      <c r="F17" s="144">
        <v>7478426</v>
      </c>
      <c r="G17" s="145">
        <v>5.7237456570284895E-3</v>
      </c>
    </row>
    <row r="18" spans="1:7" ht="30" customHeight="1" thickBot="1">
      <c r="A18" s="396">
        <v>2007</v>
      </c>
      <c r="B18" s="338">
        <v>2922196</v>
      </c>
      <c r="C18" s="339">
        <v>3104949</v>
      </c>
      <c r="D18" s="338">
        <v>6027145</v>
      </c>
      <c r="E18" s="339">
        <v>1510443</v>
      </c>
      <c r="F18" s="338">
        <v>7537588</v>
      </c>
      <c r="G18" s="147">
        <v>7.9110229879923999E-3</v>
      </c>
    </row>
    <row r="19" spans="1:7" ht="20" customHeight="1">
      <c r="A19" s="133" t="s">
        <v>1256</v>
      </c>
      <c r="B19" s="335"/>
      <c r="C19" s="335"/>
      <c r="D19" s="335"/>
      <c r="E19" s="335"/>
      <c r="F19" s="335"/>
      <c r="G19" s="559"/>
    </row>
    <row r="20" spans="1:7" ht="20" customHeight="1">
      <c r="A20" s="3"/>
      <c r="B20" s="337"/>
      <c r="C20" s="337"/>
      <c r="D20" s="337"/>
      <c r="E20" s="337"/>
      <c r="F20" s="337"/>
      <c r="G20" s="560"/>
    </row>
    <row r="21" spans="1:7" ht="12.75" customHeight="1">
      <c r="A21" s="585" t="s">
        <v>1127</v>
      </c>
      <c r="B21" s="337"/>
      <c r="C21" s="337"/>
      <c r="D21" s="337"/>
      <c r="E21" s="337"/>
      <c r="F21" s="337"/>
      <c r="G21" s="560"/>
    </row>
    <row r="22" spans="1:7" ht="12.75" customHeight="1">
      <c r="A22" s="515" t="s">
        <v>1128</v>
      </c>
    </row>
    <row r="24" spans="1:7">
      <c r="A24" s="2" t="s">
        <v>1129</v>
      </c>
    </row>
    <row r="27" spans="1:7">
      <c r="A27" s="2" t="s">
        <v>634</v>
      </c>
    </row>
  </sheetData>
  <phoneticPr fontId="0" type="noConversion"/>
  <pageMargins left="0.5" right="0.49" top="1.03" bottom="0.49" header="0.56000000000000005" footer="0.4921259845"/>
  <pageSetup paperSize="9" scale="89" orientation="portrait" horizontalDpi="1200" verticalDpi="1200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38C6-C4D6-4B45-BB29-77A27FEC5C72}">
  <sheetPr>
    <pageSetUpPr fitToPage="1"/>
  </sheetPr>
  <dimension ref="A1:K29"/>
  <sheetViews>
    <sheetView topLeftCell="A7" zoomScale="75" workbookViewId="0">
      <selection activeCell="A3" sqref="A3"/>
    </sheetView>
  </sheetViews>
  <sheetFormatPr baseColWidth="10" defaultColWidth="11.3984375" defaultRowHeight="13"/>
  <cols>
    <col min="1" max="1" width="20.796875" style="2" customWidth="1"/>
    <col min="2" max="3" width="14" style="2" customWidth="1"/>
    <col min="4" max="4" width="15.3984375" style="2" customWidth="1"/>
    <col min="5" max="5" width="14" style="2" customWidth="1"/>
    <col min="6" max="6" width="14.796875" style="2" customWidth="1"/>
    <col min="7" max="7" width="13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09" t="s">
        <v>983</v>
      </c>
      <c r="G2" s="321">
        <v>2007</v>
      </c>
    </row>
    <row r="3" spans="1:11" ht="24" customHeight="1">
      <c r="A3" s="110" t="s">
        <v>1254</v>
      </c>
      <c r="B3" s="111" t="s">
        <v>891</v>
      </c>
      <c r="C3" s="112" t="s">
        <v>892</v>
      </c>
      <c r="D3" s="111" t="s">
        <v>1800</v>
      </c>
      <c r="E3" s="112" t="s">
        <v>989</v>
      </c>
      <c r="F3" s="111" t="s">
        <v>629</v>
      </c>
      <c r="G3" s="112" t="s">
        <v>1801</v>
      </c>
    </row>
    <row r="4" spans="1:11" ht="15" customHeight="1">
      <c r="A4" s="308"/>
      <c r="B4" s="114"/>
      <c r="C4" s="115"/>
      <c r="D4" s="114"/>
      <c r="E4" s="279"/>
      <c r="F4" s="114"/>
      <c r="G4" s="115" t="s">
        <v>1802</v>
      </c>
    </row>
    <row r="5" spans="1:11" ht="15" customHeight="1">
      <c r="A5" s="308"/>
      <c r="B5" s="114"/>
      <c r="C5" s="115"/>
      <c r="D5" s="114"/>
      <c r="E5" s="279"/>
      <c r="F5" s="114"/>
      <c r="G5" s="115" t="s">
        <v>1806</v>
      </c>
    </row>
    <row r="6" spans="1:11" ht="24" customHeight="1">
      <c r="A6" s="309"/>
      <c r="B6" s="120"/>
      <c r="C6" s="119"/>
      <c r="D6" s="120"/>
      <c r="E6" s="282"/>
      <c r="F6" s="120"/>
      <c r="G6" s="119"/>
    </row>
    <row r="7" spans="1:11" ht="1.5" customHeight="1" thickBot="1">
      <c r="A7" s="310">
        <v>1996</v>
      </c>
      <c r="B7" s="142">
        <v>2760146</v>
      </c>
      <c r="C7" s="291">
        <v>2938608</v>
      </c>
      <c r="D7" s="142">
        <v>5698754</v>
      </c>
      <c r="E7" s="291">
        <v>1496000</v>
      </c>
      <c r="F7" s="142">
        <v>7194754</v>
      </c>
      <c r="G7" s="143">
        <v>4.3855246833913626E-3</v>
      </c>
    </row>
    <row r="8" spans="1:11" ht="20" customHeight="1" thickBot="1">
      <c r="A8" s="312">
        <v>1997</v>
      </c>
      <c r="B8" s="144">
        <v>2725064</v>
      </c>
      <c r="C8" s="297">
        <v>2902973</v>
      </c>
      <c r="D8" s="144">
        <v>5628037</v>
      </c>
      <c r="E8" s="297">
        <v>1586768</v>
      </c>
      <c r="F8" s="144">
        <v>7214805</v>
      </c>
      <c r="G8" s="145">
        <v>2.7868916713483186E-3</v>
      </c>
      <c r="I8" s="9"/>
      <c r="J8" s="9"/>
      <c r="K8" s="9"/>
    </row>
    <row r="9" spans="1:11" ht="20" customHeight="1" thickBot="1">
      <c r="A9" s="312">
        <v>1998</v>
      </c>
      <c r="B9" s="144">
        <v>2736949</v>
      </c>
      <c r="C9" s="297">
        <v>2915969</v>
      </c>
      <c r="D9" s="144">
        <v>5652918</v>
      </c>
      <c r="E9" s="297">
        <v>1595685</v>
      </c>
      <c r="F9" s="144">
        <v>7248603</v>
      </c>
      <c r="G9" s="145">
        <v>4.6845340934370365E-3</v>
      </c>
    </row>
    <row r="10" spans="1:11" ht="20" customHeight="1" thickBot="1">
      <c r="A10" s="312">
        <v>1999</v>
      </c>
      <c r="B10" s="144">
        <v>2741177</v>
      </c>
      <c r="C10" s="297">
        <v>2926032</v>
      </c>
      <c r="D10" s="144">
        <v>5667209</v>
      </c>
      <c r="E10" s="297">
        <v>1599325</v>
      </c>
      <c r="F10" s="144">
        <v>7266534</v>
      </c>
      <c r="G10" s="145">
        <v>2.4737180391863093E-3</v>
      </c>
    </row>
    <row r="11" spans="1:11" ht="20" customHeight="1" thickBot="1">
      <c r="A11" s="312">
        <v>2000</v>
      </c>
      <c r="B11" s="144">
        <v>2746615</v>
      </c>
      <c r="C11" s="297">
        <v>2936748</v>
      </c>
      <c r="D11" s="144">
        <v>5683363</v>
      </c>
      <c r="E11" s="297">
        <v>1584748</v>
      </c>
      <c r="F11" s="144">
        <v>7268111</v>
      </c>
      <c r="G11" s="145">
        <v>2.1702231077429761E-4</v>
      </c>
    </row>
    <row r="12" spans="1:11" ht="20" customHeight="1" thickBot="1">
      <c r="A12" s="312">
        <v>2001</v>
      </c>
      <c r="B12" s="144">
        <v>2775829</v>
      </c>
      <c r="C12" s="297">
        <v>2962533</v>
      </c>
      <c r="D12" s="144">
        <v>5738362</v>
      </c>
      <c r="E12" s="297">
        <v>1582925</v>
      </c>
      <c r="F12" s="144">
        <v>7321287</v>
      </c>
      <c r="G12" s="145">
        <v>7.3163439578729601E-3</v>
      </c>
    </row>
    <row r="13" spans="1:11" ht="20" customHeight="1" thickBot="1">
      <c r="A13" s="312">
        <v>2002</v>
      </c>
      <c r="B13" s="144">
        <v>2798041</v>
      </c>
      <c r="C13" s="297">
        <v>2982916</v>
      </c>
      <c r="D13" s="144">
        <v>5780957</v>
      </c>
      <c r="E13" s="297">
        <v>1578408</v>
      </c>
      <c r="F13" s="144">
        <v>7359365</v>
      </c>
      <c r="G13" s="145">
        <v>5.2009981305199482E-3</v>
      </c>
    </row>
    <row r="14" spans="1:11" ht="19.5" customHeight="1" thickBot="1">
      <c r="A14" s="312">
        <v>2003</v>
      </c>
      <c r="B14" s="144">
        <v>2818135</v>
      </c>
      <c r="C14" s="297">
        <v>3002978</v>
      </c>
      <c r="D14" s="144">
        <v>5821113</v>
      </c>
      <c r="E14" s="297">
        <v>1572075</v>
      </c>
      <c r="F14" s="144">
        <v>7393188</v>
      </c>
      <c r="G14" s="145">
        <v>4.5959128267180661E-3</v>
      </c>
    </row>
    <row r="15" spans="1:11" ht="19.5" customHeight="1" thickBot="1">
      <c r="A15" s="312">
        <v>2004</v>
      </c>
      <c r="B15" s="144">
        <v>2834642</v>
      </c>
      <c r="C15" s="297">
        <v>3021025</v>
      </c>
      <c r="D15" s="144">
        <v>5855667</v>
      </c>
      <c r="E15" s="297">
        <v>1564307</v>
      </c>
      <c r="F15" s="144">
        <v>7419974</v>
      </c>
      <c r="G15" s="145">
        <v>3.623064907858423E-3</v>
      </c>
    </row>
    <row r="16" spans="1:11" ht="19.5" customHeight="1" thickBot="1">
      <c r="A16" s="312">
        <v>2005</v>
      </c>
      <c r="B16" s="144">
        <v>2858735</v>
      </c>
      <c r="C16" s="297">
        <v>3042765</v>
      </c>
      <c r="D16" s="144">
        <v>5901500</v>
      </c>
      <c r="E16" s="297">
        <v>1556975</v>
      </c>
      <c r="F16" s="144">
        <v>7458475</v>
      </c>
      <c r="G16" s="145">
        <v>5.1888321980642083E-3</v>
      </c>
    </row>
    <row r="17" spans="1:7" ht="19.5" customHeight="1" thickBot="1">
      <c r="A17" s="312">
        <v>2006</v>
      </c>
      <c r="B17" s="144">
        <v>2887156</v>
      </c>
      <c r="C17" s="297">
        <v>3068025</v>
      </c>
      <c r="D17" s="144">
        <v>5955181</v>
      </c>
      <c r="E17" s="297">
        <v>1552364</v>
      </c>
      <c r="F17" s="144">
        <v>7507545</v>
      </c>
      <c r="G17" s="145">
        <v>6.5790929110842722E-3</v>
      </c>
    </row>
    <row r="18" spans="1:7" ht="23.25" customHeight="1" thickBot="1">
      <c r="A18" s="396">
        <v>2007</v>
      </c>
      <c r="B18" s="338">
        <v>2927022</v>
      </c>
      <c r="C18" s="339">
        <v>3102846</v>
      </c>
      <c r="D18" s="338">
        <v>6029868</v>
      </c>
      <c r="E18" s="339">
        <v>1547264</v>
      </c>
      <c r="F18" s="338">
        <v>7577132</v>
      </c>
      <c r="G18" s="147">
        <v>9.2689421109031223E-3</v>
      </c>
    </row>
    <row r="19" spans="1:7" ht="20" customHeight="1">
      <c r="A19" s="133" t="s">
        <v>1256</v>
      </c>
      <c r="B19" s="335"/>
      <c r="C19" s="335"/>
      <c r="D19" s="335"/>
      <c r="E19" s="335"/>
      <c r="F19" s="335"/>
      <c r="G19" s="559"/>
    </row>
    <row r="20" spans="1:7" ht="13.5" customHeight="1">
      <c r="A20" s="3"/>
      <c r="B20" s="337"/>
      <c r="C20" s="337"/>
      <c r="D20" s="337"/>
      <c r="E20" s="337"/>
      <c r="F20" s="337"/>
      <c r="G20" s="560"/>
    </row>
    <row r="21" spans="1:7" ht="12.75" customHeight="1">
      <c r="A21" s="2" t="s">
        <v>984</v>
      </c>
    </row>
    <row r="22" spans="1:7" ht="12.75" customHeight="1">
      <c r="A22" s="154" t="s">
        <v>985</v>
      </c>
    </row>
    <row r="23" spans="1:7" ht="12.75" customHeight="1">
      <c r="A23" s="380" t="s">
        <v>986</v>
      </c>
    </row>
    <row r="24" spans="1:7">
      <c r="A24" s="380" t="s">
        <v>987</v>
      </c>
    </row>
    <row r="25" spans="1:7">
      <c r="A25" s="561"/>
    </row>
    <row r="26" spans="1:7">
      <c r="A26" s="2" t="s">
        <v>988</v>
      </c>
    </row>
    <row r="29" spans="1:7">
      <c r="A29" s="2" t="s">
        <v>634</v>
      </c>
    </row>
  </sheetData>
  <phoneticPr fontId="0" type="noConversion"/>
  <pageMargins left="0.49" right="0.56000000000000005" top="0.96" bottom="0.49" header="0.53" footer="0.4921259845"/>
  <pageSetup paperSize="9" scale="87" orientation="portrait" horizontalDpi="1200" verticalDpi="1200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1310-CF7B-2944-9E70-B8A145862130}">
  <sheetPr>
    <pageSetUpPr fitToPage="1"/>
  </sheetPr>
  <dimension ref="A1:F43"/>
  <sheetViews>
    <sheetView topLeftCell="A23" zoomScale="75" workbookViewId="0">
      <selection activeCell="A3" sqref="A3"/>
    </sheetView>
  </sheetViews>
  <sheetFormatPr baseColWidth="10" defaultColWidth="11.3984375" defaultRowHeight="13"/>
  <cols>
    <col min="1" max="1" width="16.19921875" style="2" customWidth="1"/>
    <col min="2" max="5" width="17.3984375" style="2" customWidth="1"/>
    <col min="6" max="6" width="17.3984375" style="414" customWidth="1"/>
    <col min="7" max="8" width="11.3984375" style="2"/>
    <col min="9" max="9" width="14.796875" style="2" customWidth="1"/>
    <col min="10" max="16384" width="11.3984375" style="2"/>
  </cols>
  <sheetData>
    <row r="1" spans="1:6" s="1" customFormat="1" ht="14" customHeight="1">
      <c r="F1" s="562"/>
    </row>
    <row r="2" spans="1:6" s="1" customFormat="1" ht="28" customHeight="1">
      <c r="A2" s="109" t="s">
        <v>990</v>
      </c>
      <c r="F2" s="321">
        <v>2007</v>
      </c>
    </row>
    <row r="3" spans="1:6" ht="27" customHeight="1">
      <c r="A3" s="110" t="s">
        <v>1797</v>
      </c>
      <c r="B3" s="111" t="s">
        <v>891</v>
      </c>
      <c r="C3" s="112" t="s">
        <v>892</v>
      </c>
      <c r="D3" s="111" t="s">
        <v>1798</v>
      </c>
      <c r="E3" s="112" t="s">
        <v>629</v>
      </c>
      <c r="F3" s="563" t="s">
        <v>991</v>
      </c>
    </row>
    <row r="4" spans="1:6" ht="12" customHeight="1">
      <c r="A4" s="113"/>
      <c r="B4" s="116"/>
      <c r="C4" s="113"/>
      <c r="D4" s="116"/>
      <c r="E4" s="113"/>
      <c r="F4" s="564" t="s">
        <v>992</v>
      </c>
    </row>
    <row r="5" spans="1:6" ht="30.75" customHeight="1">
      <c r="A5" s="117"/>
      <c r="B5" s="118"/>
      <c r="C5" s="117"/>
      <c r="D5" s="118"/>
      <c r="E5" s="117"/>
      <c r="F5" s="565" t="s">
        <v>1806</v>
      </c>
    </row>
    <row r="6" spans="1:6" ht="30" customHeight="1" thickBot="1">
      <c r="A6" s="122" t="s">
        <v>1807</v>
      </c>
      <c r="B6" s="123">
        <v>515298</v>
      </c>
      <c r="C6" s="124">
        <v>543894</v>
      </c>
      <c r="D6" s="123">
        <v>249355</v>
      </c>
      <c r="E6" s="124">
        <v>1308547</v>
      </c>
      <c r="F6" s="566">
        <v>1.4368869722816369E-2</v>
      </c>
    </row>
    <row r="7" spans="1:6" ht="20" customHeight="1" thickBot="1">
      <c r="A7" s="127" t="s">
        <v>1808</v>
      </c>
      <c r="B7" s="174">
        <v>373678</v>
      </c>
      <c r="C7" s="175">
        <v>404526</v>
      </c>
      <c r="D7" s="174">
        <v>186790</v>
      </c>
      <c r="E7" s="175">
        <v>964994</v>
      </c>
      <c r="F7" s="567">
        <v>3.8207841085340366E-3</v>
      </c>
    </row>
    <row r="8" spans="1:6" ht="20" customHeight="1" thickBot="1">
      <c r="A8" s="127" t="s">
        <v>1809</v>
      </c>
      <c r="B8" s="174">
        <v>140067</v>
      </c>
      <c r="C8" s="175">
        <v>146840</v>
      </c>
      <c r="D8" s="174">
        <v>78843</v>
      </c>
      <c r="E8" s="175">
        <v>365750</v>
      </c>
      <c r="F8" s="567">
        <v>1.1177555314107801E-2</v>
      </c>
    </row>
    <row r="9" spans="1:6" ht="20" customHeight="1" thickBot="1">
      <c r="A9" s="127" t="s">
        <v>1810</v>
      </c>
      <c r="B9" s="174">
        <v>13803</v>
      </c>
      <c r="C9" s="175">
        <v>13852</v>
      </c>
      <c r="D9" s="174">
        <v>7520</v>
      </c>
      <c r="E9" s="175">
        <v>35175</v>
      </c>
      <c r="F9" s="567">
        <v>1.4216661927779484E-4</v>
      </c>
    </row>
    <row r="10" spans="1:6" ht="20" customHeight="1" thickBot="1">
      <c r="A10" s="127" t="s">
        <v>1811</v>
      </c>
      <c r="B10" s="174">
        <v>56164</v>
      </c>
      <c r="C10" s="175">
        <v>54778</v>
      </c>
      <c r="D10" s="174">
        <v>30446</v>
      </c>
      <c r="E10" s="175">
        <v>141388</v>
      </c>
      <c r="F10" s="567">
        <v>1.3134606427573248E-2</v>
      </c>
    </row>
    <row r="11" spans="1:6" ht="20" customHeight="1" thickBot="1">
      <c r="A11" s="127" t="s">
        <v>1812</v>
      </c>
      <c r="B11" s="174">
        <v>13443</v>
      </c>
      <c r="C11" s="175">
        <v>13436</v>
      </c>
      <c r="D11" s="174">
        <v>7652</v>
      </c>
      <c r="E11" s="175">
        <v>34531</v>
      </c>
      <c r="F11" s="567">
        <v>5.7084607543322896E-3</v>
      </c>
    </row>
    <row r="12" spans="1:6" ht="20" customHeight="1" thickBot="1">
      <c r="A12" s="127" t="s">
        <v>1813</v>
      </c>
      <c r="B12" s="174">
        <v>16105</v>
      </c>
      <c r="C12" s="175">
        <v>15854</v>
      </c>
      <c r="D12" s="174">
        <v>8097</v>
      </c>
      <c r="E12" s="175">
        <v>40056</v>
      </c>
      <c r="F12" s="567">
        <v>9.6284720471846441E-3</v>
      </c>
    </row>
    <row r="13" spans="1:6" ht="20" customHeight="1" thickBot="1">
      <c r="A13" s="127" t="s">
        <v>1814</v>
      </c>
      <c r="B13" s="174">
        <v>15054</v>
      </c>
      <c r="C13" s="175">
        <v>15468</v>
      </c>
      <c r="D13" s="174">
        <v>7933</v>
      </c>
      <c r="E13" s="175">
        <v>38455</v>
      </c>
      <c r="F13" s="567">
        <v>1.7714330372260445E-3</v>
      </c>
    </row>
    <row r="14" spans="1:6" ht="20" customHeight="1" thickBot="1">
      <c r="A14" s="127" t="s">
        <v>1815</v>
      </c>
      <c r="B14" s="174">
        <v>43544</v>
      </c>
      <c r="C14" s="175">
        <v>43319</v>
      </c>
      <c r="D14" s="174">
        <v>22066</v>
      </c>
      <c r="E14" s="175">
        <v>108929</v>
      </c>
      <c r="F14" s="567">
        <v>1.3792846705817707E-2</v>
      </c>
    </row>
    <row r="15" spans="1:6" ht="20" customHeight="1" thickBot="1">
      <c r="A15" s="127" t="s">
        <v>1816</v>
      </c>
      <c r="B15" s="174">
        <v>98780</v>
      </c>
      <c r="C15" s="175">
        <v>102438</v>
      </c>
      <c r="D15" s="174">
        <v>62194</v>
      </c>
      <c r="E15" s="175">
        <v>263412</v>
      </c>
      <c r="F15" s="567">
        <v>1.5442973562677764E-2</v>
      </c>
    </row>
    <row r="16" spans="1:6" ht="20" customHeight="1" thickBot="1">
      <c r="A16" s="127" t="s">
        <v>1817</v>
      </c>
      <c r="B16" s="174">
        <v>98613</v>
      </c>
      <c r="C16" s="175">
        <v>103390</v>
      </c>
      <c r="D16" s="174">
        <v>50563</v>
      </c>
      <c r="E16" s="175">
        <v>252566</v>
      </c>
      <c r="F16" s="567">
        <v>6.0666897702783551E-3</v>
      </c>
    </row>
    <row r="17" spans="1:6" ht="20" customHeight="1" thickBot="1">
      <c r="A17" s="127" t="s">
        <v>1818</v>
      </c>
      <c r="B17" s="174">
        <v>68473</v>
      </c>
      <c r="C17" s="175">
        <v>78871</v>
      </c>
      <c r="D17" s="174">
        <v>28486</v>
      </c>
      <c r="E17" s="175">
        <v>175830</v>
      </c>
      <c r="F17" s="567">
        <v>-2.1168765571528692E-3</v>
      </c>
    </row>
    <row r="18" spans="1:6" ht="20" customHeight="1" thickBot="1">
      <c r="A18" s="127" t="s">
        <v>1819</v>
      </c>
      <c r="B18" s="174">
        <v>105135</v>
      </c>
      <c r="C18" s="175">
        <v>112274</v>
      </c>
      <c r="D18" s="174">
        <v>51206</v>
      </c>
      <c r="E18" s="175">
        <v>268615</v>
      </c>
      <c r="F18" s="567">
        <v>5.6494425434097106E-3</v>
      </c>
    </row>
    <row r="19" spans="1:6" ht="20" customHeight="1" thickBot="1">
      <c r="A19" s="127" t="s">
        <v>1820</v>
      </c>
      <c r="B19" s="174">
        <v>28982</v>
      </c>
      <c r="C19" s="175">
        <v>31117</v>
      </c>
      <c r="D19" s="174">
        <v>14404</v>
      </c>
      <c r="E19" s="175">
        <v>74503</v>
      </c>
      <c r="F19" s="567">
        <v>1.4247886339502358E-3</v>
      </c>
    </row>
    <row r="20" spans="1:6" ht="20" customHeight="1" thickBot="1">
      <c r="A20" s="127" t="s">
        <v>1821</v>
      </c>
      <c r="B20" s="174">
        <v>20643</v>
      </c>
      <c r="C20" s="175">
        <v>21358</v>
      </c>
      <c r="D20" s="174">
        <v>11469</v>
      </c>
      <c r="E20" s="175">
        <v>53470</v>
      </c>
      <c r="F20" s="567">
        <v>4.8674146323128831E-3</v>
      </c>
    </row>
    <row r="21" spans="1:6" ht="20" customHeight="1" thickBot="1">
      <c r="A21" s="127" t="s">
        <v>1822</v>
      </c>
      <c r="B21" s="174">
        <v>5965</v>
      </c>
      <c r="C21" s="175">
        <v>5742</v>
      </c>
      <c r="D21" s="174">
        <v>3738</v>
      </c>
      <c r="E21" s="175">
        <v>15445</v>
      </c>
      <c r="F21" s="567">
        <v>1.0071283761689864E-2</v>
      </c>
    </row>
    <row r="22" spans="1:6" ht="20" customHeight="1" thickBot="1">
      <c r="A22" s="127" t="s">
        <v>1823</v>
      </c>
      <c r="B22" s="174">
        <v>179553</v>
      </c>
      <c r="C22" s="175">
        <v>186549</v>
      </c>
      <c r="D22" s="174">
        <v>102162</v>
      </c>
      <c r="E22" s="175">
        <v>468264</v>
      </c>
      <c r="F22" s="567">
        <v>5.948506428640421E-3</v>
      </c>
    </row>
    <row r="23" spans="1:6" ht="20" customHeight="1" thickBot="1">
      <c r="A23" s="127" t="s">
        <v>1824</v>
      </c>
      <c r="B23" s="174">
        <v>78348</v>
      </c>
      <c r="C23" s="175">
        <v>79917</v>
      </c>
      <c r="D23" s="174">
        <v>37032</v>
      </c>
      <c r="E23" s="175">
        <v>195297</v>
      </c>
      <c r="F23" s="567">
        <v>3.2781343317989098E-4</v>
      </c>
    </row>
    <row r="24" spans="1:6" ht="20" customHeight="1" thickBot="1">
      <c r="A24" s="127" t="s">
        <v>1825</v>
      </c>
      <c r="B24" s="174">
        <v>229150</v>
      </c>
      <c r="C24" s="175">
        <v>235063</v>
      </c>
      <c r="D24" s="174">
        <v>122257</v>
      </c>
      <c r="E24" s="175">
        <v>586470</v>
      </c>
      <c r="F24" s="567">
        <v>1.0740420310286547E-2</v>
      </c>
    </row>
    <row r="25" spans="1:6" ht="20" customHeight="1" thickBot="1">
      <c r="A25" s="127" t="s">
        <v>1826</v>
      </c>
      <c r="B25" s="174">
        <v>92288</v>
      </c>
      <c r="C25" s="175">
        <v>94134</v>
      </c>
      <c r="D25" s="174">
        <v>53024</v>
      </c>
      <c r="E25" s="175">
        <v>239446</v>
      </c>
      <c r="F25" s="567">
        <v>9.8647446089739077E-3</v>
      </c>
    </row>
    <row r="26" spans="1:6" ht="20" customHeight="1" thickBot="1">
      <c r="A26" s="127" t="s">
        <v>1827</v>
      </c>
      <c r="B26" s="174">
        <v>124604</v>
      </c>
      <c r="C26" s="175">
        <v>138733</v>
      </c>
      <c r="D26" s="174">
        <v>59399</v>
      </c>
      <c r="E26" s="175">
        <v>322736</v>
      </c>
      <c r="F26" s="567">
        <v>8.1750848903063833E-3</v>
      </c>
    </row>
    <row r="27" spans="1:6" ht="20" customHeight="1" thickBot="1">
      <c r="A27" s="127" t="s">
        <v>1828</v>
      </c>
      <c r="B27" s="174">
        <v>247118</v>
      </c>
      <c r="C27" s="175">
        <v>270793</v>
      </c>
      <c r="D27" s="174">
        <v>147309</v>
      </c>
      <c r="E27" s="175">
        <v>665220</v>
      </c>
      <c r="F27" s="567">
        <v>1.2830526512919604E-2</v>
      </c>
    </row>
    <row r="28" spans="1:6" ht="20" customHeight="1" thickBot="1">
      <c r="A28" s="127" t="s">
        <v>1829</v>
      </c>
      <c r="B28" s="174">
        <v>118386</v>
      </c>
      <c r="C28" s="175">
        <v>123182</v>
      </c>
      <c r="D28" s="174">
        <v>63040</v>
      </c>
      <c r="E28" s="175">
        <v>304608</v>
      </c>
      <c r="F28" s="567">
        <v>1.3323220327142504E-2</v>
      </c>
    </row>
    <row r="29" spans="1:6" ht="20" customHeight="1" thickBot="1">
      <c r="A29" s="127" t="s">
        <v>1830</v>
      </c>
      <c r="B29" s="174">
        <v>63711</v>
      </c>
      <c r="C29" s="175">
        <v>69803</v>
      </c>
      <c r="D29" s="174">
        <v>36807</v>
      </c>
      <c r="E29" s="175">
        <v>170321</v>
      </c>
      <c r="F29" s="567">
        <v>1.1245227902889621E-2</v>
      </c>
    </row>
    <row r="30" spans="1:6" ht="20" customHeight="1" thickBot="1">
      <c r="A30" s="127" t="s">
        <v>1831</v>
      </c>
      <c r="B30" s="174">
        <v>151461</v>
      </c>
      <c r="C30" s="175">
        <v>168568</v>
      </c>
      <c r="D30" s="174">
        <v>89224</v>
      </c>
      <c r="E30" s="175">
        <v>409253</v>
      </c>
      <c r="F30" s="567">
        <v>7.9303898944174112E-3</v>
      </c>
    </row>
    <row r="31" spans="1:6" ht="22" customHeight="1" thickBot="1">
      <c r="A31" s="128" t="s">
        <v>1832</v>
      </c>
      <c r="B31" s="568">
        <v>26249</v>
      </c>
      <c r="C31" s="569">
        <v>27906</v>
      </c>
      <c r="D31" s="568">
        <v>15748</v>
      </c>
      <c r="E31" s="569">
        <v>69903</v>
      </c>
      <c r="F31" s="570">
        <v>2.7973833706318452E-3</v>
      </c>
    </row>
    <row r="32" spans="1:6" ht="21.75" customHeight="1" thickBot="1">
      <c r="A32" s="128" t="s">
        <v>993</v>
      </c>
      <c r="B32" s="568">
        <v>2924616</v>
      </c>
      <c r="C32" s="569">
        <v>3101805</v>
      </c>
      <c r="D32" s="568">
        <v>1546764</v>
      </c>
      <c r="E32" s="569">
        <v>7573185</v>
      </c>
      <c r="F32" s="570">
        <v>9.2170596560243734E-3</v>
      </c>
    </row>
    <row r="33" spans="1:6" ht="18.75" customHeight="1" thickBot="1">
      <c r="A33" s="529" t="s">
        <v>997</v>
      </c>
      <c r="B33" s="568">
        <v>2406</v>
      </c>
      <c r="C33" s="569">
        <v>1041</v>
      </c>
      <c r="D33" s="568">
        <v>500</v>
      </c>
      <c r="E33" s="569">
        <v>3947</v>
      </c>
      <c r="F33" s="570">
        <v>0.11971631205673749</v>
      </c>
    </row>
    <row r="34" spans="1:6" ht="22" customHeight="1" thickBot="1">
      <c r="A34" s="128" t="s">
        <v>487</v>
      </c>
      <c r="B34" s="568">
        <v>1</v>
      </c>
      <c r="C34" s="569">
        <v>0</v>
      </c>
      <c r="D34" s="568">
        <v>0</v>
      </c>
      <c r="E34" s="569">
        <v>1</v>
      </c>
      <c r="F34" s="571" t="s">
        <v>59</v>
      </c>
    </row>
    <row r="35" spans="1:6" s="148" customFormat="1" ht="30" customHeight="1" thickBot="1">
      <c r="A35" s="572" t="s">
        <v>994</v>
      </c>
      <c r="B35" s="333">
        <v>2927022</v>
      </c>
      <c r="C35" s="362">
        <v>3102846</v>
      </c>
      <c r="D35" s="333">
        <v>1547264</v>
      </c>
      <c r="E35" s="573">
        <v>7577132</v>
      </c>
      <c r="F35" s="574">
        <v>9.2689421109031223E-3</v>
      </c>
    </row>
    <row r="36" spans="1:6">
      <c r="A36" s="3" t="s">
        <v>1256</v>
      </c>
    </row>
    <row r="38" spans="1:6">
      <c r="A38" s="3" t="s">
        <v>995</v>
      </c>
    </row>
    <row r="40" spans="1:6">
      <c r="A40" s="2" t="s">
        <v>996</v>
      </c>
    </row>
    <row r="43" spans="1:6">
      <c r="A43" s="300" t="s">
        <v>634</v>
      </c>
    </row>
  </sheetData>
  <phoneticPr fontId="0" type="noConversion"/>
  <pageMargins left="0.62" right="0.52" top="0.74803149606299213" bottom="0.47244094488188981" header="0.43307086614173229" footer="0.31496062992125984"/>
  <pageSetup paperSize="9" scale="89" orientation="portrait" horizontalDpi="1200" verticalDpi="1200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898F-8DD1-6745-AFA0-83186A984AEA}">
  <sheetPr>
    <pageSetUpPr fitToPage="1"/>
  </sheetPr>
  <dimension ref="A1:G41"/>
  <sheetViews>
    <sheetView topLeftCell="A20" zoomScale="75" workbookViewId="0">
      <selection activeCell="C35" sqref="C35"/>
    </sheetView>
  </sheetViews>
  <sheetFormatPr baseColWidth="10" defaultColWidth="11.3984375" defaultRowHeight="13"/>
  <cols>
    <col min="1" max="1" width="18.3984375" style="2" customWidth="1"/>
    <col min="2" max="7" width="14.3984375" style="2" customWidth="1"/>
    <col min="8" max="16384" width="11.3984375" style="2"/>
  </cols>
  <sheetData>
    <row r="1" spans="1:7" ht="14" customHeight="1">
      <c r="A1" s="1"/>
      <c r="B1" s="3"/>
      <c r="C1" s="3"/>
      <c r="D1" s="3"/>
      <c r="E1" s="3"/>
      <c r="F1" s="3"/>
      <c r="G1" s="3"/>
    </row>
    <row r="2" spans="1:7" ht="28" customHeight="1">
      <c r="A2" s="109" t="s">
        <v>1126</v>
      </c>
      <c r="G2" s="321">
        <v>2007</v>
      </c>
    </row>
    <row r="3" spans="1:7" ht="36" customHeight="1">
      <c r="A3" s="575" t="s">
        <v>998</v>
      </c>
      <c r="B3" s="576" t="s">
        <v>428</v>
      </c>
      <c r="C3" s="577"/>
      <c r="D3" s="576" t="s">
        <v>429</v>
      </c>
      <c r="E3" s="577"/>
      <c r="F3" s="576" t="s">
        <v>629</v>
      </c>
      <c r="G3" s="577"/>
    </row>
    <row r="4" spans="1:7" ht="15" customHeight="1">
      <c r="A4" s="578"/>
      <c r="B4" s="579" t="s">
        <v>999</v>
      </c>
      <c r="C4" s="580" t="s">
        <v>430</v>
      </c>
      <c r="D4" s="579" t="s">
        <v>999</v>
      </c>
      <c r="E4" s="580" t="s">
        <v>430</v>
      </c>
      <c r="F4" s="579" t="s">
        <v>999</v>
      </c>
      <c r="G4" s="580" t="s">
        <v>430</v>
      </c>
    </row>
    <row r="5" spans="1:7" ht="15" customHeight="1">
      <c r="A5" s="308"/>
      <c r="B5" s="114" t="s">
        <v>1000</v>
      </c>
      <c r="C5" s="115" t="s">
        <v>431</v>
      </c>
      <c r="D5" s="114" t="s">
        <v>1000</v>
      </c>
      <c r="E5" s="115" t="s">
        <v>431</v>
      </c>
      <c r="F5" s="140" t="s">
        <v>1000</v>
      </c>
      <c r="G5" s="115" t="s">
        <v>431</v>
      </c>
    </row>
    <row r="6" spans="1:7" ht="21" customHeight="1">
      <c r="A6" s="309"/>
      <c r="B6" s="120"/>
      <c r="C6" s="119" t="s">
        <v>493</v>
      </c>
      <c r="D6" s="120"/>
      <c r="E6" s="119" t="s">
        <v>493</v>
      </c>
      <c r="F6" s="120"/>
      <c r="G6" s="119" t="s">
        <v>493</v>
      </c>
    </row>
    <row r="7" spans="1:7" ht="30" customHeight="1" thickBot="1">
      <c r="A7" s="122" t="s">
        <v>1001</v>
      </c>
      <c r="B7" s="123">
        <v>228086</v>
      </c>
      <c r="C7" s="325">
        <v>3.0101890794564486E-2</v>
      </c>
      <c r="D7" s="123">
        <v>216979</v>
      </c>
      <c r="E7" s="325">
        <v>2.8636032736396831E-2</v>
      </c>
      <c r="F7" s="123">
        <v>445065</v>
      </c>
      <c r="G7" s="325">
        <v>5.8737923530961321E-2</v>
      </c>
    </row>
    <row r="8" spans="1:7" ht="20" customHeight="1" thickBot="1">
      <c r="A8" s="581" t="s">
        <v>1002</v>
      </c>
      <c r="B8" s="174">
        <v>203965</v>
      </c>
      <c r="C8" s="325">
        <v>2.6918496338720243E-2</v>
      </c>
      <c r="D8" s="174">
        <v>193658</v>
      </c>
      <c r="E8" s="325">
        <v>2.5558219125653349E-2</v>
      </c>
      <c r="F8" s="174">
        <v>397623</v>
      </c>
      <c r="G8" s="325">
        <v>5.2476715464373588E-2</v>
      </c>
    </row>
    <row r="9" spans="1:7" ht="20" customHeight="1" thickBot="1">
      <c r="A9" s="127" t="s">
        <v>1003</v>
      </c>
      <c r="B9" s="174">
        <v>221745</v>
      </c>
      <c r="C9" s="325">
        <v>2.9265030621084601E-2</v>
      </c>
      <c r="D9" s="174">
        <v>210798</v>
      </c>
      <c r="E9" s="325">
        <v>2.7820288731937096E-2</v>
      </c>
      <c r="F9" s="174">
        <v>432543</v>
      </c>
      <c r="G9" s="325">
        <v>5.7085319353021698E-2</v>
      </c>
    </row>
    <row r="10" spans="1:7" ht="20" customHeight="1" thickBot="1">
      <c r="A10" s="127" t="s">
        <v>1004</v>
      </c>
      <c r="B10" s="174">
        <v>139433</v>
      </c>
      <c r="C10" s="325">
        <v>1.8401817468667564E-2</v>
      </c>
      <c r="D10" s="174">
        <v>132600</v>
      </c>
      <c r="E10" s="325">
        <v>1.7500025075450711E-2</v>
      </c>
      <c r="F10" s="174">
        <v>272033</v>
      </c>
      <c r="G10" s="325">
        <v>3.5901842544118275E-2</v>
      </c>
    </row>
    <row r="11" spans="1:7" ht="31" customHeight="1" thickBot="1">
      <c r="A11" s="128" t="s">
        <v>1005</v>
      </c>
      <c r="B11" s="568">
        <v>793229</v>
      </c>
      <c r="C11" s="582">
        <v>0.1046872352230369</v>
      </c>
      <c r="D11" s="568">
        <v>754035</v>
      </c>
      <c r="E11" s="582">
        <v>9.951456566943799E-2</v>
      </c>
      <c r="F11" s="568">
        <v>1547264</v>
      </c>
      <c r="G11" s="582">
        <v>0.20420180089247489</v>
      </c>
    </row>
    <row r="12" spans="1:7" ht="19" customHeight="1" thickBot="1">
      <c r="A12" s="127" t="s">
        <v>1006</v>
      </c>
      <c r="B12" s="174">
        <v>90060</v>
      </c>
      <c r="C12" s="325">
        <v>1.1885763637217881E-2</v>
      </c>
      <c r="D12" s="174">
        <v>87929</v>
      </c>
      <c r="E12" s="325">
        <v>1.1604522661080736E-2</v>
      </c>
      <c r="F12" s="174">
        <v>177989</v>
      </c>
      <c r="G12" s="325">
        <v>2.3490286298298618E-2</v>
      </c>
    </row>
    <row r="13" spans="1:7" ht="19" customHeight="1" thickBot="1">
      <c r="A13" s="127" t="s">
        <v>1007</v>
      </c>
      <c r="B13" s="174">
        <v>234430</v>
      </c>
      <c r="C13" s="325">
        <v>3.09391468962135E-2</v>
      </c>
      <c r="D13" s="174">
        <v>228815</v>
      </c>
      <c r="E13" s="325">
        <v>3.0198101339662553E-2</v>
      </c>
      <c r="F13" s="174">
        <v>463245</v>
      </c>
      <c r="G13" s="325">
        <v>6.1137248235876053E-2</v>
      </c>
    </row>
    <row r="14" spans="1:7" ht="19" customHeight="1" thickBot="1">
      <c r="A14" s="127" t="s">
        <v>875</v>
      </c>
      <c r="B14" s="174">
        <v>248335</v>
      </c>
      <c r="C14" s="325">
        <v>3.2774273960121059E-2</v>
      </c>
      <c r="D14" s="174">
        <v>245768</v>
      </c>
      <c r="E14" s="325">
        <v>3.2435491423404003E-2</v>
      </c>
      <c r="F14" s="174">
        <v>494103</v>
      </c>
      <c r="G14" s="325">
        <v>6.5209765383525062E-2</v>
      </c>
    </row>
    <row r="15" spans="1:7" ht="19" customHeight="1" thickBot="1">
      <c r="A15" s="127" t="s">
        <v>876</v>
      </c>
      <c r="B15" s="174">
        <v>260105</v>
      </c>
      <c r="C15" s="325">
        <v>3.4327632143665965E-2</v>
      </c>
      <c r="D15" s="174">
        <v>260449</v>
      </c>
      <c r="E15" s="325">
        <v>3.4373031907059294E-2</v>
      </c>
      <c r="F15" s="174">
        <v>520554</v>
      </c>
      <c r="G15" s="325">
        <v>6.8700664050725266E-2</v>
      </c>
    </row>
    <row r="16" spans="1:7" ht="19" customHeight="1" thickBot="1">
      <c r="A16" s="127" t="s">
        <v>877</v>
      </c>
      <c r="B16" s="174">
        <v>299861</v>
      </c>
      <c r="C16" s="325">
        <v>3.9574472240948157E-2</v>
      </c>
      <c r="D16" s="174">
        <v>300447</v>
      </c>
      <c r="E16" s="325">
        <v>3.9651810209984463E-2</v>
      </c>
      <c r="F16" s="174">
        <v>600308</v>
      </c>
      <c r="G16" s="325">
        <v>7.922628245093262E-2</v>
      </c>
    </row>
    <row r="17" spans="1:7" ht="19" customHeight="1" thickBot="1">
      <c r="A17" s="127" t="s">
        <v>878</v>
      </c>
      <c r="B17" s="174">
        <v>326696</v>
      </c>
      <c r="C17" s="325">
        <v>4.3116049713796727E-2</v>
      </c>
      <c r="D17" s="174">
        <v>319254</v>
      </c>
      <c r="E17" s="325">
        <v>4.213388390224692E-2</v>
      </c>
      <c r="F17" s="174">
        <v>645950</v>
      </c>
      <c r="G17" s="325">
        <v>8.5249933616043647E-2</v>
      </c>
    </row>
    <row r="18" spans="1:7" ht="19" customHeight="1" thickBot="1">
      <c r="A18" s="127" t="s">
        <v>879</v>
      </c>
      <c r="B18" s="174">
        <v>290866</v>
      </c>
      <c r="C18" s="325">
        <v>3.8387347613846504E-2</v>
      </c>
      <c r="D18" s="174">
        <v>284898</v>
      </c>
      <c r="E18" s="325">
        <v>3.7599714509394845E-2</v>
      </c>
      <c r="F18" s="174">
        <v>575764</v>
      </c>
      <c r="G18" s="325">
        <v>7.5987062123241356E-2</v>
      </c>
    </row>
    <row r="19" spans="1:7" ht="19" customHeight="1" thickBot="1">
      <c r="A19" s="127" t="s">
        <v>880</v>
      </c>
      <c r="B19" s="174">
        <v>252864</v>
      </c>
      <c r="C19" s="325">
        <v>3.337199351944773E-2</v>
      </c>
      <c r="D19" s="174">
        <v>249756</v>
      </c>
      <c r="E19" s="325">
        <v>3.2961811936231281E-2</v>
      </c>
      <c r="F19" s="174">
        <v>502620</v>
      </c>
      <c r="G19" s="325">
        <v>6.6333805455679004E-2</v>
      </c>
    </row>
    <row r="20" spans="1:7" ht="19" customHeight="1" thickBot="1">
      <c r="A20" s="127" t="s">
        <v>881</v>
      </c>
      <c r="B20" s="174">
        <v>233310</v>
      </c>
      <c r="C20" s="325">
        <v>3.0791333713072438E-2</v>
      </c>
      <c r="D20" s="174">
        <v>235211</v>
      </c>
      <c r="E20" s="325">
        <v>3.1042220196243118E-2</v>
      </c>
      <c r="F20" s="174">
        <v>468521</v>
      </c>
      <c r="G20" s="325">
        <v>6.183355390931556E-2</v>
      </c>
    </row>
    <row r="21" spans="1:7" ht="19" customHeight="1" thickBot="1">
      <c r="A21" s="127" t="s">
        <v>882</v>
      </c>
      <c r="B21" s="174">
        <v>210608</v>
      </c>
      <c r="C21" s="325">
        <v>2.7795213281225667E-2</v>
      </c>
      <c r="D21" s="174">
        <v>217332</v>
      </c>
      <c r="E21" s="325">
        <v>2.8682620284297543E-2</v>
      </c>
      <c r="F21" s="174">
        <v>427940</v>
      </c>
      <c r="G21" s="325">
        <v>5.647783356552321E-2</v>
      </c>
    </row>
    <row r="22" spans="1:7" ht="30" customHeight="1" thickBot="1">
      <c r="A22" s="128" t="s">
        <v>1008</v>
      </c>
      <c r="B22" s="568">
        <v>2447135</v>
      </c>
      <c r="C22" s="582">
        <v>0.32296322671955563</v>
      </c>
      <c r="D22" s="568">
        <v>2429859</v>
      </c>
      <c r="E22" s="582">
        <v>0.32068320836960473</v>
      </c>
      <c r="F22" s="568">
        <v>4876994</v>
      </c>
      <c r="G22" s="582">
        <v>0.64364643508916042</v>
      </c>
    </row>
    <row r="23" spans="1:7" ht="20" customHeight="1" thickBot="1">
      <c r="A23" s="127" t="s">
        <v>883</v>
      </c>
      <c r="B23" s="174">
        <v>154421</v>
      </c>
      <c r="C23" s="325">
        <v>2.0379874601630273E-2</v>
      </c>
      <c r="D23" s="174">
        <v>174160</v>
      </c>
      <c r="E23" s="325">
        <v>2.2984949978435112E-2</v>
      </c>
      <c r="F23" s="174">
        <v>328581</v>
      </c>
      <c r="G23" s="325">
        <v>4.3364824580065388E-2</v>
      </c>
    </row>
    <row r="24" spans="1:7" ht="20" customHeight="1" thickBot="1">
      <c r="A24" s="127" t="s">
        <v>884</v>
      </c>
      <c r="B24" s="174">
        <v>127151</v>
      </c>
      <c r="C24" s="325">
        <v>1.6780887544258171E-2</v>
      </c>
      <c r="D24" s="174">
        <v>157030</v>
      </c>
      <c r="E24" s="325">
        <v>2.0724200132715122E-2</v>
      </c>
      <c r="F24" s="174">
        <v>284181</v>
      </c>
      <c r="G24" s="325">
        <v>3.7505087676973289E-2</v>
      </c>
    </row>
    <row r="25" spans="1:7" ht="20" customHeight="1" thickBot="1">
      <c r="A25" s="127" t="s">
        <v>885</v>
      </c>
      <c r="B25" s="174">
        <v>95835</v>
      </c>
      <c r="C25" s="325">
        <v>1.2647925362788982E-2</v>
      </c>
      <c r="D25" s="174">
        <v>137936</v>
      </c>
      <c r="E25" s="325">
        <v>1.8204249312272769E-2</v>
      </c>
      <c r="F25" s="174">
        <v>233771</v>
      </c>
      <c r="G25" s="325">
        <v>3.0852174675061753E-2</v>
      </c>
    </row>
    <row r="26" spans="1:7" ht="20" customHeight="1" thickBot="1">
      <c r="A26" s="127" t="s">
        <v>886</v>
      </c>
      <c r="B26" s="174">
        <v>62449</v>
      </c>
      <c r="C26" s="325">
        <v>8.2417727446215793E-3</v>
      </c>
      <c r="D26" s="174">
        <v>109228</v>
      </c>
      <c r="E26" s="325">
        <v>1.4415480685832054E-2</v>
      </c>
      <c r="F26" s="174">
        <v>171677</v>
      </c>
      <c r="G26" s="325">
        <v>2.2657253430453633E-2</v>
      </c>
    </row>
    <row r="27" spans="1:7" ht="20" customHeight="1" thickBot="1">
      <c r="A27" s="127" t="s">
        <v>887</v>
      </c>
      <c r="B27" s="174">
        <v>29435</v>
      </c>
      <c r="C27" s="325">
        <v>3.8847152194260307E-3</v>
      </c>
      <c r="D27" s="174">
        <v>62641</v>
      </c>
      <c r="E27" s="325">
        <v>8.2671121474457623E-3</v>
      </c>
      <c r="F27" s="174">
        <v>92076</v>
      </c>
      <c r="G27" s="325">
        <v>1.2151827366871792E-2</v>
      </c>
    </row>
    <row r="28" spans="1:7" ht="20" customHeight="1" thickBot="1">
      <c r="A28" s="127" t="s">
        <v>1009</v>
      </c>
      <c r="B28" s="174">
        <v>9026</v>
      </c>
      <c r="C28" s="325">
        <v>1.1912158848493071E-3</v>
      </c>
      <c r="D28" s="174">
        <v>25454</v>
      </c>
      <c r="E28" s="325">
        <v>3.3593185389933816E-3</v>
      </c>
      <c r="F28" s="174">
        <v>34480</v>
      </c>
      <c r="G28" s="325">
        <v>4.5505344238426886E-3</v>
      </c>
    </row>
    <row r="29" spans="1:7" ht="20" customHeight="1" thickBot="1">
      <c r="A29" s="127" t="s">
        <v>1010</v>
      </c>
      <c r="B29" s="174">
        <v>1459</v>
      </c>
      <c r="C29" s="325">
        <v>1.9255306625250821E-4</v>
      </c>
      <c r="D29" s="174">
        <v>5958</v>
      </c>
      <c r="E29" s="325">
        <v>7.8631334388789848E-4</v>
      </c>
      <c r="F29" s="174">
        <v>7417</v>
      </c>
      <c r="G29" s="325">
        <v>9.7886641014040677E-4</v>
      </c>
    </row>
    <row r="30" spans="1:7" ht="20" customHeight="1" thickBot="1">
      <c r="A30" s="127" t="s">
        <v>1011</v>
      </c>
      <c r="B30" s="174">
        <v>111</v>
      </c>
      <c r="C30" s="325">
        <v>1.4649342257730234E-5</v>
      </c>
      <c r="D30" s="174">
        <v>580</v>
      </c>
      <c r="E30" s="325">
        <v>7.6546112698049876E-5</v>
      </c>
      <c r="F30" s="174">
        <v>691</v>
      </c>
      <c r="G30" s="325">
        <v>9.1195454955780104E-5</v>
      </c>
    </row>
    <row r="31" spans="1:7" ht="30" customHeight="1" thickBot="1">
      <c r="A31" s="128" t="s">
        <v>1012</v>
      </c>
      <c r="B31" s="568">
        <v>479887</v>
      </c>
      <c r="C31" s="582">
        <v>6.3333593766084578E-2</v>
      </c>
      <c r="D31" s="568">
        <v>672987</v>
      </c>
      <c r="E31" s="582">
        <v>8.8818170252280157E-2</v>
      </c>
      <c r="F31" s="568">
        <v>1152874</v>
      </c>
      <c r="G31" s="582">
        <v>0.15215176401836472</v>
      </c>
    </row>
    <row r="32" spans="1:7" ht="27" customHeight="1" thickBot="1">
      <c r="A32" s="128" t="s">
        <v>487</v>
      </c>
      <c r="B32" s="568">
        <v>0</v>
      </c>
      <c r="C32" s="582">
        <v>0</v>
      </c>
      <c r="D32" s="568">
        <v>0</v>
      </c>
      <c r="E32" s="582">
        <v>0</v>
      </c>
      <c r="F32" s="568">
        <v>0</v>
      </c>
      <c r="G32" s="582">
        <v>0</v>
      </c>
    </row>
    <row r="33" spans="1:7" s="148" customFormat="1" ht="30" customHeight="1" thickBot="1">
      <c r="A33" s="583" t="s">
        <v>629</v>
      </c>
      <c r="B33" s="584">
        <v>3720251</v>
      </c>
      <c r="C33" s="476">
        <v>0.49098405570867709</v>
      </c>
      <c r="D33" s="584">
        <v>3856881</v>
      </c>
      <c r="E33" s="476">
        <v>0.50901594429132291</v>
      </c>
      <c r="F33" s="584">
        <v>7577132</v>
      </c>
      <c r="G33" s="476">
        <v>1</v>
      </c>
    </row>
    <row r="34" spans="1:7" ht="19.5" customHeight="1">
      <c r="A34" s="133" t="s">
        <v>1256</v>
      </c>
    </row>
    <row r="35" spans="1:7" ht="10.5" customHeight="1"/>
    <row r="36" spans="1:7">
      <c r="A36" s="515" t="s">
        <v>1013</v>
      </c>
    </row>
    <row r="38" spans="1:7">
      <c r="A38" s="2" t="s">
        <v>1125</v>
      </c>
    </row>
    <row r="41" spans="1:7">
      <c r="A41" s="300" t="s">
        <v>634</v>
      </c>
    </row>
  </sheetData>
  <phoneticPr fontId="0" type="noConversion"/>
  <pageMargins left="0.57999999999999996" right="0.65" top="0.74" bottom="0.49" header="0.42" footer="0.4921259845"/>
  <pageSetup paperSize="9" scale="87" orientation="portrait" horizontalDpi="1200" verticalDpi="1200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39D4-BB37-0743-8840-D3E8F5E865B7}">
  <sheetPr>
    <pageSetUpPr fitToPage="1"/>
  </sheetPr>
  <dimension ref="A1:G26"/>
  <sheetViews>
    <sheetView zoomScale="75" workbookViewId="0">
      <selection activeCell="A3" sqref="A3"/>
    </sheetView>
  </sheetViews>
  <sheetFormatPr baseColWidth="10" defaultColWidth="11.3984375" defaultRowHeight="13"/>
  <cols>
    <col min="1" max="1" width="18.19921875" style="2" customWidth="1"/>
    <col min="2" max="7" width="14.796875" style="2" customWidth="1"/>
    <col min="8" max="16384" width="11.3984375" style="2"/>
  </cols>
  <sheetData>
    <row r="1" spans="1:7" s="1" customFormat="1" ht="14" customHeight="1"/>
    <row r="2" spans="1:7" s="1" customFormat="1" ht="28" customHeight="1">
      <c r="A2" s="109" t="s">
        <v>846</v>
      </c>
      <c r="G2" s="321">
        <v>2007</v>
      </c>
    </row>
    <row r="3" spans="1:7" ht="24" customHeight="1">
      <c r="A3" s="110" t="s">
        <v>517</v>
      </c>
      <c r="B3" s="111" t="s">
        <v>832</v>
      </c>
      <c r="C3" s="112" t="s">
        <v>833</v>
      </c>
      <c r="D3" s="111" t="s">
        <v>834</v>
      </c>
      <c r="E3" s="276" t="s">
        <v>835</v>
      </c>
      <c r="F3" s="111" t="s">
        <v>629</v>
      </c>
      <c r="G3" s="112" t="s">
        <v>1801</v>
      </c>
    </row>
    <row r="4" spans="1:7" ht="15" customHeight="1">
      <c r="A4" s="308"/>
      <c r="B4" s="114" t="s">
        <v>836</v>
      </c>
      <c r="C4" s="115" t="s">
        <v>837</v>
      </c>
      <c r="D4" s="114" t="s">
        <v>838</v>
      </c>
      <c r="E4" s="279" t="s">
        <v>839</v>
      </c>
      <c r="F4" s="114"/>
      <c r="G4" s="115" t="s">
        <v>1802</v>
      </c>
    </row>
    <row r="5" spans="1:7" ht="15" customHeight="1">
      <c r="A5" s="308"/>
      <c r="B5" s="114" t="s">
        <v>840</v>
      </c>
      <c r="C5" s="115" t="s">
        <v>841</v>
      </c>
      <c r="D5" s="114"/>
      <c r="E5" s="279" t="s">
        <v>842</v>
      </c>
      <c r="F5" s="114"/>
      <c r="G5" s="115" t="s">
        <v>1806</v>
      </c>
    </row>
    <row r="6" spans="1:7" ht="24" customHeight="1">
      <c r="A6" s="309"/>
      <c r="B6" s="120"/>
      <c r="C6" s="119"/>
      <c r="D6" s="120"/>
      <c r="E6" s="282" t="s">
        <v>843</v>
      </c>
      <c r="F6" s="120"/>
      <c r="G6" s="119"/>
    </row>
    <row r="7" spans="1:7" ht="1.5" customHeight="1" thickBot="1">
      <c r="A7" s="310">
        <v>1996</v>
      </c>
      <c r="B7" s="142">
        <v>4739640</v>
      </c>
      <c r="C7" s="291">
        <v>2305688</v>
      </c>
      <c r="D7" s="142">
        <v>27828</v>
      </c>
      <c r="E7" s="291">
        <v>121598</v>
      </c>
      <c r="F7" s="172">
        <v>7194754</v>
      </c>
      <c r="G7" s="143">
        <v>3.9681470970374319E-3</v>
      </c>
    </row>
    <row r="8" spans="1:7" ht="20" customHeight="1" thickBot="1">
      <c r="A8" s="312">
        <v>1997</v>
      </c>
      <c r="B8" s="144">
        <v>4083854</v>
      </c>
      <c r="C8" s="297">
        <v>2736364</v>
      </c>
      <c r="D8" s="144">
        <v>11494</v>
      </c>
      <c r="E8" s="297">
        <v>383093</v>
      </c>
      <c r="F8" s="144">
        <v>7214805</v>
      </c>
      <c r="G8" s="145">
        <v>2.7868916713483186E-3</v>
      </c>
    </row>
    <row r="9" spans="1:7" ht="20" customHeight="1" thickBot="1">
      <c r="A9" s="312">
        <v>1998</v>
      </c>
      <c r="B9" s="144">
        <v>4016267</v>
      </c>
      <c r="C9" s="297">
        <v>2726468</v>
      </c>
      <c r="D9" s="144">
        <v>11828</v>
      </c>
      <c r="E9" s="297">
        <v>494040</v>
      </c>
      <c r="F9" s="144">
        <v>7248603</v>
      </c>
      <c r="G9" s="145">
        <v>4.6845340934370365E-3</v>
      </c>
    </row>
    <row r="10" spans="1:7" ht="20" customHeight="1" thickBot="1">
      <c r="A10" s="312">
        <v>1999</v>
      </c>
      <c r="B10" s="144">
        <v>3998744</v>
      </c>
      <c r="C10" s="297">
        <v>2715642</v>
      </c>
      <c r="D10" s="144">
        <v>10258</v>
      </c>
      <c r="E10" s="297">
        <v>541890</v>
      </c>
      <c r="F10" s="144">
        <v>7266534</v>
      </c>
      <c r="G10" s="145">
        <v>2.4737180391863093E-3</v>
      </c>
    </row>
    <row r="11" spans="1:7" ht="20" customHeight="1" thickBot="1">
      <c r="A11" s="312">
        <v>2000</v>
      </c>
      <c r="B11" s="144">
        <v>3921920</v>
      </c>
      <c r="C11" s="297">
        <v>2758539</v>
      </c>
      <c r="D11" s="144">
        <v>9811</v>
      </c>
      <c r="E11" s="297">
        <v>577841</v>
      </c>
      <c r="F11" s="144">
        <v>7268111</v>
      </c>
      <c r="G11" s="145">
        <v>2.1702231077429761E-4</v>
      </c>
    </row>
    <row r="12" spans="1:7" ht="20" customHeight="1" thickBot="1">
      <c r="A12" s="312">
        <v>2001</v>
      </c>
      <c r="B12" s="144">
        <v>3882191</v>
      </c>
      <c r="C12" s="297">
        <v>2833816</v>
      </c>
      <c r="D12" s="144">
        <v>9341</v>
      </c>
      <c r="E12" s="297">
        <v>595939</v>
      </c>
      <c r="F12" s="144">
        <v>7321287</v>
      </c>
      <c r="G12" s="145">
        <v>7.3163439578729601E-3</v>
      </c>
    </row>
    <row r="13" spans="1:7" ht="20" customHeight="1" thickBot="1">
      <c r="A13" s="312">
        <v>2002</v>
      </c>
      <c r="B13" s="144">
        <v>3812675</v>
      </c>
      <c r="C13" s="297">
        <v>2980820</v>
      </c>
      <c r="D13" s="144">
        <v>8835</v>
      </c>
      <c r="E13" s="297">
        <v>557035</v>
      </c>
      <c r="F13" s="144">
        <v>7359365</v>
      </c>
      <c r="G13" s="145">
        <v>5.2009981305199482E-3</v>
      </c>
    </row>
    <row r="14" spans="1:7" ht="20" customHeight="1" thickBot="1">
      <c r="A14" s="312">
        <v>2003</v>
      </c>
      <c r="B14" s="144">
        <v>3674270</v>
      </c>
      <c r="C14" s="297">
        <v>3107097</v>
      </c>
      <c r="D14" s="144">
        <v>8317</v>
      </c>
      <c r="E14" s="297">
        <v>603504</v>
      </c>
      <c r="F14" s="144">
        <v>7393188</v>
      </c>
      <c r="G14" s="145">
        <v>4.5959128267180661E-3</v>
      </c>
    </row>
    <row r="15" spans="1:7" ht="20" customHeight="1" thickBot="1">
      <c r="A15" s="312">
        <v>2004</v>
      </c>
      <c r="B15" s="144">
        <v>3639287</v>
      </c>
      <c r="C15" s="297">
        <v>3024823</v>
      </c>
      <c r="D15" s="144">
        <v>8098</v>
      </c>
      <c r="E15" s="297">
        <v>747766</v>
      </c>
      <c r="F15" s="144">
        <v>7419974</v>
      </c>
      <c r="G15" s="145">
        <v>3.623064907858423E-3</v>
      </c>
    </row>
    <row r="16" spans="1:7" ht="20" customHeight="1" thickBot="1">
      <c r="A16" s="312">
        <v>2005</v>
      </c>
      <c r="B16" s="144">
        <v>3605578</v>
      </c>
      <c r="C16" s="297">
        <v>2939073</v>
      </c>
      <c r="D16" s="144">
        <v>7711</v>
      </c>
      <c r="E16" s="297">
        <v>906113</v>
      </c>
      <c r="F16" s="144">
        <v>7458475</v>
      </c>
      <c r="G16" s="145">
        <v>5.1888321980643063E-3</v>
      </c>
    </row>
    <row r="17" spans="1:7" ht="20" customHeight="1" thickBot="1">
      <c r="A17" s="312">
        <v>2006</v>
      </c>
      <c r="B17" s="144">
        <v>3356090</v>
      </c>
      <c r="C17" s="297">
        <v>2787429</v>
      </c>
      <c r="D17" s="144">
        <v>7220</v>
      </c>
      <c r="E17" s="297">
        <v>1356806</v>
      </c>
      <c r="F17" s="144">
        <v>7507545</v>
      </c>
      <c r="G17" s="145">
        <v>6.5790929110843702E-3</v>
      </c>
    </row>
    <row r="18" spans="1:7" ht="30" customHeight="1" thickBot="1">
      <c r="A18" s="396">
        <v>2007</v>
      </c>
      <c r="B18" s="338">
        <v>3149431</v>
      </c>
      <c r="C18" s="339">
        <v>2579751</v>
      </c>
      <c r="D18" s="338">
        <v>6903</v>
      </c>
      <c r="E18" s="339">
        <v>1841047</v>
      </c>
      <c r="F18" s="338">
        <v>7577132</v>
      </c>
      <c r="G18" s="147">
        <v>9.268942110903098E-3</v>
      </c>
    </row>
    <row r="19" spans="1:7" ht="19.5" customHeight="1">
      <c r="A19" s="133" t="s">
        <v>1256</v>
      </c>
      <c r="B19" s="133"/>
      <c r="C19" s="133"/>
      <c r="D19" s="133"/>
      <c r="E19" s="133"/>
      <c r="F19" s="133"/>
      <c r="G19" s="133"/>
    </row>
    <row r="21" spans="1:7">
      <c r="A21" s="3" t="s">
        <v>844</v>
      </c>
    </row>
    <row r="23" spans="1:7">
      <c r="A23" s="2" t="s">
        <v>845</v>
      </c>
    </row>
    <row r="26" spans="1:7">
      <c r="A26" s="2" t="s">
        <v>634</v>
      </c>
    </row>
  </sheetData>
  <phoneticPr fontId="0" type="noConversion"/>
  <pageMargins left="0.56000000000000005" right="0.54" top="0.96" bottom="0.49" header="0.57999999999999996" footer="0.4921259845"/>
  <pageSetup paperSize="9" scale="87" orientation="portrait" horizontalDpi="4294967292" verticalDpi="4294967292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092-D2DA-FF41-BE14-3A7518508292}">
  <sheetPr>
    <pageSetUpPr fitToPage="1"/>
  </sheetPr>
  <dimension ref="A1:G22"/>
  <sheetViews>
    <sheetView zoomScale="75" workbookViewId="0">
      <selection activeCell="C14" sqref="C14"/>
    </sheetView>
  </sheetViews>
  <sheetFormatPr baseColWidth="10" defaultColWidth="11.3984375" defaultRowHeight="13"/>
  <cols>
    <col min="1" max="1" width="36.19921875" style="2" customWidth="1"/>
    <col min="2" max="7" width="14.3984375" style="2" customWidth="1"/>
    <col min="8" max="16384" width="11.3984375" style="2"/>
  </cols>
  <sheetData>
    <row r="1" spans="1:7" ht="14" customHeight="1">
      <c r="A1" s="490"/>
      <c r="B1" s="3"/>
      <c r="C1" s="3"/>
      <c r="D1" s="3"/>
      <c r="E1" s="3"/>
      <c r="F1" s="3"/>
      <c r="G1" s="3"/>
    </row>
    <row r="2" spans="1:7" ht="30" customHeight="1">
      <c r="A2" s="1800" t="s">
        <v>831</v>
      </c>
      <c r="B2" s="1804"/>
      <c r="C2" s="1804"/>
      <c r="D2" s="1804"/>
      <c r="E2" s="1804"/>
      <c r="F2" s="1804"/>
      <c r="G2" s="354">
        <v>2007</v>
      </c>
    </row>
    <row r="3" spans="1:7" ht="24" customHeight="1">
      <c r="A3" s="110" t="s">
        <v>1199</v>
      </c>
      <c r="B3" s="111" t="s">
        <v>891</v>
      </c>
      <c r="C3" s="112" t="s">
        <v>892</v>
      </c>
      <c r="D3" s="111" t="s">
        <v>1798</v>
      </c>
      <c r="E3" s="112" t="s">
        <v>629</v>
      </c>
      <c r="F3" s="111" t="s">
        <v>430</v>
      </c>
      <c r="G3" s="112" t="s">
        <v>1801</v>
      </c>
    </row>
    <row r="4" spans="1:7" ht="15" customHeight="1">
      <c r="A4" s="308"/>
      <c r="B4" s="114"/>
      <c r="C4" s="115"/>
      <c r="D4" s="114"/>
      <c r="E4" s="279"/>
      <c r="F4" s="114" t="s">
        <v>431</v>
      </c>
      <c r="G4" s="115" t="s">
        <v>1802</v>
      </c>
    </row>
    <row r="5" spans="1:7" ht="15" customHeight="1">
      <c r="A5" s="113"/>
      <c r="B5" s="114"/>
      <c r="C5" s="115"/>
      <c r="D5" s="114"/>
      <c r="E5" s="115"/>
      <c r="F5" s="114" t="s">
        <v>493</v>
      </c>
      <c r="G5" s="115" t="s">
        <v>1806</v>
      </c>
    </row>
    <row r="6" spans="1:7" ht="24" customHeight="1">
      <c r="A6" s="506"/>
      <c r="B6" s="535"/>
      <c r="C6" s="536"/>
      <c r="D6" s="535"/>
      <c r="E6" s="536"/>
      <c r="F6" s="535"/>
      <c r="G6" s="119"/>
    </row>
    <row r="7" spans="1:7" ht="37.5" customHeight="1" thickBot="1">
      <c r="A7" s="537" t="s">
        <v>1200</v>
      </c>
      <c r="B7" s="172">
        <v>928525</v>
      </c>
      <c r="C7" s="173">
        <v>1208804</v>
      </c>
      <c r="D7" s="172">
        <v>1012102</v>
      </c>
      <c r="E7" s="173">
        <v>3149431</v>
      </c>
      <c r="F7" s="538">
        <v>0.41564948320815842</v>
      </c>
      <c r="G7" s="539">
        <v>-6.1577311693071402E-2</v>
      </c>
    </row>
    <row r="8" spans="1:7" ht="34.5" customHeight="1" thickBot="1">
      <c r="A8" s="537" t="s">
        <v>1201</v>
      </c>
      <c r="B8" s="172">
        <v>1277700</v>
      </c>
      <c r="C8" s="173">
        <v>1161731</v>
      </c>
      <c r="D8" s="172">
        <v>140320</v>
      </c>
      <c r="E8" s="173">
        <v>2579751</v>
      </c>
      <c r="F8" s="538">
        <v>0.34046536341190836</v>
      </c>
      <c r="G8" s="539">
        <v>-7.4505216096983989E-2</v>
      </c>
    </row>
    <row r="9" spans="1:7" ht="31.5" customHeight="1" thickBot="1">
      <c r="A9" s="537" t="s">
        <v>1202</v>
      </c>
      <c r="B9" s="172">
        <v>4430</v>
      </c>
      <c r="C9" s="173">
        <v>2359</v>
      </c>
      <c r="D9" s="172">
        <v>114</v>
      </c>
      <c r="E9" s="173">
        <v>6903</v>
      </c>
      <c r="F9" s="538">
        <v>9.1103071716316941E-4</v>
      </c>
      <c r="G9" s="539">
        <v>-4.3905817174515235E-2</v>
      </c>
    </row>
    <row r="10" spans="1:7" ht="33" customHeight="1" thickBot="1">
      <c r="A10" s="537" t="s">
        <v>1203</v>
      </c>
      <c r="B10" s="172">
        <v>716367</v>
      </c>
      <c r="C10" s="173">
        <v>729952</v>
      </c>
      <c r="D10" s="172">
        <v>394728</v>
      </c>
      <c r="E10" s="173">
        <v>1841047</v>
      </c>
      <c r="F10" s="538">
        <v>0.24297412266277002</v>
      </c>
      <c r="G10" s="539">
        <v>0.35689774367153448</v>
      </c>
    </row>
    <row r="11" spans="1:7" ht="34.5" customHeight="1" thickBot="1">
      <c r="A11" s="540" t="s">
        <v>1204</v>
      </c>
      <c r="B11" s="541" t="s">
        <v>59</v>
      </c>
      <c r="C11" s="542" t="s">
        <v>59</v>
      </c>
      <c r="D11" s="541" t="s">
        <v>59</v>
      </c>
      <c r="E11" s="543">
        <v>876249</v>
      </c>
      <c r="F11" s="544">
        <v>0.11564388742336811</v>
      </c>
      <c r="G11" s="545" t="s">
        <v>59</v>
      </c>
    </row>
    <row r="12" spans="1:7" ht="33" customHeight="1" thickBot="1">
      <c r="A12" s="546" t="s">
        <v>629</v>
      </c>
      <c r="B12" s="347">
        <v>2927022</v>
      </c>
      <c r="C12" s="346">
        <v>3102846</v>
      </c>
      <c r="D12" s="347">
        <v>1547264</v>
      </c>
      <c r="E12" s="346">
        <v>7577132</v>
      </c>
      <c r="F12" s="547">
        <v>1</v>
      </c>
      <c r="G12" s="548">
        <v>9.268942110903098E-3</v>
      </c>
    </row>
    <row r="13" spans="1:7" ht="19.5" customHeight="1">
      <c r="A13" s="133" t="s">
        <v>1256</v>
      </c>
      <c r="B13" s="133"/>
      <c r="C13" s="133"/>
      <c r="D13" s="133"/>
      <c r="E13" s="133"/>
      <c r="F13" s="133"/>
      <c r="G13" s="133"/>
    </row>
    <row r="15" spans="1:7">
      <c r="A15" s="2" t="s">
        <v>847</v>
      </c>
    </row>
    <row r="16" spans="1:7">
      <c r="A16" s="2" t="s">
        <v>848</v>
      </c>
    </row>
    <row r="17" spans="1:1">
      <c r="A17" s="2" t="s">
        <v>829</v>
      </c>
    </row>
    <row r="19" spans="1:1">
      <c r="A19" s="2" t="s">
        <v>830</v>
      </c>
    </row>
    <row r="22" spans="1:1">
      <c r="A22" s="2" t="s">
        <v>634</v>
      </c>
    </row>
  </sheetData>
  <mergeCells count="1">
    <mergeCell ref="A2:F2"/>
  </mergeCells>
  <phoneticPr fontId="0" type="noConversion"/>
  <pageMargins left="0.53" right="0.54" top="0.79" bottom="0.49" header="0.42" footer="0.4921259845"/>
  <pageSetup paperSize="9" scale="76" orientation="portrait" horizontalDpi="1200" verticalDpi="1200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0EE7-C4EF-3C4A-A2D5-C0FE7DC6FCC1}">
  <sheetPr>
    <pageSetUpPr fitToPage="1"/>
  </sheetPr>
  <dimension ref="A1:J29"/>
  <sheetViews>
    <sheetView zoomScale="75" workbookViewId="0">
      <selection activeCell="A27" sqref="A27"/>
    </sheetView>
  </sheetViews>
  <sheetFormatPr baseColWidth="10" defaultColWidth="11.3984375" defaultRowHeight="13"/>
  <cols>
    <col min="1" max="1" width="14.796875" style="2" customWidth="1"/>
    <col min="2" max="2" width="14.796875" style="148" customWidth="1"/>
    <col min="3" max="3" width="12.3984375" style="2" customWidth="1"/>
    <col min="4" max="4" width="13.19921875" style="2" customWidth="1"/>
    <col min="5" max="5" width="12.796875" style="2" customWidth="1"/>
    <col min="6" max="6" width="13.59765625" style="2" customWidth="1"/>
    <col min="7" max="7" width="12.796875" style="2" customWidth="1"/>
    <col min="8" max="8" width="14.796875" style="290" customWidth="1"/>
    <col min="9" max="9" width="15.19921875" style="148" customWidth="1"/>
    <col min="10" max="10" width="11.59765625" style="2" customWidth="1"/>
    <col min="11" max="16384" width="11.3984375" style="2"/>
  </cols>
  <sheetData>
    <row r="1" spans="1:10" s="1" customFormat="1" ht="14" customHeight="1">
      <c r="B1" s="17"/>
      <c r="H1" s="1095"/>
      <c r="I1" s="17"/>
    </row>
    <row r="2" spans="1:10" s="1" customFormat="1" ht="28" customHeight="1">
      <c r="A2" s="109" t="s">
        <v>2323</v>
      </c>
      <c r="B2" s="17"/>
      <c r="H2" s="1095"/>
      <c r="I2" s="17"/>
      <c r="J2" s="109"/>
    </row>
    <row r="3" spans="1:10" ht="27" customHeight="1">
      <c r="A3" s="110" t="s">
        <v>911</v>
      </c>
      <c r="B3" s="385" t="s">
        <v>832</v>
      </c>
      <c r="C3" s="1823" t="s">
        <v>1201</v>
      </c>
      <c r="D3" s="1810"/>
      <c r="E3" s="1810"/>
      <c r="F3" s="1810"/>
      <c r="G3" s="1810"/>
      <c r="H3" s="1810"/>
      <c r="I3" s="340" t="s">
        <v>2293</v>
      </c>
      <c r="J3" s="111" t="s">
        <v>629</v>
      </c>
    </row>
    <row r="4" spans="1:10" ht="15" customHeight="1">
      <c r="A4" s="113"/>
      <c r="B4" s="387" t="s">
        <v>836</v>
      </c>
      <c r="C4" s="113"/>
      <c r="D4" s="116"/>
      <c r="E4" s="115"/>
      <c r="F4" s="114"/>
      <c r="G4" s="115"/>
      <c r="H4" s="387" t="s">
        <v>629</v>
      </c>
      <c r="I4" s="350" t="s">
        <v>1334</v>
      </c>
      <c r="J4" s="116"/>
    </row>
    <row r="5" spans="1:10" ht="15" customHeight="1">
      <c r="A5" s="113"/>
      <c r="B5" s="387" t="s">
        <v>840</v>
      </c>
      <c r="C5" s="115" t="s">
        <v>2303</v>
      </c>
      <c r="D5" s="114" t="s">
        <v>2304</v>
      </c>
      <c r="E5" s="115" t="s">
        <v>2305</v>
      </c>
      <c r="F5" s="114" t="s">
        <v>2306</v>
      </c>
      <c r="G5" s="115" t="s">
        <v>2307</v>
      </c>
      <c r="H5" s="1096"/>
      <c r="I5" s="350" t="s">
        <v>2300</v>
      </c>
      <c r="J5" s="116"/>
    </row>
    <row r="6" spans="1:10" ht="24" customHeight="1">
      <c r="A6" s="117"/>
      <c r="B6" s="441"/>
      <c r="C6" s="117"/>
      <c r="D6" s="118"/>
      <c r="E6" s="119"/>
      <c r="F6" s="120"/>
      <c r="G6" s="119"/>
      <c r="H6" s="1088"/>
      <c r="I6" s="351"/>
      <c r="J6" s="118"/>
    </row>
    <row r="7" spans="1:10" ht="1.5" customHeight="1" thickBot="1">
      <c r="A7" s="521">
        <v>1996</v>
      </c>
      <c r="B7" s="1089">
        <v>0.60572223331626529</v>
      </c>
      <c r="C7" s="555" t="s">
        <v>59</v>
      </c>
      <c r="D7" s="358" t="s">
        <v>59</v>
      </c>
      <c r="E7" s="555" t="s">
        <v>59</v>
      </c>
      <c r="F7" s="358" t="s">
        <v>59</v>
      </c>
      <c r="G7" s="555" t="s">
        <v>59</v>
      </c>
      <c r="H7" s="1089">
        <v>0.37321719800503761</v>
      </c>
      <c r="I7" s="1090">
        <v>2.1060568678697135E-2</v>
      </c>
      <c r="J7" s="358">
        <v>1</v>
      </c>
    </row>
    <row r="8" spans="1:10" ht="20" customHeight="1" thickBot="1">
      <c r="A8" s="521">
        <v>1997</v>
      </c>
      <c r="B8" s="1089">
        <v>0.47310000000000002</v>
      </c>
      <c r="C8" s="555">
        <v>0.2923</v>
      </c>
      <c r="D8" s="358">
        <v>8.3000000000000004E-2</v>
      </c>
      <c r="E8" s="555">
        <v>2.1299999999999999E-2</v>
      </c>
      <c r="F8" s="358">
        <v>5.2400000000000002E-2</v>
      </c>
      <c r="G8" s="555" t="s">
        <v>59</v>
      </c>
      <c r="H8" s="1089">
        <v>0.44900000000000001</v>
      </c>
      <c r="I8" s="1090">
        <v>7.7799999999999994E-2</v>
      </c>
      <c r="J8" s="358">
        <v>1</v>
      </c>
    </row>
    <row r="9" spans="1:10" ht="20" customHeight="1" thickBot="1">
      <c r="A9" s="127">
        <v>1998</v>
      </c>
      <c r="B9" s="1089">
        <v>0.47549999999999998</v>
      </c>
      <c r="C9" s="555">
        <v>0.30769999999999997</v>
      </c>
      <c r="D9" s="358">
        <v>7.5800000000000006E-2</v>
      </c>
      <c r="E9" s="555">
        <v>3.1699999999999999E-2</v>
      </c>
      <c r="F9" s="358">
        <v>3.9199999999999999E-2</v>
      </c>
      <c r="G9" s="555" t="s">
        <v>59</v>
      </c>
      <c r="H9" s="1089">
        <v>0.45440000000000003</v>
      </c>
      <c r="I9" s="1090">
        <v>7.0099999999999996E-2</v>
      </c>
      <c r="J9" s="358">
        <v>1</v>
      </c>
    </row>
    <row r="10" spans="1:10" ht="20" customHeight="1" thickBot="1">
      <c r="A10" s="127">
        <v>1999</v>
      </c>
      <c r="B10" s="1089">
        <v>0.47310000000000002</v>
      </c>
      <c r="C10" s="555">
        <v>0.2923</v>
      </c>
      <c r="D10" s="358">
        <v>8.3000000000000004E-2</v>
      </c>
      <c r="E10" s="555">
        <v>2.1299999999999999E-2</v>
      </c>
      <c r="F10" s="358">
        <v>5.2400000000000002E-2</v>
      </c>
      <c r="G10" s="555" t="s">
        <v>59</v>
      </c>
      <c r="H10" s="1089">
        <v>0.44900000000000001</v>
      </c>
      <c r="I10" s="1090">
        <v>7.7799999999999994E-2</v>
      </c>
      <c r="J10" s="358">
        <v>1</v>
      </c>
    </row>
    <row r="11" spans="1:10" ht="20" customHeight="1" thickBot="1">
      <c r="A11" s="127">
        <v>2000</v>
      </c>
      <c r="B11" s="1089">
        <v>0.45929999999999999</v>
      </c>
      <c r="C11" s="555">
        <v>0.27900000000000003</v>
      </c>
      <c r="D11" s="358">
        <v>8.9399999999999993E-2</v>
      </c>
      <c r="E11" s="555">
        <v>2.23E-2</v>
      </c>
      <c r="F11" s="358">
        <v>6.8099999999999994E-2</v>
      </c>
      <c r="G11" s="555" t="s">
        <v>59</v>
      </c>
      <c r="H11" s="1089">
        <v>0.4587</v>
      </c>
      <c r="I11" s="1090">
        <v>8.2000000000000003E-2</v>
      </c>
      <c r="J11" s="358">
        <v>1</v>
      </c>
    </row>
    <row r="12" spans="1:10" ht="20" customHeight="1" thickBot="1">
      <c r="A12" s="127">
        <v>2001</v>
      </c>
      <c r="B12" s="1089">
        <v>0.45299999999999996</v>
      </c>
      <c r="C12" s="555">
        <v>0.26100000000000001</v>
      </c>
      <c r="D12" s="358">
        <v>9.1999999999999998E-2</v>
      </c>
      <c r="E12" s="555">
        <v>2.3E-2</v>
      </c>
      <c r="F12" s="358">
        <v>8.8000000000000009E-2</v>
      </c>
      <c r="G12" s="555" t="s">
        <v>59</v>
      </c>
      <c r="H12" s="1089">
        <v>0.46299999999999997</v>
      </c>
      <c r="I12" s="1090">
        <v>8.4000000000000005E-2</v>
      </c>
      <c r="J12" s="358">
        <v>1</v>
      </c>
    </row>
    <row r="13" spans="1:10" ht="20" customHeight="1" thickBot="1">
      <c r="A13" s="127">
        <v>2002</v>
      </c>
      <c r="B13" s="1089">
        <v>0.436</v>
      </c>
      <c r="C13" s="555">
        <v>0.24199999999999999</v>
      </c>
      <c r="D13" s="358">
        <v>9.9000000000000005E-2</v>
      </c>
      <c r="E13" s="555">
        <v>2.5000000000000001E-2</v>
      </c>
      <c r="F13" s="358">
        <v>0.114</v>
      </c>
      <c r="G13" s="555" t="s">
        <v>59</v>
      </c>
      <c r="H13" s="1089">
        <v>0.47899999999999998</v>
      </c>
      <c r="I13" s="1090">
        <v>8.4000000000000005E-2</v>
      </c>
      <c r="J13" s="358">
        <v>1</v>
      </c>
    </row>
    <row r="14" spans="1:10" ht="20" customHeight="1" thickBot="1">
      <c r="A14" s="127">
        <v>2003</v>
      </c>
      <c r="B14" s="1089">
        <v>0.41799999999999998</v>
      </c>
      <c r="C14" s="555">
        <v>0.221</v>
      </c>
      <c r="D14" s="358">
        <v>0.10199999999999999</v>
      </c>
      <c r="E14" s="555">
        <v>2.6000000000000002E-2</v>
      </c>
      <c r="F14" s="358">
        <v>0.15</v>
      </c>
      <c r="G14" s="555" t="s">
        <v>59</v>
      </c>
      <c r="H14" s="1089">
        <v>0.5</v>
      </c>
      <c r="I14" s="1090">
        <v>8.3000000000000004E-2</v>
      </c>
      <c r="J14" s="358">
        <v>1</v>
      </c>
    </row>
    <row r="15" spans="1:10" ht="20" customHeight="1" thickBot="1">
      <c r="A15" s="127">
        <v>2004</v>
      </c>
      <c r="B15" s="1089">
        <v>0.42599999999999999</v>
      </c>
      <c r="C15" s="555">
        <v>0.19</v>
      </c>
      <c r="D15" s="358">
        <v>9.9000000000000005E-2</v>
      </c>
      <c r="E15" s="555">
        <v>2.4E-2</v>
      </c>
      <c r="F15" s="358">
        <v>0.17</v>
      </c>
      <c r="G15" s="555" t="s">
        <v>59</v>
      </c>
      <c r="H15" s="1089">
        <v>0.48399999999999999</v>
      </c>
      <c r="I15" s="1090">
        <v>0.09</v>
      </c>
      <c r="J15" s="358">
        <v>1</v>
      </c>
    </row>
    <row r="16" spans="1:10" ht="20" customHeight="1" thickBot="1">
      <c r="A16" s="127">
        <v>2005</v>
      </c>
      <c r="B16" s="1089">
        <v>0.43010910660017726</v>
      </c>
      <c r="C16" s="555">
        <v>0.24137084865070785</v>
      </c>
      <c r="D16" s="358">
        <v>2.7927552911429284E-2</v>
      </c>
      <c r="E16" s="555">
        <v>0.14970772549575295</v>
      </c>
      <c r="F16" s="358">
        <v>7.737346283222017E-3</v>
      </c>
      <c r="G16" s="555">
        <v>4.3513188407514357E-2</v>
      </c>
      <c r="H16" s="1089">
        <v>0.47025666174862646</v>
      </c>
      <c r="I16" s="1090">
        <v>9.963405737620637E-2</v>
      </c>
      <c r="J16" s="358">
        <v>1</v>
      </c>
    </row>
    <row r="17" spans="1:10" ht="20" customHeight="1" thickBot="1">
      <c r="A17" s="127">
        <v>2006</v>
      </c>
      <c r="B17" s="1089">
        <v>0.41037998146431881</v>
      </c>
      <c r="C17" s="555">
        <v>0.21169194562327648</v>
      </c>
      <c r="D17" s="358">
        <v>2.9641721677945529E-2</v>
      </c>
      <c r="E17" s="555">
        <v>0.13468351468595566</v>
      </c>
      <c r="F17" s="358">
        <v>1.2271783803364918E-2</v>
      </c>
      <c r="G17" s="555">
        <v>6.8287663028127055E-2</v>
      </c>
      <c r="H17" s="1089">
        <v>0.45657662881866962</v>
      </c>
      <c r="I17" s="1090">
        <v>0.13304408005895521</v>
      </c>
      <c r="J17" s="358">
        <v>1</v>
      </c>
    </row>
    <row r="18" spans="1:10" ht="30" customHeight="1" thickBot="1">
      <c r="A18" s="572">
        <v>2007</v>
      </c>
      <c r="B18" s="1091">
        <v>0.40158587595093198</v>
      </c>
      <c r="C18" s="557">
        <v>0.19001671278345905</v>
      </c>
      <c r="D18" s="1091">
        <v>2.874555570096738E-2</v>
      </c>
      <c r="E18" s="557">
        <v>0.12056451893381588</v>
      </c>
      <c r="F18" s="1091">
        <v>1.3297661974256279E-2</v>
      </c>
      <c r="G18" s="557">
        <v>7.7126199182153146E-2</v>
      </c>
      <c r="H18" s="1091">
        <v>0.42975064857465173</v>
      </c>
      <c r="I18" s="1097">
        <v>0.1686653491061329</v>
      </c>
      <c r="J18" s="574">
        <v>1</v>
      </c>
    </row>
    <row r="19" spans="1:10" ht="20" customHeight="1">
      <c r="A19" s="380" t="s">
        <v>1069</v>
      </c>
      <c r="B19" s="673"/>
      <c r="C19" s="133"/>
      <c r="D19" s="133"/>
      <c r="E19" s="133"/>
      <c r="F19" s="133"/>
      <c r="G19" s="133"/>
      <c r="H19" s="1098"/>
      <c r="J19" s="121"/>
    </row>
    <row r="20" spans="1:10" ht="17.25" customHeight="1">
      <c r="A20" s="3"/>
    </row>
    <row r="21" spans="1:10" ht="12" customHeight="1">
      <c r="A21" s="2" t="s">
        <v>2318</v>
      </c>
    </row>
    <row r="22" spans="1:10" ht="12" customHeight="1">
      <c r="A22" s="2" t="s">
        <v>2319</v>
      </c>
    </row>
    <row r="23" spans="1:10" ht="12" customHeight="1">
      <c r="A23" s="2" t="s">
        <v>2320</v>
      </c>
    </row>
    <row r="24" spans="1:10" ht="12" customHeight="1">
      <c r="A24" s="2" t="s">
        <v>2321</v>
      </c>
    </row>
    <row r="25" spans="1:10" ht="12" customHeight="1"/>
    <row r="26" spans="1:10" ht="12" customHeight="1">
      <c r="A26" s="2" t="s">
        <v>2322</v>
      </c>
    </row>
    <row r="29" spans="1:10">
      <c r="A29" s="2" t="s">
        <v>634</v>
      </c>
    </row>
  </sheetData>
  <mergeCells count="1">
    <mergeCell ref="C3:H3"/>
  </mergeCells>
  <phoneticPr fontId="0" type="noConversion"/>
  <pageMargins left="0.51" right="0.57999999999999996" top="0.85" bottom="0.49" header="0.4" footer="0.4921259845"/>
  <pageSetup paperSize="9" scale="68" orientation="portrait" horizontalDpi="4294967292" verticalDpi="4294967292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D9AB-B618-1C46-A400-D20503C57090}">
  <sheetPr>
    <pageSetUpPr fitToPage="1"/>
  </sheetPr>
  <dimension ref="A1:L39"/>
  <sheetViews>
    <sheetView topLeftCell="A20" zoomScale="75" workbookViewId="0">
      <selection activeCell="G36" sqref="G36"/>
    </sheetView>
  </sheetViews>
  <sheetFormatPr baseColWidth="10" defaultColWidth="11.3984375" defaultRowHeight="13"/>
  <cols>
    <col min="1" max="1" width="11.19921875" style="2" customWidth="1"/>
    <col min="2" max="2" width="14.796875" style="148" customWidth="1"/>
    <col min="3" max="3" width="12.3984375" style="2" customWidth="1"/>
    <col min="4" max="4" width="13.19921875" style="2" customWidth="1"/>
    <col min="5" max="5" width="12.796875" style="2" customWidth="1"/>
    <col min="6" max="6" width="13.59765625" style="2" customWidth="1"/>
    <col min="7" max="7" width="12.796875" style="2" customWidth="1"/>
    <col min="8" max="8" width="14.796875" style="290" customWidth="1"/>
    <col min="9" max="9" width="15.19921875" style="148" customWidth="1"/>
    <col min="10" max="10" width="12.19921875" style="2" customWidth="1"/>
    <col min="11" max="16384" width="11.3984375" style="2"/>
  </cols>
  <sheetData>
    <row r="1" spans="1:10" s="1" customFormat="1" ht="14" customHeight="1">
      <c r="B1" s="17"/>
      <c r="H1" s="1095"/>
      <c r="I1" s="17"/>
    </row>
    <row r="2" spans="1:10" s="1" customFormat="1" ht="28" customHeight="1">
      <c r="A2" s="109" t="s">
        <v>2312</v>
      </c>
      <c r="B2" s="17"/>
      <c r="H2" s="1095"/>
      <c r="I2" s="17"/>
      <c r="J2" s="109">
        <v>2007</v>
      </c>
    </row>
    <row r="3" spans="1:10" ht="27" customHeight="1">
      <c r="A3" s="110" t="s">
        <v>1797</v>
      </c>
      <c r="B3" s="385" t="s">
        <v>2292</v>
      </c>
      <c r="C3" s="1824" t="s">
        <v>1201</v>
      </c>
      <c r="D3" s="1825"/>
      <c r="E3" s="1825"/>
      <c r="F3" s="1825"/>
      <c r="G3" s="1825"/>
      <c r="H3" s="1825"/>
      <c r="I3" s="340" t="s">
        <v>2293</v>
      </c>
      <c r="J3" s="111" t="s">
        <v>629</v>
      </c>
    </row>
    <row r="4" spans="1:10" ht="15" customHeight="1">
      <c r="A4" s="113"/>
      <c r="B4" s="387" t="s">
        <v>836</v>
      </c>
      <c r="C4" s="113"/>
      <c r="D4" s="116"/>
      <c r="E4" s="115"/>
      <c r="F4" s="114"/>
      <c r="G4" s="115"/>
      <c r="H4" s="387" t="s">
        <v>629</v>
      </c>
      <c r="I4" s="350" t="s">
        <v>1334</v>
      </c>
      <c r="J4" s="116"/>
    </row>
    <row r="5" spans="1:10" ht="15" customHeight="1">
      <c r="A5" s="113"/>
      <c r="B5" s="387" t="s">
        <v>840</v>
      </c>
      <c r="C5" s="113" t="s">
        <v>2298</v>
      </c>
      <c r="D5" s="116" t="s">
        <v>2313</v>
      </c>
      <c r="E5" s="115" t="s">
        <v>2314</v>
      </c>
      <c r="F5" s="114" t="s">
        <v>2315</v>
      </c>
      <c r="G5" s="115" t="s">
        <v>2316</v>
      </c>
      <c r="H5" s="1096"/>
      <c r="I5" s="350" t="s">
        <v>2300</v>
      </c>
      <c r="J5" s="116"/>
    </row>
    <row r="6" spans="1:10" ht="24" customHeight="1">
      <c r="A6" s="117"/>
      <c r="B6" s="441" t="s">
        <v>2296</v>
      </c>
      <c r="C6" s="117"/>
      <c r="D6" s="118"/>
      <c r="E6" s="119"/>
      <c r="F6" s="120"/>
      <c r="G6" s="119"/>
      <c r="H6" s="1088"/>
      <c r="I6" s="351"/>
      <c r="J6" s="118"/>
    </row>
    <row r="7" spans="1:10" ht="30" customHeight="1" thickBot="1">
      <c r="A7" s="122" t="s">
        <v>1807</v>
      </c>
      <c r="B7" s="1089">
        <v>0.41116726047296015</v>
      </c>
      <c r="C7" s="555">
        <v>0.16733656438578831</v>
      </c>
      <c r="D7" s="358">
        <v>2.8810689867043014E-2</v>
      </c>
      <c r="E7" s="555">
        <v>0.1172449589048271</v>
      </c>
      <c r="F7" s="358">
        <v>1.5770166002798468E-2</v>
      </c>
      <c r="G7" s="555">
        <v>9.1781495184480727E-2</v>
      </c>
      <c r="H7" s="1089">
        <v>0.42094387434493763</v>
      </c>
      <c r="I7" s="1090">
        <v>0.16788983943360913</v>
      </c>
      <c r="J7" s="358">
        <v>1</v>
      </c>
    </row>
    <row r="8" spans="1:10" ht="20" customHeight="1" thickBot="1">
      <c r="A8" s="127" t="s">
        <v>1808</v>
      </c>
      <c r="B8" s="1089">
        <v>0.33274885655932707</v>
      </c>
      <c r="C8" s="555">
        <v>0.22911224014220435</v>
      </c>
      <c r="D8" s="358">
        <v>3.292746542737484E-2</v>
      </c>
      <c r="E8" s="555">
        <v>0.11178809969811022</v>
      </c>
      <c r="F8" s="358">
        <v>1.4918032875596007E-2</v>
      </c>
      <c r="G8" s="555">
        <v>7.337516312771962E-2</v>
      </c>
      <c r="H8" s="1089">
        <v>0.46212100127100503</v>
      </c>
      <c r="I8" s="1090">
        <v>0.20513146751382666</v>
      </c>
      <c r="J8" s="358">
        <v>1</v>
      </c>
    </row>
    <row r="9" spans="1:10" ht="20" customHeight="1" thickBot="1">
      <c r="A9" s="127" t="s">
        <v>1809</v>
      </c>
      <c r="B9" s="1089">
        <v>0.4657132805628848</v>
      </c>
      <c r="C9" s="555">
        <v>0.11545648290683709</v>
      </c>
      <c r="D9" s="358">
        <v>2.105774439868352E-2</v>
      </c>
      <c r="E9" s="555">
        <v>0.13161090249177199</v>
      </c>
      <c r="F9" s="358">
        <v>1.115196618289393E-2</v>
      </c>
      <c r="G9" s="555">
        <v>5.6181127414712304E-2</v>
      </c>
      <c r="H9" s="1089">
        <v>0.33545822339489884</v>
      </c>
      <c r="I9" s="1090">
        <v>0.19882849604221636</v>
      </c>
      <c r="J9" s="358">
        <v>1</v>
      </c>
    </row>
    <row r="10" spans="1:10" ht="20" customHeight="1" thickBot="1">
      <c r="A10" s="127" t="s">
        <v>1810</v>
      </c>
      <c r="B10" s="1089">
        <v>0.44277064487890283</v>
      </c>
      <c r="C10" s="555">
        <v>0.17157749582353399</v>
      </c>
      <c r="D10" s="358">
        <v>3.0119491395375599E-2</v>
      </c>
      <c r="E10" s="555">
        <v>0.11463167609689634</v>
      </c>
      <c r="F10" s="358">
        <v>8.6954305625470095E-3</v>
      </c>
      <c r="G10" s="555">
        <v>4.6474301219400188E-2</v>
      </c>
      <c r="H10" s="1089">
        <v>0.37149839509775312</v>
      </c>
      <c r="I10" s="1090">
        <v>0.18569448497227897</v>
      </c>
      <c r="J10" s="358">
        <v>1</v>
      </c>
    </row>
    <row r="11" spans="1:10" ht="20" customHeight="1" thickBot="1">
      <c r="A11" s="127" t="s">
        <v>1811</v>
      </c>
      <c r="B11" s="1089">
        <v>0.48286291252109287</v>
      </c>
      <c r="C11" s="555">
        <v>0.15656036701826456</v>
      </c>
      <c r="D11" s="358">
        <v>2.7037241142895574E-2</v>
      </c>
      <c r="E11" s="555">
        <v>0.13473838391500964</v>
      </c>
      <c r="F11" s="358">
        <v>1.2427054935243929E-2</v>
      </c>
      <c r="G11" s="555">
        <v>6.8917909013999176E-2</v>
      </c>
      <c r="H11" s="1089">
        <v>0.39968095602541287</v>
      </c>
      <c r="I11" s="1090">
        <v>0.11745613145349428</v>
      </c>
      <c r="J11" s="358">
        <v>1</v>
      </c>
    </row>
    <row r="12" spans="1:10" ht="20" customHeight="1" thickBot="1">
      <c r="A12" s="127" t="s">
        <v>1812</v>
      </c>
      <c r="B12" s="1089">
        <v>0.46764226409371801</v>
      </c>
      <c r="C12" s="555">
        <v>0.17381126322761961</v>
      </c>
      <c r="D12" s="358">
        <v>3.0117132357732113E-2</v>
      </c>
      <c r="E12" s="555">
        <v>0.12191537017630624</v>
      </c>
      <c r="F12" s="358">
        <v>7.614951291461977E-3</v>
      </c>
      <c r="G12" s="555">
        <v>4.7479221302265423E-2</v>
      </c>
      <c r="H12" s="1089">
        <v>0.38093793835538536</v>
      </c>
      <c r="I12" s="1090">
        <v>0.1514197975508966</v>
      </c>
      <c r="J12" s="358">
        <v>1</v>
      </c>
    </row>
    <row r="13" spans="1:10" ht="20" customHeight="1" thickBot="1">
      <c r="A13" s="127" t="s">
        <v>1813</v>
      </c>
      <c r="B13" s="1089">
        <v>0.4874530090286926</v>
      </c>
      <c r="C13" s="555">
        <v>0.14599832542984098</v>
      </c>
      <c r="D13" s="358">
        <v>3.2996525561543005E-2</v>
      </c>
      <c r="E13" s="555">
        <v>0.12652972962395995</v>
      </c>
      <c r="F13" s="358">
        <v>8.168415819051254E-3</v>
      </c>
      <c r="G13" s="555">
        <v>5.9535805416326137E-2</v>
      </c>
      <c r="H13" s="1089">
        <v>0.37322880185072133</v>
      </c>
      <c r="I13" s="1090">
        <v>0.13931818912058605</v>
      </c>
      <c r="J13" s="358">
        <v>1</v>
      </c>
    </row>
    <row r="14" spans="1:10" ht="20" customHeight="1" thickBot="1">
      <c r="A14" s="127" t="s">
        <v>1814</v>
      </c>
      <c r="B14" s="1089">
        <v>0.5126304136334664</v>
      </c>
      <c r="C14" s="555">
        <v>0.15489339204505748</v>
      </c>
      <c r="D14" s="358">
        <v>3.3871204206285414E-2</v>
      </c>
      <c r="E14" s="555">
        <v>0.1275030829034188</v>
      </c>
      <c r="F14" s="358">
        <v>1.9988444778331574E-2</v>
      </c>
      <c r="G14" s="555">
        <v>4.5809695114845228E-2</v>
      </c>
      <c r="H14" s="1089">
        <v>0.38206581904793852</v>
      </c>
      <c r="I14" s="1090">
        <v>0.10530376731859506</v>
      </c>
      <c r="J14" s="358">
        <v>1</v>
      </c>
    </row>
    <row r="15" spans="1:10" ht="20" customHeight="1" thickBot="1">
      <c r="A15" s="127" t="s">
        <v>1815</v>
      </c>
      <c r="B15" s="1089">
        <v>0.45203155584554244</v>
      </c>
      <c r="C15" s="555">
        <v>0.16412479016483961</v>
      </c>
      <c r="D15" s="358">
        <v>3.0132849557528818E-2</v>
      </c>
      <c r="E15" s="555">
        <v>0.13576021561128554</v>
      </c>
      <c r="F15" s="358">
        <v>2.1315532700974478E-2</v>
      </c>
      <c r="G15" s="555">
        <v>6.7362857294276005E-2</v>
      </c>
      <c r="H15" s="1089">
        <v>0.41869624532890443</v>
      </c>
      <c r="I15" s="1090">
        <v>0.12928406192538111</v>
      </c>
      <c r="J15" s="358">
        <v>1</v>
      </c>
    </row>
    <row r="16" spans="1:10" ht="20" customHeight="1" thickBot="1">
      <c r="A16" s="127" t="s">
        <v>1816</v>
      </c>
      <c r="B16" s="1089">
        <v>0.38368260365455403</v>
      </c>
      <c r="C16" s="555">
        <v>0.28499994693996777</v>
      </c>
      <c r="D16" s="358">
        <v>3.454821854657935E-2</v>
      </c>
      <c r="E16" s="555">
        <v>0.14319581380236868</v>
      </c>
      <c r="F16" s="358">
        <v>2.0656807531452256E-2</v>
      </c>
      <c r="G16" s="555">
        <v>4.6504482359964801E-2</v>
      </c>
      <c r="H16" s="1089">
        <v>0.52990526918033287</v>
      </c>
      <c r="I16" s="1090">
        <v>8.6412127165113137E-2</v>
      </c>
      <c r="J16" s="358">
        <v>1</v>
      </c>
    </row>
    <row r="17" spans="1:10" ht="20" customHeight="1" thickBot="1">
      <c r="A17" s="127" t="s">
        <v>1817</v>
      </c>
      <c r="B17" s="1089">
        <v>0.44928534350281907</v>
      </c>
      <c r="C17" s="555">
        <v>0.22977063972855832</v>
      </c>
      <c r="D17" s="358">
        <v>2.8595817963304734E-2</v>
      </c>
      <c r="E17" s="555">
        <v>0.12117660900287748</v>
      </c>
      <c r="F17" s="358">
        <v>1.6672177700624635E-2</v>
      </c>
      <c r="G17" s="555">
        <v>5.4529735534633958E-2</v>
      </c>
      <c r="H17" s="1089">
        <v>0.45074497992999912</v>
      </c>
      <c r="I17" s="1090">
        <v>9.9974816132066255E-2</v>
      </c>
      <c r="J17" s="358">
        <v>1</v>
      </c>
    </row>
    <row r="18" spans="1:10" ht="20" customHeight="1" thickBot="1">
      <c r="A18" s="127" t="s">
        <v>1818</v>
      </c>
      <c r="B18" s="1089">
        <v>0.41922517105818019</v>
      </c>
      <c r="C18" s="555">
        <v>0.13882010440889977</v>
      </c>
      <c r="D18" s="358">
        <v>2.3144653990322936E-2</v>
      </c>
      <c r="E18" s="555">
        <v>0.12262977679465378</v>
      </c>
      <c r="F18" s="358">
        <v>8.1361519782982925E-3</v>
      </c>
      <c r="G18" s="555">
        <v>8.0924312623779665E-2</v>
      </c>
      <c r="H18" s="1089">
        <v>0.37365499979595446</v>
      </c>
      <c r="I18" s="1090">
        <v>0.20711982914586535</v>
      </c>
      <c r="J18" s="358">
        <v>1</v>
      </c>
    </row>
    <row r="19" spans="1:10" ht="20" customHeight="1" thickBot="1">
      <c r="A19" s="127" t="s">
        <v>1819</v>
      </c>
      <c r="B19" s="1089">
        <v>0.38131474065689475</v>
      </c>
      <c r="C19" s="555">
        <v>0.18850986407694137</v>
      </c>
      <c r="D19" s="358">
        <v>2.9600524439556332E-2</v>
      </c>
      <c r="E19" s="555">
        <v>0.13330538916295578</v>
      </c>
      <c r="F19" s="358">
        <v>1.6609263025336288E-2</v>
      </c>
      <c r="G19" s="555">
        <v>8.3573441189228173E-2</v>
      </c>
      <c r="H19" s="1089">
        <v>0.45159848189401797</v>
      </c>
      <c r="I19" s="1090">
        <v>0.16709153342020908</v>
      </c>
      <c r="J19" s="358">
        <v>1</v>
      </c>
    </row>
    <row r="20" spans="1:10" ht="20" customHeight="1" thickBot="1">
      <c r="A20" s="127" t="s">
        <v>1820</v>
      </c>
      <c r="B20" s="1089">
        <v>0.36175613102383808</v>
      </c>
      <c r="C20" s="555">
        <v>0.15960318415082522</v>
      </c>
      <c r="D20" s="358">
        <v>2.6652282697041178E-2</v>
      </c>
      <c r="E20" s="555">
        <v>0.10036438882290327</v>
      </c>
      <c r="F20" s="358">
        <v>1.6905655044077896E-2</v>
      </c>
      <c r="G20" s="555">
        <v>6.5725046650955909E-2</v>
      </c>
      <c r="H20" s="1089">
        <v>0.36925055736580348</v>
      </c>
      <c r="I20" s="1090">
        <v>0.26902761104441775</v>
      </c>
      <c r="J20" s="358">
        <v>1</v>
      </c>
    </row>
    <row r="21" spans="1:10" ht="20" customHeight="1" thickBot="1">
      <c r="A21" s="127" t="s">
        <v>1821</v>
      </c>
      <c r="B21" s="1089">
        <v>0.48059432236726718</v>
      </c>
      <c r="C21" s="555">
        <v>0.12679702890896441</v>
      </c>
      <c r="D21" s="358">
        <v>2.8977125355366048E-2</v>
      </c>
      <c r="E21" s="555">
        <v>9.0594569768389407E-2</v>
      </c>
      <c r="F21" s="358">
        <v>1.0989581106873784E-2</v>
      </c>
      <c r="G21" s="555">
        <v>4.7469937700726071E-2</v>
      </c>
      <c r="H21" s="1089">
        <v>0.30482824284031973</v>
      </c>
      <c r="I21" s="1090">
        <v>0.21457743479241312</v>
      </c>
      <c r="J21" s="358">
        <v>1</v>
      </c>
    </row>
    <row r="22" spans="1:10" ht="20" customHeight="1" thickBot="1">
      <c r="A22" s="127" t="s">
        <v>1822</v>
      </c>
      <c r="B22" s="1089">
        <v>0.50875656742556918</v>
      </c>
      <c r="C22" s="555">
        <v>0.11156775007282464</v>
      </c>
      <c r="D22" s="358">
        <v>2.3561983466916476E-2</v>
      </c>
      <c r="E22" s="555">
        <v>0.11824950657836812</v>
      </c>
      <c r="F22" s="358">
        <v>8.000524236900744E-3</v>
      </c>
      <c r="G22" s="555">
        <v>4.4662267168632724E-2</v>
      </c>
      <c r="H22" s="1089">
        <v>0.30604203152364273</v>
      </c>
      <c r="I22" s="1090">
        <v>0.18520140105078808</v>
      </c>
      <c r="J22" s="358">
        <v>1</v>
      </c>
    </row>
    <row r="23" spans="1:10" ht="20" customHeight="1" thickBot="1">
      <c r="A23" s="127" t="s">
        <v>1823</v>
      </c>
      <c r="B23" s="1089">
        <v>0.41673748373089703</v>
      </c>
      <c r="C23" s="555">
        <v>0.11722862705485271</v>
      </c>
      <c r="D23" s="358">
        <v>2.3152568124828691E-2</v>
      </c>
      <c r="E23" s="555">
        <v>0.10254504719634418</v>
      </c>
      <c r="F23" s="358">
        <v>1.1477707781986528E-2</v>
      </c>
      <c r="G23" s="555">
        <v>5.1556823305492883E-2</v>
      </c>
      <c r="H23" s="1089">
        <v>0.30596077346350498</v>
      </c>
      <c r="I23" s="1090">
        <v>0.27730738934892535</v>
      </c>
      <c r="J23" s="358">
        <v>1</v>
      </c>
    </row>
    <row r="24" spans="1:10" ht="20" customHeight="1" thickBot="1">
      <c r="A24" s="127" t="s">
        <v>1824</v>
      </c>
      <c r="B24" s="1089">
        <v>0.52715942350188061</v>
      </c>
      <c r="C24" s="555">
        <v>8.7995660884365681E-2</v>
      </c>
      <c r="D24" s="358">
        <v>2.338620475705715E-2</v>
      </c>
      <c r="E24" s="555">
        <v>9.985216603509281E-2</v>
      </c>
      <c r="F24" s="358">
        <v>8.8433580313857802E-3</v>
      </c>
      <c r="G24" s="555">
        <v>4.880514000026432E-2</v>
      </c>
      <c r="H24" s="1089">
        <v>0.26888252970816573</v>
      </c>
      <c r="I24" s="1090">
        <v>0.20395804678995366</v>
      </c>
      <c r="J24" s="358">
        <v>1</v>
      </c>
    </row>
    <row r="25" spans="1:10" ht="20" customHeight="1" thickBot="1">
      <c r="A25" s="127" t="s">
        <v>1825</v>
      </c>
      <c r="B25" s="1089">
        <v>0.42216233956147736</v>
      </c>
      <c r="C25" s="555">
        <v>0.13466774729068376</v>
      </c>
      <c r="D25" s="358">
        <v>2.7034025921143671E-2</v>
      </c>
      <c r="E25" s="555">
        <v>0.11444404306617485</v>
      </c>
      <c r="F25" s="358">
        <v>1.2960562593694961E-2</v>
      </c>
      <c r="G25" s="555">
        <v>5.8713398629737193E-2</v>
      </c>
      <c r="H25" s="1089">
        <v>0.34781977750143445</v>
      </c>
      <c r="I25" s="1090">
        <v>0.23002011551350374</v>
      </c>
      <c r="J25" s="358">
        <v>1</v>
      </c>
    </row>
    <row r="26" spans="1:10" ht="20" customHeight="1" thickBot="1">
      <c r="A26" s="127" t="s">
        <v>1826</v>
      </c>
      <c r="B26" s="1089">
        <v>0.34839887393331576</v>
      </c>
      <c r="C26" s="555">
        <v>0.10222282249390821</v>
      </c>
      <c r="D26" s="358">
        <v>2.3775851390688815E-2</v>
      </c>
      <c r="E26" s="555">
        <v>0.10827516054076659</v>
      </c>
      <c r="F26" s="358">
        <v>1.3505217129353394E-2</v>
      </c>
      <c r="G26" s="555">
        <v>6.5375254770610694E-2</v>
      </c>
      <c r="H26" s="1089">
        <v>0.3131543063253277</v>
      </c>
      <c r="I26" s="1090">
        <v>0.3384523181138383</v>
      </c>
      <c r="J26" s="358">
        <v>1</v>
      </c>
    </row>
    <row r="27" spans="1:10" ht="20" customHeight="1" thickBot="1">
      <c r="A27" s="127" t="s">
        <v>1827</v>
      </c>
      <c r="B27" s="1089">
        <v>0.41859524541010573</v>
      </c>
      <c r="C27" s="555">
        <v>0.22581105372995766</v>
      </c>
      <c r="D27" s="358">
        <v>2.0272265281249383E-2</v>
      </c>
      <c r="E27" s="555">
        <v>0.12550577818729117</v>
      </c>
      <c r="F27" s="358">
        <v>7.6465905122212116E-3</v>
      </c>
      <c r="G27" s="555">
        <v>0.11957624815326184</v>
      </c>
      <c r="H27" s="1089">
        <v>0.49881193586398126</v>
      </c>
      <c r="I27" s="1090">
        <v>8.2588929808937506E-2</v>
      </c>
      <c r="J27" s="358">
        <v>1</v>
      </c>
    </row>
    <row r="28" spans="1:10" ht="20" customHeight="1" thickBot="1">
      <c r="A28" s="127" t="s">
        <v>1828</v>
      </c>
      <c r="B28" s="1089">
        <v>0.30511929781671787</v>
      </c>
      <c r="C28" s="555">
        <v>0.25563535240270913</v>
      </c>
      <c r="D28" s="358">
        <v>3.8517334695640247E-2</v>
      </c>
      <c r="E28" s="555">
        <v>0.14874228402256021</v>
      </c>
      <c r="F28" s="358">
        <v>1.2311151795012895E-2</v>
      </c>
      <c r="G28" s="555">
        <v>0.11568844312865795</v>
      </c>
      <c r="H28" s="1089">
        <v>0.57089456604458044</v>
      </c>
      <c r="I28" s="1090">
        <v>0.12398810767756664</v>
      </c>
      <c r="J28" s="358">
        <v>1</v>
      </c>
    </row>
    <row r="29" spans="1:10" ht="20" customHeight="1" thickBot="1">
      <c r="A29" s="127" t="s">
        <v>1829</v>
      </c>
      <c r="B29" s="1089">
        <v>0.53515076802327322</v>
      </c>
      <c r="C29" s="555">
        <v>0.2462839951162441</v>
      </c>
      <c r="D29" s="358">
        <v>2.6520257798753017E-2</v>
      </c>
      <c r="E29" s="555">
        <v>8.4799765575999803E-2</v>
      </c>
      <c r="F29" s="358">
        <v>1.1946100632072252E-2</v>
      </c>
      <c r="G29" s="555">
        <v>4.1556678981293262E-2</v>
      </c>
      <c r="H29" s="1089">
        <v>0.41110679810436246</v>
      </c>
      <c r="I29" s="1090">
        <v>5.375096509450461E-2</v>
      </c>
      <c r="J29" s="358">
        <v>1</v>
      </c>
    </row>
    <row r="30" spans="1:10" ht="20" customHeight="1" thickBot="1">
      <c r="A30" s="127" t="s">
        <v>1830</v>
      </c>
      <c r="B30" s="1089">
        <v>0.40118189268234</v>
      </c>
      <c r="C30" s="555">
        <v>0.24368674237323062</v>
      </c>
      <c r="D30" s="358">
        <v>2.9455397744520492E-2</v>
      </c>
      <c r="E30" s="555">
        <v>0.1237412899367097</v>
      </c>
      <c r="F30" s="358">
        <v>1.1726426563083201E-2</v>
      </c>
      <c r="G30" s="555">
        <v>0.11752786545723401</v>
      </c>
      <c r="H30" s="1089">
        <v>0.52613772207477805</v>
      </c>
      <c r="I30" s="1090">
        <v>7.2680385242881951E-2</v>
      </c>
      <c r="J30" s="358">
        <v>1</v>
      </c>
    </row>
    <row r="31" spans="1:10" ht="20" customHeight="1" thickBot="1">
      <c r="A31" s="127" t="s">
        <v>1831</v>
      </c>
      <c r="B31" s="1089">
        <v>0.36627877893525757</v>
      </c>
      <c r="C31" s="555">
        <v>0.27141831883686701</v>
      </c>
      <c r="D31" s="358">
        <v>3.046749356721826E-2</v>
      </c>
      <c r="E31" s="555">
        <v>0.12680024267207543</v>
      </c>
      <c r="F31" s="358">
        <v>7.6473941009672468E-3</v>
      </c>
      <c r="G31" s="555">
        <v>9.2933211653506181E-2</v>
      </c>
      <c r="H31" s="1089">
        <v>0.52926666083063412</v>
      </c>
      <c r="I31" s="1090">
        <v>0.10445768668008955</v>
      </c>
      <c r="J31" s="358">
        <v>1</v>
      </c>
    </row>
    <row r="32" spans="1:10" ht="20" customHeight="1" thickBot="1">
      <c r="A32" s="128" t="s">
        <v>1832</v>
      </c>
      <c r="B32" s="1089">
        <v>0.32671789155187514</v>
      </c>
      <c r="C32" s="555">
        <v>0.26191165195649552</v>
      </c>
      <c r="D32" s="358">
        <v>2.8265712933918826E-2</v>
      </c>
      <c r="E32" s="555">
        <v>0.19536654373662737</v>
      </c>
      <c r="F32" s="358">
        <v>1.7374337308005149E-2</v>
      </c>
      <c r="G32" s="555">
        <v>8.9863822700991039E-2</v>
      </c>
      <c r="H32" s="1089">
        <v>0.59278206863603788</v>
      </c>
      <c r="I32" s="1090">
        <v>8.0480133768612155E-2</v>
      </c>
      <c r="J32" s="358">
        <v>1</v>
      </c>
    </row>
    <row r="33" spans="1:12" ht="30" customHeight="1" thickBot="1">
      <c r="A33" s="572" t="s">
        <v>628</v>
      </c>
      <c r="B33" s="1091">
        <v>0.40158587595093198</v>
      </c>
      <c r="C33" s="557">
        <v>0.19001671278345905</v>
      </c>
      <c r="D33" s="1091">
        <v>2.874555570096738E-2</v>
      </c>
      <c r="E33" s="557">
        <v>0.12056451893381588</v>
      </c>
      <c r="F33" s="1091">
        <v>1.3297661974256279E-2</v>
      </c>
      <c r="G33" s="557">
        <v>7.7126199182153146E-2</v>
      </c>
      <c r="H33" s="1091">
        <v>0.42975064857465173</v>
      </c>
      <c r="I33" s="1097">
        <v>0.1686653491061329</v>
      </c>
      <c r="J33" s="574">
        <v>1</v>
      </c>
    </row>
    <row r="34" spans="1:12" ht="20" customHeight="1">
      <c r="A34" s="380" t="s">
        <v>1069</v>
      </c>
      <c r="B34" s="673"/>
      <c r="C34" s="133"/>
      <c r="D34" s="133"/>
      <c r="E34" s="133"/>
      <c r="F34" s="133"/>
      <c r="G34" s="133"/>
      <c r="H34" s="1098"/>
      <c r="J34" s="121"/>
      <c r="L34" s="1099" t="s">
        <v>2317</v>
      </c>
    </row>
    <row r="35" spans="1:12" ht="11.25" customHeight="1">
      <c r="B35" s="486"/>
      <c r="C35" s="3"/>
      <c r="D35" s="3"/>
      <c r="E35" s="3"/>
      <c r="F35" s="3"/>
      <c r="G35" s="3"/>
      <c r="H35" s="788"/>
      <c r="J35" s="121"/>
      <c r="L35" s="1100"/>
    </row>
    <row r="36" spans="1:12" ht="12" customHeight="1">
      <c r="A36" s="3" t="s">
        <v>1975</v>
      </c>
      <c r="L36" s="1100"/>
    </row>
    <row r="37" spans="1:12" ht="12" customHeight="1">
      <c r="L37" s="1100"/>
    </row>
    <row r="38" spans="1:12" ht="12" customHeight="1"/>
    <row r="39" spans="1:12" ht="12" customHeight="1">
      <c r="A39" s="2" t="s">
        <v>634</v>
      </c>
    </row>
  </sheetData>
  <mergeCells count="1">
    <mergeCell ref="C3:H3"/>
  </mergeCells>
  <phoneticPr fontId="0" type="noConversion"/>
  <pageMargins left="0.49" right="0.48" top="0.65" bottom="0.49" header="0.35" footer="0.4921259845"/>
  <pageSetup paperSize="9" scale="71" orientation="portrait" horizontalDpi="4294967292" verticalDpi="4294967292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9872-D7AB-AE47-B743-94AAB732EBC2}">
  <sheetPr>
    <pageSetUpPr fitToPage="1"/>
  </sheetPr>
  <dimension ref="A1:K27"/>
  <sheetViews>
    <sheetView zoomScale="75" workbookViewId="0">
      <selection activeCell="K2" sqref="K2"/>
    </sheetView>
  </sheetViews>
  <sheetFormatPr baseColWidth="10" defaultColWidth="11.3984375" defaultRowHeight="13"/>
  <cols>
    <col min="1" max="1" width="14.19921875" style="2" customWidth="1"/>
    <col min="2" max="2" width="14.19921875" style="148" customWidth="1"/>
    <col min="3" max="8" width="11" style="2" customWidth="1"/>
    <col min="9" max="9" width="14.796875" style="148" customWidth="1"/>
    <col min="10" max="10" width="16" style="290" customWidth="1"/>
    <col min="11" max="11" width="12.796875" style="2" customWidth="1"/>
    <col min="12" max="16384" width="11.3984375" style="2"/>
  </cols>
  <sheetData>
    <row r="1" spans="1:11" s="1" customFormat="1" ht="14" customHeight="1">
      <c r="A1" s="381"/>
      <c r="B1" s="487"/>
      <c r="C1" s="381"/>
      <c r="D1" s="381"/>
      <c r="E1" s="381"/>
      <c r="F1" s="381"/>
      <c r="G1" s="381"/>
      <c r="H1" s="381"/>
      <c r="I1" s="487"/>
      <c r="J1" s="1079"/>
    </row>
    <row r="2" spans="1:11" s="1" customFormat="1" ht="28" customHeight="1">
      <c r="A2" s="384" t="s">
        <v>2302</v>
      </c>
      <c r="B2" s="487"/>
      <c r="C2" s="381"/>
      <c r="D2" s="381"/>
      <c r="E2" s="381"/>
      <c r="F2" s="381"/>
      <c r="G2" s="381"/>
      <c r="H2" s="381"/>
      <c r="I2" s="1080"/>
      <c r="J2" s="1081"/>
      <c r="K2" s="384"/>
    </row>
    <row r="3" spans="1:11" ht="27" customHeight="1">
      <c r="A3" s="110" t="s">
        <v>911</v>
      </c>
      <c r="B3" s="385" t="s">
        <v>2292</v>
      </c>
      <c r="C3" s="1823" t="s">
        <v>1201</v>
      </c>
      <c r="D3" s="1826"/>
      <c r="E3" s="1826"/>
      <c r="F3" s="1826"/>
      <c r="G3" s="1826"/>
      <c r="H3" s="1826"/>
      <c r="I3" s="1826"/>
      <c r="J3" s="385" t="s">
        <v>2293</v>
      </c>
      <c r="K3" s="112" t="s">
        <v>629</v>
      </c>
    </row>
    <row r="4" spans="1:11" ht="15" customHeight="1">
      <c r="A4" s="113"/>
      <c r="B4" s="387" t="s">
        <v>836</v>
      </c>
      <c r="C4" s="113"/>
      <c r="D4" s="116"/>
      <c r="E4" s="115"/>
      <c r="F4" s="116"/>
      <c r="G4" s="113"/>
      <c r="H4" s="114"/>
      <c r="I4" s="350" t="s">
        <v>629</v>
      </c>
      <c r="J4" s="387" t="s">
        <v>1334</v>
      </c>
      <c r="K4" s="115"/>
    </row>
    <row r="5" spans="1:11" ht="15" customHeight="1">
      <c r="A5" s="113"/>
      <c r="B5" s="387" t="s">
        <v>840</v>
      </c>
      <c r="C5" s="115" t="s">
        <v>2303</v>
      </c>
      <c r="D5" s="114" t="s">
        <v>2304</v>
      </c>
      <c r="E5" s="115" t="s">
        <v>2305</v>
      </c>
      <c r="F5" s="114" t="s">
        <v>2306</v>
      </c>
      <c r="G5" s="115" t="s">
        <v>2307</v>
      </c>
      <c r="H5" s="114" t="s">
        <v>2308</v>
      </c>
      <c r="I5" s="350"/>
      <c r="J5" s="387" t="s">
        <v>2300</v>
      </c>
      <c r="K5" s="115"/>
    </row>
    <row r="6" spans="1:11" ht="24" customHeight="1">
      <c r="A6" s="117"/>
      <c r="B6" s="441"/>
      <c r="C6" s="117"/>
      <c r="D6" s="118"/>
      <c r="E6" s="119"/>
      <c r="F6" s="118"/>
      <c r="G6" s="117"/>
      <c r="H6" s="120"/>
      <c r="I6" s="351"/>
      <c r="J6" s="1088"/>
      <c r="K6" s="119"/>
    </row>
    <row r="7" spans="1:11" ht="1.5" customHeight="1" thickBot="1">
      <c r="A7" s="521">
        <v>1996</v>
      </c>
      <c r="B7" s="1089">
        <v>0.86081417112299463</v>
      </c>
      <c r="C7" s="555" t="s">
        <v>59</v>
      </c>
      <c r="D7" s="358" t="s">
        <v>59</v>
      </c>
      <c r="E7" s="555" t="s">
        <v>59</v>
      </c>
      <c r="F7" s="358" t="s">
        <v>59</v>
      </c>
      <c r="G7" s="555" t="s">
        <v>59</v>
      </c>
      <c r="H7" s="358" t="s">
        <v>59</v>
      </c>
      <c r="I7" s="1090">
        <v>0.11952874331550802</v>
      </c>
      <c r="J7" s="1089">
        <v>1.9657085561497329E-2</v>
      </c>
      <c r="K7" s="555">
        <v>1</v>
      </c>
    </row>
    <row r="8" spans="1:11" ht="20" customHeight="1" thickBot="1">
      <c r="A8" s="521">
        <v>1997</v>
      </c>
      <c r="B8" s="1089">
        <v>0.8206</v>
      </c>
      <c r="C8" s="555">
        <v>9.915910780669146E-2</v>
      </c>
      <c r="D8" s="358">
        <v>2.4563271375464685E-2</v>
      </c>
      <c r="E8" s="555">
        <v>1.1677620817843865E-2</v>
      </c>
      <c r="F8" s="358" t="s">
        <v>59</v>
      </c>
      <c r="G8" s="555" t="s">
        <v>59</v>
      </c>
      <c r="H8" s="358" t="s">
        <v>59</v>
      </c>
      <c r="I8" s="1090">
        <v>0.13550000000000001</v>
      </c>
      <c r="J8" s="1089">
        <v>4.3900000000000002E-2</v>
      </c>
      <c r="K8" s="555">
        <v>1</v>
      </c>
    </row>
    <row r="9" spans="1:11" ht="20" customHeight="1" thickBot="1">
      <c r="A9" s="127">
        <v>1998</v>
      </c>
      <c r="B9" s="1089">
        <v>0.8075</v>
      </c>
      <c r="C9" s="555">
        <v>8.9319669551534225E-2</v>
      </c>
      <c r="D9" s="358">
        <v>2.1300078678206137E-2</v>
      </c>
      <c r="E9" s="555">
        <v>1.7080251770259638E-2</v>
      </c>
      <c r="F9" s="358" t="s">
        <v>59</v>
      </c>
      <c r="G9" s="555" t="s">
        <v>59</v>
      </c>
      <c r="H9" s="358" t="s">
        <v>59</v>
      </c>
      <c r="I9" s="1090">
        <v>0.12759999999999999</v>
      </c>
      <c r="J9" s="1089">
        <v>6.4899999999999999E-2</v>
      </c>
      <c r="K9" s="555">
        <v>1</v>
      </c>
    </row>
    <row r="10" spans="1:11" ht="20" customHeight="1" thickBot="1">
      <c r="A10" s="127">
        <v>1999</v>
      </c>
      <c r="B10" s="1089">
        <v>0.80579999999999996</v>
      </c>
      <c r="C10" s="555">
        <v>8.0600000000000005E-2</v>
      </c>
      <c r="D10" s="358">
        <v>1.9599999999999999E-2</v>
      </c>
      <c r="E10" s="555">
        <v>2.2200000000000001E-2</v>
      </c>
      <c r="F10" s="358" t="s">
        <v>59</v>
      </c>
      <c r="G10" s="555" t="s">
        <v>59</v>
      </c>
      <c r="H10" s="358" t="s">
        <v>59</v>
      </c>
      <c r="I10" s="1090">
        <v>0.1226</v>
      </c>
      <c r="J10" s="1089">
        <v>7.17E-2</v>
      </c>
      <c r="K10" s="555">
        <v>1</v>
      </c>
    </row>
    <row r="11" spans="1:11" ht="20" customHeight="1" thickBot="1">
      <c r="A11" s="127">
        <v>2000</v>
      </c>
      <c r="B11" s="1089">
        <v>0.8034</v>
      </c>
      <c r="C11" s="555">
        <v>7.5622923588039861E-2</v>
      </c>
      <c r="D11" s="358">
        <v>1.9056976744186046E-2</v>
      </c>
      <c r="E11" s="555">
        <v>2.6720099667774087E-2</v>
      </c>
      <c r="F11" s="358" t="s">
        <v>59</v>
      </c>
      <c r="G11" s="555" t="s">
        <v>59</v>
      </c>
      <c r="H11" s="358" t="s">
        <v>59</v>
      </c>
      <c r="I11" s="1090">
        <v>0.12139999999999999</v>
      </c>
      <c r="J11" s="1089">
        <v>7.5200000000000003E-2</v>
      </c>
      <c r="K11" s="555">
        <v>1</v>
      </c>
    </row>
    <row r="12" spans="1:11" ht="20" customHeight="1" thickBot="1">
      <c r="A12" s="127">
        <v>2001</v>
      </c>
      <c r="B12" s="1089">
        <v>0.80599999999999994</v>
      </c>
      <c r="C12" s="555">
        <v>7.0999999999999994E-2</v>
      </c>
      <c r="D12" s="358">
        <v>1.6E-2</v>
      </c>
      <c r="E12" s="555">
        <v>2.8999999999999998E-2</v>
      </c>
      <c r="F12" s="358" t="s">
        <v>59</v>
      </c>
      <c r="G12" s="555" t="s">
        <v>59</v>
      </c>
      <c r="H12" s="358" t="s">
        <v>59</v>
      </c>
      <c r="I12" s="1090">
        <v>0.11599999999999999</v>
      </c>
      <c r="J12" s="1089">
        <v>7.8E-2</v>
      </c>
      <c r="K12" s="555">
        <v>1</v>
      </c>
    </row>
    <row r="13" spans="1:11" ht="20" customHeight="1" thickBot="1">
      <c r="A13" s="127">
        <v>2002</v>
      </c>
      <c r="B13" s="1089">
        <v>0.80900000000000005</v>
      </c>
      <c r="C13" s="555">
        <v>6.5000000000000002E-2</v>
      </c>
      <c r="D13" s="358">
        <v>1.4999999999999999E-2</v>
      </c>
      <c r="E13" s="555">
        <v>3.2000000000000001E-2</v>
      </c>
      <c r="F13" s="358" t="s">
        <v>59</v>
      </c>
      <c r="G13" s="555" t="s">
        <v>59</v>
      </c>
      <c r="H13" s="358" t="s">
        <v>59</v>
      </c>
      <c r="I13" s="1090">
        <v>0.111</v>
      </c>
      <c r="J13" s="1089">
        <v>0.08</v>
      </c>
      <c r="K13" s="555">
        <v>1</v>
      </c>
    </row>
    <row r="14" spans="1:11" ht="20" customHeight="1" thickBot="1">
      <c r="A14" s="127">
        <v>2003</v>
      </c>
      <c r="B14" s="1089">
        <v>0.80299999999999994</v>
      </c>
      <c r="C14" s="555">
        <v>6.0999999999999999E-2</v>
      </c>
      <c r="D14" s="358">
        <v>1.3999999999999999E-2</v>
      </c>
      <c r="E14" s="555">
        <v>0.04</v>
      </c>
      <c r="F14" s="358" t="s">
        <v>59</v>
      </c>
      <c r="G14" s="555" t="s">
        <v>59</v>
      </c>
      <c r="H14" s="358" t="s">
        <v>59</v>
      </c>
      <c r="I14" s="1090">
        <v>0.114</v>
      </c>
      <c r="J14" s="1089">
        <v>8.3000000000000004E-2</v>
      </c>
      <c r="K14" s="555">
        <v>1</v>
      </c>
    </row>
    <row r="15" spans="1:11" ht="20" customHeight="1" thickBot="1">
      <c r="A15" s="127">
        <v>2004</v>
      </c>
      <c r="B15" s="1089">
        <v>0.79900000000000004</v>
      </c>
      <c r="C15" s="555">
        <v>5.4000000000000006E-2</v>
      </c>
      <c r="D15" s="358">
        <v>1.3000000000000001E-2</v>
      </c>
      <c r="E15" s="555">
        <v>4.5999999999999999E-2</v>
      </c>
      <c r="F15" s="358" t="s">
        <v>59</v>
      </c>
      <c r="G15" s="555" t="s">
        <v>59</v>
      </c>
      <c r="H15" s="358" t="s">
        <v>59</v>
      </c>
      <c r="I15" s="1090">
        <v>0.113</v>
      </c>
      <c r="J15" s="1089">
        <v>8.8000000000000009E-2</v>
      </c>
      <c r="K15" s="555">
        <v>1</v>
      </c>
    </row>
    <row r="16" spans="1:11" ht="20" customHeight="1" thickBot="1">
      <c r="A16" s="127">
        <v>2005</v>
      </c>
      <c r="B16" s="1089">
        <v>0.78678222481464166</v>
      </c>
      <c r="C16" s="555">
        <v>1.0689053573474754E-2</v>
      </c>
      <c r="D16" s="358">
        <v>4.4155082812931047E-2</v>
      </c>
      <c r="E16" s="555">
        <v>1.2891775074074864E-2</v>
      </c>
      <c r="F16" s="358">
        <v>3.4716999765286694E-2</v>
      </c>
      <c r="G16" s="555">
        <v>2.0870050151784673E-3</v>
      </c>
      <c r="H16" s="358">
        <v>9.1977488086917164E-3</v>
      </c>
      <c r="I16" s="1090">
        <v>0.11373766504963753</v>
      </c>
      <c r="J16" s="1089">
        <v>9.948011013572082E-2</v>
      </c>
      <c r="K16" s="555">
        <v>1</v>
      </c>
    </row>
    <row r="17" spans="1:11" ht="20" customHeight="1" thickBot="1">
      <c r="A17" s="127">
        <v>2006</v>
      </c>
      <c r="B17" s="1089">
        <v>0.75748399734661198</v>
      </c>
      <c r="C17" s="555">
        <v>1.1391986249934519E-2</v>
      </c>
      <c r="D17" s="358">
        <v>3.8132346282157621E-2</v>
      </c>
      <c r="E17" s="555">
        <v>1.2305262070692491E-2</v>
      </c>
      <c r="F17" s="358">
        <v>3.0449601709034713E-2</v>
      </c>
      <c r="G17" s="555">
        <v>3.4456650718702182E-3</v>
      </c>
      <c r="H17" s="358">
        <v>1.2888553674355003E-2</v>
      </c>
      <c r="I17" s="1090">
        <v>0.10861341505804456</v>
      </c>
      <c r="J17" s="1089">
        <v>0.13390258759534343</v>
      </c>
      <c r="K17" s="555">
        <v>1</v>
      </c>
    </row>
    <row r="18" spans="1:11" ht="30" customHeight="1" thickBot="1">
      <c r="A18" s="572">
        <v>2007</v>
      </c>
      <c r="B18" s="1091">
        <v>0.73190824945317734</v>
      </c>
      <c r="C18" s="557">
        <v>9.8139907839916753E-3</v>
      </c>
      <c r="D18" s="1091">
        <v>3.2349587873453281E-2</v>
      </c>
      <c r="E18" s="557">
        <v>1.1283566524782202E-2</v>
      </c>
      <c r="F18" s="1091">
        <v>2.7292621471190791E-2</v>
      </c>
      <c r="G18" s="557">
        <v>4.4746023390307664E-3</v>
      </c>
      <c r="H18" s="1091">
        <v>1.2309536426793329E-2</v>
      </c>
      <c r="I18" s="557">
        <v>9.7523905419242038E-2</v>
      </c>
      <c r="J18" s="1091">
        <v>0.17056852546679774</v>
      </c>
      <c r="K18" s="406">
        <v>1</v>
      </c>
    </row>
    <row r="19" spans="1:11" ht="20" customHeight="1">
      <c r="A19" s="380" t="s">
        <v>1069</v>
      </c>
      <c r="B19" s="1092"/>
      <c r="C19" s="948"/>
      <c r="D19" s="948"/>
      <c r="E19" s="948"/>
      <c r="F19" s="948"/>
      <c r="G19" s="948"/>
      <c r="H19" s="948"/>
      <c r="I19" s="1092"/>
      <c r="J19" s="1093"/>
    </row>
    <row r="20" spans="1:11" ht="12" customHeight="1"/>
    <row r="21" spans="1:11" ht="12" customHeight="1">
      <c r="A21" s="2" t="s">
        <v>2309</v>
      </c>
    </row>
    <row r="22" spans="1:11" ht="12" customHeight="1">
      <c r="A22" s="2" t="s">
        <v>2310</v>
      </c>
    </row>
    <row r="23" spans="1:11" ht="12" customHeight="1"/>
    <row r="24" spans="1:11" ht="12" customHeight="1">
      <c r="A24" s="2" t="s">
        <v>2311</v>
      </c>
    </row>
    <row r="27" spans="1:11">
      <c r="A27" s="2" t="s">
        <v>634</v>
      </c>
    </row>
  </sheetData>
  <mergeCells count="1">
    <mergeCell ref="C3:I3"/>
  </mergeCells>
  <phoneticPr fontId="0" type="noConversion"/>
  <pageMargins left="0.6" right="0.62" top="0.9" bottom="0.49" header="0.49" footer="0.4921259845"/>
  <pageSetup paperSize="9" scale="66" orientation="portrait" horizontalDpi="4294967292" verticalDpi="4294967292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51EA-5C8B-AB49-83A1-5FFAA5178D2E}">
  <sheetPr>
    <pageSetUpPr fitToPage="1"/>
  </sheetPr>
  <dimension ref="A1:K39"/>
  <sheetViews>
    <sheetView zoomScale="75" workbookViewId="0">
      <selection activeCell="A3" sqref="A3"/>
    </sheetView>
  </sheetViews>
  <sheetFormatPr baseColWidth="10" defaultColWidth="11.3984375" defaultRowHeight="13"/>
  <cols>
    <col min="1" max="1" width="14.796875" style="2" customWidth="1"/>
    <col min="2" max="2" width="14.796875" style="148" customWidth="1"/>
    <col min="3" max="4" width="12.19921875" style="2" customWidth="1"/>
    <col min="5" max="5" width="12.59765625" style="2" customWidth="1"/>
    <col min="6" max="7" width="12.19921875" style="2" customWidth="1"/>
    <col min="8" max="8" width="12.59765625" style="2" customWidth="1"/>
    <col min="9" max="9" width="14.796875" style="148" customWidth="1"/>
    <col min="10" max="10" width="15.3984375" style="290" customWidth="1"/>
    <col min="11" max="11" width="13.796875" style="2" customWidth="1"/>
    <col min="12" max="16384" width="11.3984375" style="2"/>
  </cols>
  <sheetData>
    <row r="1" spans="1:11" s="1" customFormat="1" ht="14" customHeight="1">
      <c r="A1" s="381"/>
      <c r="B1" s="487"/>
      <c r="C1" s="381"/>
      <c r="D1" s="381"/>
      <c r="E1" s="381"/>
      <c r="F1" s="381"/>
      <c r="G1" s="381"/>
      <c r="H1" s="381"/>
      <c r="I1" s="487"/>
      <c r="J1" s="1079"/>
    </row>
    <row r="2" spans="1:11" s="1" customFormat="1" ht="28" customHeight="1">
      <c r="A2" s="384" t="s">
        <v>2291</v>
      </c>
      <c r="B2" s="487"/>
      <c r="C2" s="381"/>
      <c r="D2" s="381"/>
      <c r="E2" s="381"/>
      <c r="F2" s="381"/>
      <c r="G2" s="381"/>
      <c r="H2" s="381"/>
      <c r="I2" s="1080"/>
      <c r="J2" s="1081"/>
      <c r="K2" s="384">
        <v>2007</v>
      </c>
    </row>
    <row r="3" spans="1:11" ht="27" customHeight="1">
      <c r="A3" s="110" t="s">
        <v>1797</v>
      </c>
      <c r="B3" s="385" t="s">
        <v>2292</v>
      </c>
      <c r="C3" s="1823" t="s">
        <v>1201</v>
      </c>
      <c r="D3" s="1826"/>
      <c r="E3" s="1826"/>
      <c r="F3" s="1826"/>
      <c r="G3" s="1826"/>
      <c r="H3" s="1826"/>
      <c r="I3" s="1826"/>
      <c r="J3" s="385" t="s">
        <v>2293</v>
      </c>
      <c r="K3" s="112" t="s">
        <v>629</v>
      </c>
    </row>
    <row r="4" spans="1:11" ht="15" customHeight="1">
      <c r="A4" s="113"/>
      <c r="B4" s="387" t="s">
        <v>836</v>
      </c>
      <c r="C4" s="113"/>
      <c r="D4" s="116"/>
      <c r="E4" s="115"/>
      <c r="F4" s="116"/>
      <c r="G4" s="113"/>
      <c r="H4" s="114"/>
      <c r="I4" s="350" t="s">
        <v>629</v>
      </c>
      <c r="J4" s="387" t="s">
        <v>1334</v>
      </c>
      <c r="K4" s="115"/>
    </row>
    <row r="5" spans="1:11" ht="15" customHeight="1">
      <c r="A5" s="113"/>
      <c r="B5" s="387" t="s">
        <v>840</v>
      </c>
      <c r="C5" s="115" t="s">
        <v>2294</v>
      </c>
      <c r="D5" s="114" t="s">
        <v>2295</v>
      </c>
      <c r="E5" s="115" t="s">
        <v>2296</v>
      </c>
      <c r="F5" s="114" t="s">
        <v>2297</v>
      </c>
      <c r="G5" s="115" t="s">
        <v>2298</v>
      </c>
      <c r="H5" s="114" t="s">
        <v>2299</v>
      </c>
      <c r="I5" s="350"/>
      <c r="J5" s="387" t="s">
        <v>2300</v>
      </c>
      <c r="K5" s="115"/>
    </row>
    <row r="6" spans="1:11" ht="24" customHeight="1">
      <c r="A6" s="117"/>
      <c r="B6" s="441" t="s">
        <v>2301</v>
      </c>
      <c r="C6" s="117"/>
      <c r="D6" s="118"/>
      <c r="E6" s="119"/>
      <c r="F6" s="118"/>
      <c r="G6" s="117"/>
      <c r="H6" s="120"/>
      <c r="I6" s="351"/>
      <c r="J6" s="1088"/>
      <c r="K6" s="119"/>
    </row>
    <row r="7" spans="1:11" ht="30" customHeight="1" thickBot="1">
      <c r="A7" s="122" t="s">
        <v>1807</v>
      </c>
      <c r="B7" s="1089">
        <v>0.74436807454156761</v>
      </c>
      <c r="C7" s="555">
        <v>9.1781673261959618E-3</v>
      </c>
      <c r="D7" s="358">
        <v>2.4239433185607649E-2</v>
      </c>
      <c r="E7" s="555">
        <v>9.0358701583479611E-3</v>
      </c>
      <c r="F7" s="358">
        <v>1.6239664280652932E-2</v>
      </c>
      <c r="G7" s="555">
        <v>5.8163967357869753E-3</v>
      </c>
      <c r="H7" s="358">
        <v>8.0220028374309651E-3</v>
      </c>
      <c r="I7" s="1090">
        <v>7.2531534524022445E-2</v>
      </c>
      <c r="J7" s="1089">
        <v>0.18310039093440988</v>
      </c>
      <c r="K7" s="555">
        <v>1</v>
      </c>
    </row>
    <row r="8" spans="1:11" ht="20" customHeight="1" thickBot="1">
      <c r="A8" s="127" t="s">
        <v>1808</v>
      </c>
      <c r="B8" s="1089">
        <v>0.71820278706737573</v>
      </c>
      <c r="C8" s="555">
        <v>9.6969582788925326E-3</v>
      </c>
      <c r="D8" s="358">
        <v>3.4796671673421417E-2</v>
      </c>
      <c r="E8" s="555">
        <v>8.9902504473364474E-3</v>
      </c>
      <c r="F8" s="358">
        <v>1.5008852389850988E-2</v>
      </c>
      <c r="G8" s="555">
        <v>6.0533580653779557E-3</v>
      </c>
      <c r="H8" s="358">
        <v>7.1597613098633049E-3</v>
      </c>
      <c r="I8" s="1090">
        <v>8.1705852164742646E-2</v>
      </c>
      <c r="J8" s="1089">
        <v>0.20009700032145455</v>
      </c>
      <c r="K8" s="555">
        <v>1</v>
      </c>
    </row>
    <row r="9" spans="1:11" ht="20" customHeight="1" thickBot="1">
      <c r="A9" s="127" t="s">
        <v>1809</v>
      </c>
      <c r="B9" s="1089">
        <v>0.69550191198307465</v>
      </c>
      <c r="C9" s="555">
        <v>4.9240572520649842E-3</v>
      </c>
      <c r="D9" s="358">
        <v>7.8730051885384424E-3</v>
      </c>
      <c r="E9" s="555">
        <v>7.1460552321054504E-3</v>
      </c>
      <c r="F9" s="358">
        <v>6.1831894407545815E-2</v>
      </c>
      <c r="G9" s="555">
        <v>1.6322083927457747E-3</v>
      </c>
      <c r="H9" s="358">
        <v>6.5151175340692688E-3</v>
      </c>
      <c r="I9" s="1090">
        <v>8.9922338007069738E-2</v>
      </c>
      <c r="J9" s="1089">
        <v>0.21457575000985557</v>
      </c>
      <c r="K9" s="555">
        <v>1</v>
      </c>
    </row>
    <row r="10" spans="1:11" ht="20" customHeight="1" thickBot="1">
      <c r="A10" s="127" t="s">
        <v>1810</v>
      </c>
      <c r="B10" s="1089">
        <v>0.65387251542152158</v>
      </c>
      <c r="C10" s="555">
        <v>3.7677469891314987E-3</v>
      </c>
      <c r="D10" s="358">
        <v>8.2600607069421329E-3</v>
      </c>
      <c r="E10" s="555">
        <v>1.72446881425634E-2</v>
      </c>
      <c r="F10" s="358">
        <v>7.6948986585724077E-2</v>
      </c>
      <c r="G10" s="555">
        <v>1.1593067658866151E-3</v>
      </c>
      <c r="H10" s="358">
        <v>4.2024870263389792E-3</v>
      </c>
      <c r="I10" s="1090">
        <v>0.1115832762165867</v>
      </c>
      <c r="J10" s="1089">
        <v>0.23468128855380396</v>
      </c>
      <c r="K10" s="555">
        <v>1</v>
      </c>
    </row>
    <row r="11" spans="1:11" ht="20" customHeight="1" thickBot="1">
      <c r="A11" s="127" t="s">
        <v>1811</v>
      </c>
      <c r="B11" s="1089">
        <v>0.74609107118365103</v>
      </c>
      <c r="C11" s="555">
        <v>2.5727453621356782E-3</v>
      </c>
      <c r="D11" s="358">
        <v>1.4530575918540943E-2</v>
      </c>
      <c r="E11" s="555">
        <v>7.0659907833303835E-3</v>
      </c>
      <c r="F11" s="358">
        <v>5.8339718775189335E-2</v>
      </c>
      <c r="G11" s="555">
        <v>2.7901604631612284E-3</v>
      </c>
      <c r="H11" s="358">
        <v>6.594924731108359E-3</v>
      </c>
      <c r="I11" s="1090">
        <v>9.1894116033465922E-2</v>
      </c>
      <c r="J11" s="1089">
        <v>0.16204910163214922</v>
      </c>
      <c r="K11" s="555">
        <v>1</v>
      </c>
    </row>
    <row r="12" spans="1:11" ht="20" customHeight="1" thickBot="1">
      <c r="A12" s="127" t="s">
        <v>1812</v>
      </c>
      <c r="B12" s="1089">
        <v>0.76689280868385346</v>
      </c>
      <c r="C12" s="555">
        <v>4.5614623511655199E-3</v>
      </c>
      <c r="D12" s="358">
        <v>1.0120744591648499E-2</v>
      </c>
      <c r="E12" s="555">
        <v>8.2676505114875065E-3</v>
      </c>
      <c r="F12" s="358">
        <v>2.0241489183296997E-2</v>
      </c>
      <c r="G12" s="555">
        <v>1.14036558779138E-3</v>
      </c>
      <c r="H12" s="358">
        <v>6.4145564313265136E-3</v>
      </c>
      <c r="I12" s="1090">
        <v>5.0746268656716415E-2</v>
      </c>
      <c r="J12" s="1089">
        <v>0.18236092265943013</v>
      </c>
      <c r="K12" s="555">
        <v>1</v>
      </c>
    </row>
    <row r="13" spans="1:11" ht="20" customHeight="1" thickBot="1">
      <c r="A13" s="127" t="s">
        <v>1813</v>
      </c>
      <c r="B13" s="1089">
        <v>0.69813519813519809</v>
      </c>
      <c r="C13" s="555">
        <v>6.3679011047432102E-3</v>
      </c>
      <c r="D13" s="358">
        <v>8.3578701999754632E-3</v>
      </c>
      <c r="E13" s="555">
        <v>5.7045780729991259E-3</v>
      </c>
      <c r="F13" s="358">
        <v>4.16566863935285E-2</v>
      </c>
      <c r="G13" s="555">
        <v>3.9799381904645064E-4</v>
      </c>
      <c r="H13" s="358">
        <v>8.0925409872778294E-3</v>
      </c>
      <c r="I13" s="1090">
        <v>7.0577570577570581E-2</v>
      </c>
      <c r="J13" s="1089">
        <v>0.23128723128723128</v>
      </c>
      <c r="K13" s="555">
        <v>1</v>
      </c>
    </row>
    <row r="14" spans="1:11" ht="20" customHeight="1" thickBot="1">
      <c r="A14" s="127" t="s">
        <v>1814</v>
      </c>
      <c r="B14" s="1089">
        <v>0.79140603753059557</v>
      </c>
      <c r="C14" s="555">
        <v>4.9349701623016161E-3</v>
      </c>
      <c r="D14" s="358">
        <v>1.4954455037277624E-2</v>
      </c>
      <c r="E14" s="555">
        <v>6.7295047667749307E-3</v>
      </c>
      <c r="F14" s="358">
        <v>1.6599445091378163E-2</v>
      </c>
      <c r="G14" s="555">
        <v>1.7945346044733149E-3</v>
      </c>
      <c r="H14" s="358">
        <v>1.4954455037277624E-2</v>
      </c>
      <c r="I14" s="1090">
        <v>5.9967364699483272E-2</v>
      </c>
      <c r="J14" s="1089">
        <v>0.14849061735110144</v>
      </c>
      <c r="K14" s="555">
        <v>1</v>
      </c>
    </row>
    <row r="15" spans="1:11" ht="20" customHeight="1" thickBot="1">
      <c r="A15" s="127" t="s">
        <v>1815</v>
      </c>
      <c r="B15" s="1089">
        <v>0.7521371603228425</v>
      </c>
      <c r="C15" s="555">
        <v>6.2207784867445888E-3</v>
      </c>
      <c r="D15" s="358">
        <v>1.745831381763804E-2</v>
      </c>
      <c r="E15" s="555">
        <v>7.3244649924573387E-3</v>
      </c>
      <c r="F15" s="358">
        <v>3.7073833078260093E-2</v>
      </c>
      <c r="G15" s="555">
        <v>2.5585459905159195E-3</v>
      </c>
      <c r="H15" s="358">
        <v>5.9197730760956581E-3</v>
      </c>
      <c r="I15" s="1090">
        <v>7.6555709441711639E-2</v>
      </c>
      <c r="J15" s="1089">
        <v>0.17135488800802331</v>
      </c>
      <c r="K15" s="555">
        <v>1</v>
      </c>
    </row>
    <row r="16" spans="1:11" ht="20" customHeight="1" thickBot="1">
      <c r="A16" s="127" t="s">
        <v>1816</v>
      </c>
      <c r="B16" s="1089">
        <v>0.80770453670699671</v>
      </c>
      <c r="C16" s="555">
        <v>6.8586569591115865E-3</v>
      </c>
      <c r="D16" s="358">
        <v>4.2395829162871122E-2</v>
      </c>
      <c r="E16" s="555">
        <v>1.4131943054290374E-2</v>
      </c>
      <c r="F16" s="358">
        <v>2.171620100151956E-2</v>
      </c>
      <c r="G16" s="555">
        <v>5.6320457649127889E-3</v>
      </c>
      <c r="H16" s="358">
        <v>9.5882987715539825E-3</v>
      </c>
      <c r="I16" s="1090">
        <v>0.10032297471425941</v>
      </c>
      <c r="J16" s="1089">
        <v>9.1955754137590578E-2</v>
      </c>
      <c r="K16" s="555">
        <v>1</v>
      </c>
    </row>
    <row r="17" spans="1:11" ht="20" customHeight="1" thickBot="1">
      <c r="A17" s="127" t="s">
        <v>1817</v>
      </c>
      <c r="B17" s="1089">
        <v>0.80681984793582306</v>
      </c>
      <c r="C17" s="555">
        <v>6.2617074888639181E-3</v>
      </c>
      <c r="D17" s="358">
        <v>2.1582906663743719E-2</v>
      </c>
      <c r="E17" s="555">
        <v>9.5257890522078767E-3</v>
      </c>
      <c r="F17" s="358">
        <v>2.1782748392111716E-2</v>
      </c>
      <c r="G17" s="555">
        <v>3.7747882025066172E-3</v>
      </c>
      <c r="H17" s="358">
        <v>9.8366539630025378E-3</v>
      </c>
      <c r="I17" s="1090">
        <v>7.276459376243638E-2</v>
      </c>
      <c r="J17" s="1089">
        <v>0.12041555830174057</v>
      </c>
      <c r="K17" s="555">
        <v>1</v>
      </c>
    </row>
    <row r="18" spans="1:11" ht="20" customHeight="1" thickBot="1">
      <c r="A18" s="127" t="s">
        <v>1818</v>
      </c>
      <c r="B18" s="1089">
        <v>0.66519568834551113</v>
      </c>
      <c r="C18" s="555">
        <v>1.5944302355900337E-2</v>
      </c>
      <c r="D18" s="358">
        <v>2.507637391309037E-2</v>
      </c>
      <c r="E18" s="555">
        <v>7.3277509672613561E-3</v>
      </c>
      <c r="F18" s="358">
        <v>3.365610243254713E-2</v>
      </c>
      <c r="G18" s="555">
        <v>4.0873384792261833E-3</v>
      </c>
      <c r="H18" s="358">
        <v>1.6165239570993643E-2</v>
      </c>
      <c r="I18" s="1090">
        <v>0.10225710771901902</v>
      </c>
      <c r="J18" s="1089">
        <v>0.23254720393546988</v>
      </c>
      <c r="K18" s="555">
        <v>1</v>
      </c>
    </row>
    <row r="19" spans="1:11" ht="20" customHeight="1" thickBot="1">
      <c r="A19" s="127" t="s">
        <v>1819</v>
      </c>
      <c r="B19" s="1089">
        <v>0.72397312036602057</v>
      </c>
      <c r="C19" s="555">
        <v>1.5319242802393215E-2</v>
      </c>
      <c r="D19" s="358">
        <v>2.3021182553872675E-2</v>
      </c>
      <c r="E19" s="555">
        <v>7.2787562486509192E-3</v>
      </c>
      <c r="F19" s="358">
        <v>2.9961392000260764E-2</v>
      </c>
      <c r="G19" s="555">
        <v>6.1573199661552839E-3</v>
      </c>
      <c r="H19" s="358">
        <v>1.5425038678100349E-2</v>
      </c>
      <c r="I19" s="1090">
        <v>9.7162932249433204E-2</v>
      </c>
      <c r="J19" s="1089">
        <v>0.17886394738454625</v>
      </c>
      <c r="K19" s="555">
        <v>1</v>
      </c>
    </row>
    <row r="20" spans="1:11" ht="20" customHeight="1" thickBot="1">
      <c r="A20" s="127" t="s">
        <v>1820</v>
      </c>
      <c r="B20" s="1089">
        <v>0.6961942257217848</v>
      </c>
      <c r="C20" s="555">
        <v>1.8851267600609945E-2</v>
      </c>
      <c r="D20" s="358">
        <v>1.1370605854336158E-2</v>
      </c>
      <c r="E20" s="555">
        <v>4.3387838128387968E-3</v>
      </c>
      <c r="F20" s="358">
        <v>2.2741211708672316E-2</v>
      </c>
      <c r="G20" s="555">
        <v>2.6182316111958257E-3</v>
      </c>
      <c r="H20" s="358">
        <v>6.1341426319445058E-3</v>
      </c>
      <c r="I20" s="1090">
        <v>6.6054243219597547E-2</v>
      </c>
      <c r="J20" s="1089">
        <v>0.23775153105861768</v>
      </c>
      <c r="K20" s="555">
        <v>1</v>
      </c>
    </row>
    <row r="21" spans="1:11" ht="20" customHeight="1" thickBot="1">
      <c r="A21" s="127" t="s">
        <v>1821</v>
      </c>
      <c r="B21" s="1089">
        <v>0.71626910175177039</v>
      </c>
      <c r="C21" s="555">
        <v>6.288754108359028E-3</v>
      </c>
      <c r="D21" s="358">
        <v>9.5313929454816527E-3</v>
      </c>
      <c r="E21" s="555">
        <v>1.0415748991969641E-2</v>
      </c>
      <c r="F21" s="358">
        <v>1.5132314573238912E-2</v>
      </c>
      <c r="G21" s="555">
        <v>2.751329922407075E-3</v>
      </c>
      <c r="H21" s="358">
        <v>4.5200420153830518E-3</v>
      </c>
      <c r="I21" s="1090">
        <v>4.863958255683936E-2</v>
      </c>
      <c r="J21" s="1089">
        <v>0.23499813641446143</v>
      </c>
      <c r="K21" s="555">
        <v>1</v>
      </c>
    </row>
    <row r="22" spans="1:11" ht="20" customHeight="1" thickBot="1">
      <c r="A22" s="127" t="s">
        <v>1822</v>
      </c>
      <c r="B22" s="1089">
        <v>0.73748951635448701</v>
      </c>
      <c r="C22" s="555">
        <v>2.6295820625088016E-3</v>
      </c>
      <c r="D22" s="358">
        <v>4.6748125555712032E-3</v>
      </c>
      <c r="E22" s="555">
        <v>1.0226152465312006E-2</v>
      </c>
      <c r="F22" s="358">
        <v>1.3732261881990409E-2</v>
      </c>
      <c r="G22" s="555">
        <v>0</v>
      </c>
      <c r="H22" s="358">
        <v>7.5965704028032053E-3</v>
      </c>
      <c r="I22" s="1090">
        <v>3.8859379368185627E-2</v>
      </c>
      <c r="J22" s="1089">
        <v>0.22365110427732737</v>
      </c>
      <c r="K22" s="555">
        <v>1</v>
      </c>
    </row>
    <row r="23" spans="1:11" ht="20" customHeight="1" thickBot="1">
      <c r="A23" s="127" t="s">
        <v>1823</v>
      </c>
      <c r="B23" s="1089">
        <v>0.65516421981382567</v>
      </c>
      <c r="C23" s="555">
        <v>6.8360534005640211E-3</v>
      </c>
      <c r="D23" s="358">
        <v>9.6835033066813084E-3</v>
      </c>
      <c r="E23" s="555">
        <v>6.7817127535007146E-3</v>
      </c>
      <c r="F23" s="358">
        <v>4.4852770086053602E-2</v>
      </c>
      <c r="G23" s="555">
        <v>1.5106699883599346E-3</v>
      </c>
      <c r="H23" s="358">
        <v>7.7598444006402399E-3</v>
      </c>
      <c r="I23" s="1090">
        <v>7.742455393579982E-2</v>
      </c>
      <c r="J23" s="1089">
        <v>0.2674112262503745</v>
      </c>
      <c r="K23" s="555">
        <v>1</v>
      </c>
    </row>
    <row r="24" spans="1:11" ht="20" customHeight="1" thickBot="1">
      <c r="A24" s="127" t="s">
        <v>1824</v>
      </c>
      <c r="B24" s="1089">
        <v>0.72613931923555353</v>
      </c>
      <c r="C24" s="555">
        <v>6.0913775936602427E-3</v>
      </c>
      <c r="D24" s="358">
        <v>8.5508070446216559E-3</v>
      </c>
      <c r="E24" s="555">
        <v>2.8598016871644329E-3</v>
      </c>
      <c r="F24" s="358">
        <v>9.1513653989261853E-3</v>
      </c>
      <c r="G24" s="555">
        <v>1.8016750629135929E-3</v>
      </c>
      <c r="H24" s="358">
        <v>1.1096030546198E-2</v>
      </c>
      <c r="I24" s="1090">
        <v>3.9551057333484109E-2</v>
      </c>
      <c r="J24" s="1089">
        <v>0.23430962343096234</v>
      </c>
      <c r="K24" s="555">
        <v>1</v>
      </c>
    </row>
    <row r="25" spans="1:11" ht="20" customHeight="1" thickBot="1">
      <c r="A25" s="127" t="s">
        <v>1825</v>
      </c>
      <c r="B25" s="1089">
        <v>0.76672528348305169</v>
      </c>
      <c r="C25" s="555">
        <v>9.8486433592245431E-3</v>
      </c>
      <c r="D25" s="358">
        <v>1.713826136252981E-2</v>
      </c>
      <c r="E25" s="555">
        <v>6.4426166531066321E-3</v>
      </c>
      <c r="F25" s="358">
        <v>1.3957500972954088E-2</v>
      </c>
      <c r="G25" s="555">
        <v>3.3429521374860986E-3</v>
      </c>
      <c r="H25" s="358">
        <v>5.109040059176867E-3</v>
      </c>
      <c r="I25" s="1090">
        <v>5.5839014544478038E-2</v>
      </c>
      <c r="J25" s="1089">
        <v>0.17744436455617252</v>
      </c>
      <c r="K25" s="555">
        <v>1</v>
      </c>
    </row>
    <row r="26" spans="1:11" ht="20" customHeight="1" thickBot="1">
      <c r="A26" s="127" t="s">
        <v>1826</v>
      </c>
      <c r="B26" s="1089">
        <v>0.5905693384223919</v>
      </c>
      <c r="C26" s="555">
        <v>1.2576345943247335E-2</v>
      </c>
      <c r="D26" s="358">
        <v>1.0779725094212001E-2</v>
      </c>
      <c r="E26" s="555">
        <v>5.9061329060241998E-3</v>
      </c>
      <c r="F26" s="358">
        <v>2.1827910775061465E-2</v>
      </c>
      <c r="G26" s="555">
        <v>4.7083856733339778E-3</v>
      </c>
      <c r="H26" s="358">
        <v>1.7615144646288959E-2</v>
      </c>
      <c r="I26" s="1090">
        <v>7.3413645038167941E-2</v>
      </c>
      <c r="J26" s="1089">
        <v>0.33601701653944022</v>
      </c>
      <c r="K26" s="555">
        <v>1</v>
      </c>
    </row>
    <row r="27" spans="1:11" ht="20" customHeight="1" thickBot="1">
      <c r="A27" s="127" t="s">
        <v>1827</v>
      </c>
      <c r="B27" s="1089">
        <v>0.78562965320883515</v>
      </c>
      <c r="C27" s="555">
        <v>8.8015045094644948E-3</v>
      </c>
      <c r="D27" s="358">
        <v>4.7360476646166084E-2</v>
      </c>
      <c r="E27" s="555">
        <v>1.0496204135510452E-2</v>
      </c>
      <c r="F27" s="358">
        <v>2.5548052427058428E-2</v>
      </c>
      <c r="G27" s="555">
        <v>3.7538507845749185E-3</v>
      </c>
      <c r="H27" s="358">
        <v>1.9607492447585497E-2</v>
      </c>
      <c r="I27" s="1090">
        <v>0.11556758095035988</v>
      </c>
      <c r="J27" s="1089">
        <v>9.8802765840804996E-2</v>
      </c>
      <c r="K27" s="555">
        <v>1</v>
      </c>
    </row>
    <row r="28" spans="1:11" ht="20" customHeight="1" thickBot="1">
      <c r="A28" s="127" t="s">
        <v>1828</v>
      </c>
      <c r="B28" s="1089">
        <v>0.64575632565222674</v>
      </c>
      <c r="C28" s="555">
        <v>1.7866397293730376E-2</v>
      </c>
      <c r="D28" s="358">
        <v>7.7641717555368195E-2</v>
      </c>
      <c r="E28" s="555">
        <v>3.0902465677429415E-2</v>
      </c>
      <c r="F28" s="358">
        <v>4.5247960572883932E-2</v>
      </c>
      <c r="G28" s="555">
        <v>4.8958002356191141E-3</v>
      </c>
      <c r="H28" s="358">
        <v>3.2000929028957625E-2</v>
      </c>
      <c r="I28" s="1090">
        <v>0.20855527036398866</v>
      </c>
      <c r="J28" s="1089">
        <v>0.1456884039837846</v>
      </c>
      <c r="K28" s="555">
        <v>1</v>
      </c>
    </row>
    <row r="29" spans="1:11" ht="20" customHeight="1" thickBot="1">
      <c r="A29" s="127" t="s">
        <v>1829</v>
      </c>
      <c r="B29" s="1089">
        <v>0.85632716560193312</v>
      </c>
      <c r="C29" s="555">
        <v>6.3777825864682726E-3</v>
      </c>
      <c r="D29" s="358">
        <v>5.4556124394010919E-2</v>
      </c>
      <c r="E29" s="555">
        <v>8.7336917213114325E-3</v>
      </c>
      <c r="F29" s="358">
        <v>1.1173740468113279E-2</v>
      </c>
      <c r="G29" s="555">
        <v>7.9427793688998001E-3</v>
      </c>
      <c r="H29" s="358">
        <v>5.5027306220979547E-3</v>
      </c>
      <c r="I29" s="1090">
        <v>9.4286849160901659E-2</v>
      </c>
      <c r="J29" s="1089">
        <v>4.9385985237165274E-2</v>
      </c>
      <c r="K29" s="555">
        <v>1</v>
      </c>
    </row>
    <row r="30" spans="1:11" ht="20" customHeight="1" thickBot="1">
      <c r="A30" s="127" t="s">
        <v>1830</v>
      </c>
      <c r="B30" s="1089">
        <v>0.80454469226899217</v>
      </c>
      <c r="C30" s="555">
        <v>1.3307946343747604E-2</v>
      </c>
      <c r="D30" s="358">
        <v>4.2925205653449719E-2</v>
      </c>
      <c r="E30" s="555">
        <v>1.4214019286300634E-2</v>
      </c>
      <c r="F30" s="358">
        <v>3.1854126886629898E-2</v>
      </c>
      <c r="G30" s="555">
        <v>6.7389175102381483E-3</v>
      </c>
      <c r="H30" s="358">
        <v>2.7691854306776929E-2</v>
      </c>
      <c r="I30" s="1090">
        <v>0.13673206998714293</v>
      </c>
      <c r="J30" s="1089">
        <v>5.8695287606909272E-2</v>
      </c>
      <c r="K30" s="555">
        <v>1</v>
      </c>
    </row>
    <row r="31" spans="1:11" ht="20" customHeight="1" thickBot="1">
      <c r="A31" s="127" t="s">
        <v>1831</v>
      </c>
      <c r="B31" s="1089">
        <v>0.79839541139803039</v>
      </c>
      <c r="C31" s="555">
        <v>1.1710042974168151E-2</v>
      </c>
      <c r="D31" s="358">
        <v>6.5030645570685594E-2</v>
      </c>
      <c r="E31" s="555">
        <v>1.866697593135452E-2</v>
      </c>
      <c r="F31" s="358">
        <v>3.0365106349089135E-2</v>
      </c>
      <c r="G31" s="555">
        <v>3.3831660271248782E-3</v>
      </c>
      <c r="H31" s="358">
        <v>1.6975392917792084E-2</v>
      </c>
      <c r="I31" s="1090">
        <v>0.14613132977021437</v>
      </c>
      <c r="J31" s="1089">
        <v>5.5473258831755211E-2</v>
      </c>
      <c r="K31" s="555">
        <v>1</v>
      </c>
    </row>
    <row r="32" spans="1:11" ht="20" customHeight="1" thickBot="1">
      <c r="A32" s="128" t="s">
        <v>1832</v>
      </c>
      <c r="B32" s="1089">
        <v>0.75532636721400459</v>
      </c>
      <c r="C32" s="555">
        <v>7.0627740599383676E-3</v>
      </c>
      <c r="D32" s="358">
        <v>3.7311422559068351E-2</v>
      </c>
      <c r="E32" s="555">
        <v>1.8976746464076828E-2</v>
      </c>
      <c r="F32" s="358">
        <v>4.7299183855950895E-2</v>
      </c>
      <c r="G32" s="555">
        <v>8.4182559502295699E-3</v>
      </c>
      <c r="H32" s="358">
        <v>3.35303414966771E-2</v>
      </c>
      <c r="I32" s="1090">
        <v>0.1525987243859411</v>
      </c>
      <c r="J32" s="1089">
        <v>9.2074908400054278E-2</v>
      </c>
      <c r="K32" s="555">
        <v>1</v>
      </c>
    </row>
    <row r="33" spans="1:11" ht="30" customHeight="1" thickBot="1">
      <c r="A33" s="572" t="s">
        <v>628</v>
      </c>
      <c r="B33" s="1091">
        <v>0.73190824945317734</v>
      </c>
      <c r="C33" s="557">
        <v>9.8139907839916753E-3</v>
      </c>
      <c r="D33" s="1091">
        <v>3.2349587873453281E-2</v>
      </c>
      <c r="E33" s="557">
        <v>1.1283566524782202E-2</v>
      </c>
      <c r="F33" s="1091">
        <v>2.7292621471190791E-2</v>
      </c>
      <c r="G33" s="557">
        <v>4.4746023390307664E-3</v>
      </c>
      <c r="H33" s="1091">
        <v>1.2309536426793329E-2</v>
      </c>
      <c r="I33" s="557">
        <v>9.7523905419242038E-2</v>
      </c>
      <c r="J33" s="1091">
        <v>0.17056852546679774</v>
      </c>
      <c r="K33" s="406">
        <v>1</v>
      </c>
    </row>
    <row r="34" spans="1:11" ht="20" customHeight="1">
      <c r="A34" s="380" t="s">
        <v>1069</v>
      </c>
      <c r="B34" s="1092"/>
      <c r="C34" s="948"/>
      <c r="D34" s="948"/>
      <c r="E34" s="948"/>
      <c r="F34" s="948"/>
      <c r="G34" s="948"/>
      <c r="H34" s="948"/>
      <c r="I34" s="1092"/>
      <c r="J34" s="1093"/>
    </row>
    <row r="35" spans="1:11" ht="13.5" customHeight="1">
      <c r="A35" s="300"/>
      <c r="B35" s="422"/>
      <c r="C35" s="348"/>
      <c r="D35" s="348"/>
      <c r="E35" s="348"/>
      <c r="F35" s="348"/>
      <c r="G35" s="348"/>
      <c r="H35" s="348"/>
      <c r="I35" s="422"/>
      <c r="J35" s="1094"/>
    </row>
    <row r="36" spans="1:11" ht="12" customHeight="1">
      <c r="A36" s="3" t="s">
        <v>1975</v>
      </c>
    </row>
    <row r="37" spans="1:11" ht="12" customHeight="1"/>
    <row r="38" spans="1:11" ht="12" customHeight="1"/>
    <row r="39" spans="1:11">
      <c r="A39" s="2" t="s">
        <v>634</v>
      </c>
    </row>
  </sheetData>
  <mergeCells count="1">
    <mergeCell ref="C3:I3"/>
  </mergeCells>
  <phoneticPr fontId="0" type="noConversion"/>
  <pageMargins left="0.56000000000000005" right="0.55000000000000004" top="0.81" bottom="0.49" header="0.38" footer="0.4921259845"/>
  <pageSetup paperSize="9" scale="63" orientation="portrait" horizontalDpi="1200" verticalDpi="1200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D5C2-9DA5-1A40-A458-4D7F10E26D18}">
  <sheetPr>
    <pageSetUpPr fitToPage="1"/>
  </sheetPr>
  <dimension ref="A1:F24"/>
  <sheetViews>
    <sheetView zoomScale="75" workbookViewId="0">
      <selection activeCell="B18" sqref="B18"/>
    </sheetView>
  </sheetViews>
  <sheetFormatPr baseColWidth="10" defaultColWidth="11.3984375" defaultRowHeight="13"/>
  <cols>
    <col min="1" max="1" width="18.19921875" style="2" customWidth="1"/>
    <col min="2" max="6" width="14.796875" style="2" customWidth="1"/>
    <col min="7" max="7" width="17.796875" style="2" customWidth="1"/>
    <col min="8" max="16384" width="11.3984375" style="2"/>
  </cols>
  <sheetData>
    <row r="1" spans="1:6" s="1" customFormat="1" ht="14" customHeight="1"/>
    <row r="2" spans="1:6" s="1" customFormat="1" ht="39.75" customHeight="1">
      <c r="A2" s="1800" t="s">
        <v>1131</v>
      </c>
      <c r="B2" s="1804"/>
      <c r="C2" s="1804"/>
      <c r="D2" s="1804"/>
      <c r="E2" s="1804"/>
      <c r="F2" s="56">
        <v>2007</v>
      </c>
    </row>
    <row r="3" spans="1:6" ht="24" customHeight="1">
      <c r="A3" s="110" t="s">
        <v>517</v>
      </c>
      <c r="B3" s="111" t="s">
        <v>832</v>
      </c>
      <c r="C3" s="112" t="s">
        <v>833</v>
      </c>
      <c r="D3" s="111" t="s">
        <v>834</v>
      </c>
      <c r="E3" s="276" t="s">
        <v>835</v>
      </c>
      <c r="F3" s="111" t="s">
        <v>629</v>
      </c>
    </row>
    <row r="4" spans="1:6" ht="15" customHeight="1">
      <c r="A4" s="308"/>
      <c r="B4" s="114" t="s">
        <v>836</v>
      </c>
      <c r="C4" s="115" t="s">
        <v>837</v>
      </c>
      <c r="D4" s="114" t="s">
        <v>838</v>
      </c>
      <c r="E4" s="279" t="s">
        <v>839</v>
      </c>
      <c r="F4" s="114"/>
    </row>
    <row r="5" spans="1:6" ht="15" customHeight="1">
      <c r="A5" s="308"/>
      <c r="B5" s="114" t="s">
        <v>840</v>
      </c>
      <c r="C5" s="115" t="s">
        <v>841</v>
      </c>
      <c r="D5" s="114"/>
      <c r="E5" s="279" t="s">
        <v>842</v>
      </c>
      <c r="F5" s="114"/>
    </row>
    <row r="6" spans="1:6" ht="24" customHeight="1">
      <c r="A6" s="309"/>
      <c r="B6" s="120"/>
      <c r="C6" s="119"/>
      <c r="D6" s="120"/>
      <c r="E6" s="282" t="s">
        <v>843</v>
      </c>
      <c r="F6" s="120"/>
    </row>
    <row r="7" spans="1:6" ht="3" customHeight="1" thickBot="1">
      <c r="A7" s="310">
        <v>1996</v>
      </c>
      <c r="B7" s="586">
        <v>0.65876331560467527</v>
      </c>
      <c r="C7" s="143">
        <v>0.32046794094697328</v>
      </c>
      <c r="D7" s="586">
        <v>3.8678181352691143E-3</v>
      </c>
      <c r="E7" s="143">
        <v>1.6900925313082283E-2</v>
      </c>
      <c r="F7" s="538">
        <v>1</v>
      </c>
    </row>
    <row r="8" spans="1:6" ht="20" customHeight="1" thickBot="1">
      <c r="A8" s="312">
        <v>1997</v>
      </c>
      <c r="B8" s="416">
        <v>0.56603802874783171</v>
      </c>
      <c r="C8" s="145">
        <v>0.37927068021935451</v>
      </c>
      <c r="D8" s="416">
        <v>1.5931130501794573E-3</v>
      </c>
      <c r="E8" s="145">
        <v>5.3098177982634318E-2</v>
      </c>
      <c r="F8" s="416">
        <v>1</v>
      </c>
    </row>
    <row r="9" spans="1:6" ht="20" customHeight="1" thickBot="1">
      <c r="A9" s="312">
        <v>1998</v>
      </c>
      <c r="B9" s="416">
        <v>0.55407462651768902</v>
      </c>
      <c r="C9" s="145">
        <v>0.37613702943863803</v>
      </c>
      <c r="D9" s="416">
        <v>1.6317626996539885E-3</v>
      </c>
      <c r="E9" s="145">
        <v>6.8156581344018974E-2</v>
      </c>
      <c r="F9" s="416">
        <v>1</v>
      </c>
    </row>
    <row r="10" spans="1:6" ht="20" customHeight="1" thickBot="1">
      <c r="A10" s="312">
        <v>1999</v>
      </c>
      <c r="B10" s="416">
        <v>0.55029591824658086</v>
      </c>
      <c r="C10" s="145">
        <v>0.37371902477852575</v>
      </c>
      <c r="D10" s="416">
        <v>1.4116771489681326E-3</v>
      </c>
      <c r="E10" s="145">
        <v>7.4573379825925268E-2</v>
      </c>
      <c r="F10" s="416">
        <v>1</v>
      </c>
    </row>
    <row r="11" spans="1:6" ht="20" customHeight="1" thickBot="1">
      <c r="A11" s="312">
        <v>2000</v>
      </c>
      <c r="B11" s="416">
        <v>0.53960650848618019</v>
      </c>
      <c r="C11" s="145">
        <v>0.37954002078394233</v>
      </c>
      <c r="D11" s="416">
        <v>1.3498693126728527E-3</v>
      </c>
      <c r="E11" s="145">
        <v>7.9503601417204556E-2</v>
      </c>
      <c r="F11" s="416">
        <v>1</v>
      </c>
    </row>
    <row r="12" spans="1:6" ht="20" customHeight="1" thickBot="1">
      <c r="A12" s="312">
        <v>2001</v>
      </c>
      <c r="B12" s="416">
        <v>0.53026073148068087</v>
      </c>
      <c r="C12" s="145">
        <v>0.38706527964277321</v>
      </c>
      <c r="D12" s="416">
        <v>1.2758685733806091E-3</v>
      </c>
      <c r="E12" s="145">
        <v>8.1398120303165275E-2</v>
      </c>
      <c r="F12" s="416">
        <v>1</v>
      </c>
    </row>
    <row r="13" spans="1:6" ht="20" customHeight="1" thickBot="1">
      <c r="A13" s="312">
        <v>2002</v>
      </c>
      <c r="B13" s="416">
        <v>0.51807119228357335</v>
      </c>
      <c r="C13" s="145">
        <v>0.40503766289618737</v>
      </c>
      <c r="D13" s="416">
        <v>1.2005111854079802E-3</v>
      </c>
      <c r="E13" s="145">
        <v>7.5690633634831264E-2</v>
      </c>
      <c r="F13" s="416">
        <v>1</v>
      </c>
    </row>
    <row r="14" spans="1:6" ht="20" customHeight="1" thickBot="1">
      <c r="A14" s="312">
        <v>2003</v>
      </c>
      <c r="B14" s="416">
        <v>0.49698046363760801</v>
      </c>
      <c r="C14" s="145">
        <v>0.42026484379945434</v>
      </c>
      <c r="D14" s="416">
        <v>1.1249544851287428E-3</v>
      </c>
      <c r="E14" s="145">
        <v>8.1629738077808919E-2</v>
      </c>
      <c r="F14" s="416">
        <v>1</v>
      </c>
    </row>
    <row r="15" spans="1:6" ht="20" customHeight="1" thickBot="1">
      <c r="A15" s="312">
        <v>2004</v>
      </c>
      <c r="B15" s="416">
        <v>0.49047166472550979</v>
      </c>
      <c r="C15" s="145">
        <v>0.40765951470988981</v>
      </c>
      <c r="D15" s="416">
        <v>1.0913784873100634E-3</v>
      </c>
      <c r="E15" s="145">
        <v>0.10077744207729029</v>
      </c>
      <c r="F15" s="416">
        <v>1</v>
      </c>
    </row>
    <row r="16" spans="1:6" ht="20" customHeight="1" thickBot="1">
      <c r="A16" s="312">
        <v>2005</v>
      </c>
      <c r="B16" s="416">
        <v>0.48342027022950401</v>
      </c>
      <c r="C16" s="145">
        <v>0.39405816872752136</v>
      </c>
      <c r="D16" s="416">
        <v>1.0338574574561153E-3</v>
      </c>
      <c r="E16" s="145">
        <v>0.12148770358551848</v>
      </c>
      <c r="F16" s="416">
        <v>1</v>
      </c>
    </row>
    <row r="17" spans="1:6" ht="20" customHeight="1" thickBot="1">
      <c r="A17" s="312">
        <v>2006</v>
      </c>
      <c r="B17" s="416">
        <v>0.44702895553739602</v>
      </c>
      <c r="C17" s="145">
        <v>0.37128368860925909</v>
      </c>
      <c r="D17" s="416">
        <v>9.6169919727420879E-4</v>
      </c>
      <c r="E17" s="145">
        <v>0.18072565665607065</v>
      </c>
      <c r="F17" s="416">
        <v>1</v>
      </c>
    </row>
    <row r="18" spans="1:6" ht="30" customHeight="1" thickBot="1">
      <c r="A18" s="396">
        <v>2007</v>
      </c>
      <c r="B18" s="587">
        <v>0.41564948320815842</v>
      </c>
      <c r="C18" s="588">
        <v>0.34046536341190836</v>
      </c>
      <c r="D18" s="587">
        <v>9.1103071716316941E-4</v>
      </c>
      <c r="E18" s="588">
        <v>0.24297412266277002</v>
      </c>
      <c r="F18" s="587">
        <v>1</v>
      </c>
    </row>
    <row r="19" spans="1:6" ht="19.5" customHeight="1">
      <c r="A19" s="133" t="s">
        <v>1256</v>
      </c>
      <c r="B19" s="133"/>
      <c r="C19" s="133"/>
      <c r="D19" s="133"/>
      <c r="E19" s="133"/>
      <c r="F19" s="133"/>
    </row>
    <row r="21" spans="1:6">
      <c r="A21" s="2" t="s">
        <v>1132</v>
      </c>
    </row>
    <row r="24" spans="1:6">
      <c r="A24" s="2" t="s">
        <v>634</v>
      </c>
    </row>
  </sheetData>
  <mergeCells count="1">
    <mergeCell ref="A2:E2"/>
  </mergeCells>
  <phoneticPr fontId="0" type="noConversion"/>
  <pageMargins left="0.65" right="0.72" top="1.05" bottom="0.49" header="0.6" footer="0.4921259845"/>
  <pageSetup paperSize="9" scale="82" orientation="portrait" horizontalDpi="4294967292" verticalDpi="4294967292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B453-C851-3C44-B6A3-C21F0FBBC1D5}">
  <sheetPr>
    <pageSetUpPr fitToPage="1"/>
  </sheetPr>
  <dimension ref="A1:G19"/>
  <sheetViews>
    <sheetView zoomScale="75" workbookViewId="0">
      <selection activeCell="G11" sqref="G11"/>
    </sheetView>
  </sheetViews>
  <sheetFormatPr baseColWidth="10" defaultColWidth="11.3984375" defaultRowHeight="13"/>
  <cols>
    <col min="1" max="1" width="19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414" customWidth="1"/>
    <col min="6" max="6" width="25.19921875" style="414" customWidth="1"/>
    <col min="7" max="7" width="18.19921875" style="2" customWidth="1"/>
    <col min="8" max="16384" width="11.3984375" style="2"/>
  </cols>
  <sheetData>
    <row r="1" spans="1:7" ht="19.5" customHeight="1">
      <c r="A1" s="56" t="s">
        <v>1959</v>
      </c>
      <c r="B1" s="518"/>
      <c r="C1" s="518"/>
      <c r="D1" s="518"/>
      <c r="E1" s="518"/>
      <c r="F1" s="518"/>
    </row>
    <row r="2" spans="1:7" ht="10.5" customHeight="1">
      <c r="A2" s="517"/>
      <c r="B2" s="518"/>
      <c r="C2" s="518"/>
      <c r="D2" s="518"/>
      <c r="E2" s="518"/>
      <c r="F2" s="518"/>
    </row>
    <row r="3" spans="1:7" ht="39" customHeight="1">
      <c r="A3" s="1827" t="s">
        <v>1133</v>
      </c>
      <c r="B3" s="1803"/>
      <c r="C3" s="1803"/>
      <c r="D3" s="1803"/>
      <c r="E3" s="1803"/>
      <c r="F3" s="589"/>
    </row>
    <row r="4" spans="1:7" ht="12.75" customHeight="1">
      <c r="A4" s="590"/>
      <c r="B4" s="353"/>
      <c r="C4" s="353"/>
      <c r="D4" s="353"/>
      <c r="E4" s="353"/>
      <c r="F4" s="591"/>
    </row>
    <row r="5" spans="1:7" ht="24" customHeight="1">
      <c r="A5" s="519" t="s">
        <v>2283</v>
      </c>
      <c r="B5" s="385" t="s">
        <v>428</v>
      </c>
      <c r="C5" s="340" t="s">
        <v>429</v>
      </c>
      <c r="D5" s="385" t="s">
        <v>629</v>
      </c>
      <c r="E5" s="386" t="s">
        <v>1134</v>
      </c>
      <c r="F5" s="299"/>
    </row>
    <row r="6" spans="1:7" ht="15" customHeight="1">
      <c r="A6" s="308"/>
      <c r="B6" s="114"/>
      <c r="C6" s="115"/>
      <c r="D6" s="140"/>
      <c r="E6" s="592" t="s">
        <v>402</v>
      </c>
      <c r="F6" s="299"/>
    </row>
    <row r="7" spans="1:7" ht="15" customHeight="1">
      <c r="A7" s="113"/>
      <c r="B7" s="114"/>
      <c r="C7" s="115"/>
      <c r="D7" s="114"/>
      <c r="E7" s="592"/>
      <c r="F7" s="299"/>
    </row>
    <row r="8" spans="1:7" ht="24" customHeight="1">
      <c r="A8" s="506"/>
      <c r="B8" s="535"/>
      <c r="C8" s="536"/>
      <c r="D8" s="535"/>
      <c r="E8" s="395"/>
      <c r="F8" s="299"/>
    </row>
    <row r="9" spans="1:7" ht="45" customHeight="1" thickBot="1">
      <c r="A9" s="593" t="s">
        <v>1798</v>
      </c>
      <c r="B9" s="594">
        <v>754663</v>
      </c>
      <c r="C9" s="595">
        <v>717528</v>
      </c>
      <c r="D9" s="594">
        <v>1472191</v>
      </c>
      <c r="E9" s="596">
        <v>0.19342348255840841</v>
      </c>
      <c r="F9" s="299"/>
    </row>
    <row r="10" spans="1:7" ht="34.5" customHeight="1" thickBot="1">
      <c r="A10" s="593" t="s">
        <v>1135</v>
      </c>
      <c r="B10" s="594">
        <v>325060</v>
      </c>
      <c r="C10" s="595">
        <v>315695</v>
      </c>
      <c r="D10" s="594">
        <v>640755</v>
      </c>
      <c r="E10" s="596">
        <v>8.4185451185826418E-2</v>
      </c>
      <c r="F10" s="299"/>
    </row>
    <row r="11" spans="1:7" ht="32.25" customHeight="1" thickBot="1">
      <c r="A11" s="593" t="s">
        <v>1800</v>
      </c>
      <c r="B11" s="594">
        <v>2658071</v>
      </c>
      <c r="C11" s="595">
        <v>2840215</v>
      </c>
      <c r="D11" s="594">
        <v>5498286</v>
      </c>
      <c r="E11" s="596">
        <v>0.72239106625576521</v>
      </c>
      <c r="F11" s="299"/>
    </row>
    <row r="12" spans="1:7" s="285" customFormat="1" ht="36" customHeight="1" thickBot="1">
      <c r="A12" s="597" t="s">
        <v>629</v>
      </c>
      <c r="B12" s="347">
        <v>3737794</v>
      </c>
      <c r="C12" s="346">
        <v>3873438</v>
      </c>
      <c r="D12" s="347">
        <v>7611232</v>
      </c>
      <c r="E12" s="598">
        <v>1</v>
      </c>
      <c r="F12" s="299"/>
    </row>
    <row r="13" spans="1:7" ht="19.5" customHeight="1">
      <c r="B13" s="133"/>
      <c r="C13" s="133"/>
      <c r="D13" s="133"/>
      <c r="E13" s="599"/>
      <c r="F13" s="600"/>
    </row>
    <row r="14" spans="1:7">
      <c r="A14" s="3" t="s">
        <v>1256</v>
      </c>
      <c r="D14"/>
      <c r="E14"/>
      <c r="F14"/>
      <c r="G14"/>
    </row>
    <row r="15" spans="1:7">
      <c r="D15"/>
      <c r="E15"/>
      <c r="F15"/>
      <c r="G15"/>
    </row>
    <row r="16" spans="1:7">
      <c r="A16" s="2" t="s">
        <v>1136</v>
      </c>
      <c r="D16"/>
      <c r="E16"/>
      <c r="F16"/>
      <c r="G16"/>
    </row>
    <row r="19" spans="1:1">
      <c r="A19" s="300" t="s">
        <v>634</v>
      </c>
    </row>
  </sheetData>
  <mergeCells count="1">
    <mergeCell ref="A3:E3"/>
  </mergeCells>
  <phoneticPr fontId="0" type="noConversion"/>
  <pageMargins left="0.67" right="0.67" top="0.87" bottom="0.49" header="0.56000000000000005" footer="0.4921259845"/>
  <pageSetup paperSize="9" scale="78" orientation="portrait" horizontalDpi="1200" verticalDpi="1200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AE06-55EF-A34D-B340-5A4C1B2FBDD7}">
  <sheetPr>
    <pageSetUpPr fitToPage="1"/>
  </sheetPr>
  <dimension ref="A1:G38"/>
  <sheetViews>
    <sheetView zoomScale="75" workbookViewId="0">
      <selection activeCell="A2" sqref="A2"/>
    </sheetView>
  </sheetViews>
  <sheetFormatPr baseColWidth="10" defaultColWidth="11.3984375" defaultRowHeight="13"/>
  <cols>
    <col min="1" max="1" width="19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414" customWidth="1"/>
    <col min="6" max="6" width="19.796875" style="414" customWidth="1"/>
    <col min="7" max="7" width="18.19921875" style="2" customWidth="1"/>
    <col min="8" max="16384" width="11.3984375" style="2"/>
  </cols>
  <sheetData>
    <row r="1" spans="1:6" ht="54.75" customHeight="1">
      <c r="A1" s="1802" t="s">
        <v>1137</v>
      </c>
      <c r="B1" s="1815"/>
      <c r="C1" s="1815"/>
      <c r="D1" s="1815"/>
      <c r="E1" s="321">
        <v>2007</v>
      </c>
      <c r="F1" s="518"/>
    </row>
    <row r="2" spans="1:6" ht="19.5" customHeight="1">
      <c r="A2" s="517"/>
      <c r="B2" s="518"/>
      <c r="C2" s="518"/>
      <c r="D2" s="518"/>
      <c r="E2" s="518"/>
      <c r="F2" s="518"/>
    </row>
    <row r="3" spans="1:6" ht="39.75" customHeight="1">
      <c r="A3" s="1829" t="s">
        <v>1145</v>
      </c>
      <c r="B3" s="1803"/>
      <c r="C3" s="1803"/>
      <c r="D3" s="1803"/>
      <c r="E3" s="1803"/>
      <c r="F3" s="589"/>
    </row>
    <row r="4" spans="1:6" ht="12.75" customHeight="1">
      <c r="A4" s="590"/>
      <c r="B4" s="353"/>
      <c r="C4" s="353"/>
      <c r="D4" s="353"/>
      <c r="E4" s="353"/>
      <c r="F4" s="591"/>
    </row>
    <row r="5" spans="1:6" ht="24" customHeight="1">
      <c r="A5" s="519" t="s">
        <v>2283</v>
      </c>
      <c r="B5" s="385" t="s">
        <v>428</v>
      </c>
      <c r="C5" s="340" t="s">
        <v>429</v>
      </c>
      <c r="D5" s="385" t="s">
        <v>629</v>
      </c>
      <c r="E5" s="386" t="s">
        <v>1134</v>
      </c>
      <c r="F5" s="299"/>
    </row>
    <row r="6" spans="1:6" ht="15" customHeight="1">
      <c r="A6" s="308"/>
      <c r="B6" s="114"/>
      <c r="C6" s="115"/>
      <c r="D6" s="140"/>
      <c r="E6" s="592" t="s">
        <v>402</v>
      </c>
      <c r="F6" s="299"/>
    </row>
    <row r="7" spans="1:6" ht="15" customHeight="1">
      <c r="A7" s="113"/>
      <c r="B7" s="114"/>
      <c r="C7" s="115"/>
      <c r="D7" s="114"/>
      <c r="E7" s="592"/>
      <c r="F7" s="299"/>
    </row>
    <row r="8" spans="1:6" ht="24" customHeight="1">
      <c r="A8" s="506"/>
      <c r="B8" s="535"/>
      <c r="C8" s="536"/>
      <c r="D8" s="535"/>
      <c r="E8" s="395"/>
      <c r="F8" s="299"/>
    </row>
    <row r="9" spans="1:6" ht="45" customHeight="1" thickBot="1">
      <c r="A9" s="593" t="s">
        <v>1798</v>
      </c>
      <c r="B9" s="594">
        <v>774311</v>
      </c>
      <c r="C9" s="595">
        <v>736118</v>
      </c>
      <c r="D9" s="594">
        <v>1510429</v>
      </c>
      <c r="E9" s="596">
        <v>0.20038633063507741</v>
      </c>
      <c r="F9" s="299"/>
    </row>
    <row r="10" spans="1:6" ht="34.5" customHeight="1" thickBot="1">
      <c r="A10" s="593" t="s">
        <v>1135</v>
      </c>
      <c r="B10" s="594">
        <v>315877</v>
      </c>
      <c r="C10" s="595">
        <v>312929</v>
      </c>
      <c r="D10" s="594">
        <v>628806</v>
      </c>
      <c r="E10" s="596">
        <v>8.3422740838080101E-2</v>
      </c>
      <c r="F10" s="299"/>
    </row>
    <row r="11" spans="1:6" ht="32.25" customHeight="1" thickBot="1">
      <c r="A11" s="593" t="s">
        <v>1800</v>
      </c>
      <c r="B11" s="594">
        <v>2606325</v>
      </c>
      <c r="C11" s="595">
        <v>2792025</v>
      </c>
      <c r="D11" s="594">
        <v>5398349</v>
      </c>
      <c r="E11" s="596">
        <v>0.71619079585835521</v>
      </c>
      <c r="F11" s="299"/>
    </row>
    <row r="12" spans="1:6" s="285" customFormat="1" ht="36" customHeight="1" thickBot="1">
      <c r="A12" s="597" t="s">
        <v>629</v>
      </c>
      <c r="B12" s="347">
        <v>3696513</v>
      </c>
      <c r="C12" s="346">
        <v>3841071</v>
      </c>
      <c r="D12" s="347">
        <v>7537585</v>
      </c>
      <c r="E12" s="598">
        <v>1</v>
      </c>
      <c r="F12" s="299"/>
    </row>
    <row r="13" spans="1:6" ht="17.25" customHeight="1">
      <c r="B13" s="133"/>
      <c r="C13" s="133"/>
      <c r="D13" s="133"/>
      <c r="E13" s="599"/>
      <c r="F13" s="600"/>
    </row>
    <row r="14" spans="1:6" ht="19.5" customHeight="1" thickBot="1">
      <c r="A14" s="601" t="s">
        <v>1138</v>
      </c>
      <c r="B14" s="602">
        <v>39.18</v>
      </c>
      <c r="C14" s="603">
        <v>41.65</v>
      </c>
      <c r="D14" s="602">
        <v>40.44</v>
      </c>
      <c r="E14" s="604" t="s">
        <v>59</v>
      </c>
      <c r="F14" s="600"/>
    </row>
    <row r="15" spans="1:6" ht="17.25" customHeight="1">
      <c r="B15" s="133"/>
      <c r="C15" s="133"/>
      <c r="D15" s="133"/>
      <c r="E15" s="599"/>
      <c r="F15" s="600"/>
    </row>
    <row r="16" spans="1:6" ht="19.5" customHeight="1" thickBot="1">
      <c r="A16" s="605" t="s">
        <v>1139</v>
      </c>
      <c r="B16" s="606">
        <v>25599</v>
      </c>
      <c r="C16" s="607">
        <v>28018</v>
      </c>
      <c r="D16" s="606">
        <v>53617</v>
      </c>
      <c r="E16" s="608">
        <v>7.1132862846654465E-3</v>
      </c>
      <c r="F16" s="600"/>
    </row>
    <row r="17" spans="1:7" ht="46.5" customHeight="1">
      <c r="B17" s="3"/>
      <c r="C17" s="3"/>
      <c r="D17" s="3"/>
      <c r="E17" s="600"/>
      <c r="F17" s="600"/>
    </row>
    <row r="18" spans="1:7" ht="38.25" customHeight="1">
      <c r="A18" s="1828" t="s">
        <v>1146</v>
      </c>
      <c r="B18" s="1803"/>
      <c r="C18" s="1803"/>
      <c r="D18" s="1803"/>
      <c r="E18" s="1803"/>
      <c r="F18" s="589"/>
    </row>
    <row r="19" spans="1:7" ht="15" customHeight="1">
      <c r="A19" s="609"/>
      <c r="B19" s="518"/>
      <c r="C19" s="518"/>
      <c r="D19" s="518"/>
      <c r="E19" s="518"/>
      <c r="F19" s="518"/>
    </row>
    <row r="20" spans="1:7" ht="38.25" customHeight="1">
      <c r="A20" s="611"/>
      <c r="B20" s="612" t="s">
        <v>891</v>
      </c>
      <c r="C20" s="613" t="s">
        <v>892</v>
      </c>
      <c r="D20" s="612" t="s">
        <v>1798</v>
      </c>
      <c r="E20" s="613" t="s">
        <v>629</v>
      </c>
    </row>
    <row r="21" spans="1:7" ht="39" customHeight="1" thickBot="1">
      <c r="A21" s="614" t="s">
        <v>629</v>
      </c>
      <c r="B21" s="615">
        <v>11353</v>
      </c>
      <c r="C21" s="616">
        <v>7695</v>
      </c>
      <c r="D21" s="615">
        <v>2684</v>
      </c>
      <c r="E21" s="617">
        <v>21731</v>
      </c>
      <c r="F21" s="412"/>
      <c r="G21" s="412"/>
    </row>
    <row r="22" spans="1:7" ht="39.75" customHeight="1">
      <c r="D22"/>
      <c r="E22"/>
      <c r="F22"/>
      <c r="G22"/>
    </row>
    <row r="23" spans="1:7" ht="42" customHeight="1">
      <c r="A23" s="1828" t="s">
        <v>1147</v>
      </c>
      <c r="B23" s="1803"/>
      <c r="C23" s="1803"/>
      <c r="D23" s="1803"/>
      <c r="E23" s="1803"/>
      <c r="F23" s="589"/>
    </row>
    <row r="24" spans="1:7" ht="15" customHeight="1">
      <c r="A24" s="609"/>
      <c r="B24" s="518"/>
      <c r="C24" s="518"/>
      <c r="D24" s="518"/>
      <c r="E24" s="518"/>
      <c r="F24" s="518"/>
    </row>
    <row r="25" spans="1:7" ht="38.25" customHeight="1">
      <c r="A25" s="611"/>
      <c r="B25" s="612" t="s">
        <v>891</v>
      </c>
      <c r="C25" s="613" t="s">
        <v>892</v>
      </c>
      <c r="D25" s="612" t="s">
        <v>1798</v>
      </c>
      <c r="E25" s="613" t="s">
        <v>629</v>
      </c>
    </row>
    <row r="26" spans="1:7" ht="39" customHeight="1" thickBot="1">
      <c r="A26" s="614" t="s">
        <v>629</v>
      </c>
      <c r="B26" s="615">
        <v>8655</v>
      </c>
      <c r="C26" s="616">
        <v>5098</v>
      </c>
      <c r="D26" s="615">
        <v>2360</v>
      </c>
      <c r="E26" s="617">
        <v>16113</v>
      </c>
      <c r="F26" s="412"/>
      <c r="G26" s="412"/>
    </row>
    <row r="27" spans="1:7">
      <c r="D27"/>
      <c r="E27"/>
      <c r="F27"/>
      <c r="G27"/>
    </row>
    <row r="28" spans="1:7">
      <c r="A28" s="3" t="s">
        <v>1256</v>
      </c>
      <c r="D28"/>
      <c r="E28"/>
      <c r="F28"/>
      <c r="G28"/>
    </row>
    <row r="29" spans="1:7">
      <c r="D29"/>
      <c r="E29"/>
      <c r="F29"/>
      <c r="G29"/>
    </row>
    <row r="30" spans="1:7">
      <c r="A30" s="2" t="s">
        <v>1140</v>
      </c>
      <c r="D30"/>
      <c r="E30"/>
      <c r="F30"/>
      <c r="G30"/>
    </row>
    <row r="31" spans="1:7">
      <c r="A31" s="2" t="s">
        <v>1141</v>
      </c>
      <c r="D31"/>
      <c r="E31"/>
      <c r="F31"/>
      <c r="G31"/>
    </row>
    <row r="32" spans="1:7">
      <c r="A32" s="2" t="s">
        <v>1142</v>
      </c>
      <c r="D32"/>
      <c r="E32"/>
      <c r="F32"/>
      <c r="G32"/>
    </row>
    <row r="33" spans="1:7">
      <c r="A33" s="2" t="s">
        <v>1143</v>
      </c>
      <c r="D33"/>
      <c r="E33"/>
      <c r="F33"/>
      <c r="G33"/>
    </row>
    <row r="34" spans="1:7">
      <c r="D34"/>
      <c r="E34"/>
      <c r="F34"/>
      <c r="G34"/>
    </row>
    <row r="35" spans="1:7">
      <c r="A35" s="2" t="s">
        <v>1144</v>
      </c>
      <c r="D35"/>
      <c r="E35"/>
      <c r="F35"/>
      <c r="G35"/>
    </row>
    <row r="38" spans="1:7">
      <c r="A38" s="300" t="s">
        <v>634</v>
      </c>
    </row>
  </sheetData>
  <mergeCells count="4">
    <mergeCell ref="A1:D1"/>
    <mergeCell ref="A18:E18"/>
    <mergeCell ref="A23:E23"/>
    <mergeCell ref="A3:E3"/>
  </mergeCells>
  <phoneticPr fontId="0" type="noConversion"/>
  <pageMargins left="0.57999999999999996" right="0.63" top="0.96" bottom="0.49" header="0.49" footer="0.4921259845"/>
  <pageSetup paperSize="9" scale="81" orientation="portrait" horizontalDpi="1200" verticalDpi="1200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25DC-6C9F-464E-9173-FAEF72FA6D61}">
  <sheetPr>
    <pageSetUpPr fitToPage="1"/>
  </sheetPr>
  <dimension ref="A1:H52"/>
  <sheetViews>
    <sheetView zoomScale="75" workbookViewId="0">
      <selection activeCell="A42" sqref="A42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4" width="16" style="2" customWidth="1"/>
    <col min="5" max="6" width="15.398437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1800" t="s">
        <v>867</v>
      </c>
      <c r="B2" s="1804"/>
      <c r="C2" s="1804"/>
      <c r="D2" s="1804"/>
      <c r="E2" s="1804"/>
      <c r="F2" s="109">
        <v>2007</v>
      </c>
    </row>
    <row r="3" spans="1:8" ht="27" customHeight="1">
      <c r="A3" s="110" t="s">
        <v>1797</v>
      </c>
      <c r="B3" s="111" t="s">
        <v>1798</v>
      </c>
      <c r="C3" s="112" t="s">
        <v>1799</v>
      </c>
      <c r="D3" s="111" t="s">
        <v>1800</v>
      </c>
      <c r="E3" s="112" t="s">
        <v>629</v>
      </c>
      <c r="F3" s="111" t="s">
        <v>1801</v>
      </c>
    </row>
    <row r="4" spans="1:8" ht="15" customHeight="1">
      <c r="A4" s="113"/>
      <c r="B4" s="114"/>
      <c r="C4" s="115" t="s">
        <v>1800</v>
      </c>
      <c r="D4" s="116"/>
      <c r="E4" s="115"/>
      <c r="F4" s="114" t="s">
        <v>1802</v>
      </c>
    </row>
    <row r="5" spans="1:8" ht="15" customHeight="1">
      <c r="A5" s="113"/>
      <c r="B5" s="114" t="s">
        <v>1803</v>
      </c>
      <c r="C5" s="115" t="s">
        <v>1804</v>
      </c>
      <c r="D5" s="114" t="s">
        <v>1805</v>
      </c>
      <c r="E5" s="115"/>
      <c r="F5" s="114" t="s">
        <v>1806</v>
      </c>
    </row>
    <row r="6" spans="1:8" ht="24" customHeight="1">
      <c r="A6" s="117"/>
      <c r="B6" s="118"/>
      <c r="C6" s="117"/>
      <c r="D6" s="118"/>
      <c r="E6" s="119"/>
      <c r="F6" s="120"/>
      <c r="H6" s="121"/>
    </row>
    <row r="7" spans="1:8" ht="30" customHeight="1" thickBot="1">
      <c r="A7" s="122" t="s">
        <v>1807</v>
      </c>
      <c r="B7" s="123">
        <v>240889</v>
      </c>
      <c r="C7" s="124">
        <v>100069</v>
      </c>
      <c r="D7" s="123">
        <v>953240</v>
      </c>
      <c r="E7" s="124">
        <v>1294198</v>
      </c>
      <c r="F7" s="125">
        <v>7.3022129238739242E-3</v>
      </c>
      <c r="H7" s="126"/>
    </row>
    <row r="8" spans="1:8" ht="20" customHeight="1" thickBot="1">
      <c r="A8" s="127" t="s">
        <v>1808</v>
      </c>
      <c r="B8" s="123">
        <v>181381</v>
      </c>
      <c r="C8" s="124">
        <v>78158</v>
      </c>
      <c r="D8" s="123">
        <v>698385</v>
      </c>
      <c r="E8" s="124">
        <v>957924</v>
      </c>
      <c r="F8" s="125">
        <v>-2.1198822033024326E-3</v>
      </c>
      <c r="H8" s="126"/>
    </row>
    <row r="9" spans="1:8" ht="20" customHeight="1" thickBot="1">
      <c r="A9" s="127" t="s">
        <v>1809</v>
      </c>
      <c r="B9" s="123">
        <v>76674</v>
      </c>
      <c r="C9" s="124">
        <v>33302</v>
      </c>
      <c r="D9" s="123">
        <v>252731</v>
      </c>
      <c r="E9" s="124">
        <v>362707</v>
      </c>
      <c r="F9" s="125">
        <v>5.9378865450430713E-3</v>
      </c>
      <c r="H9" s="126"/>
    </row>
    <row r="10" spans="1:8" ht="20" customHeight="1" thickBot="1">
      <c r="A10" s="127" t="s">
        <v>1810</v>
      </c>
      <c r="B10" s="123">
        <v>7340</v>
      </c>
      <c r="C10" s="124">
        <v>3122</v>
      </c>
      <c r="D10" s="123">
        <v>24535</v>
      </c>
      <c r="E10" s="124">
        <v>34997</v>
      </c>
      <c r="F10" s="125">
        <v>-5.7105517358940847E-3</v>
      </c>
      <c r="H10" s="126"/>
    </row>
    <row r="11" spans="1:8" ht="20" customHeight="1" thickBot="1">
      <c r="A11" s="127" t="s">
        <v>1811</v>
      </c>
      <c r="B11" s="123">
        <v>29614</v>
      </c>
      <c r="C11" s="124">
        <v>12093</v>
      </c>
      <c r="D11" s="123">
        <v>98249</v>
      </c>
      <c r="E11" s="124">
        <v>139956</v>
      </c>
      <c r="F11" s="125">
        <v>9.6742776755762358E-3</v>
      </c>
      <c r="H11" s="126"/>
    </row>
    <row r="12" spans="1:8" ht="20" customHeight="1" thickBot="1">
      <c r="A12" s="127" t="s">
        <v>1812</v>
      </c>
      <c r="B12" s="123">
        <v>7472</v>
      </c>
      <c r="C12" s="124">
        <v>3242</v>
      </c>
      <c r="D12" s="123">
        <v>23661</v>
      </c>
      <c r="E12" s="124">
        <v>34375</v>
      </c>
      <c r="F12" s="125">
        <v>7.1194187272940346E-3</v>
      </c>
      <c r="H12" s="126"/>
    </row>
    <row r="13" spans="1:8" ht="20" customHeight="1" thickBot="1">
      <c r="A13" s="127" t="s">
        <v>1813</v>
      </c>
      <c r="B13" s="123">
        <v>7883</v>
      </c>
      <c r="C13" s="124">
        <v>3293</v>
      </c>
      <c r="D13" s="123">
        <v>28573</v>
      </c>
      <c r="E13" s="124">
        <v>39749</v>
      </c>
      <c r="F13" s="125">
        <v>3.4332163683639207E-3</v>
      </c>
      <c r="H13" s="126"/>
    </row>
    <row r="14" spans="1:8" ht="20" customHeight="1" thickBot="1">
      <c r="A14" s="127" t="s">
        <v>1814</v>
      </c>
      <c r="B14" s="123">
        <v>7705</v>
      </c>
      <c r="C14" s="124">
        <v>3628</v>
      </c>
      <c r="D14" s="123">
        <v>26827</v>
      </c>
      <c r="E14" s="124">
        <v>38160</v>
      </c>
      <c r="F14" s="125">
        <v>-5.1618958235570157E-3</v>
      </c>
      <c r="H14" s="126"/>
    </row>
    <row r="15" spans="1:8" ht="20" customHeight="1" thickBot="1">
      <c r="A15" s="127" t="s">
        <v>1815</v>
      </c>
      <c r="B15" s="123">
        <v>21383</v>
      </c>
      <c r="C15" s="124">
        <v>8349</v>
      </c>
      <c r="D15" s="123">
        <v>78090</v>
      </c>
      <c r="E15" s="124">
        <v>107822</v>
      </c>
      <c r="F15" s="125">
        <v>1.0259821788300993E-2</v>
      </c>
      <c r="H15" s="126"/>
    </row>
    <row r="16" spans="1:8" ht="20" customHeight="1" thickBot="1">
      <c r="A16" s="127" t="s">
        <v>1816</v>
      </c>
      <c r="B16" s="123">
        <v>60260</v>
      </c>
      <c r="C16" s="124">
        <v>22483</v>
      </c>
      <c r="D16" s="123">
        <v>179524</v>
      </c>
      <c r="E16" s="124">
        <v>262267</v>
      </c>
      <c r="F16" s="125">
        <v>1.0542093237416724E-2</v>
      </c>
      <c r="H16" s="126"/>
    </row>
    <row r="17" spans="1:8" ht="20" customHeight="1" thickBot="1">
      <c r="A17" s="127" t="s">
        <v>1817</v>
      </c>
      <c r="B17" s="123">
        <v>49149</v>
      </c>
      <c r="C17" s="124">
        <v>21619</v>
      </c>
      <c r="D17" s="123">
        <v>179830</v>
      </c>
      <c r="E17" s="124">
        <v>250598</v>
      </c>
      <c r="F17" s="125">
        <v>6.2689415870404602E-4</v>
      </c>
      <c r="H17" s="126"/>
    </row>
    <row r="18" spans="1:8" ht="20" customHeight="1" thickBot="1">
      <c r="A18" s="127" t="s">
        <v>1818</v>
      </c>
      <c r="B18" s="123">
        <v>28103</v>
      </c>
      <c r="C18" s="124">
        <v>13095</v>
      </c>
      <c r="D18" s="123">
        <v>137236</v>
      </c>
      <c r="E18" s="124">
        <v>178434</v>
      </c>
      <c r="F18" s="125">
        <v>-4.3190036159100036E-3</v>
      </c>
      <c r="H18" s="126"/>
    </row>
    <row r="19" spans="1:8" ht="20" customHeight="1" thickBot="1">
      <c r="A19" s="127" t="s">
        <v>1819</v>
      </c>
      <c r="B19" s="123">
        <v>49802</v>
      </c>
      <c r="C19" s="124">
        <v>20967</v>
      </c>
      <c r="D19" s="123">
        <v>196782</v>
      </c>
      <c r="E19" s="124">
        <v>267551</v>
      </c>
      <c r="F19" s="125">
        <v>1.86104682948018E-3</v>
      </c>
      <c r="H19" s="126"/>
    </row>
    <row r="20" spans="1:8" ht="20" customHeight="1" thickBot="1">
      <c r="A20" s="127" t="s">
        <v>1820</v>
      </c>
      <c r="B20" s="123">
        <v>14158</v>
      </c>
      <c r="C20" s="124">
        <v>6567</v>
      </c>
      <c r="D20" s="123">
        <v>54775</v>
      </c>
      <c r="E20" s="124">
        <v>75500</v>
      </c>
      <c r="F20" s="125">
        <v>2.0439041223157166E-3</v>
      </c>
      <c r="H20" s="126"/>
    </row>
    <row r="21" spans="1:8" ht="20" customHeight="1" thickBot="1">
      <c r="A21" s="127" t="s">
        <v>1821</v>
      </c>
      <c r="B21" s="123">
        <v>11249</v>
      </c>
      <c r="C21" s="124">
        <v>4701</v>
      </c>
      <c r="D21" s="123">
        <v>37267</v>
      </c>
      <c r="E21" s="124">
        <v>53217</v>
      </c>
      <c r="F21" s="125">
        <v>-1.5030530765617662E-4</v>
      </c>
      <c r="H21" s="126"/>
    </row>
    <row r="22" spans="1:8" ht="20" customHeight="1" thickBot="1">
      <c r="A22" s="127" t="s">
        <v>1822</v>
      </c>
      <c r="B22" s="123">
        <v>3656</v>
      </c>
      <c r="C22" s="124">
        <v>1531</v>
      </c>
      <c r="D22" s="123">
        <v>10159</v>
      </c>
      <c r="E22" s="124">
        <v>15346</v>
      </c>
      <c r="F22" s="125">
        <v>3.3344230140568815E-3</v>
      </c>
      <c r="H22" s="126"/>
    </row>
    <row r="23" spans="1:8" ht="20" customHeight="1" thickBot="1">
      <c r="A23" s="127" t="s">
        <v>1823</v>
      </c>
      <c r="B23" s="123">
        <v>99741</v>
      </c>
      <c r="C23" s="124">
        <v>44243</v>
      </c>
      <c r="D23" s="123">
        <v>321801</v>
      </c>
      <c r="E23" s="124">
        <v>465785</v>
      </c>
      <c r="F23" s="125">
        <v>2.2960160785680779E-3</v>
      </c>
      <c r="H23" s="126"/>
    </row>
    <row r="24" spans="1:8" ht="20" customHeight="1" thickBot="1">
      <c r="A24" s="127" t="s">
        <v>1824</v>
      </c>
      <c r="B24" s="123">
        <v>36114</v>
      </c>
      <c r="C24" s="124">
        <v>18165</v>
      </c>
      <c r="D24" s="123">
        <v>139129</v>
      </c>
      <c r="E24" s="124">
        <v>193408</v>
      </c>
      <c r="F24" s="125">
        <v>-9.8657534388090851E-4</v>
      </c>
      <c r="H24" s="126"/>
    </row>
    <row r="25" spans="1:8" ht="20" customHeight="1" thickBot="1">
      <c r="A25" s="127" t="s">
        <v>1825</v>
      </c>
      <c r="B25" s="123">
        <v>119064</v>
      </c>
      <c r="C25" s="124">
        <v>50650</v>
      </c>
      <c r="D25" s="123">
        <v>413415</v>
      </c>
      <c r="E25" s="124">
        <v>583129</v>
      </c>
      <c r="F25" s="125">
        <v>7.0686451274186756E-3</v>
      </c>
      <c r="H25" s="126"/>
    </row>
    <row r="26" spans="1:8" ht="20" customHeight="1" thickBot="1">
      <c r="A26" s="127" t="s">
        <v>1826</v>
      </c>
      <c r="B26" s="123">
        <v>51870</v>
      </c>
      <c r="C26" s="124">
        <v>21980</v>
      </c>
      <c r="D26" s="123">
        <v>165238</v>
      </c>
      <c r="E26" s="124">
        <v>239088</v>
      </c>
      <c r="F26" s="125">
        <v>7.8150686663800307E-3</v>
      </c>
      <c r="H26" s="126"/>
    </row>
    <row r="27" spans="1:8" ht="20" customHeight="1" thickBot="1">
      <c r="A27" s="127" t="s">
        <v>1827</v>
      </c>
      <c r="B27" s="123">
        <v>57489</v>
      </c>
      <c r="C27" s="124">
        <v>22302</v>
      </c>
      <c r="D27" s="123">
        <v>240722</v>
      </c>
      <c r="E27" s="124">
        <v>320513</v>
      </c>
      <c r="F27" s="125">
        <v>3.6354868608933087E-3</v>
      </c>
      <c r="H27" s="126"/>
    </row>
    <row r="28" spans="1:8" ht="20" customHeight="1" thickBot="1">
      <c r="A28" s="127" t="s">
        <v>1828</v>
      </c>
      <c r="B28" s="123">
        <v>141915</v>
      </c>
      <c r="C28" s="124">
        <v>51338</v>
      </c>
      <c r="D28" s="123">
        <v>462669</v>
      </c>
      <c r="E28" s="124">
        <v>655922</v>
      </c>
      <c r="F28" s="125">
        <v>4.4870381260413601E-3</v>
      </c>
      <c r="H28" s="126"/>
    </row>
    <row r="29" spans="1:8" ht="20" customHeight="1" thickBot="1">
      <c r="A29" s="127" t="s">
        <v>1829</v>
      </c>
      <c r="B29" s="123">
        <v>60887</v>
      </c>
      <c r="C29" s="124">
        <v>26633</v>
      </c>
      <c r="D29" s="123">
        <v>213680</v>
      </c>
      <c r="E29" s="124">
        <v>301200</v>
      </c>
      <c r="F29" s="125">
        <v>7.8567317602023738E-3</v>
      </c>
      <c r="H29" s="126"/>
    </row>
    <row r="30" spans="1:8" ht="20" customHeight="1" thickBot="1">
      <c r="A30" s="127" t="s">
        <v>1830</v>
      </c>
      <c r="B30" s="123">
        <v>35592</v>
      </c>
      <c r="C30" s="124">
        <v>13515</v>
      </c>
      <c r="D30" s="123">
        <v>119634</v>
      </c>
      <c r="E30" s="124">
        <v>168741</v>
      </c>
      <c r="F30" s="125">
        <v>-5.1411153626196105E-3</v>
      </c>
      <c r="H30" s="126"/>
    </row>
    <row r="31" spans="1:8" ht="20" customHeight="1" thickBot="1">
      <c r="A31" s="127" t="s">
        <v>1831</v>
      </c>
      <c r="B31" s="123">
        <v>86964</v>
      </c>
      <c r="C31" s="124">
        <v>30191</v>
      </c>
      <c r="D31" s="123">
        <v>289838</v>
      </c>
      <c r="E31" s="124">
        <v>406993</v>
      </c>
      <c r="F31" s="125">
        <v>3.253852240597723E-3</v>
      </c>
      <c r="H31" s="126"/>
    </row>
    <row r="32" spans="1:8" ht="20" customHeight="1" thickBot="1">
      <c r="A32" s="128" t="s">
        <v>1832</v>
      </c>
      <c r="B32" s="123">
        <v>15348</v>
      </c>
      <c r="C32" s="124">
        <v>5919</v>
      </c>
      <c r="D32" s="123">
        <v>48220</v>
      </c>
      <c r="E32" s="124">
        <v>69487</v>
      </c>
      <c r="F32" s="125">
        <v>-1.2935309082024232E-3</v>
      </c>
      <c r="H32" s="126"/>
    </row>
    <row r="33" spans="1:8" ht="30" customHeight="1" thickBot="1">
      <c r="A33" s="129" t="s">
        <v>628</v>
      </c>
      <c r="B33" s="130">
        <v>1501702</v>
      </c>
      <c r="C33" s="131">
        <v>621155</v>
      </c>
      <c r="D33" s="130">
        <v>5394210</v>
      </c>
      <c r="E33" s="131">
        <v>7517067</v>
      </c>
      <c r="F33" s="132">
        <v>3.7839526862365183E-3</v>
      </c>
      <c r="H33" s="126"/>
    </row>
    <row r="34" spans="1:8" ht="20" customHeight="1">
      <c r="A34" s="133" t="s">
        <v>1698</v>
      </c>
      <c r="B34" s="133"/>
      <c r="C34" s="133"/>
      <c r="D34" s="133"/>
      <c r="E34" s="133"/>
      <c r="F34" s="133"/>
      <c r="H34" s="121"/>
    </row>
    <row r="35" spans="1:8" ht="11.25" customHeight="1">
      <c r="A35" s="3"/>
      <c r="B35" s="3"/>
      <c r="C35" s="3"/>
      <c r="D35" s="3"/>
      <c r="E35" s="3"/>
      <c r="F35" s="3"/>
      <c r="H35" s="121"/>
    </row>
    <row r="36" spans="1:8" ht="14.25" customHeight="1">
      <c r="A36" s="3" t="s">
        <v>1833</v>
      </c>
      <c r="B36" s="3"/>
      <c r="C36" s="3"/>
      <c r="D36" s="3"/>
      <c r="E36" s="3"/>
      <c r="F36" s="3"/>
      <c r="H36" s="121"/>
    </row>
    <row r="37" spans="1:8" ht="13.5" customHeight="1">
      <c r="A37" s="3"/>
      <c r="B37" s="3"/>
      <c r="C37" s="3"/>
      <c r="D37" s="3"/>
      <c r="E37" s="3"/>
      <c r="F37" s="3"/>
      <c r="H37" s="121"/>
    </row>
    <row r="38" spans="1:8" ht="12" customHeight="1">
      <c r="A38" s="3" t="s">
        <v>855</v>
      </c>
    </row>
    <row r="39" spans="1:8" ht="12" customHeight="1">
      <c r="A39" s="2" t="s">
        <v>856</v>
      </c>
    </row>
    <row r="40" spans="1:8" ht="12" customHeight="1">
      <c r="A40" s="2" t="s">
        <v>857</v>
      </c>
    </row>
    <row r="41" spans="1:8" ht="12" customHeight="1">
      <c r="A41" s="2" t="s">
        <v>858</v>
      </c>
    </row>
    <row r="42" spans="1:8" ht="12" customHeight="1">
      <c r="A42" s="2" t="s">
        <v>859</v>
      </c>
    </row>
    <row r="43" spans="1:8" ht="12" customHeight="1">
      <c r="A43" s="2" t="s">
        <v>860</v>
      </c>
    </row>
    <row r="44" spans="1:8" ht="12" customHeight="1">
      <c r="A44" s="2" t="s">
        <v>861</v>
      </c>
    </row>
    <row r="45" spans="1:8" ht="12" customHeight="1">
      <c r="A45" s="2" t="s">
        <v>862</v>
      </c>
    </row>
    <row r="46" spans="1:8" ht="12" customHeight="1">
      <c r="A46" s="2" t="s">
        <v>863</v>
      </c>
    </row>
    <row r="47" spans="1:8" ht="12" customHeight="1">
      <c r="A47" s="2" t="s">
        <v>864</v>
      </c>
    </row>
    <row r="48" spans="1:8" ht="12" customHeight="1">
      <c r="A48" s="4" t="s">
        <v>865</v>
      </c>
    </row>
    <row r="49" spans="1:1" ht="12" customHeight="1">
      <c r="A49" s="4" t="s">
        <v>866</v>
      </c>
    </row>
    <row r="50" spans="1:1" ht="12" customHeight="1"/>
    <row r="51" spans="1:1" ht="12" customHeight="1"/>
    <row r="52" spans="1:1" ht="12" customHeight="1">
      <c r="A52" s="3" t="s">
        <v>634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1" orientation="portrait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0C84-54D0-5F44-B2C2-0EDA91F5367D}">
  <dimension ref="A1:K41"/>
  <sheetViews>
    <sheetView zoomScale="75" workbookViewId="0">
      <selection activeCell="G5" sqref="G5"/>
    </sheetView>
  </sheetViews>
  <sheetFormatPr baseColWidth="10" defaultColWidth="11.3984375" defaultRowHeight="13"/>
  <cols>
    <col min="1" max="1" width="13.796875" style="2" customWidth="1"/>
    <col min="2" max="2" width="14.796875" style="155" customWidth="1"/>
    <col min="3" max="3" width="14.796875" style="156" customWidth="1"/>
    <col min="4" max="4" width="14.796875" style="155" customWidth="1"/>
    <col min="5" max="5" width="14.796875" style="156" customWidth="1"/>
    <col min="6" max="6" width="14.796875" style="155" customWidth="1"/>
    <col min="7" max="7" width="14.796875" style="156" customWidth="1"/>
    <col min="8" max="8" width="7.3984375" style="2" customWidth="1"/>
    <col min="9" max="9" width="8" style="2" customWidth="1"/>
    <col min="10" max="10" width="7.796875" style="2" customWidth="1"/>
    <col min="11" max="11" width="9" style="2" customWidth="1"/>
    <col min="12" max="16384" width="11.3984375" style="2"/>
  </cols>
  <sheetData>
    <row r="1" spans="1:11" s="1" customFormat="1" ht="18.75" customHeight="1">
      <c r="A1" s="134"/>
      <c r="B1" s="135"/>
      <c r="C1" s="136"/>
      <c r="D1" s="137"/>
      <c r="E1" s="136"/>
      <c r="F1" s="137"/>
      <c r="G1" s="136"/>
    </row>
    <row r="2" spans="1:11" s="1" customFormat="1" ht="42" customHeight="1">
      <c r="A2" s="1830" t="s">
        <v>890</v>
      </c>
      <c r="B2" s="1804"/>
      <c r="C2" s="1804"/>
      <c r="D2" s="1804"/>
      <c r="E2" s="1804"/>
      <c r="F2" s="1804"/>
      <c r="G2" s="138">
        <v>2007</v>
      </c>
    </row>
    <row r="3" spans="1:11" ht="27" customHeight="1">
      <c r="A3" s="110" t="s">
        <v>868</v>
      </c>
      <c r="B3" s="139" t="s">
        <v>869</v>
      </c>
      <c r="C3" s="112" t="s">
        <v>870</v>
      </c>
      <c r="D3" s="139" t="s">
        <v>871</v>
      </c>
      <c r="E3" s="112" t="s">
        <v>870</v>
      </c>
      <c r="F3" s="139" t="s">
        <v>629</v>
      </c>
      <c r="G3" s="112" t="s">
        <v>1801</v>
      </c>
    </row>
    <row r="4" spans="1:11" ht="15" customHeight="1">
      <c r="A4" s="113"/>
      <c r="B4" s="140"/>
      <c r="C4" s="115" t="s">
        <v>872</v>
      </c>
      <c r="D4" s="140"/>
      <c r="E4" s="115" t="s">
        <v>872</v>
      </c>
      <c r="F4" s="140"/>
      <c r="G4" s="115" t="s">
        <v>51</v>
      </c>
    </row>
    <row r="5" spans="1:11" ht="15" customHeight="1">
      <c r="A5" s="113"/>
      <c r="B5" s="140"/>
      <c r="C5" s="115" t="s">
        <v>869</v>
      </c>
      <c r="D5" s="140"/>
      <c r="E5" s="115" t="s">
        <v>871</v>
      </c>
      <c r="F5" s="140"/>
      <c r="G5" s="115" t="s">
        <v>1806</v>
      </c>
    </row>
    <row r="6" spans="1:11" ht="19.5" customHeight="1">
      <c r="A6" s="117"/>
      <c r="B6" s="141"/>
      <c r="C6" s="119"/>
      <c r="D6" s="141"/>
      <c r="E6" s="119"/>
      <c r="F6" s="141"/>
      <c r="G6" s="119"/>
    </row>
    <row r="7" spans="1:11" ht="30" customHeight="1" thickBot="1">
      <c r="A7" s="122" t="s">
        <v>873</v>
      </c>
      <c r="B7" s="142">
        <v>769623</v>
      </c>
      <c r="C7" s="143">
        <v>0.20889855178675396</v>
      </c>
      <c r="D7" s="142">
        <v>732078</v>
      </c>
      <c r="E7" s="143">
        <v>0.19099995564681296</v>
      </c>
      <c r="F7" s="142">
        <v>1501701</v>
      </c>
      <c r="G7" s="143">
        <v>-1.196666335502132E-2</v>
      </c>
      <c r="I7" s="98"/>
      <c r="J7" s="98"/>
      <c r="K7" s="98"/>
    </row>
    <row r="8" spans="1:11" ht="20" customHeight="1" thickBot="1">
      <c r="A8" s="127" t="s">
        <v>874</v>
      </c>
      <c r="B8" s="144">
        <v>309719</v>
      </c>
      <c r="C8" s="145">
        <v>8.4066939996389992E-2</v>
      </c>
      <c r="D8" s="144">
        <v>311436</v>
      </c>
      <c r="E8" s="145">
        <v>8.1253995048097119E-2</v>
      </c>
      <c r="F8" s="144">
        <v>621155</v>
      </c>
      <c r="G8" s="145">
        <v>2.3365880972782299E-3</v>
      </c>
      <c r="I8" s="98"/>
      <c r="J8" s="98"/>
      <c r="K8" s="98"/>
    </row>
    <row r="9" spans="1:11" ht="20" customHeight="1" thickBot="1">
      <c r="A9" s="127" t="s">
        <v>875</v>
      </c>
      <c r="B9" s="144">
        <v>242535</v>
      </c>
      <c r="C9" s="145">
        <v>6.5831206002939582E-2</v>
      </c>
      <c r="D9" s="144">
        <v>241436</v>
      </c>
      <c r="E9" s="145">
        <v>6.2990918032701348E-2</v>
      </c>
      <c r="F9" s="144">
        <v>483971</v>
      </c>
      <c r="G9" s="145">
        <v>1.2296796432485798E-2</v>
      </c>
      <c r="I9" s="98"/>
      <c r="J9" s="98"/>
      <c r="K9" s="98"/>
    </row>
    <row r="10" spans="1:11" ht="20" customHeight="1" thickBot="1">
      <c r="A10" s="127" t="s">
        <v>876</v>
      </c>
      <c r="B10" s="144">
        <v>256596</v>
      </c>
      <c r="C10" s="145">
        <v>6.9647779229926751E-2</v>
      </c>
      <c r="D10" s="144">
        <v>257441</v>
      </c>
      <c r="E10" s="145">
        <v>6.7166640141721481E-2</v>
      </c>
      <c r="F10" s="144">
        <v>514037</v>
      </c>
      <c r="G10" s="145">
        <v>-1.9933573820001067E-2</v>
      </c>
      <c r="I10" s="98"/>
      <c r="J10" s="98"/>
      <c r="K10" s="98"/>
    </row>
    <row r="11" spans="1:11" ht="20" customHeight="1" thickBot="1">
      <c r="A11" s="127" t="s">
        <v>877</v>
      </c>
      <c r="B11" s="144">
        <v>298042</v>
      </c>
      <c r="C11" s="145">
        <v>8.08974552107041E-2</v>
      </c>
      <c r="D11" s="144">
        <v>298547</v>
      </c>
      <c r="E11" s="145">
        <v>7.7891240767362313E-2</v>
      </c>
      <c r="F11" s="144">
        <v>596589</v>
      </c>
      <c r="G11" s="145">
        <v>-2.2329834566505249E-2</v>
      </c>
      <c r="I11" s="98"/>
      <c r="J11" s="98"/>
      <c r="K11" s="98"/>
    </row>
    <row r="12" spans="1:11" ht="20" customHeight="1" thickBot="1">
      <c r="A12" s="127" t="s">
        <v>878</v>
      </c>
      <c r="B12" s="144">
        <v>326268</v>
      </c>
      <c r="C12" s="145">
        <v>8.8558830355070783E-2</v>
      </c>
      <c r="D12" s="144">
        <v>318353</v>
      </c>
      <c r="E12" s="145">
        <v>8.3058647958318438E-2</v>
      </c>
      <c r="F12" s="144">
        <v>644621</v>
      </c>
      <c r="G12" s="145">
        <v>1.2518632657452827E-2</v>
      </c>
      <c r="I12" s="98"/>
      <c r="J12" s="98"/>
      <c r="K12" s="98"/>
    </row>
    <row r="13" spans="1:11" ht="20" customHeight="1" thickBot="1">
      <c r="A13" s="127" t="s">
        <v>879</v>
      </c>
      <c r="B13" s="144">
        <v>291230</v>
      </c>
      <c r="C13" s="145">
        <v>7.9048475990005959E-2</v>
      </c>
      <c r="D13" s="144">
        <v>284713</v>
      </c>
      <c r="E13" s="145">
        <v>7.4281934946919675E-2</v>
      </c>
      <c r="F13" s="144">
        <v>575943</v>
      </c>
      <c r="G13" s="145">
        <v>2.2473565732383665E-2</v>
      </c>
      <c r="I13" s="98"/>
      <c r="J13" s="98"/>
      <c r="K13" s="98"/>
    </row>
    <row r="14" spans="1:11" ht="20" customHeight="1" thickBot="1">
      <c r="A14" s="127" t="s">
        <v>880</v>
      </c>
      <c r="B14" s="144">
        <v>253807</v>
      </c>
      <c r="C14" s="145">
        <v>6.8890761753924529E-2</v>
      </c>
      <c r="D14" s="144">
        <v>250291</v>
      </c>
      <c r="E14" s="145">
        <v>6.5301197275148909E-2</v>
      </c>
      <c r="F14" s="144">
        <v>504098</v>
      </c>
      <c r="G14" s="145">
        <v>2.2028128693741093E-2</v>
      </c>
      <c r="I14" s="98"/>
      <c r="J14" s="98"/>
      <c r="K14" s="98"/>
    </row>
    <row r="15" spans="1:11" ht="20" customHeight="1" thickBot="1">
      <c r="A15" s="127" t="s">
        <v>881</v>
      </c>
      <c r="B15" s="144">
        <v>234686</v>
      </c>
      <c r="C15" s="145">
        <v>6.3700754167463985E-2</v>
      </c>
      <c r="D15" s="144">
        <v>235991</v>
      </c>
      <c r="E15" s="145">
        <v>6.1570311542003771E-2</v>
      </c>
      <c r="F15" s="144">
        <v>470677</v>
      </c>
      <c r="G15" s="145">
        <v>-8.6460733557717009E-3</v>
      </c>
      <c r="I15" s="98"/>
      <c r="J15" s="98"/>
      <c r="K15" s="98"/>
    </row>
    <row r="16" spans="1:11" ht="20" customHeight="1" thickBot="1">
      <c r="A16" s="127" t="s">
        <v>882</v>
      </c>
      <c r="B16" s="144">
        <v>212137</v>
      </c>
      <c r="C16" s="145">
        <v>5.7580285516917538E-2</v>
      </c>
      <c r="D16" s="144">
        <v>218078</v>
      </c>
      <c r="E16" s="145">
        <v>5.6896790133763996E-2</v>
      </c>
      <c r="F16" s="144">
        <v>430215</v>
      </c>
      <c r="G16" s="145">
        <v>3.2634133344854654E-2</v>
      </c>
      <c r="I16" s="98"/>
      <c r="J16" s="98"/>
      <c r="K16" s="98"/>
    </row>
    <row r="17" spans="1:11" ht="20" customHeight="1" thickBot="1">
      <c r="A17" s="127" t="s">
        <v>883</v>
      </c>
      <c r="B17" s="144">
        <v>155528</v>
      </c>
      <c r="C17" s="145">
        <v>4.2214920762880359E-2</v>
      </c>
      <c r="D17" s="144">
        <v>174647</v>
      </c>
      <c r="E17" s="145">
        <v>4.5565594450111796E-2</v>
      </c>
      <c r="F17" s="144">
        <v>330175</v>
      </c>
      <c r="G17" s="145">
        <v>2.5716300555767839E-2</v>
      </c>
      <c r="I17" s="98"/>
      <c r="J17" s="98"/>
      <c r="K17" s="98"/>
    </row>
    <row r="18" spans="1:11" ht="20" customHeight="1" thickBot="1">
      <c r="A18" s="127" t="s">
        <v>884</v>
      </c>
      <c r="B18" s="144">
        <v>128525</v>
      </c>
      <c r="C18" s="145">
        <v>3.4885504160338962E-2</v>
      </c>
      <c r="D18" s="144">
        <v>157909</v>
      </c>
      <c r="E18" s="145">
        <v>4.1198631834630448E-2</v>
      </c>
      <c r="F18" s="144">
        <v>286434</v>
      </c>
      <c r="G18" s="145">
        <v>9.6369404300317239E-3</v>
      </c>
      <c r="I18" s="98"/>
      <c r="J18" s="98"/>
      <c r="K18" s="98"/>
    </row>
    <row r="19" spans="1:11" ht="20" customHeight="1" thickBot="1">
      <c r="A19" s="127" t="s">
        <v>885</v>
      </c>
      <c r="B19" s="144">
        <v>97616</v>
      </c>
      <c r="C19" s="145">
        <v>2.6495883089793022E-2</v>
      </c>
      <c r="D19" s="144">
        <v>139369</v>
      </c>
      <c r="E19" s="145">
        <v>3.6361525436552765E-2</v>
      </c>
      <c r="F19" s="144">
        <v>236985</v>
      </c>
      <c r="G19" s="145">
        <v>1.1123057624862402E-2</v>
      </c>
      <c r="I19" s="98"/>
      <c r="J19" s="98"/>
      <c r="K19" s="98"/>
    </row>
    <row r="20" spans="1:11" ht="20" customHeight="1" thickBot="1">
      <c r="A20" s="127" t="s">
        <v>886</v>
      </c>
      <c r="B20" s="144">
        <v>64634</v>
      </c>
      <c r="C20" s="145">
        <v>1.7543588219407494E-2</v>
      </c>
      <c r="D20" s="144">
        <v>111656</v>
      </c>
      <c r="E20" s="145">
        <v>2.913117324615758E-2</v>
      </c>
      <c r="F20" s="144">
        <v>176290</v>
      </c>
      <c r="G20" s="145">
        <v>1.1121243927479624E-2</v>
      </c>
      <c r="I20" s="98"/>
      <c r="J20" s="98"/>
      <c r="K20" s="98"/>
    </row>
    <row r="21" spans="1:11" ht="20" customHeight="1" thickBot="1">
      <c r="A21" s="127" t="s">
        <v>887</v>
      </c>
      <c r="B21" s="144">
        <v>31375</v>
      </c>
      <c r="C21" s="145">
        <v>8.5161073178808399E-3</v>
      </c>
      <c r="D21" s="144">
        <v>65543</v>
      </c>
      <c r="E21" s="145">
        <v>1.7100240811715503E-2</v>
      </c>
      <c r="F21" s="144">
        <v>96918</v>
      </c>
      <c r="G21" s="145">
        <v>6.8755996162456035E-2</v>
      </c>
      <c r="I21" s="98"/>
      <c r="J21" s="98"/>
      <c r="K21" s="98"/>
    </row>
    <row r="22" spans="1:11" ht="20" customHeight="1" thickBot="1">
      <c r="A22" s="127" t="s">
        <v>888</v>
      </c>
      <c r="B22" s="144">
        <v>11874</v>
      </c>
      <c r="C22" s="145">
        <v>3.2229564396021385E-3</v>
      </c>
      <c r="D22" s="144">
        <v>35382</v>
      </c>
      <c r="E22" s="145">
        <v>9.231202727981903E-3</v>
      </c>
      <c r="F22" s="144">
        <v>47256</v>
      </c>
      <c r="G22" s="145">
        <v>1.0737049236428969E-2</v>
      </c>
      <c r="I22" s="98"/>
      <c r="J22" s="98"/>
      <c r="K22" s="98"/>
    </row>
    <row r="23" spans="1:11" s="148" customFormat="1" ht="21" customHeight="1" thickBot="1">
      <c r="A23" s="129" t="s">
        <v>629</v>
      </c>
      <c r="B23" s="146">
        <v>3684195</v>
      </c>
      <c r="C23" s="147">
        <v>1</v>
      </c>
      <c r="D23" s="146">
        <v>3832870</v>
      </c>
      <c r="E23" s="147">
        <v>1</v>
      </c>
      <c r="F23" s="146">
        <v>7517065</v>
      </c>
      <c r="G23" s="147">
        <v>3.7840877361399339E-3</v>
      </c>
      <c r="I23" s="149"/>
      <c r="J23" s="149"/>
      <c r="K23" s="149"/>
    </row>
    <row r="24" spans="1:11" ht="20" customHeight="1">
      <c r="A24" s="133" t="s">
        <v>1698</v>
      </c>
      <c r="B24" s="150"/>
      <c r="C24" s="151"/>
      <c r="D24" s="150"/>
      <c r="E24" s="151"/>
      <c r="F24" s="150"/>
      <c r="G24" s="151"/>
    </row>
    <row r="25" spans="1:11" ht="12.75" customHeight="1">
      <c r="A25" s="3"/>
      <c r="B25" s="152"/>
      <c r="C25" s="153"/>
      <c r="D25" s="152"/>
      <c r="E25" s="153"/>
      <c r="F25" s="152"/>
      <c r="G25" s="153"/>
    </row>
    <row r="26" spans="1:11" ht="16.5" customHeight="1">
      <c r="A26" s="3" t="s">
        <v>1833</v>
      </c>
      <c r="B26" s="152"/>
      <c r="C26" s="153"/>
      <c r="D26" s="152"/>
      <c r="E26" s="153"/>
      <c r="F26" s="152"/>
      <c r="G26" s="153"/>
    </row>
    <row r="27" spans="1:11" ht="11.25" customHeight="1">
      <c r="A27" s="3"/>
      <c r="B27" s="152"/>
      <c r="C27" s="153"/>
      <c r="D27" s="152"/>
      <c r="E27" s="153"/>
      <c r="F27" s="152"/>
      <c r="G27" s="153"/>
    </row>
    <row r="28" spans="1:11" ht="17.25" customHeight="1">
      <c r="A28" s="3" t="s">
        <v>855</v>
      </c>
      <c r="B28" s="152"/>
      <c r="C28" s="153"/>
      <c r="D28" s="152"/>
      <c r="E28" s="153"/>
      <c r="F28" s="152"/>
      <c r="G28" s="153"/>
    </row>
    <row r="29" spans="1:11" ht="12" customHeight="1">
      <c r="A29" s="154" t="s">
        <v>889</v>
      </c>
      <c r="B29" s="2"/>
      <c r="C29" s="2"/>
      <c r="D29" s="2"/>
      <c r="E29" s="2"/>
      <c r="F29" s="2"/>
      <c r="G29" s="95"/>
    </row>
    <row r="30" spans="1:11" ht="12" customHeight="1">
      <c r="A30" s="3"/>
      <c r="B30" s="152"/>
      <c r="C30" s="153"/>
      <c r="D30" s="152"/>
      <c r="E30" s="153"/>
      <c r="F30" s="152"/>
      <c r="G30" s="153"/>
    </row>
    <row r="31" spans="1:11" ht="14.25" customHeight="1">
      <c r="A31" s="3"/>
      <c r="B31" s="152"/>
      <c r="C31" s="153"/>
      <c r="D31" s="152"/>
      <c r="E31" s="153"/>
      <c r="F31" s="152"/>
      <c r="G31" s="153"/>
    </row>
    <row r="32" spans="1:11" ht="15.75" customHeight="1">
      <c r="A32" s="3" t="s">
        <v>634</v>
      </c>
      <c r="B32" s="152"/>
      <c r="C32" s="153"/>
      <c r="D32" s="152"/>
      <c r="E32" s="153"/>
      <c r="F32" s="152"/>
      <c r="G32" s="153"/>
    </row>
    <row r="33" spans="1:9" ht="18" customHeight="1">
      <c r="A33"/>
    </row>
    <row r="34" spans="1:9" ht="30" customHeight="1"/>
    <row r="35" spans="1:9" ht="30" customHeight="1">
      <c r="I35" s="157"/>
    </row>
    <row r="36" spans="1:9" ht="30" customHeight="1"/>
    <row r="37" spans="1:9" ht="30" customHeight="1"/>
    <row r="38" spans="1:9" ht="30" customHeight="1"/>
    <row r="39" spans="1:9" ht="30" customHeight="1"/>
    <row r="40" spans="1:9" ht="30" customHeight="1"/>
    <row r="41" spans="1:9" ht="30" customHeight="1"/>
  </sheetData>
  <mergeCells count="1">
    <mergeCell ref="A2:F2"/>
  </mergeCells>
  <phoneticPr fontId="0" type="noConversion"/>
  <pageMargins left="0.65" right="0.54" top="0.85" bottom="0.49" header="0.44" footer="0.4921259845"/>
  <pageSetup paperSize="9" scale="80" orientation="portrait"/>
  <headerFooter alignWithMargins="0"/>
  <rowBreaks count="1" manualBreakCount="1">
    <brk id="32" max="16383" man="1"/>
  </rowBreak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5E28-38DF-664C-B298-4F81712FD1EF}">
  <dimension ref="A1:H42"/>
  <sheetViews>
    <sheetView zoomScale="75" workbookViewId="0">
      <selection activeCell="I7" sqref="I7"/>
    </sheetView>
  </sheetViews>
  <sheetFormatPr baseColWidth="10" defaultColWidth="11.3984375" defaultRowHeight="13"/>
  <cols>
    <col min="1" max="5" width="14.796875" style="2" customWidth="1"/>
    <col min="6" max="6" width="15.59765625" style="2" customWidth="1"/>
    <col min="7" max="7" width="6.39843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28" customHeight="1">
      <c r="A2" s="109" t="s">
        <v>2254</v>
      </c>
      <c r="F2" s="109">
        <v>2007</v>
      </c>
    </row>
    <row r="3" spans="1:8" ht="27" customHeight="1">
      <c r="A3" s="110" t="s">
        <v>1797</v>
      </c>
      <c r="B3" s="111" t="s">
        <v>1798</v>
      </c>
      <c r="C3" s="112" t="s">
        <v>891</v>
      </c>
      <c r="D3" s="111" t="s">
        <v>892</v>
      </c>
      <c r="E3" s="112" t="s">
        <v>629</v>
      </c>
      <c r="F3" s="111" t="s">
        <v>629</v>
      </c>
    </row>
    <row r="4" spans="1:8" ht="15" customHeight="1">
      <c r="A4" s="113"/>
      <c r="B4" s="114"/>
      <c r="C4" s="113"/>
      <c r="D4" s="116"/>
      <c r="E4" s="115" t="s">
        <v>1800</v>
      </c>
      <c r="F4" s="114" t="s">
        <v>894</v>
      </c>
    </row>
    <row r="5" spans="1:8" ht="15" customHeight="1">
      <c r="A5" s="113"/>
      <c r="B5" s="114"/>
      <c r="C5" s="113"/>
      <c r="D5" s="116"/>
      <c r="E5" s="115"/>
      <c r="F5" s="114" t="s">
        <v>1800</v>
      </c>
    </row>
    <row r="6" spans="1:8" ht="24" customHeight="1">
      <c r="A6" s="117"/>
      <c r="B6" s="118"/>
      <c r="C6" s="117"/>
      <c r="D6" s="118"/>
      <c r="E6" s="119"/>
      <c r="F6" s="120"/>
      <c r="H6" s="121"/>
    </row>
    <row r="7" spans="1:8" ht="30" customHeight="1" thickBot="1">
      <c r="A7" s="122" t="s">
        <v>1807</v>
      </c>
      <c r="B7" s="123">
        <v>240889</v>
      </c>
      <c r="C7" s="124">
        <v>511565</v>
      </c>
      <c r="D7" s="123">
        <v>541743</v>
      </c>
      <c r="E7" s="124">
        <v>1053309</v>
      </c>
      <c r="F7" s="123">
        <v>1294198</v>
      </c>
      <c r="H7" s="126"/>
    </row>
    <row r="8" spans="1:8" ht="20" customHeight="1" thickBot="1">
      <c r="A8" s="127" t="s">
        <v>1808</v>
      </c>
      <c r="B8" s="123">
        <v>181381</v>
      </c>
      <c r="C8" s="124">
        <v>371803</v>
      </c>
      <c r="D8" s="123">
        <v>404741</v>
      </c>
      <c r="E8" s="124">
        <v>776543</v>
      </c>
      <c r="F8" s="123">
        <v>957924</v>
      </c>
      <c r="H8" s="126"/>
    </row>
    <row r="9" spans="1:8" ht="20" customHeight="1" thickBot="1">
      <c r="A9" s="127" t="s">
        <v>1809</v>
      </c>
      <c r="B9" s="123">
        <v>76674</v>
      </c>
      <c r="C9" s="124">
        <v>139282</v>
      </c>
      <c r="D9" s="123">
        <v>146752</v>
      </c>
      <c r="E9" s="124">
        <v>286033</v>
      </c>
      <c r="F9" s="123">
        <v>362707</v>
      </c>
      <c r="H9" s="126"/>
    </row>
    <row r="10" spans="1:8" ht="20" customHeight="1" thickBot="1">
      <c r="A10" s="127" t="s">
        <v>1810</v>
      </c>
      <c r="B10" s="123">
        <v>7340</v>
      </c>
      <c r="C10" s="124">
        <v>13753</v>
      </c>
      <c r="D10" s="123">
        <v>13906</v>
      </c>
      <c r="E10" s="124">
        <v>27657</v>
      </c>
      <c r="F10" s="123">
        <v>34997</v>
      </c>
      <c r="H10" s="126"/>
    </row>
    <row r="11" spans="1:8" ht="20" customHeight="1" thickBot="1">
      <c r="A11" s="127" t="s">
        <v>1811</v>
      </c>
      <c r="B11" s="123">
        <v>29614</v>
      </c>
      <c r="C11" s="124">
        <v>55772</v>
      </c>
      <c r="D11" s="123">
        <v>54567</v>
      </c>
      <c r="E11" s="124">
        <v>110341</v>
      </c>
      <c r="F11" s="123">
        <v>139956</v>
      </c>
      <c r="H11" s="126"/>
    </row>
    <row r="12" spans="1:8" ht="20" customHeight="1" thickBot="1">
      <c r="A12" s="127" t="s">
        <v>1812</v>
      </c>
      <c r="B12" s="123">
        <v>7472</v>
      </c>
      <c r="C12" s="124">
        <v>13452</v>
      </c>
      <c r="D12" s="123">
        <v>13452</v>
      </c>
      <c r="E12" s="124">
        <v>26904</v>
      </c>
      <c r="F12" s="123">
        <v>34375</v>
      </c>
      <c r="H12" s="126"/>
    </row>
    <row r="13" spans="1:8" ht="20" customHeight="1" thickBot="1">
      <c r="A13" s="127" t="s">
        <v>1813</v>
      </c>
      <c r="B13" s="123">
        <v>7883</v>
      </c>
      <c r="C13" s="124">
        <v>16005</v>
      </c>
      <c r="D13" s="123">
        <v>15863</v>
      </c>
      <c r="E13" s="124">
        <v>31866</v>
      </c>
      <c r="F13" s="123">
        <v>39749</v>
      </c>
      <c r="H13" s="126"/>
    </row>
    <row r="14" spans="1:8" ht="20" customHeight="1" thickBot="1">
      <c r="A14" s="127" t="s">
        <v>1814</v>
      </c>
      <c r="B14" s="123">
        <v>7705</v>
      </c>
      <c r="C14" s="124">
        <v>14958</v>
      </c>
      <c r="D14" s="123">
        <v>15497</v>
      </c>
      <c r="E14" s="124">
        <v>30455</v>
      </c>
      <c r="F14" s="123">
        <v>38160</v>
      </c>
      <c r="H14" s="126"/>
    </row>
    <row r="15" spans="1:8" ht="20" customHeight="1" thickBot="1">
      <c r="A15" s="127" t="s">
        <v>1815</v>
      </c>
      <c r="B15" s="123">
        <v>21383</v>
      </c>
      <c r="C15" s="124">
        <v>43243</v>
      </c>
      <c r="D15" s="123">
        <v>43196</v>
      </c>
      <c r="E15" s="124">
        <v>86439</v>
      </c>
      <c r="F15" s="123">
        <v>107822</v>
      </c>
      <c r="H15" s="126"/>
    </row>
    <row r="16" spans="1:8" ht="20" customHeight="1" thickBot="1">
      <c r="A16" s="127" t="s">
        <v>1816</v>
      </c>
      <c r="B16" s="123">
        <v>60260</v>
      </c>
      <c r="C16" s="124">
        <v>99516</v>
      </c>
      <c r="D16" s="123">
        <v>102492</v>
      </c>
      <c r="E16" s="124">
        <v>202007</v>
      </c>
      <c r="F16" s="123">
        <v>262267</v>
      </c>
      <c r="H16" s="126"/>
    </row>
    <row r="17" spans="1:8" ht="20" customHeight="1" thickBot="1">
      <c r="A17" s="127" t="s">
        <v>1817</v>
      </c>
      <c r="B17" s="123">
        <v>49149</v>
      </c>
      <c r="C17" s="124">
        <v>98109</v>
      </c>
      <c r="D17" s="123">
        <v>103340</v>
      </c>
      <c r="E17" s="124">
        <v>201449</v>
      </c>
      <c r="F17" s="123">
        <v>250598</v>
      </c>
      <c r="H17" s="126"/>
    </row>
    <row r="18" spans="1:8" ht="20" customHeight="1" thickBot="1">
      <c r="A18" s="127" t="s">
        <v>1818</v>
      </c>
      <c r="B18" s="123">
        <v>28103</v>
      </c>
      <c r="C18" s="124">
        <v>70172</v>
      </c>
      <c r="D18" s="123">
        <v>80159</v>
      </c>
      <c r="E18" s="124">
        <v>150332</v>
      </c>
      <c r="F18" s="123">
        <v>178434</v>
      </c>
      <c r="H18" s="126"/>
    </row>
    <row r="19" spans="1:8" ht="20" customHeight="1" thickBot="1">
      <c r="A19" s="127" t="s">
        <v>1819</v>
      </c>
      <c r="B19" s="123">
        <v>49802</v>
      </c>
      <c r="C19" s="124">
        <v>105296</v>
      </c>
      <c r="D19" s="123">
        <v>112454</v>
      </c>
      <c r="E19" s="124">
        <v>217750</v>
      </c>
      <c r="F19" s="123">
        <v>267551</v>
      </c>
      <c r="H19" s="126"/>
    </row>
    <row r="20" spans="1:8" ht="20" customHeight="1" thickBot="1">
      <c r="A20" s="127" t="s">
        <v>1820</v>
      </c>
      <c r="B20" s="123">
        <v>14158</v>
      </c>
      <c r="C20" s="124">
        <v>29701</v>
      </c>
      <c r="D20" s="123">
        <v>31644</v>
      </c>
      <c r="E20" s="124">
        <v>61342</v>
      </c>
      <c r="F20" s="123">
        <v>75500</v>
      </c>
      <c r="H20" s="126"/>
    </row>
    <row r="21" spans="1:8" ht="20" customHeight="1" thickBot="1">
      <c r="A21" s="127" t="s">
        <v>1821</v>
      </c>
      <c r="B21" s="123">
        <v>11249</v>
      </c>
      <c r="C21" s="124">
        <v>20556</v>
      </c>
      <c r="D21" s="123">
        <v>21411</v>
      </c>
      <c r="E21" s="124">
        <v>41968</v>
      </c>
      <c r="F21" s="123">
        <v>53217</v>
      </c>
      <c r="H21" s="126"/>
    </row>
    <row r="22" spans="1:8" ht="20" customHeight="1" thickBot="1">
      <c r="A22" s="127" t="s">
        <v>1822</v>
      </c>
      <c r="B22" s="123">
        <v>3656</v>
      </c>
      <c r="C22" s="124">
        <v>5944</v>
      </c>
      <c r="D22" s="123">
        <v>5745</v>
      </c>
      <c r="E22" s="124">
        <v>11690</v>
      </c>
      <c r="F22" s="123">
        <v>15346</v>
      </c>
      <c r="H22" s="126"/>
    </row>
    <row r="23" spans="1:8" ht="20" customHeight="1" thickBot="1">
      <c r="A23" s="127" t="s">
        <v>1823</v>
      </c>
      <c r="B23" s="123">
        <v>99741</v>
      </c>
      <c r="C23" s="124">
        <v>179129</v>
      </c>
      <c r="D23" s="123">
        <v>186915</v>
      </c>
      <c r="E23" s="124">
        <v>366043</v>
      </c>
      <c r="F23" s="123">
        <v>465785</v>
      </c>
      <c r="H23" s="126"/>
    </row>
    <row r="24" spans="1:8" ht="20" customHeight="1" thickBot="1">
      <c r="A24" s="127" t="s">
        <v>1824</v>
      </c>
      <c r="B24" s="123">
        <v>36114</v>
      </c>
      <c r="C24" s="124">
        <v>77769</v>
      </c>
      <c r="D24" s="123">
        <v>79522</v>
      </c>
      <c r="E24" s="124">
        <v>157294</v>
      </c>
      <c r="F24" s="123">
        <v>193408</v>
      </c>
      <c r="H24" s="126"/>
    </row>
    <row r="25" spans="1:8" ht="20" customHeight="1" thickBot="1">
      <c r="A25" s="127" t="s">
        <v>1825</v>
      </c>
      <c r="B25" s="123">
        <v>119064</v>
      </c>
      <c r="C25" s="124">
        <v>228951</v>
      </c>
      <c r="D25" s="123">
        <v>235111</v>
      </c>
      <c r="E25" s="124">
        <v>464064</v>
      </c>
      <c r="F25" s="123">
        <v>583129</v>
      </c>
      <c r="H25" s="126"/>
    </row>
    <row r="26" spans="1:8" ht="20" customHeight="1" thickBot="1">
      <c r="A26" s="127" t="s">
        <v>1826</v>
      </c>
      <c r="B26" s="123">
        <v>51870</v>
      </c>
      <c r="C26" s="124">
        <v>92626</v>
      </c>
      <c r="D26" s="123">
        <v>94587</v>
      </c>
      <c r="E26" s="124">
        <v>187218</v>
      </c>
      <c r="F26" s="123">
        <v>239088</v>
      </c>
      <c r="H26" s="126"/>
    </row>
    <row r="27" spans="1:8" ht="20" customHeight="1" thickBot="1">
      <c r="A27" s="127" t="s">
        <v>1827</v>
      </c>
      <c r="B27" s="123">
        <v>57489</v>
      </c>
      <c r="C27" s="124">
        <v>124218</v>
      </c>
      <c r="D27" s="123">
        <v>138806</v>
      </c>
      <c r="E27" s="124">
        <v>263024</v>
      </c>
      <c r="F27" s="123">
        <v>320513</v>
      </c>
      <c r="H27" s="126"/>
    </row>
    <row r="28" spans="1:8" ht="20" customHeight="1" thickBot="1">
      <c r="A28" s="127" t="s">
        <v>1828</v>
      </c>
      <c r="B28" s="123">
        <v>141915</v>
      </c>
      <c r="C28" s="124">
        <v>244672</v>
      </c>
      <c r="D28" s="123">
        <v>269337</v>
      </c>
      <c r="E28" s="124">
        <v>514007</v>
      </c>
      <c r="F28" s="123">
        <v>655922</v>
      </c>
      <c r="H28" s="126"/>
    </row>
    <row r="29" spans="1:8" ht="20" customHeight="1" thickBot="1">
      <c r="A29" s="127" t="s">
        <v>1829</v>
      </c>
      <c r="B29" s="123">
        <v>60887</v>
      </c>
      <c r="C29" s="124">
        <v>117553</v>
      </c>
      <c r="D29" s="123">
        <v>122760</v>
      </c>
      <c r="E29" s="124">
        <v>240312</v>
      </c>
      <c r="F29" s="123">
        <v>301200</v>
      </c>
      <c r="H29" s="126"/>
    </row>
    <row r="30" spans="1:8" ht="20" customHeight="1" thickBot="1">
      <c r="A30" s="127" t="s">
        <v>1830</v>
      </c>
      <c r="B30" s="123">
        <v>35592</v>
      </c>
      <c r="C30" s="124">
        <v>63411</v>
      </c>
      <c r="D30" s="123">
        <v>69739</v>
      </c>
      <c r="E30" s="124">
        <v>133148</v>
      </c>
      <c r="F30" s="123">
        <v>168741</v>
      </c>
      <c r="H30" s="126"/>
    </row>
    <row r="31" spans="1:8" ht="20" customHeight="1" thickBot="1">
      <c r="A31" s="127" t="s">
        <v>1831</v>
      </c>
      <c r="B31" s="123">
        <v>86964</v>
      </c>
      <c r="C31" s="124">
        <v>150962</v>
      </c>
      <c r="D31" s="123">
        <v>169066</v>
      </c>
      <c r="E31" s="124">
        <v>320029</v>
      </c>
      <c r="F31" s="123">
        <v>406993</v>
      </c>
      <c r="H31" s="126"/>
    </row>
    <row r="32" spans="1:8" ht="20" customHeight="1" thickBot="1">
      <c r="A32" s="128" t="s">
        <v>1832</v>
      </c>
      <c r="B32" s="123">
        <v>15348</v>
      </c>
      <c r="C32" s="124">
        <v>26154</v>
      </c>
      <c r="D32" s="123">
        <v>27987</v>
      </c>
      <c r="E32" s="124">
        <v>54139</v>
      </c>
      <c r="F32" s="123">
        <v>69487</v>
      </c>
      <c r="H32" s="126"/>
    </row>
    <row r="33" spans="1:8" ht="30" customHeight="1" thickBot="1">
      <c r="A33" s="129" t="s">
        <v>628</v>
      </c>
      <c r="B33" s="130">
        <v>1501702</v>
      </c>
      <c r="C33" s="131">
        <v>2914572</v>
      </c>
      <c r="D33" s="130">
        <v>3100792</v>
      </c>
      <c r="E33" s="131">
        <v>6015363</v>
      </c>
      <c r="F33" s="130">
        <v>7517067</v>
      </c>
      <c r="H33" s="126"/>
    </row>
    <row r="34" spans="1:8" ht="20" customHeight="1">
      <c r="A34" s="133" t="s">
        <v>1698</v>
      </c>
      <c r="B34" s="133"/>
      <c r="C34" s="133"/>
      <c r="D34" s="133"/>
      <c r="E34" s="133"/>
      <c r="F34" s="133"/>
      <c r="H34" s="121"/>
    </row>
    <row r="35" spans="1:8" ht="11.25" customHeight="1">
      <c r="A35" s="3"/>
      <c r="B35" s="3"/>
      <c r="C35" s="3"/>
      <c r="D35" s="3"/>
      <c r="E35" s="3"/>
      <c r="F35" s="3"/>
      <c r="H35" s="121"/>
    </row>
    <row r="36" spans="1:8" ht="14.25" customHeight="1">
      <c r="A36" s="3" t="s">
        <v>1833</v>
      </c>
      <c r="B36" s="3"/>
      <c r="C36" s="3"/>
      <c r="D36" s="3"/>
      <c r="E36" s="3"/>
      <c r="F36" s="3"/>
      <c r="H36" s="121"/>
    </row>
    <row r="37" spans="1:8" ht="13.5" customHeight="1">
      <c r="A37" s="3"/>
      <c r="B37" s="3"/>
      <c r="C37" s="3"/>
      <c r="D37" s="3"/>
      <c r="E37" s="3"/>
      <c r="F37" s="3"/>
      <c r="H37" s="121"/>
    </row>
    <row r="38" spans="1:8" ht="12" customHeight="1">
      <c r="A38" s="3" t="s">
        <v>855</v>
      </c>
    </row>
    <row r="39" spans="1:8" ht="12" customHeight="1">
      <c r="A39" s="154" t="s">
        <v>889</v>
      </c>
    </row>
    <row r="40" spans="1:8" ht="12" customHeight="1"/>
    <row r="41" spans="1:8" ht="12" customHeight="1"/>
    <row r="42" spans="1:8" ht="12" customHeight="1">
      <c r="A42" s="3" t="s">
        <v>634</v>
      </c>
    </row>
  </sheetData>
  <phoneticPr fontId="0" type="noConversion"/>
  <pageMargins left="0.65" right="0.61" top="0.87" bottom="0.49" header="0.51" footer="0.4921259845"/>
  <pageSetup paperSize="9" scale="80" orientation="portrait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3E9C-8394-1B43-8C56-102AF5454ED8}">
  <sheetPr>
    <pageSetUpPr fitToPage="1"/>
  </sheetPr>
  <dimension ref="A1:G19"/>
  <sheetViews>
    <sheetView topLeftCell="A3" zoomScale="75" workbookViewId="0">
      <selection activeCell="A17" sqref="A17"/>
    </sheetView>
  </sheetViews>
  <sheetFormatPr baseColWidth="10" defaultColWidth="11.3984375" defaultRowHeight="13"/>
  <cols>
    <col min="1" max="1" width="21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414" customWidth="1"/>
    <col min="6" max="6" width="20.3984375" style="414" customWidth="1"/>
    <col min="7" max="7" width="12" style="2" customWidth="1"/>
    <col min="8" max="16384" width="11.3984375" style="2"/>
  </cols>
  <sheetData>
    <row r="1" spans="1:7" ht="19.5" customHeight="1">
      <c r="A1" s="56" t="s">
        <v>1148</v>
      </c>
      <c r="B1" s="518"/>
      <c r="C1" s="518"/>
      <c r="D1" s="518"/>
      <c r="E1" s="518"/>
      <c r="F1" s="321">
        <v>2007</v>
      </c>
    </row>
    <row r="2" spans="1:7" ht="24" customHeight="1">
      <c r="A2" s="590"/>
      <c r="B2" s="353"/>
      <c r="C2" s="353"/>
      <c r="D2" s="353"/>
      <c r="E2" s="353"/>
      <c r="F2" s="591"/>
    </row>
    <row r="3" spans="1:7" ht="24" customHeight="1">
      <c r="A3" s="519" t="s">
        <v>2283</v>
      </c>
      <c r="B3" s="385" t="s">
        <v>428</v>
      </c>
      <c r="C3" s="340" t="s">
        <v>429</v>
      </c>
      <c r="D3" s="385" t="s">
        <v>629</v>
      </c>
      <c r="E3" s="386" t="s">
        <v>1134</v>
      </c>
      <c r="F3" s="563" t="s">
        <v>1149</v>
      </c>
    </row>
    <row r="4" spans="1:7" ht="15" customHeight="1">
      <c r="A4" s="308"/>
      <c r="B4" s="114"/>
      <c r="C4" s="115"/>
      <c r="D4" s="140"/>
      <c r="E4" s="592" t="s">
        <v>402</v>
      </c>
      <c r="F4" s="564" t="s">
        <v>1150</v>
      </c>
    </row>
    <row r="5" spans="1:7" ht="15" customHeight="1">
      <c r="A5" s="113"/>
      <c r="B5" s="114"/>
      <c r="C5" s="115"/>
      <c r="D5" s="114"/>
      <c r="E5" s="592"/>
      <c r="F5" s="564" t="s">
        <v>1151</v>
      </c>
    </row>
    <row r="6" spans="1:7" ht="24" customHeight="1">
      <c r="A6" s="506"/>
      <c r="B6" s="535"/>
      <c r="C6" s="536"/>
      <c r="D6" s="535"/>
      <c r="E6" s="395"/>
      <c r="F6" s="565"/>
    </row>
    <row r="7" spans="1:7" ht="45" customHeight="1" thickBot="1">
      <c r="A7" s="593" t="s">
        <v>1798</v>
      </c>
      <c r="B7" s="594">
        <v>115602</v>
      </c>
      <c r="C7" s="595">
        <v>109287</v>
      </c>
      <c r="D7" s="594">
        <v>224890</v>
      </c>
      <c r="E7" s="596">
        <v>0.27784607211470153</v>
      </c>
      <c r="F7" s="618">
        <v>0.14889147387927537</v>
      </c>
    </row>
    <row r="8" spans="1:7" ht="34.5" customHeight="1" thickBot="1">
      <c r="A8" s="593" t="s">
        <v>1135</v>
      </c>
      <c r="B8" s="594">
        <v>50220</v>
      </c>
      <c r="C8" s="595">
        <v>47774</v>
      </c>
      <c r="D8" s="594">
        <v>97994</v>
      </c>
      <c r="E8" s="596">
        <v>0.12106918044736566</v>
      </c>
      <c r="F8" s="618">
        <v>0.15584138828191843</v>
      </c>
    </row>
    <row r="9" spans="1:7" ht="32.25" customHeight="1" thickBot="1">
      <c r="A9" s="593" t="s">
        <v>1800</v>
      </c>
      <c r="B9" s="594">
        <v>250761</v>
      </c>
      <c r="C9" s="595">
        <v>235761</v>
      </c>
      <c r="D9" s="594">
        <v>486522</v>
      </c>
      <c r="E9" s="596">
        <v>0.60108598291337467</v>
      </c>
      <c r="F9" s="618">
        <v>9.0124221312849542E-2</v>
      </c>
    </row>
    <row r="10" spans="1:7" s="285" customFormat="1" ht="36" customHeight="1" thickBot="1">
      <c r="A10" s="597" t="s">
        <v>629</v>
      </c>
      <c r="B10" s="347">
        <v>416583</v>
      </c>
      <c r="C10" s="346">
        <v>392822</v>
      </c>
      <c r="D10" s="347">
        <v>809405</v>
      </c>
      <c r="E10" s="598">
        <v>1</v>
      </c>
      <c r="F10" s="477">
        <v>0.10738253697968249</v>
      </c>
    </row>
    <row r="11" spans="1:7" ht="16.5" customHeight="1">
      <c r="B11" s="133"/>
      <c r="C11" s="133"/>
      <c r="D11" s="133"/>
      <c r="E11" s="599"/>
      <c r="F11" s="600"/>
    </row>
    <row r="12" spans="1:7" s="232" customFormat="1" ht="24" customHeight="1" thickBot="1">
      <c r="A12" s="605" t="s">
        <v>1152</v>
      </c>
      <c r="B12" s="606">
        <v>35063</v>
      </c>
      <c r="C12" s="607">
        <v>33478</v>
      </c>
      <c r="D12" s="606">
        <v>68541</v>
      </c>
      <c r="E12" s="608">
        <v>8.4680722258943297E-2</v>
      </c>
      <c r="F12" s="619">
        <v>9.0932307894372004E-3</v>
      </c>
    </row>
    <row r="13" spans="1:7" ht="9.75" customHeight="1">
      <c r="D13"/>
      <c r="E13"/>
      <c r="F13"/>
      <c r="G13"/>
    </row>
    <row r="14" spans="1:7">
      <c r="A14" s="3" t="s">
        <v>1256</v>
      </c>
      <c r="D14"/>
      <c r="E14"/>
      <c r="F14"/>
      <c r="G14"/>
    </row>
    <row r="15" spans="1:7">
      <c r="D15"/>
      <c r="E15"/>
      <c r="F15"/>
      <c r="G15"/>
    </row>
    <row r="16" spans="1:7">
      <c r="A16" s="2" t="s">
        <v>1153</v>
      </c>
      <c r="D16"/>
      <c r="E16"/>
      <c r="F16"/>
      <c r="G16"/>
    </row>
    <row r="19" spans="1:1">
      <c r="A19" s="300" t="s">
        <v>634</v>
      </c>
    </row>
  </sheetData>
  <phoneticPr fontId="0" type="noConversion"/>
  <pageMargins left="0.53" right="0.68" top="0.96" bottom="0.49" header="0.56000000000000005" footer="0.4921259845"/>
  <pageSetup paperSize="9" scale="73" orientation="portrait" horizontalDpi="1200" verticalDpi="1200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B3A3-75C3-594F-98BF-4C74253F74C2}">
  <sheetPr>
    <pageSetUpPr fitToPage="1"/>
  </sheetPr>
  <dimension ref="A1:D20"/>
  <sheetViews>
    <sheetView zoomScale="75" workbookViewId="0">
      <selection activeCell="A2" sqref="A2"/>
    </sheetView>
  </sheetViews>
  <sheetFormatPr baseColWidth="10" defaultColWidth="11.3984375" defaultRowHeight="13"/>
  <cols>
    <col min="1" max="1" width="41.796875" style="2" customWidth="1"/>
    <col min="2" max="2" width="35.59765625" style="2" customWidth="1"/>
    <col min="3" max="3" width="36.796875" style="2" customWidth="1"/>
    <col min="4" max="4" width="12.796875" style="2" customWidth="1"/>
    <col min="5" max="16384" width="11.3984375" style="2"/>
  </cols>
  <sheetData>
    <row r="1" spans="1:4" ht="19.5" customHeight="1">
      <c r="A1" s="56" t="s">
        <v>1154</v>
      </c>
      <c r="B1" s="518"/>
      <c r="C1" s="321">
        <v>2007</v>
      </c>
    </row>
    <row r="2" spans="1:4" ht="15.75" customHeight="1">
      <c r="A2" s="590"/>
      <c r="B2" s="353"/>
      <c r="C2" s="353"/>
    </row>
    <row r="3" spans="1:4" ht="44.25" customHeight="1">
      <c r="A3" s="620"/>
      <c r="B3" s="621" t="s">
        <v>1155</v>
      </c>
      <c r="C3" s="622" t="s">
        <v>1156</v>
      </c>
    </row>
    <row r="4" spans="1:4" ht="17.25" customHeight="1">
      <c r="A4" s="506"/>
      <c r="B4" s="535"/>
      <c r="C4" s="536"/>
    </row>
    <row r="5" spans="1:4" ht="45" customHeight="1" thickBot="1">
      <c r="A5" s="593" t="s">
        <v>1944</v>
      </c>
      <c r="B5" s="594">
        <v>379340</v>
      </c>
      <c r="C5" s="595">
        <v>544093294.91999996</v>
      </c>
    </row>
    <row r="6" spans="1:4" ht="48" customHeight="1" thickBot="1">
      <c r="A6" s="623" t="s">
        <v>1945</v>
      </c>
      <c r="B6" s="624">
        <v>89884</v>
      </c>
      <c r="C6" s="625">
        <v>123959408.26000001</v>
      </c>
    </row>
    <row r="7" spans="1:4" ht="20.25" customHeight="1">
      <c r="A7" s="3" t="s">
        <v>1256</v>
      </c>
      <c r="D7"/>
    </row>
    <row r="8" spans="1:4">
      <c r="D8"/>
    </row>
    <row r="9" spans="1:4">
      <c r="A9" s="2" t="s">
        <v>1157</v>
      </c>
      <c r="D9"/>
    </row>
    <row r="11" spans="1:4">
      <c r="A11" s="154" t="s">
        <v>1942</v>
      </c>
    </row>
    <row r="12" spans="1:4" s="626" customFormat="1">
      <c r="A12" s="154" t="s">
        <v>1946</v>
      </c>
    </row>
    <row r="13" spans="1:4">
      <c r="A13" s="154" t="s">
        <v>1943</v>
      </c>
    </row>
    <row r="14" spans="1:4">
      <c r="A14" s="154" t="s">
        <v>1947</v>
      </c>
    </row>
    <row r="15" spans="1:4">
      <c r="A15" s="154" t="s">
        <v>1948</v>
      </c>
    </row>
    <row r="18" spans="1:1">
      <c r="A18" s="300" t="s">
        <v>634</v>
      </c>
    </row>
    <row r="19" spans="1:1">
      <c r="A19" s="4"/>
    </row>
    <row r="20" spans="1:1">
      <c r="A20" s="3"/>
    </row>
  </sheetData>
  <phoneticPr fontId="0" type="noConversion"/>
  <pageMargins left="0.61" right="0.72" top="0.96" bottom="0.49" header="0.56000000000000005" footer="0.4921259845"/>
  <pageSetup paperSize="9" scale="71" orientation="portrait" horizontalDpi="1200" verticalDpi="1200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61C9-D66C-CC48-848C-EDF7005268B3}">
  <sheetPr>
    <pageSetUpPr fitToPage="1"/>
  </sheetPr>
  <dimension ref="A1:M24"/>
  <sheetViews>
    <sheetView zoomScale="75" workbookViewId="0"/>
  </sheetViews>
  <sheetFormatPr baseColWidth="10" defaultColWidth="11.3984375" defaultRowHeight="13"/>
  <cols>
    <col min="1" max="1" width="12.796875" style="2" customWidth="1"/>
    <col min="2" max="8" width="11.796875" style="2" customWidth="1"/>
    <col min="9" max="9" width="17.19921875" style="2" customWidth="1"/>
    <col min="10" max="16384" width="11.3984375" style="2"/>
  </cols>
  <sheetData>
    <row r="1" spans="1:13" s="1" customFormat="1" ht="14" customHeight="1"/>
    <row r="2" spans="1:13" s="1" customFormat="1" ht="28" customHeight="1">
      <c r="A2" s="109" t="s">
        <v>1949</v>
      </c>
      <c r="I2" s="321">
        <v>2007</v>
      </c>
      <c r="K2" s="490"/>
    </row>
    <row r="3" spans="1:13" ht="24" customHeight="1">
      <c r="A3" s="627" t="s">
        <v>533</v>
      </c>
      <c r="B3" s="628" t="s">
        <v>1950</v>
      </c>
      <c r="C3" s="629" t="s">
        <v>1951</v>
      </c>
      <c r="D3" s="111" t="s">
        <v>1952</v>
      </c>
      <c r="E3" s="629" t="s">
        <v>1953</v>
      </c>
      <c r="F3" s="111" t="s">
        <v>1954</v>
      </c>
      <c r="G3" s="629" t="s">
        <v>481</v>
      </c>
      <c r="H3" s="111" t="s">
        <v>629</v>
      </c>
      <c r="I3" s="629" t="s">
        <v>629</v>
      </c>
      <c r="K3" s="630"/>
    </row>
    <row r="4" spans="1:13" ht="15" customHeight="1">
      <c r="A4" s="631"/>
      <c r="B4" s="632"/>
      <c r="C4" s="633">
        <v>10000</v>
      </c>
      <c r="D4" s="140">
        <v>50000</v>
      </c>
      <c r="E4" s="633">
        <v>100000</v>
      </c>
      <c r="F4" s="140">
        <v>500000</v>
      </c>
      <c r="G4" s="633">
        <v>500000</v>
      </c>
      <c r="H4" s="634" t="s">
        <v>1955</v>
      </c>
      <c r="I4" s="635" t="s">
        <v>1956</v>
      </c>
      <c r="K4" s="630"/>
    </row>
    <row r="5" spans="1:13" ht="15" customHeight="1">
      <c r="A5" s="631"/>
      <c r="B5" s="632"/>
      <c r="C5" s="636"/>
      <c r="D5" s="114"/>
      <c r="E5" s="636"/>
      <c r="F5" s="114"/>
      <c r="G5" s="636"/>
      <c r="H5" s="114"/>
      <c r="I5" s="635" t="s">
        <v>1957</v>
      </c>
      <c r="K5" s="4"/>
    </row>
    <row r="6" spans="1:13" ht="24" customHeight="1">
      <c r="A6" s="637"/>
      <c r="B6" s="638"/>
      <c r="C6" s="639"/>
      <c r="D6" s="120"/>
      <c r="E6" s="639"/>
      <c r="F6" s="120"/>
      <c r="G6" s="639"/>
      <c r="H6" s="120"/>
      <c r="I6" s="639"/>
      <c r="K6" s="640"/>
    </row>
    <row r="7" spans="1:13" ht="3" customHeight="1" thickBot="1">
      <c r="A7" s="641">
        <v>1996</v>
      </c>
      <c r="B7" s="642">
        <v>2.0177619127218216E-2</v>
      </c>
      <c r="C7" s="643">
        <v>1.2597566015413125E-2</v>
      </c>
      <c r="D7" s="586">
        <v>7.1120514742348845E-2</v>
      </c>
      <c r="E7" s="643">
        <v>5.3778502452829641E-2</v>
      </c>
      <c r="F7" s="586">
        <v>0.36511082288179453</v>
      </c>
      <c r="G7" s="643">
        <v>0.47721497478039565</v>
      </c>
      <c r="H7" s="586">
        <v>1</v>
      </c>
      <c r="I7" s="644">
        <v>7232667</v>
      </c>
    </row>
    <row r="8" spans="1:13" ht="20" customHeight="1" thickBot="1">
      <c r="A8" s="645">
        <v>1997</v>
      </c>
      <c r="B8" s="646">
        <v>1.7402128744798396E-2</v>
      </c>
      <c r="C8" s="647">
        <v>1.4513151507136559E-2</v>
      </c>
      <c r="D8" s="416">
        <v>8.0494622309686584E-2</v>
      </c>
      <c r="E8" s="647">
        <v>3.5460102030395756E-2</v>
      </c>
      <c r="F8" s="416">
        <v>0.34210501223593653</v>
      </c>
      <c r="G8" s="647">
        <v>0.51002498317204614</v>
      </c>
      <c r="H8" s="416">
        <v>1</v>
      </c>
      <c r="I8" s="648">
        <v>7236471</v>
      </c>
      <c r="K8" s="9"/>
      <c r="L8" s="9"/>
      <c r="M8" s="9"/>
    </row>
    <row r="9" spans="1:13" ht="20" customHeight="1" thickBot="1">
      <c r="A9" s="645">
        <v>1998</v>
      </c>
      <c r="B9" s="646">
        <v>1.490840183853178E-2</v>
      </c>
      <c r="C9" s="647">
        <v>1.032214600618327E-2</v>
      </c>
      <c r="D9" s="416">
        <v>7.6140816476353498E-2</v>
      </c>
      <c r="E9" s="647">
        <v>5.6174768706983583E-2</v>
      </c>
      <c r="F9" s="416">
        <v>0.34220161255156173</v>
      </c>
      <c r="G9" s="647">
        <v>0.50025225442038612</v>
      </c>
      <c r="H9" s="416">
        <v>1</v>
      </c>
      <c r="I9" s="648">
        <v>7246652</v>
      </c>
    </row>
    <row r="10" spans="1:13" ht="20" customHeight="1" thickBot="1">
      <c r="A10" s="645">
        <v>1999</v>
      </c>
      <c r="B10" s="646">
        <v>1.1856091803011722E-2</v>
      </c>
      <c r="C10" s="647">
        <v>1.2297050391416079E-2</v>
      </c>
      <c r="D10" s="416">
        <v>6.9524424924530884E-2</v>
      </c>
      <c r="E10" s="647">
        <v>7.5584785910891711E-2</v>
      </c>
      <c r="F10" s="416">
        <v>0.360776059607258</v>
      </c>
      <c r="G10" s="647">
        <v>0.46996158736289156</v>
      </c>
      <c r="H10" s="416">
        <v>1</v>
      </c>
      <c r="I10" s="648">
        <v>7270524</v>
      </c>
    </row>
    <row r="11" spans="1:13" ht="20" customHeight="1" thickBot="1">
      <c r="A11" s="645">
        <v>2000</v>
      </c>
      <c r="B11" s="646">
        <v>1.0957985099474708E-2</v>
      </c>
      <c r="C11" s="647">
        <v>1.2166775657859692E-2</v>
      </c>
      <c r="D11" s="416">
        <v>6.756095879031751E-2</v>
      </c>
      <c r="E11" s="647">
        <v>8.7049575140813365E-2</v>
      </c>
      <c r="F11" s="416">
        <v>0.3644487016237738</v>
      </c>
      <c r="G11" s="647">
        <v>0.45781600368776093</v>
      </c>
      <c r="H11" s="416">
        <v>1</v>
      </c>
      <c r="I11" s="648">
        <v>7265113</v>
      </c>
    </row>
    <row r="12" spans="1:13" ht="20" customHeight="1" thickBot="1">
      <c r="A12" s="645">
        <v>2001</v>
      </c>
      <c r="B12" s="646">
        <v>9.7170954862656738E-3</v>
      </c>
      <c r="C12" s="647">
        <v>8.4238568425089536E-3</v>
      </c>
      <c r="D12" s="416">
        <v>7.0587792166880103E-2</v>
      </c>
      <c r="E12" s="647">
        <v>8.5394018668547678E-2</v>
      </c>
      <c r="F12" s="416">
        <v>0.38803350203052983</v>
      </c>
      <c r="G12" s="647">
        <v>0.43784373480526773</v>
      </c>
      <c r="H12" s="416">
        <v>1</v>
      </c>
      <c r="I12" s="648">
        <v>7301050</v>
      </c>
    </row>
    <row r="13" spans="1:13" ht="20" customHeight="1" thickBot="1">
      <c r="A13" s="645">
        <v>2002</v>
      </c>
      <c r="B13" s="646">
        <v>7.1399045507496896E-3</v>
      </c>
      <c r="C13" s="647">
        <v>8.4501124357966827E-3</v>
      </c>
      <c r="D13" s="416">
        <v>8.2630643642516793E-2</v>
      </c>
      <c r="E13" s="647">
        <v>8.6587817285975782E-2</v>
      </c>
      <c r="F13" s="416">
        <v>0.46525750220977596</v>
      </c>
      <c r="G13" s="647">
        <v>0.34993401987518508</v>
      </c>
      <c r="H13" s="416">
        <v>1</v>
      </c>
      <c r="I13" s="648">
        <v>7344636</v>
      </c>
    </row>
    <row r="14" spans="1:13" ht="20" customHeight="1" thickBot="1">
      <c r="A14" s="645">
        <v>2003</v>
      </c>
      <c r="B14" s="646">
        <v>7.150880180844566E-3</v>
      </c>
      <c r="C14" s="647">
        <v>8.7914320736236836E-3</v>
      </c>
      <c r="D14" s="416">
        <v>9.1365786917605774E-2</v>
      </c>
      <c r="E14" s="647">
        <v>9.1794541322986076E-2</v>
      </c>
      <c r="F14" s="416">
        <v>0.39422862118090168</v>
      </c>
      <c r="G14" s="647">
        <v>0.40666873832403821</v>
      </c>
      <c r="H14" s="416">
        <v>1</v>
      </c>
      <c r="I14" s="648">
        <v>7372519</v>
      </c>
    </row>
    <row r="15" spans="1:13" ht="20" customHeight="1" thickBot="1">
      <c r="A15" s="645">
        <v>2004</v>
      </c>
      <c r="B15" s="646">
        <v>7.7472964436898599E-3</v>
      </c>
      <c r="C15" s="647">
        <v>9.9496072922614521E-3</v>
      </c>
      <c r="D15" s="416">
        <v>8.4360383162269723E-2</v>
      </c>
      <c r="E15" s="647">
        <v>8.7130573562410135E-2</v>
      </c>
      <c r="F15" s="416">
        <v>0.4055192258310571</v>
      </c>
      <c r="G15" s="647">
        <v>0.40529291370831172</v>
      </c>
      <c r="H15" s="416">
        <v>1</v>
      </c>
      <c r="I15" s="648">
        <v>7383608</v>
      </c>
    </row>
    <row r="16" spans="1:13" ht="20" customHeight="1" thickBot="1">
      <c r="A16" s="645">
        <v>2005</v>
      </c>
      <c r="B16" s="646">
        <v>6.7133654607136909E-3</v>
      </c>
      <c r="C16" s="647">
        <v>1.2687692501726945E-2</v>
      </c>
      <c r="D16" s="416">
        <v>6.1558517163579914E-2</v>
      </c>
      <c r="E16" s="647">
        <v>7.6843120678933355E-2</v>
      </c>
      <c r="F16" s="416">
        <v>0.44768226437071562</v>
      </c>
      <c r="G16" s="647">
        <v>0.39451503982433056</v>
      </c>
      <c r="H16" s="416">
        <v>1</v>
      </c>
      <c r="I16" s="648">
        <v>7435865.1099999994</v>
      </c>
    </row>
    <row r="17" spans="1:9" ht="20" customHeight="1" thickBot="1">
      <c r="A17" s="645">
        <v>2006</v>
      </c>
      <c r="B17" s="646">
        <v>7.1853695026195359E-3</v>
      </c>
      <c r="C17" s="647">
        <v>1.372064238505178E-2</v>
      </c>
      <c r="D17" s="416">
        <v>6.1945155197761226E-2</v>
      </c>
      <c r="E17" s="647">
        <v>6.457386448023035E-2</v>
      </c>
      <c r="F17" s="416">
        <v>0.46584421080154392</v>
      </c>
      <c r="G17" s="647">
        <v>0.38673075763279313</v>
      </c>
      <c r="H17" s="416">
        <v>1</v>
      </c>
      <c r="I17" s="648">
        <v>7478426.8200000003</v>
      </c>
    </row>
    <row r="18" spans="1:9" ht="26.25" customHeight="1" thickBot="1">
      <c r="A18" s="649">
        <v>2007</v>
      </c>
      <c r="B18" s="650">
        <v>7.1980711154289783E-3</v>
      </c>
      <c r="C18" s="651">
        <v>1.2343838327748843E-2</v>
      </c>
      <c r="D18" s="587">
        <v>6.7439082875348361E-2</v>
      </c>
      <c r="E18" s="651">
        <v>7.4639267399113043E-2</v>
      </c>
      <c r="F18" s="587">
        <v>0.46148331085748551</v>
      </c>
      <c r="G18" s="651">
        <v>0.37689642942487517</v>
      </c>
      <c r="H18" s="587">
        <v>1</v>
      </c>
      <c r="I18" s="652">
        <v>7537587.3800000008</v>
      </c>
    </row>
    <row r="19" spans="1:9" ht="20" customHeight="1">
      <c r="A19" s="133" t="s">
        <v>1256</v>
      </c>
      <c r="B19" s="335"/>
      <c r="C19" s="335"/>
      <c r="D19" s="335"/>
      <c r="E19" s="335"/>
      <c r="F19" s="335"/>
      <c r="G19" s="335"/>
      <c r="H19" s="335"/>
      <c r="I19" s="559"/>
    </row>
    <row r="20" spans="1:9" ht="13.5" customHeight="1">
      <c r="A20" s="3"/>
      <c r="B20" s="337"/>
      <c r="C20" s="337"/>
      <c r="D20" s="337"/>
      <c r="E20" s="337"/>
      <c r="F20" s="337"/>
      <c r="G20" s="337"/>
      <c r="H20" s="337"/>
      <c r="I20" s="560"/>
    </row>
    <row r="21" spans="1:9">
      <c r="A21" s="2" t="s">
        <v>1958</v>
      </c>
    </row>
    <row r="24" spans="1:9">
      <c r="A24" s="2" t="s">
        <v>634</v>
      </c>
    </row>
  </sheetData>
  <phoneticPr fontId="0" type="noConversion"/>
  <pageMargins left="0.53" right="0.61" top="1.03" bottom="0.49" header="0.56000000000000005" footer="0.4921259845"/>
  <pageSetup paperSize="9" scale="82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153</vt:i4>
      </vt:variant>
      <vt:variant>
        <vt:lpstr>Benannte Bereiche</vt:lpstr>
      </vt:variant>
      <vt:variant>
        <vt:i4>140</vt:i4>
      </vt:variant>
    </vt:vector>
  </HeadingPairs>
  <TitlesOfParts>
    <vt:vector size="293" baseType="lpstr">
      <vt:lpstr>Info</vt:lpstr>
      <vt:lpstr>Bd</vt:lpstr>
      <vt:lpstr>B1d</vt:lpstr>
      <vt:lpstr>I1d</vt:lpstr>
      <vt:lpstr>I2d</vt:lpstr>
      <vt:lpstr>I3d</vt:lpstr>
      <vt:lpstr>I4d</vt:lpstr>
      <vt:lpstr>J1d</vt:lpstr>
      <vt:lpstr>J2d</vt:lpstr>
      <vt:lpstr>T1d</vt:lpstr>
      <vt:lpstr>101d</vt:lpstr>
      <vt:lpstr>102d</vt:lpstr>
      <vt:lpstr>103d</vt:lpstr>
      <vt:lpstr>104d</vt:lpstr>
      <vt:lpstr>105d</vt:lpstr>
      <vt:lpstr>106d</vt:lpstr>
      <vt:lpstr>107d</vt:lpstr>
      <vt:lpstr>108d</vt:lpstr>
      <vt:lpstr>109d</vt:lpstr>
      <vt:lpstr>110d</vt:lpstr>
      <vt:lpstr>111d</vt:lpstr>
      <vt:lpstr>112d</vt:lpstr>
      <vt:lpstr>113d</vt:lpstr>
      <vt:lpstr>114d</vt:lpstr>
      <vt:lpstr>115d</vt:lpstr>
      <vt:lpstr>T2d</vt:lpstr>
      <vt:lpstr>201d</vt:lpstr>
      <vt:lpstr>202d</vt:lpstr>
      <vt:lpstr>203d</vt:lpstr>
      <vt:lpstr>204d</vt:lpstr>
      <vt:lpstr>205d</vt:lpstr>
      <vt:lpstr>206d</vt:lpstr>
      <vt:lpstr>207d</vt:lpstr>
      <vt:lpstr>208d</vt:lpstr>
      <vt:lpstr>209d</vt:lpstr>
      <vt:lpstr>210d</vt:lpstr>
      <vt:lpstr>211d</vt:lpstr>
      <vt:lpstr>212d</vt:lpstr>
      <vt:lpstr>213d</vt:lpstr>
      <vt:lpstr>214d</vt:lpstr>
      <vt:lpstr>215d</vt:lpstr>
      <vt:lpstr>216d</vt:lpstr>
      <vt:lpstr>217d</vt:lpstr>
      <vt:lpstr>218d</vt:lpstr>
      <vt:lpstr>219d</vt:lpstr>
      <vt:lpstr>220d</vt:lpstr>
      <vt:lpstr>221d</vt:lpstr>
      <vt:lpstr>222d</vt:lpstr>
      <vt:lpstr>223d</vt:lpstr>
      <vt:lpstr>T3d</vt:lpstr>
      <vt:lpstr>301d</vt:lpstr>
      <vt:lpstr>302d</vt:lpstr>
      <vt:lpstr>303d</vt:lpstr>
      <vt:lpstr>304d</vt:lpstr>
      <vt:lpstr>305d</vt:lpstr>
      <vt:lpstr>306d</vt:lpstr>
      <vt:lpstr>307d</vt:lpstr>
      <vt:lpstr>308d</vt:lpstr>
      <vt:lpstr>309d</vt:lpstr>
      <vt:lpstr>310d</vt:lpstr>
      <vt:lpstr>311d</vt:lpstr>
      <vt:lpstr>312d</vt:lpstr>
      <vt:lpstr>T4d</vt:lpstr>
      <vt:lpstr>401d</vt:lpstr>
      <vt:lpstr>402d</vt:lpstr>
      <vt:lpstr>403d</vt:lpstr>
      <vt:lpstr>404d</vt:lpstr>
      <vt:lpstr>405d</vt:lpstr>
      <vt:lpstr>406d</vt:lpstr>
      <vt:lpstr>407d</vt:lpstr>
      <vt:lpstr>408d</vt:lpstr>
      <vt:lpstr>409d</vt:lpstr>
      <vt:lpstr>410d</vt:lpstr>
      <vt:lpstr>411d</vt:lpstr>
      <vt:lpstr>T5d</vt:lpstr>
      <vt:lpstr>501d</vt:lpstr>
      <vt:lpstr>502d</vt:lpstr>
      <vt:lpstr>503d</vt:lpstr>
      <vt:lpstr>504d</vt:lpstr>
      <vt:lpstr>T6d</vt:lpstr>
      <vt:lpstr>601d</vt:lpstr>
      <vt:lpstr>602d</vt:lpstr>
      <vt:lpstr>603d</vt:lpstr>
      <vt:lpstr>604d</vt:lpstr>
      <vt:lpstr>605d</vt:lpstr>
      <vt:lpstr>606d</vt:lpstr>
      <vt:lpstr>T7d</vt:lpstr>
      <vt:lpstr>701d</vt:lpstr>
      <vt:lpstr>702d</vt:lpstr>
      <vt:lpstr>703d</vt:lpstr>
      <vt:lpstr>704d</vt:lpstr>
      <vt:lpstr>705d</vt:lpstr>
      <vt:lpstr>T8d</vt:lpstr>
      <vt:lpstr>801d</vt:lpstr>
      <vt:lpstr>802d</vt:lpstr>
      <vt:lpstr>803d</vt:lpstr>
      <vt:lpstr>804d</vt:lpstr>
      <vt:lpstr>805d</vt:lpstr>
      <vt:lpstr>806d</vt:lpstr>
      <vt:lpstr>807d</vt:lpstr>
      <vt:lpstr>808d</vt:lpstr>
      <vt:lpstr>809d</vt:lpstr>
      <vt:lpstr>810d</vt:lpstr>
      <vt:lpstr>811d</vt:lpstr>
      <vt:lpstr>812d</vt:lpstr>
      <vt:lpstr>813d</vt:lpstr>
      <vt:lpstr>T9d</vt:lpstr>
      <vt:lpstr>901d</vt:lpstr>
      <vt:lpstr>902d</vt:lpstr>
      <vt:lpstr>903d</vt:lpstr>
      <vt:lpstr>904d</vt:lpstr>
      <vt:lpstr>905d</vt:lpstr>
      <vt:lpstr>906d</vt:lpstr>
      <vt:lpstr>907d</vt:lpstr>
      <vt:lpstr>908d</vt:lpstr>
      <vt:lpstr>909d</vt:lpstr>
      <vt:lpstr>910d</vt:lpstr>
      <vt:lpstr>911d</vt:lpstr>
      <vt:lpstr>912d</vt:lpstr>
      <vt:lpstr>913d</vt:lpstr>
      <vt:lpstr>914d</vt:lpstr>
      <vt:lpstr>915d</vt:lpstr>
      <vt:lpstr>916d</vt:lpstr>
      <vt:lpstr>917d</vt:lpstr>
      <vt:lpstr>918d</vt:lpstr>
      <vt:lpstr>919d</vt:lpstr>
      <vt:lpstr>920d</vt:lpstr>
      <vt:lpstr>921d</vt:lpstr>
      <vt:lpstr>922d</vt:lpstr>
      <vt:lpstr>T10d</vt:lpstr>
      <vt:lpstr>1001d</vt:lpstr>
      <vt:lpstr>1002d</vt:lpstr>
      <vt:lpstr>1003d</vt:lpstr>
      <vt:lpstr>T11d</vt:lpstr>
      <vt:lpstr>1101d</vt:lpstr>
      <vt:lpstr>1102d</vt:lpstr>
      <vt:lpstr>1103d</vt:lpstr>
      <vt:lpstr>1104d</vt:lpstr>
      <vt:lpstr>1105d</vt:lpstr>
      <vt:lpstr>1106d</vt:lpstr>
      <vt:lpstr>1107d</vt:lpstr>
      <vt:lpstr>1108d</vt:lpstr>
      <vt:lpstr>1109d</vt:lpstr>
      <vt:lpstr>1110d</vt:lpstr>
      <vt:lpstr>1111d</vt:lpstr>
      <vt:lpstr>1112d</vt:lpstr>
      <vt:lpstr>1113d</vt:lpstr>
      <vt:lpstr>1114d</vt:lpstr>
      <vt:lpstr>1115d</vt:lpstr>
      <vt:lpstr>1116d</vt:lpstr>
      <vt:lpstr>1117d</vt:lpstr>
      <vt:lpstr>1118d</vt:lpstr>
      <vt:lpstr>1119d</vt:lpstr>
      <vt:lpstr>'1001d'!Druckbereich</vt:lpstr>
      <vt:lpstr>'1002d'!Druckbereich</vt:lpstr>
      <vt:lpstr>'1003d'!Druckbereich</vt:lpstr>
      <vt:lpstr>'101d'!Druckbereich</vt:lpstr>
      <vt:lpstr>'102d'!Druckbereich</vt:lpstr>
      <vt:lpstr>'103d'!Druckbereich</vt:lpstr>
      <vt:lpstr>'104d'!Druckbereich</vt:lpstr>
      <vt:lpstr>'105d'!Druckbereich</vt:lpstr>
      <vt:lpstr>'106d'!Druckbereich</vt:lpstr>
      <vt:lpstr>'107d'!Druckbereich</vt:lpstr>
      <vt:lpstr>'108d'!Druckbereich</vt:lpstr>
      <vt:lpstr>'109d'!Druckbereich</vt:lpstr>
      <vt:lpstr>'1101d'!Druckbereich</vt:lpstr>
      <vt:lpstr>'1102d'!Druckbereich</vt:lpstr>
      <vt:lpstr>'1103d'!Druckbereich</vt:lpstr>
      <vt:lpstr>'1104d'!Druckbereich</vt:lpstr>
      <vt:lpstr>'1105d'!Druckbereich</vt:lpstr>
      <vt:lpstr>'1106d'!Druckbereich</vt:lpstr>
      <vt:lpstr>'1107d'!Druckbereich</vt:lpstr>
      <vt:lpstr>'1108d'!Druckbereich</vt:lpstr>
      <vt:lpstr>'1109d'!Druckbereich</vt:lpstr>
      <vt:lpstr>'110d'!Druckbereich</vt:lpstr>
      <vt:lpstr>'1110d'!Druckbereich</vt:lpstr>
      <vt:lpstr>'1111d'!Druckbereich</vt:lpstr>
      <vt:lpstr>'1112d'!Druckbereich</vt:lpstr>
      <vt:lpstr>'1113d'!Druckbereich</vt:lpstr>
      <vt:lpstr>'1114d'!Druckbereich</vt:lpstr>
      <vt:lpstr>'1115d'!Druckbereich</vt:lpstr>
      <vt:lpstr>'1116d'!Druckbereich</vt:lpstr>
      <vt:lpstr>'1117d'!Druckbereich</vt:lpstr>
      <vt:lpstr>'1118d'!Druckbereich</vt:lpstr>
      <vt:lpstr>'1119d'!Druckbereich</vt:lpstr>
      <vt:lpstr>'111d'!Druckbereich</vt:lpstr>
      <vt:lpstr>'112d'!Druckbereich</vt:lpstr>
      <vt:lpstr>'113d'!Druckbereich</vt:lpstr>
      <vt:lpstr>'114d'!Druckbereich</vt:lpstr>
      <vt:lpstr>'115d'!Druckbereich</vt:lpstr>
      <vt:lpstr>'201d'!Druckbereich</vt:lpstr>
      <vt:lpstr>'202d'!Druckbereich</vt:lpstr>
      <vt:lpstr>'203d'!Druckbereich</vt:lpstr>
      <vt:lpstr>'204d'!Druckbereich</vt:lpstr>
      <vt:lpstr>'205d'!Druckbereich</vt:lpstr>
      <vt:lpstr>'206d'!Druckbereich</vt:lpstr>
      <vt:lpstr>'207d'!Druckbereich</vt:lpstr>
      <vt:lpstr>'208d'!Druckbereich</vt:lpstr>
      <vt:lpstr>'209d'!Druckbereich</vt:lpstr>
      <vt:lpstr>'210d'!Druckbereich</vt:lpstr>
      <vt:lpstr>'211d'!Druckbereich</vt:lpstr>
      <vt:lpstr>'212d'!Druckbereich</vt:lpstr>
      <vt:lpstr>'213d'!Druckbereich</vt:lpstr>
      <vt:lpstr>'214d'!Druckbereich</vt:lpstr>
      <vt:lpstr>'215d'!Druckbereich</vt:lpstr>
      <vt:lpstr>'216d'!Druckbereich</vt:lpstr>
      <vt:lpstr>'217d'!Druckbereich</vt:lpstr>
      <vt:lpstr>'218d'!Druckbereich</vt:lpstr>
      <vt:lpstr>'219d'!Druckbereich</vt:lpstr>
      <vt:lpstr>'220d'!Druckbereich</vt:lpstr>
      <vt:lpstr>'221d'!Druckbereich</vt:lpstr>
      <vt:lpstr>'222d'!Druckbereich</vt:lpstr>
      <vt:lpstr>'223d'!Druckbereich</vt:lpstr>
      <vt:lpstr>'301d'!Druckbereich</vt:lpstr>
      <vt:lpstr>'302d'!Druckbereich</vt:lpstr>
      <vt:lpstr>'303d'!Druckbereich</vt:lpstr>
      <vt:lpstr>'304d'!Druckbereich</vt:lpstr>
      <vt:lpstr>'305d'!Druckbereich</vt:lpstr>
      <vt:lpstr>'306d'!Druckbereich</vt:lpstr>
      <vt:lpstr>'307d'!Druckbereich</vt:lpstr>
      <vt:lpstr>'308d'!Druckbereich</vt:lpstr>
      <vt:lpstr>'309d'!Druckbereich</vt:lpstr>
      <vt:lpstr>'310d'!Druckbereich</vt:lpstr>
      <vt:lpstr>'311d'!Druckbereich</vt:lpstr>
      <vt:lpstr>'312d'!Druckbereich</vt:lpstr>
      <vt:lpstr>'402d'!Druckbereich</vt:lpstr>
      <vt:lpstr>'403d'!Druckbereich</vt:lpstr>
      <vt:lpstr>'404d'!Druckbereich</vt:lpstr>
      <vt:lpstr>'405d'!Druckbereich</vt:lpstr>
      <vt:lpstr>'406d'!Druckbereich</vt:lpstr>
      <vt:lpstr>'407d'!Druckbereich</vt:lpstr>
      <vt:lpstr>'408d'!Druckbereich</vt:lpstr>
      <vt:lpstr>'409d'!Druckbereich</vt:lpstr>
      <vt:lpstr>'410d'!Druckbereich</vt:lpstr>
      <vt:lpstr>'411d'!Druckbereich</vt:lpstr>
      <vt:lpstr>'501d'!Druckbereich</vt:lpstr>
      <vt:lpstr>'502d'!Druckbereich</vt:lpstr>
      <vt:lpstr>'503d'!Druckbereich</vt:lpstr>
      <vt:lpstr>'504d'!Druckbereich</vt:lpstr>
      <vt:lpstr>'601d'!Druckbereich</vt:lpstr>
      <vt:lpstr>'602d'!Druckbereich</vt:lpstr>
      <vt:lpstr>'603d'!Druckbereich</vt:lpstr>
      <vt:lpstr>'604d'!Druckbereich</vt:lpstr>
      <vt:lpstr>'605d'!Druckbereich</vt:lpstr>
      <vt:lpstr>'606d'!Druckbereich</vt:lpstr>
      <vt:lpstr>'701d'!Druckbereich</vt:lpstr>
      <vt:lpstr>'702d'!Druckbereich</vt:lpstr>
      <vt:lpstr>'703d'!Druckbereich</vt:lpstr>
      <vt:lpstr>'704d'!Druckbereich</vt:lpstr>
      <vt:lpstr>'705d'!Druckbereich</vt:lpstr>
      <vt:lpstr>'801d'!Druckbereich</vt:lpstr>
      <vt:lpstr>'802d'!Druckbereich</vt:lpstr>
      <vt:lpstr>'803d'!Druckbereich</vt:lpstr>
      <vt:lpstr>'804d'!Druckbereich</vt:lpstr>
      <vt:lpstr>'805d'!Druckbereich</vt:lpstr>
      <vt:lpstr>'806d'!Druckbereich</vt:lpstr>
      <vt:lpstr>'807d'!Druckbereich</vt:lpstr>
      <vt:lpstr>'808d'!Druckbereich</vt:lpstr>
      <vt:lpstr>'809d'!Druckbereich</vt:lpstr>
      <vt:lpstr>'810d'!Druckbereich</vt:lpstr>
      <vt:lpstr>'811d'!Druckbereich</vt:lpstr>
      <vt:lpstr>'813d'!Druckbereich</vt:lpstr>
      <vt:lpstr>'901d'!Druckbereich</vt:lpstr>
      <vt:lpstr>'902d'!Druckbereich</vt:lpstr>
      <vt:lpstr>'903d'!Druckbereich</vt:lpstr>
      <vt:lpstr>'904d'!Druckbereich</vt:lpstr>
      <vt:lpstr>'905d'!Druckbereich</vt:lpstr>
      <vt:lpstr>'906d'!Druckbereich</vt:lpstr>
      <vt:lpstr>'907d'!Druckbereich</vt:lpstr>
      <vt:lpstr>'908d'!Druckbereich</vt:lpstr>
      <vt:lpstr>'909d'!Druckbereich</vt:lpstr>
      <vt:lpstr>'910d'!Druckbereich</vt:lpstr>
      <vt:lpstr>'911d'!Druckbereich</vt:lpstr>
      <vt:lpstr>'912d'!Druckbereich</vt:lpstr>
      <vt:lpstr>'913d'!Druckbereich</vt:lpstr>
      <vt:lpstr>'914d'!Druckbereich</vt:lpstr>
      <vt:lpstr>'915d'!Druckbereich</vt:lpstr>
      <vt:lpstr>'916d'!Druckbereich</vt:lpstr>
      <vt:lpstr>'917d'!Druckbereich</vt:lpstr>
      <vt:lpstr>'918d'!Druckbereich</vt:lpstr>
      <vt:lpstr>'919d'!Druckbereich</vt:lpstr>
      <vt:lpstr>'920d'!Druckbereich</vt:lpstr>
      <vt:lpstr>'921d'!Druckbereich</vt:lpstr>
      <vt:lpstr>'922d'!Druckbereich</vt:lpstr>
      <vt:lpstr>B1d!Druckbereich</vt:lpstr>
      <vt:lpstr>I4d!Druckbereich</vt:lpstr>
      <vt:lpstr>J1d!Druckbereich</vt:lpstr>
      <vt:lpstr>J2d!Druckbereich</vt:lpstr>
      <vt:lpstr>'501d'!Drucktitel</vt:lpstr>
      <vt:lpstr>'503d'!Drucktitel</vt:lpstr>
      <vt:lpstr>'504d'!Drucktitel</vt:lpstr>
      <vt:lpstr>'907d'!Drucktitel</vt:lpstr>
      <vt:lpstr>B1d!Drucktitel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Informatikdienst</dc:creator>
  <cp:lastModifiedBy>Smaili Kenan (smailken)</cp:lastModifiedBy>
  <cp:lastPrinted>2009-03-18T08:48:05Z</cp:lastPrinted>
  <dcterms:created xsi:type="dcterms:W3CDTF">1999-10-15T08:29:27Z</dcterms:created>
  <dcterms:modified xsi:type="dcterms:W3CDTF">2026-05-02T10:25:40Z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-2021548164</vt:i4>
  </property>
  <property fmtid="{D5CDD505-2E9C-101B-9397-08002B2CF9AE}" pid="3" name="_EmailSubject">
    <vt:lpwstr>enlever liaisons</vt:lpwstr>
  </property>
  <property fmtid="{D5CDD505-2E9C-101B-9397-08002B2CF9AE}" pid="4" name="_AuthorEmail">
    <vt:lpwstr>Yves-Alain.Gerber@bfs.admin.ch</vt:lpwstr>
  </property>
  <property fmtid="{D5CDD505-2E9C-101B-9397-08002B2CF9AE}" pid="5" name="_AuthorEmailDisplayName">
    <vt:lpwstr>Gerber Yves-Alain BFS</vt:lpwstr>
  </property>
  <property fmtid="{D5CDD505-2E9C-101B-9397-08002B2CF9AE}" pid="6" name="_PreviousAdHocReviewCycleID">
    <vt:i4>1897203600</vt:i4>
  </property>
  <property fmtid="{D5CDD505-2E9C-101B-9397-08002B2CF9AE}" pid="7" name="_ReviewingToolsShownOnce">
    <vt:lpwstr/>
  </property>
</Properties>
</file>